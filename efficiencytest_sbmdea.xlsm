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y Drive\1. Research Progress\00. THESIS\01. DATA\05. DEA\01. USA\3rd draft\Revised\Experiment 2\No restriction\1 Y 2 x 1 C\"/>
    </mc:Choice>
  </mc:AlternateContent>
  <xr:revisionPtr revIDLastSave="0" documentId="13_ncr:1_{CC94D01F-CE6E-43B9-B235-3F317511FCA8}" xr6:coauthVersionLast="47" xr6:coauthVersionMax="47" xr10:uidLastSave="{00000000-0000-0000-0000-000000000000}"/>
  <bookViews>
    <workbookView xWindow="-110" yWindow="-110" windowWidth="19420" windowHeight="10300" xr2:uid="{AA8C3E90-DC82-4738-B7B4-7E7763A5051E}"/>
  </bookViews>
  <sheets>
    <sheet name="Data input" sheetId="15" r:id="rId1"/>
    <sheet name="Set-ups" sheetId="51" r:id="rId2"/>
    <sheet name="Run CRS" sheetId="54" r:id="rId3"/>
    <sheet name="Result CRS" sheetId="56" r:id="rId4"/>
    <sheet name="Run VRS" sheetId="55" r:id="rId5"/>
    <sheet name="Result VRS" sheetId="57" r:id="rId6"/>
  </sheets>
  <definedNames>
    <definedName name="_xlnm._FilterDatabase" localSheetId="0" hidden="1">'Data input'!$A$2:$W$54</definedName>
    <definedName name="_xlnm._FilterDatabase" localSheetId="3" hidden="1">'Result CRS'!$A$2:$AH$102</definedName>
    <definedName name="_xlnm._FilterDatabase" localSheetId="5" hidden="1">'Result VRS'!$A$2:$AR$102</definedName>
    <definedName name="_xlnm._FilterDatabase" localSheetId="2" hidden="1">'Run CRS'!$C$2:$AA$102</definedName>
    <definedName name="_xlnm._FilterDatabase" localSheetId="4" hidden="1">'Run VRS'!$C$2:$AA$2</definedName>
    <definedName name="_xlnm.Print_Area" localSheetId="1">'Set-ups'!$I$33</definedName>
    <definedName name="solver_adj" localSheetId="0" hidden="1">'Data input'!$AC$3:$AC$53,'Data input'!$C$108,'Data input'!$H$108:$I$108,'Data input'!$AC$107</definedName>
    <definedName name="solver_adj" localSheetId="2" hidden="1">'Run CRS'!$AC$3:$AC$52,'Run CRS'!$C$108,'Run CRS'!$H$108:$I$108,'Run CRS'!$AC$107</definedName>
    <definedName name="solver_adj" localSheetId="4" hidden="1">'Run VRS'!$AC$3:$AC$52,'Run VRS'!$C$108,'Run VRS'!$H$108:$I$108,'Run VRS'!$AC$107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0" hidden="1">1</definedName>
    <definedName name="solver_eng" localSheetId="3" hidden="1">1</definedName>
    <definedName name="solver_eng" localSheetId="5" hidden="1">1</definedName>
    <definedName name="solver_eng" localSheetId="2" hidden="1">2</definedName>
    <definedName name="solver_eng" localSheetId="4" hidden="1">2</definedName>
    <definedName name="solver_eng" localSheetId="1" hidden="1">1</definedName>
    <definedName name="solver_est" localSheetId="2" hidden="1">1</definedName>
    <definedName name="solver_est" localSheetId="4" hidden="1">1</definedName>
    <definedName name="solver_itr" localSheetId="2" hidden="1">2147483647</definedName>
    <definedName name="solver_itr" localSheetId="4" hidden="1">2147483647</definedName>
    <definedName name="solver_lhs1" localSheetId="0" hidden="1">'Data input'!$AC$105</definedName>
    <definedName name="solver_lhs1" localSheetId="2" hidden="1">'Run CRS'!$AC$105</definedName>
    <definedName name="solver_lhs1" localSheetId="4" hidden="1">'Run VRS'!$AC$105</definedName>
    <definedName name="solver_lhs10" localSheetId="0" hidden="1">'Data input'!$C$112</definedName>
    <definedName name="solver_lhs10" localSheetId="2" hidden="1">'Run CRS'!$C$112</definedName>
    <definedName name="solver_lhs10" localSheetId="4" hidden="1">'Run VRS'!$C$112</definedName>
    <definedName name="solver_lhs100" localSheetId="2" hidden="1">'Run CRS'!$AC$107</definedName>
    <definedName name="solver_lhs100" localSheetId="4" hidden="1">'Run VRS'!$AC$107</definedName>
    <definedName name="solver_lhs1000" localSheetId="2" hidden="1">'Run CRS'!$B$110:$C$110</definedName>
    <definedName name="solver_lhs1000" localSheetId="4" hidden="1">'Run VRS'!$B$110:$C$110</definedName>
    <definedName name="solver_lhs1001" localSheetId="2" hidden="1">'Run CRS'!$B$110:$C$110</definedName>
    <definedName name="solver_lhs1001" localSheetId="4" hidden="1">'Run VRS'!$B$110:$C$110</definedName>
    <definedName name="solver_lhs1002" localSheetId="2" hidden="1">'Run CRS'!$B$110:$C$110</definedName>
    <definedName name="solver_lhs1002" localSheetId="4" hidden="1">'Run VRS'!$B$110:$C$110</definedName>
    <definedName name="solver_lhs1003" localSheetId="2" hidden="1">'Run CRS'!$B$110:$C$110</definedName>
    <definedName name="solver_lhs1003" localSheetId="4" hidden="1">'Run VRS'!$B$110:$C$110</definedName>
    <definedName name="solver_lhs1004" localSheetId="2" hidden="1">'Run CRS'!$B$110:$C$110</definedName>
    <definedName name="solver_lhs1004" localSheetId="4" hidden="1">'Run VRS'!$B$110:$C$110</definedName>
    <definedName name="solver_lhs1005" localSheetId="2" hidden="1">'Run CRS'!$B$110:$C$110</definedName>
    <definedName name="solver_lhs1005" localSheetId="4" hidden="1">'Run VRS'!$B$110:$C$110</definedName>
    <definedName name="solver_lhs1006" localSheetId="2" hidden="1">'Run CRS'!$B$110:$C$110</definedName>
    <definedName name="solver_lhs1006" localSheetId="4" hidden="1">'Run VRS'!$B$110:$C$110</definedName>
    <definedName name="solver_lhs1007" localSheetId="2" hidden="1">'Run CRS'!$B$110:$C$110</definedName>
    <definedName name="solver_lhs1007" localSheetId="4" hidden="1">'Run VRS'!$B$110:$C$110</definedName>
    <definedName name="solver_lhs1008" localSheetId="2" hidden="1">'Run CRS'!$B$110:$C$110</definedName>
    <definedName name="solver_lhs1008" localSheetId="4" hidden="1">'Run VRS'!$B$110:$C$110</definedName>
    <definedName name="solver_lhs1009" localSheetId="2" hidden="1">'Run CRS'!$B$110:$C$110</definedName>
    <definedName name="solver_lhs1009" localSheetId="4" hidden="1">'Run VRS'!$B$110:$C$110</definedName>
    <definedName name="solver_lhs101" localSheetId="2" hidden="1">'Run CRS'!$AC$107</definedName>
    <definedName name="solver_lhs101" localSheetId="4" hidden="1">'Run VRS'!$AC$107</definedName>
    <definedName name="solver_lhs1010" localSheetId="2" hidden="1">'Run CRS'!$B$110:$C$110</definedName>
    <definedName name="solver_lhs1010" localSheetId="4" hidden="1">'Run VRS'!$B$110:$C$110</definedName>
    <definedName name="solver_lhs1011" localSheetId="2" hidden="1">'Run CRS'!$B$110:$C$110</definedName>
    <definedName name="solver_lhs1011" localSheetId="4" hidden="1">'Run VRS'!$B$110:$C$110</definedName>
    <definedName name="solver_lhs1012" localSheetId="2" hidden="1">'Run CRS'!$B$110:$C$110</definedName>
    <definedName name="solver_lhs1012" localSheetId="4" hidden="1">'Run VRS'!$B$110:$C$110</definedName>
    <definedName name="solver_lhs1013" localSheetId="2" hidden="1">'Run CRS'!$B$110:$C$110</definedName>
    <definedName name="solver_lhs1013" localSheetId="4" hidden="1">'Run VRS'!$B$110:$C$110</definedName>
    <definedName name="solver_lhs1014" localSheetId="2" hidden="1">'Run CRS'!$B$110:$C$110</definedName>
    <definedName name="solver_lhs1014" localSheetId="4" hidden="1">'Run VRS'!$B$110:$C$110</definedName>
    <definedName name="solver_lhs1015" localSheetId="2" hidden="1">'Run CRS'!$B$110:$C$110</definedName>
    <definedName name="solver_lhs1015" localSheetId="4" hidden="1">'Run VRS'!$B$110:$C$110</definedName>
    <definedName name="solver_lhs1016" localSheetId="2" hidden="1">'Run CRS'!$B$110:$C$110</definedName>
    <definedName name="solver_lhs1016" localSheetId="4" hidden="1">'Run VRS'!$B$110:$C$110</definedName>
    <definedName name="solver_lhs1017" localSheetId="2" hidden="1">'Run CRS'!$B$110:$C$110</definedName>
    <definedName name="solver_lhs1017" localSheetId="4" hidden="1">'Run VRS'!$B$110:$C$110</definedName>
    <definedName name="solver_lhs1018" localSheetId="2" hidden="1">'Run CRS'!$B$110:$C$110</definedName>
    <definedName name="solver_lhs1018" localSheetId="4" hidden="1">'Run VRS'!$B$110:$C$110</definedName>
    <definedName name="solver_lhs1019" localSheetId="2" hidden="1">'Run CRS'!$B$110:$C$110</definedName>
    <definedName name="solver_lhs1019" localSheetId="4" hidden="1">'Run VRS'!$B$110:$C$110</definedName>
    <definedName name="solver_lhs102" localSheetId="2" hidden="1">'Run CRS'!$AC$107</definedName>
    <definedName name="solver_lhs102" localSheetId="4" hidden="1">'Run VRS'!$AC$107</definedName>
    <definedName name="solver_lhs1020" localSheetId="2" hidden="1">'Run CRS'!$B$110:$C$110</definedName>
    <definedName name="solver_lhs1020" localSheetId="4" hidden="1">'Run VRS'!$B$110:$C$110</definedName>
    <definedName name="solver_lhs1021" localSheetId="2" hidden="1">'Run CRS'!$B$110:$C$110</definedName>
    <definedName name="solver_lhs1021" localSheetId="4" hidden="1">'Run VRS'!$B$110:$C$110</definedName>
    <definedName name="solver_lhs1022" localSheetId="2" hidden="1">'Run CRS'!$B$110:$C$110</definedName>
    <definedName name="solver_lhs1022" localSheetId="4" hidden="1">'Run VRS'!$B$110:$C$110</definedName>
    <definedName name="solver_lhs1023" localSheetId="2" hidden="1">'Run CRS'!$B$110:$C$110</definedName>
    <definedName name="solver_lhs1023" localSheetId="4" hidden="1">'Run VRS'!$B$110:$C$110</definedName>
    <definedName name="solver_lhs1024" localSheetId="2" hidden="1">'Run CRS'!$B$110:$C$110</definedName>
    <definedName name="solver_lhs1024" localSheetId="4" hidden="1">'Run VRS'!$B$110:$C$110</definedName>
    <definedName name="solver_lhs1025" localSheetId="2" hidden="1">'Run CRS'!$B$110:$C$110</definedName>
    <definedName name="solver_lhs1025" localSheetId="4" hidden="1">'Run VRS'!$B$110:$C$110</definedName>
    <definedName name="solver_lhs1026" localSheetId="2" hidden="1">'Run CRS'!$B$110:$C$110</definedName>
    <definedName name="solver_lhs1026" localSheetId="4" hidden="1">'Run VRS'!$B$110:$C$110</definedName>
    <definedName name="solver_lhs1027" localSheetId="2" hidden="1">'Run CRS'!$B$110:$C$110</definedName>
    <definedName name="solver_lhs1027" localSheetId="4" hidden="1">'Run VRS'!$B$110:$C$110</definedName>
    <definedName name="solver_lhs1028" localSheetId="2" hidden="1">'Run CRS'!$B$110:$C$110</definedName>
    <definedName name="solver_lhs1028" localSheetId="4" hidden="1">'Run VRS'!$B$110:$C$110</definedName>
    <definedName name="solver_lhs1029" localSheetId="2" hidden="1">'Run CRS'!$B$110:$C$110</definedName>
    <definedName name="solver_lhs1029" localSheetId="4" hidden="1">'Run VRS'!$B$110:$C$110</definedName>
    <definedName name="solver_lhs103" localSheetId="2" hidden="1">'Run CRS'!$AC$107</definedName>
    <definedName name="solver_lhs103" localSheetId="4" hidden="1">'Run VRS'!$AC$107</definedName>
    <definedName name="solver_lhs1030" localSheetId="2" hidden="1">'Run CRS'!$B$110:$C$110</definedName>
    <definedName name="solver_lhs1030" localSheetId="4" hidden="1">'Run VRS'!$B$110:$C$110</definedName>
    <definedName name="solver_lhs1031" localSheetId="2" hidden="1">'Run CRS'!$B$110:$C$110</definedName>
    <definedName name="solver_lhs1031" localSheetId="4" hidden="1">'Run VRS'!$B$110:$C$110</definedName>
    <definedName name="solver_lhs1032" localSheetId="2" hidden="1">'Run CRS'!$B$110:$C$110</definedName>
    <definedName name="solver_lhs1032" localSheetId="4" hidden="1">'Run VRS'!$B$110:$C$110</definedName>
    <definedName name="solver_lhs1033" localSheetId="2" hidden="1">'Run CRS'!$B$110:$C$110</definedName>
    <definedName name="solver_lhs1033" localSheetId="4" hidden="1">'Run VRS'!$B$110:$C$110</definedName>
    <definedName name="solver_lhs1034" localSheetId="2" hidden="1">'Run CRS'!$B$110:$C$110</definedName>
    <definedName name="solver_lhs1034" localSheetId="4" hidden="1">'Run VRS'!$B$110:$C$110</definedName>
    <definedName name="solver_lhs1035" localSheetId="2" hidden="1">'Run CRS'!$B$110:$C$110</definedName>
    <definedName name="solver_lhs1035" localSheetId="4" hidden="1">'Run VRS'!$B$110:$C$110</definedName>
    <definedName name="solver_lhs1036" localSheetId="2" hidden="1">'Run CRS'!$B$110:$C$110</definedName>
    <definedName name="solver_lhs1036" localSheetId="4" hidden="1">'Run VRS'!$B$110:$C$110</definedName>
    <definedName name="solver_lhs1037" localSheetId="2" hidden="1">'Run CRS'!$B$110:$C$110</definedName>
    <definedName name="solver_lhs1037" localSheetId="4" hidden="1">'Run VRS'!$B$110:$C$110</definedName>
    <definedName name="solver_lhs1038" localSheetId="2" hidden="1">'Run CRS'!$B$110:$C$110</definedName>
    <definedName name="solver_lhs1038" localSheetId="4" hidden="1">'Run VRS'!$B$110:$C$110</definedName>
    <definedName name="solver_lhs1039" localSheetId="2" hidden="1">'Run CRS'!$B$110:$C$110</definedName>
    <definedName name="solver_lhs1039" localSheetId="4" hidden="1">'Run VRS'!$B$110:$C$110</definedName>
    <definedName name="solver_lhs104" localSheetId="2" hidden="1">'Run CRS'!$AC$107</definedName>
    <definedName name="solver_lhs104" localSheetId="4" hidden="1">'Run VRS'!$AC$107</definedName>
    <definedName name="solver_lhs1040" localSheetId="2" hidden="1">'Run CRS'!$B$110:$C$110</definedName>
    <definedName name="solver_lhs1040" localSheetId="4" hidden="1">'Run VRS'!$B$110:$C$110</definedName>
    <definedName name="solver_lhs1041" localSheetId="2" hidden="1">'Run CRS'!$B$110:$C$110</definedName>
    <definedName name="solver_lhs1041" localSheetId="4" hidden="1">'Run VRS'!$B$110:$C$110</definedName>
    <definedName name="solver_lhs1042" localSheetId="2" hidden="1">'Run CRS'!$B$110:$C$110</definedName>
    <definedName name="solver_lhs1042" localSheetId="4" hidden="1">'Run VRS'!$B$110:$C$110</definedName>
    <definedName name="solver_lhs1043" localSheetId="2" hidden="1">'Run CRS'!$B$110:$C$110</definedName>
    <definedName name="solver_lhs1043" localSheetId="4" hidden="1">'Run VRS'!$B$110:$C$110</definedName>
    <definedName name="solver_lhs1044" localSheetId="2" hidden="1">'Run CRS'!$B$110:$C$110</definedName>
    <definedName name="solver_lhs1044" localSheetId="4" hidden="1">'Run VRS'!$B$110:$C$110</definedName>
    <definedName name="solver_lhs1045" localSheetId="2" hidden="1">'Run CRS'!$B$110:$C$110</definedName>
    <definedName name="solver_lhs1045" localSheetId="4" hidden="1">'Run VRS'!$B$110:$C$110</definedName>
    <definedName name="solver_lhs1046" localSheetId="2" hidden="1">'Run CRS'!$B$110:$C$110</definedName>
    <definedName name="solver_lhs1046" localSheetId="4" hidden="1">'Run VRS'!$B$110:$C$110</definedName>
    <definedName name="solver_lhs1047" localSheetId="2" hidden="1">'Run CRS'!$B$110:$C$110</definedName>
    <definedName name="solver_lhs1047" localSheetId="4" hidden="1">'Run VRS'!$B$110:$C$110</definedName>
    <definedName name="solver_lhs1048" localSheetId="2" hidden="1">'Run CRS'!$B$110:$C$110</definedName>
    <definedName name="solver_lhs1048" localSheetId="4" hidden="1">'Run VRS'!$B$110:$C$110</definedName>
    <definedName name="solver_lhs1049" localSheetId="2" hidden="1">'Run CRS'!$B$110:$C$110</definedName>
    <definedName name="solver_lhs1049" localSheetId="4" hidden="1">'Run VRS'!$B$110:$C$110</definedName>
    <definedName name="solver_lhs105" localSheetId="2" hidden="1">'Run CRS'!$AC$107</definedName>
    <definedName name="solver_lhs105" localSheetId="4" hidden="1">'Run VRS'!$AC$107</definedName>
    <definedName name="solver_lhs1050" localSheetId="2" hidden="1">'Run CRS'!$B$110:$C$110</definedName>
    <definedName name="solver_lhs1050" localSheetId="4" hidden="1">'Run VRS'!$B$110:$C$110</definedName>
    <definedName name="solver_lhs1051" localSheetId="2" hidden="1">'Run CRS'!$B$110:$C$110</definedName>
    <definedName name="solver_lhs1051" localSheetId="4" hidden="1">'Run VRS'!$B$110:$C$110</definedName>
    <definedName name="solver_lhs1052" localSheetId="2" hidden="1">'Run CRS'!$B$110:$C$110</definedName>
    <definedName name="solver_lhs1052" localSheetId="4" hidden="1">'Run VRS'!$B$110:$C$110</definedName>
    <definedName name="solver_lhs1053" localSheetId="2" hidden="1">'Run CRS'!$B$110:$C$110</definedName>
    <definedName name="solver_lhs1053" localSheetId="4" hidden="1">'Run VRS'!$B$110:$C$110</definedName>
    <definedName name="solver_lhs1054" localSheetId="2" hidden="1">'Run CRS'!$B$110:$C$110</definedName>
    <definedName name="solver_lhs1054" localSheetId="4" hidden="1">'Run VRS'!$B$110:$C$110</definedName>
    <definedName name="solver_lhs1055" localSheetId="2" hidden="1">'Run CRS'!$C$108</definedName>
    <definedName name="solver_lhs1055" localSheetId="4" hidden="1">'Run VRS'!$C$108</definedName>
    <definedName name="solver_lhs1056" localSheetId="2" hidden="1">'Run CRS'!$B$110:$C$110</definedName>
    <definedName name="solver_lhs1056" localSheetId="4" hidden="1">'Run VRS'!$B$110:$C$110</definedName>
    <definedName name="solver_lhs1057" localSheetId="2" hidden="1">'Run CRS'!$C$108</definedName>
    <definedName name="solver_lhs1057" localSheetId="4" hidden="1">'Run VRS'!$C$108</definedName>
    <definedName name="solver_lhs1058" localSheetId="2" hidden="1">'Run CRS'!$B$110:$C$110</definedName>
    <definedName name="solver_lhs1058" localSheetId="4" hidden="1">'Run VRS'!$B$110:$C$110</definedName>
    <definedName name="solver_lhs1059" localSheetId="2" hidden="1">'Run CRS'!$B$110:$C$110</definedName>
    <definedName name="solver_lhs1059" localSheetId="4" hidden="1">'Run VRS'!$B$110:$C$110</definedName>
    <definedName name="solver_lhs106" localSheetId="2" hidden="1">'Run CRS'!$AC$107</definedName>
    <definedName name="solver_lhs106" localSheetId="4" hidden="1">'Run VRS'!$AC$107</definedName>
    <definedName name="solver_lhs1060" localSheetId="2" hidden="1">'Run CRS'!$B$110:$C$110</definedName>
    <definedName name="solver_lhs1060" localSheetId="4" hidden="1">'Run VRS'!$B$110:$C$110</definedName>
    <definedName name="solver_lhs1061" localSheetId="2" hidden="1">'Run CRS'!$B$110:$C$110</definedName>
    <definedName name="solver_lhs1061" localSheetId="4" hidden="1">'Run VRS'!$B$110:$C$110</definedName>
    <definedName name="solver_lhs1062" localSheetId="2" hidden="1">'Run CRS'!$B$110:$C$110</definedName>
    <definedName name="solver_lhs1062" localSheetId="4" hidden="1">'Run VRS'!$B$110:$C$110</definedName>
    <definedName name="solver_lhs1063" localSheetId="2" hidden="1">'Run CRS'!$B$108:$C$108</definedName>
    <definedName name="solver_lhs1063" localSheetId="4" hidden="1">'Run VRS'!$B$108:$C$108</definedName>
    <definedName name="solver_lhs1064" localSheetId="2" hidden="1">'Run CRS'!$AC$3:$AC$102</definedName>
    <definedName name="solver_lhs1064" localSheetId="4" hidden="1">'Run VRS'!$AC$3:$AC$102</definedName>
    <definedName name="solver_lhs1065" localSheetId="2" hidden="1">'Run CRS'!$C$108</definedName>
    <definedName name="solver_lhs1065" localSheetId="4" hidden="1">'Run VRS'!$C$108</definedName>
    <definedName name="solver_lhs1066" localSheetId="2" hidden="1">'Run CRS'!$C$108</definedName>
    <definedName name="solver_lhs1066" localSheetId="4" hidden="1">'Run VRS'!$C$108</definedName>
    <definedName name="solver_lhs1067" localSheetId="2" hidden="1">'Run CRS'!$C$108</definedName>
    <definedName name="solver_lhs1067" localSheetId="4" hidden="1">'Run VRS'!$C$108</definedName>
    <definedName name="solver_lhs1068" localSheetId="2" hidden="1">'Run CRS'!$C$108</definedName>
    <definedName name="solver_lhs1068" localSheetId="4" hidden="1">'Run VRS'!$C$108</definedName>
    <definedName name="solver_lhs1069" localSheetId="2" hidden="1">'Run CRS'!$C$108</definedName>
    <definedName name="solver_lhs1069" localSheetId="4" hidden="1">'Run VRS'!$C$108</definedName>
    <definedName name="solver_lhs107" localSheetId="2" hidden="1">'Run CRS'!$AC$107</definedName>
    <definedName name="solver_lhs107" localSheetId="4" hidden="1">'Run VRS'!$AC$107</definedName>
    <definedName name="solver_lhs1070" localSheetId="2" hidden="1">'Run CRS'!$C$108</definedName>
    <definedName name="solver_lhs1070" localSheetId="4" hidden="1">'Run VRS'!$C$108</definedName>
    <definedName name="solver_lhs1071" localSheetId="2" hidden="1">'Run CRS'!$C$108</definedName>
    <definedName name="solver_lhs1071" localSheetId="4" hidden="1">'Run VRS'!$C$108</definedName>
    <definedName name="solver_lhs1072" localSheetId="2" hidden="1">'Run CRS'!$C$108</definedName>
    <definedName name="solver_lhs1072" localSheetId="4" hidden="1">'Run VRS'!$C$108</definedName>
    <definedName name="solver_lhs1073" localSheetId="2" hidden="1">'Run CRS'!$C$108</definedName>
    <definedName name="solver_lhs1073" localSheetId="4" hidden="1">'Run VRS'!$C$108</definedName>
    <definedName name="solver_lhs1074" localSheetId="2" hidden="1">'Run CRS'!$C$108</definedName>
    <definedName name="solver_lhs1074" localSheetId="4" hidden="1">'Run VRS'!$C$108</definedName>
    <definedName name="solver_lhs1075" localSheetId="2" hidden="1">'Run CRS'!$C$108</definedName>
    <definedName name="solver_lhs1075" localSheetId="4" hidden="1">'Run VRS'!$C$108</definedName>
    <definedName name="solver_lhs1076" localSheetId="2" hidden="1">'Run CRS'!$C$108</definedName>
    <definedName name="solver_lhs1076" localSheetId="4" hidden="1">'Run VRS'!$C$108</definedName>
    <definedName name="solver_lhs1077" localSheetId="2" hidden="1">'Run CRS'!$C$108</definedName>
    <definedName name="solver_lhs1077" localSheetId="4" hidden="1">'Run VRS'!$C$108</definedName>
    <definedName name="solver_lhs1078" localSheetId="2" hidden="1">'Run CRS'!$C$108</definedName>
    <definedName name="solver_lhs1078" localSheetId="4" hidden="1">'Run VRS'!$C$108</definedName>
    <definedName name="solver_lhs1079" localSheetId="2" hidden="1">'Run CRS'!$C$108</definedName>
    <definedName name="solver_lhs1079" localSheetId="4" hidden="1">'Run VRS'!$C$108</definedName>
    <definedName name="solver_lhs108" localSheetId="2" hidden="1">'Run CRS'!$AC$107</definedName>
    <definedName name="solver_lhs108" localSheetId="4" hidden="1">'Run VRS'!$AC$107</definedName>
    <definedName name="solver_lhs1080" localSheetId="2" hidden="1">'Run CRS'!$C$108</definedName>
    <definedName name="solver_lhs1080" localSheetId="4" hidden="1">'Run VRS'!$C$108</definedName>
    <definedName name="solver_lhs1081" localSheetId="2" hidden="1">'Run CRS'!$C$108</definedName>
    <definedName name="solver_lhs1081" localSheetId="4" hidden="1">'Run VRS'!$C$108</definedName>
    <definedName name="solver_lhs1082" localSheetId="2" hidden="1">'Run CRS'!$C$108</definedName>
    <definedName name="solver_lhs1082" localSheetId="4" hidden="1">'Run VRS'!$C$108</definedName>
    <definedName name="solver_lhs1083" localSheetId="2" hidden="1">'Run CRS'!$C$108</definedName>
    <definedName name="solver_lhs1083" localSheetId="4" hidden="1">'Run VRS'!$C$108</definedName>
    <definedName name="solver_lhs1084" localSheetId="2" hidden="1">'Run CRS'!$C$108</definedName>
    <definedName name="solver_lhs1084" localSheetId="4" hidden="1">'Run VRS'!$C$108</definedName>
    <definedName name="solver_lhs1085" localSheetId="2" hidden="1">'Run CRS'!$C$108</definedName>
    <definedName name="solver_lhs1085" localSheetId="4" hidden="1">'Run VRS'!$C$108</definedName>
    <definedName name="solver_lhs1086" localSheetId="2" hidden="1">'Run CRS'!$C$108</definedName>
    <definedName name="solver_lhs1086" localSheetId="4" hidden="1">'Run VRS'!$C$108</definedName>
    <definedName name="solver_lhs1087" localSheetId="2" hidden="1">'Run CRS'!$C$108</definedName>
    <definedName name="solver_lhs1087" localSheetId="4" hidden="1">'Run VRS'!$C$108</definedName>
    <definedName name="solver_lhs1088" localSheetId="2" hidden="1">'Run CRS'!$C$108</definedName>
    <definedName name="solver_lhs1088" localSheetId="4" hidden="1">'Run VRS'!$C$108</definedName>
    <definedName name="solver_lhs1089" localSheetId="2" hidden="1">'Run CRS'!$C$108</definedName>
    <definedName name="solver_lhs1089" localSheetId="4" hidden="1">'Run VRS'!$C$108</definedName>
    <definedName name="solver_lhs109" localSheetId="2" hidden="1">'Run CRS'!$AC$107</definedName>
    <definedName name="solver_lhs109" localSheetId="4" hidden="1">'Run VRS'!$AC$107</definedName>
    <definedName name="solver_lhs1090" localSheetId="2" hidden="1">'Run CRS'!$C$108</definedName>
    <definedName name="solver_lhs1090" localSheetId="4" hidden="1">'Run VRS'!$C$108</definedName>
    <definedName name="solver_lhs1091" localSheetId="2" hidden="1">'Run CRS'!$C$108</definedName>
    <definedName name="solver_lhs1091" localSheetId="4" hidden="1">'Run VRS'!$C$108</definedName>
    <definedName name="solver_lhs1092" localSheetId="2" hidden="1">'Run CRS'!$C$108:$D$108</definedName>
    <definedName name="solver_lhs1092" localSheetId="4" hidden="1">'Run VRS'!$C$108:$D$108</definedName>
    <definedName name="solver_lhs1093" localSheetId="2" hidden="1">'Run CRS'!$C$108</definedName>
    <definedName name="solver_lhs1093" localSheetId="4" hidden="1">'Run VRS'!$C$108</definedName>
    <definedName name="solver_lhs1094" localSheetId="2" hidden="1">'Run CRS'!$C$110</definedName>
    <definedName name="solver_lhs1094" localSheetId="4" hidden="1">'Run VRS'!$C$110</definedName>
    <definedName name="solver_lhs1095" localSheetId="2" hidden="1">'Run CRS'!$C$108</definedName>
    <definedName name="solver_lhs1095" localSheetId="4" hidden="1">'Run VRS'!$C$108</definedName>
    <definedName name="solver_lhs1096" localSheetId="2" hidden="1">'Run CRS'!$C$110</definedName>
    <definedName name="solver_lhs1096" localSheetId="4" hidden="1">'Run VRS'!$C$110</definedName>
    <definedName name="solver_lhs1097" localSheetId="2" hidden="1">'Run CRS'!$C$108:$D$108</definedName>
    <definedName name="solver_lhs1097" localSheetId="4" hidden="1">'Run VRS'!$C$108:$D$108</definedName>
    <definedName name="solver_lhs1098" localSheetId="2" hidden="1">'Run CRS'!$C$110</definedName>
    <definedName name="solver_lhs1098" localSheetId="4" hidden="1">'Run VRS'!$C$110</definedName>
    <definedName name="solver_lhs1099" localSheetId="2" hidden="1">'Run CRS'!$C$108</definedName>
    <definedName name="solver_lhs1099" localSheetId="4" hidden="1">'Run VRS'!$C$108</definedName>
    <definedName name="solver_lhs11" localSheetId="0" hidden="1">'Data input'!$M$105:$V$105</definedName>
    <definedName name="solver_lhs11" localSheetId="2" hidden="1">'Run CRS'!$M$105</definedName>
    <definedName name="solver_lhs11" localSheetId="4" hidden="1">'Run VRS'!$M$105</definedName>
    <definedName name="solver_lhs110" localSheetId="2" hidden="1">'Run CRS'!$AC$107</definedName>
    <definedName name="solver_lhs110" localSheetId="4" hidden="1">'Run VRS'!$AC$107</definedName>
    <definedName name="solver_lhs1100" localSheetId="2" hidden="1">'Run CRS'!$C$110</definedName>
    <definedName name="solver_lhs1100" localSheetId="4" hidden="1">'Run VRS'!$C$110</definedName>
    <definedName name="solver_lhs1101" localSheetId="2" hidden="1">'Run CRS'!$C$110</definedName>
    <definedName name="solver_lhs1101" localSheetId="4" hidden="1">'Run VRS'!$C$110</definedName>
    <definedName name="solver_lhs1102" localSheetId="2" hidden="1">'Run CRS'!$C$110</definedName>
    <definedName name="solver_lhs1102" localSheetId="4" hidden="1">'Run VRS'!$C$110</definedName>
    <definedName name="solver_lhs1103" localSheetId="2" hidden="1">'Run CRS'!$C$110</definedName>
    <definedName name="solver_lhs1103" localSheetId="4" hidden="1">'Run VRS'!$C$110</definedName>
    <definedName name="solver_lhs1104" localSheetId="2" hidden="1">'Run CRS'!$C$110</definedName>
    <definedName name="solver_lhs1104" localSheetId="4" hidden="1">'Run VRS'!$C$110</definedName>
    <definedName name="solver_lhs1105" localSheetId="2" hidden="1">'Run CRS'!$C$110</definedName>
    <definedName name="solver_lhs1105" localSheetId="4" hidden="1">'Run VRS'!$C$110</definedName>
    <definedName name="solver_lhs1106" localSheetId="2" hidden="1">'Run CRS'!$C$110</definedName>
    <definedName name="solver_lhs1106" localSheetId="4" hidden="1">'Run VRS'!$C$110</definedName>
    <definedName name="solver_lhs1107" localSheetId="2" hidden="1">'Run CRS'!$C$110</definedName>
    <definedName name="solver_lhs1107" localSheetId="4" hidden="1">'Run VRS'!$C$110</definedName>
    <definedName name="solver_lhs1108" localSheetId="2" hidden="1">'Run CRS'!$C$110</definedName>
    <definedName name="solver_lhs1108" localSheetId="4" hidden="1">'Run VRS'!$C$110</definedName>
    <definedName name="solver_lhs1109" localSheetId="2" hidden="1">'Run CRS'!$C$110</definedName>
    <definedName name="solver_lhs1109" localSheetId="4" hidden="1">'Run VRS'!$C$110</definedName>
    <definedName name="solver_lhs111" localSheetId="2" hidden="1">'Run CRS'!$AC$107</definedName>
    <definedName name="solver_lhs111" localSheetId="4" hidden="1">'Run VRS'!$AC$107</definedName>
    <definedName name="solver_lhs1110" localSheetId="2" hidden="1">'Run CRS'!$C$110</definedName>
    <definedName name="solver_lhs1110" localSheetId="4" hidden="1">'Run VRS'!$C$110</definedName>
    <definedName name="solver_lhs1111" localSheetId="2" hidden="1">'Run CRS'!$C$110</definedName>
    <definedName name="solver_lhs1111" localSheetId="4" hidden="1">'Run VRS'!$C$110</definedName>
    <definedName name="solver_lhs1112" localSheetId="2" hidden="1">'Run CRS'!$C$110:$D$110</definedName>
    <definedName name="solver_lhs1112" localSheetId="4" hidden="1">'Run VRS'!$C$110:$D$110</definedName>
    <definedName name="solver_lhs1113" localSheetId="2" hidden="1">'Run CRS'!$C$110</definedName>
    <definedName name="solver_lhs1113" localSheetId="4" hidden="1">'Run VRS'!$C$110</definedName>
    <definedName name="solver_lhs1114" localSheetId="2" hidden="1">'Run CRS'!$H$108:$I$108</definedName>
    <definedName name="solver_lhs1114" localSheetId="4" hidden="1">'Run VRS'!$H$108:$I$108</definedName>
    <definedName name="solver_lhs1115" localSheetId="2" hidden="1">'Run CRS'!$C$112</definedName>
    <definedName name="solver_lhs1115" localSheetId="4" hidden="1">'Run VRS'!$C$112</definedName>
    <definedName name="solver_lhs1116" localSheetId="2" hidden="1">'Run CRS'!$H$108:$I$108</definedName>
    <definedName name="solver_lhs1116" localSheetId="4" hidden="1">'Run VRS'!$H$108:$I$108</definedName>
    <definedName name="solver_lhs1117" localSheetId="2" hidden="1">'Run CRS'!$H$108:$I$108</definedName>
    <definedName name="solver_lhs1117" localSheetId="4" hidden="1">'Run VRS'!$H$108:$I$108</definedName>
    <definedName name="solver_lhs1118" localSheetId="2" hidden="1">'Run CRS'!$H$108:$I$108</definedName>
    <definedName name="solver_lhs1118" localSheetId="4" hidden="1">'Run VRS'!$H$108:$I$108</definedName>
    <definedName name="solver_lhs1119" localSheetId="2" hidden="1">'Run CRS'!$H$108:$I$108</definedName>
    <definedName name="solver_lhs1119" localSheetId="4" hidden="1">'Run VRS'!$H$108:$I$108</definedName>
    <definedName name="solver_lhs112" localSheetId="2" hidden="1">'Run CRS'!$AC$107</definedName>
    <definedName name="solver_lhs112" localSheetId="4" hidden="1">'Run VRS'!$AC$107</definedName>
    <definedName name="solver_lhs1120" localSheetId="2" hidden="1">'Run CRS'!$H$108:$I$108</definedName>
    <definedName name="solver_lhs1120" localSheetId="4" hidden="1">'Run VRS'!$H$108:$I$108</definedName>
    <definedName name="solver_lhs1121" localSheetId="2" hidden="1">'Run CRS'!$H$108:$I$108</definedName>
    <definedName name="solver_lhs1121" localSheetId="4" hidden="1">'Run VRS'!$H$108:$I$108</definedName>
    <definedName name="solver_lhs1122" localSheetId="2" hidden="1">'Run CRS'!$H$108:$I$108</definedName>
    <definedName name="solver_lhs1122" localSheetId="4" hidden="1">'Run VRS'!$H$108:$I$108</definedName>
    <definedName name="solver_lhs1123" localSheetId="2" hidden="1">'Run CRS'!$H$108:$I$108</definedName>
    <definedName name="solver_lhs1123" localSheetId="4" hidden="1">'Run VRS'!$H$108:$I$108</definedName>
    <definedName name="solver_lhs1124" localSheetId="2" hidden="1">'Run CRS'!$H$108:$I$108</definedName>
    <definedName name="solver_lhs1124" localSheetId="4" hidden="1">'Run VRS'!$H$108:$I$108</definedName>
    <definedName name="solver_lhs1125" localSheetId="2" hidden="1">'Run CRS'!$H$108:$I$108</definedName>
    <definedName name="solver_lhs1125" localSheetId="4" hidden="1">'Run VRS'!$H$108:$I$108</definedName>
    <definedName name="solver_lhs1126" localSheetId="2" hidden="1">'Run CRS'!$H$108:$I$108</definedName>
    <definedName name="solver_lhs1126" localSheetId="4" hidden="1">'Run VRS'!$H$108:$I$108</definedName>
    <definedName name="solver_lhs1127" localSheetId="2" hidden="1">'Run CRS'!$H$108:$I$108</definedName>
    <definedName name="solver_lhs1127" localSheetId="4" hidden="1">'Run VRS'!$H$108:$I$108</definedName>
    <definedName name="solver_lhs1128" localSheetId="2" hidden="1">'Run CRS'!$H$108:$I$108</definedName>
    <definedName name="solver_lhs1128" localSheetId="4" hidden="1">'Run VRS'!$H$108:$I$108</definedName>
    <definedName name="solver_lhs1129" localSheetId="2" hidden="1">'Run CRS'!$H$108:$I$108</definedName>
    <definedName name="solver_lhs1129" localSheetId="4" hidden="1">'Run VRS'!$H$108:$I$108</definedName>
    <definedName name="solver_lhs113" localSheetId="2" hidden="1">'Run CRS'!$AC$107</definedName>
    <definedName name="solver_lhs113" localSheetId="4" hidden="1">'Run VRS'!$AC$107</definedName>
    <definedName name="solver_lhs1130" localSheetId="2" hidden="1">'Run CRS'!$H$108:$I$108</definedName>
    <definedName name="solver_lhs1130" localSheetId="4" hidden="1">'Run VRS'!$H$108:$I$108</definedName>
    <definedName name="solver_lhs1131" localSheetId="2" hidden="1">'Run CRS'!$H$108:$I$108</definedName>
    <definedName name="solver_lhs1131" localSheetId="4" hidden="1">'Run VRS'!$H$108:$I$108</definedName>
    <definedName name="solver_lhs1132" localSheetId="2" hidden="1">'Run CRS'!$H$108:$I$108</definedName>
    <definedName name="solver_lhs1132" localSheetId="4" hidden="1">'Run VRS'!$H$108:$I$108</definedName>
    <definedName name="solver_lhs1133" localSheetId="2" hidden="1">'Run CRS'!$H$108:$I$108</definedName>
    <definedName name="solver_lhs1133" localSheetId="4" hidden="1">'Run VRS'!$H$108:$I$108</definedName>
    <definedName name="solver_lhs1134" localSheetId="2" hidden="1">'Run CRS'!$H$108:$I$108</definedName>
    <definedName name="solver_lhs1134" localSheetId="4" hidden="1">'Run VRS'!$H$108:$I$108</definedName>
    <definedName name="solver_lhs1135" localSheetId="2" hidden="1">'Run CRS'!$H$108:$I$108</definedName>
    <definedName name="solver_lhs1135" localSheetId="4" hidden="1">'Run VRS'!$H$108:$I$108</definedName>
    <definedName name="solver_lhs1136" localSheetId="2" hidden="1">'Run CRS'!$H$108:$I$108</definedName>
    <definedName name="solver_lhs1136" localSheetId="4" hidden="1">'Run VRS'!$H$108:$I$108</definedName>
    <definedName name="solver_lhs1137" localSheetId="2" hidden="1">'Run CRS'!$H$108:$I$108</definedName>
    <definedName name="solver_lhs1137" localSheetId="4" hidden="1">'Run VRS'!$H$108:$I$108</definedName>
    <definedName name="solver_lhs1138" localSheetId="2" hidden="1">'Run CRS'!$H$108:$I$108</definedName>
    <definedName name="solver_lhs1138" localSheetId="4" hidden="1">'Run VRS'!$H$108:$I$108</definedName>
    <definedName name="solver_lhs1139" localSheetId="2" hidden="1">'Run CRS'!$H$108:$I$108</definedName>
    <definedName name="solver_lhs1139" localSheetId="4" hidden="1">'Run VRS'!$H$108:$I$108</definedName>
    <definedName name="solver_lhs114" localSheetId="2" hidden="1">'Run CRS'!$AC$107</definedName>
    <definedName name="solver_lhs114" localSheetId="4" hidden="1">'Run VRS'!$AC$107</definedName>
    <definedName name="solver_lhs1140" localSheetId="2" hidden="1">'Run CRS'!$H$108:$I$108</definedName>
    <definedName name="solver_lhs1140" localSheetId="4" hidden="1">'Run VRS'!$H$108:$I$108</definedName>
    <definedName name="solver_lhs1141" localSheetId="2" hidden="1">'Run CRS'!$H$108:$I$108</definedName>
    <definedName name="solver_lhs1141" localSheetId="4" hidden="1">'Run VRS'!$H$108:$I$108</definedName>
    <definedName name="solver_lhs1142" localSheetId="2" hidden="1">'Run CRS'!$H$108:$I$108</definedName>
    <definedName name="solver_lhs1142" localSheetId="4" hidden="1">'Run VRS'!$H$108:$I$108</definedName>
    <definedName name="solver_lhs1143" localSheetId="2" hidden="1">'Run CRS'!$H$108:$I$108</definedName>
    <definedName name="solver_lhs1143" localSheetId="4" hidden="1">'Run VRS'!$H$108:$I$108</definedName>
    <definedName name="solver_lhs1144" localSheetId="2" hidden="1">'Run CRS'!$H$108:$I$108</definedName>
    <definedName name="solver_lhs1144" localSheetId="4" hidden="1">'Run VRS'!$H$108:$I$108</definedName>
    <definedName name="solver_lhs1145" localSheetId="2" hidden="1">'Run CRS'!$H$108:$I$108</definedName>
    <definedName name="solver_lhs1145" localSheetId="4" hidden="1">'Run VRS'!$H$108:$I$108</definedName>
    <definedName name="solver_lhs1146" localSheetId="2" hidden="1">'Run CRS'!$H$108:$I$108</definedName>
    <definedName name="solver_lhs1146" localSheetId="4" hidden="1">'Run VRS'!$H$108:$I$108</definedName>
    <definedName name="solver_lhs1147" localSheetId="2" hidden="1">'Run CRS'!$H$108:$I$108</definedName>
    <definedName name="solver_lhs1147" localSheetId="4" hidden="1">'Run VRS'!$H$108:$I$108</definedName>
    <definedName name="solver_lhs1148" localSheetId="2" hidden="1">'Run CRS'!$H$108:$I$108</definedName>
    <definedName name="solver_lhs1148" localSheetId="4" hidden="1">'Run VRS'!$H$108:$I$108</definedName>
    <definedName name="solver_lhs1149" localSheetId="2" hidden="1">'Run CRS'!$H$108:$I$108</definedName>
    <definedName name="solver_lhs1149" localSheetId="4" hidden="1">'Run VRS'!$H$108:$I$108</definedName>
    <definedName name="solver_lhs115" localSheetId="2" hidden="1">'Run CRS'!$AC$107</definedName>
    <definedName name="solver_lhs115" localSheetId="4" hidden="1">'Run VRS'!$AC$107</definedName>
    <definedName name="solver_lhs1150" localSheetId="2" hidden="1">'Run CRS'!$H$108:$I$108</definedName>
    <definedName name="solver_lhs1150" localSheetId="4" hidden="1">'Run VRS'!$H$108:$I$108</definedName>
    <definedName name="solver_lhs1151" localSheetId="2" hidden="1">'Run CRS'!$H$108:$I$108</definedName>
    <definedName name="solver_lhs1151" localSheetId="4" hidden="1">'Run VRS'!$H$108:$I$108</definedName>
    <definedName name="solver_lhs1152" localSheetId="2" hidden="1">'Run CRS'!$H$108:$I$108</definedName>
    <definedName name="solver_lhs1152" localSheetId="4" hidden="1">'Run VRS'!$H$108:$I$108</definedName>
    <definedName name="solver_lhs1153" localSheetId="2" hidden="1">'Run CRS'!$H$108:$I$108</definedName>
    <definedName name="solver_lhs1153" localSheetId="4" hidden="1">'Run VRS'!$H$108:$I$108</definedName>
    <definedName name="solver_lhs1154" localSheetId="2" hidden="1">'Run CRS'!$H$108:$I$108</definedName>
    <definedName name="solver_lhs1154" localSheetId="4" hidden="1">'Run VRS'!$H$108:$I$108</definedName>
    <definedName name="solver_lhs1155" localSheetId="2" hidden="1">'Run CRS'!$H$108:$I$108</definedName>
    <definedName name="solver_lhs1155" localSheetId="4" hidden="1">'Run VRS'!$H$108:$I$108</definedName>
    <definedName name="solver_lhs1156" localSheetId="2" hidden="1">'Run CRS'!$H$108:$I$108</definedName>
    <definedName name="solver_lhs1156" localSheetId="4" hidden="1">'Run VRS'!$H$108:$I$108</definedName>
    <definedName name="solver_lhs1157" localSheetId="2" hidden="1">'Run CRS'!$H$108:$I$108</definedName>
    <definedName name="solver_lhs1157" localSheetId="4" hidden="1">'Run VRS'!$H$108:$I$108</definedName>
    <definedName name="solver_lhs1158" localSheetId="2" hidden="1">'Run CRS'!$H$108:$I$108</definedName>
    <definedName name="solver_lhs1158" localSheetId="4" hidden="1">'Run VRS'!$H$108:$I$108</definedName>
    <definedName name="solver_lhs1159" localSheetId="2" hidden="1">'Run CRS'!$H$108:$I$108</definedName>
    <definedName name="solver_lhs1159" localSheetId="4" hidden="1">'Run VRS'!$H$108:$I$108</definedName>
    <definedName name="solver_lhs116" localSheetId="2" hidden="1">'Run CRS'!$AC$107</definedName>
    <definedName name="solver_lhs116" localSheetId="4" hidden="1">'Run VRS'!$AC$107</definedName>
    <definedName name="solver_lhs1160" localSheetId="2" hidden="1">'Run CRS'!$H$108:$I$108</definedName>
    <definedName name="solver_lhs1160" localSheetId="4" hidden="1">'Run VRS'!$H$108:$I$108</definedName>
    <definedName name="solver_lhs1161" localSheetId="2" hidden="1">'Run CRS'!$H$108:$I$108</definedName>
    <definedName name="solver_lhs1161" localSheetId="4" hidden="1">'Run VRS'!$H$108:$I$108</definedName>
    <definedName name="solver_lhs1162" localSheetId="2" hidden="1">'Run CRS'!$H$108:$I$108</definedName>
    <definedName name="solver_lhs1162" localSheetId="4" hidden="1">'Run VRS'!$H$108:$I$108</definedName>
    <definedName name="solver_lhs1163" localSheetId="2" hidden="1">'Run CRS'!$H$108:$I$108</definedName>
    <definedName name="solver_lhs1163" localSheetId="4" hidden="1">'Run VRS'!$H$108:$I$108</definedName>
    <definedName name="solver_lhs1164" localSheetId="2" hidden="1">'Run CRS'!$H$108:$I$108</definedName>
    <definedName name="solver_lhs1164" localSheetId="4" hidden="1">'Run VRS'!$H$108:$I$108</definedName>
    <definedName name="solver_lhs1165" localSheetId="2" hidden="1">'Run CRS'!$H$108:$I$108</definedName>
    <definedName name="solver_lhs1165" localSheetId="4" hidden="1">'Run VRS'!$H$108:$I$108</definedName>
    <definedName name="solver_lhs1166" localSheetId="2" hidden="1">'Run CRS'!$H$108:$I$108</definedName>
    <definedName name="solver_lhs1166" localSheetId="4" hidden="1">'Run VRS'!$H$108:$I$108</definedName>
    <definedName name="solver_lhs1167" localSheetId="2" hidden="1">'Run CRS'!$H$108:$I$108</definedName>
    <definedName name="solver_lhs1167" localSheetId="4" hidden="1">'Run VRS'!$H$108:$I$108</definedName>
    <definedName name="solver_lhs1168" localSheetId="2" hidden="1">'Run CRS'!$H$108:$I$108</definedName>
    <definedName name="solver_lhs1168" localSheetId="4" hidden="1">'Run VRS'!$H$108:$I$108</definedName>
    <definedName name="solver_lhs1169" localSheetId="2" hidden="1">'Run CRS'!$H$108:$I$108</definedName>
    <definedName name="solver_lhs1169" localSheetId="4" hidden="1">'Run VRS'!$H$108:$I$108</definedName>
    <definedName name="solver_lhs117" localSheetId="2" hidden="1">'Run CRS'!$AC$107</definedName>
    <definedName name="solver_lhs117" localSheetId="4" hidden="1">'Run VRS'!$AC$107</definedName>
    <definedName name="solver_lhs1170" localSheetId="2" hidden="1">'Run CRS'!$H$108:$I$108</definedName>
    <definedName name="solver_lhs1170" localSheetId="4" hidden="1">'Run VRS'!$H$108:$I$108</definedName>
    <definedName name="solver_lhs1171" localSheetId="2" hidden="1">'Run CRS'!$H$108:$I$108</definedName>
    <definedName name="solver_lhs1171" localSheetId="4" hidden="1">'Run VRS'!$H$108:$I$108</definedName>
    <definedName name="solver_lhs1172" localSheetId="2" hidden="1">'Run CRS'!$H$108:$I$108</definedName>
    <definedName name="solver_lhs1172" localSheetId="4" hidden="1">'Run VRS'!$H$108:$I$108</definedName>
    <definedName name="solver_lhs1173" localSheetId="2" hidden="1">'Run CRS'!$H$108:$I$108</definedName>
    <definedName name="solver_lhs1173" localSheetId="4" hidden="1">'Run VRS'!$H$108:$I$108</definedName>
    <definedName name="solver_lhs1174" localSheetId="2" hidden="1">'Run CRS'!$H$108:$I$108</definedName>
    <definedName name="solver_lhs1174" localSheetId="4" hidden="1">'Run VRS'!$H$108:$I$108</definedName>
    <definedName name="solver_lhs1175" localSheetId="2" hidden="1">'Run CRS'!$H$108:$I$108</definedName>
    <definedName name="solver_lhs1175" localSheetId="4" hidden="1">'Run VRS'!$H$108:$I$108</definedName>
    <definedName name="solver_lhs1176" localSheetId="2" hidden="1">'Run CRS'!$H$108:$I$108</definedName>
    <definedName name="solver_lhs1176" localSheetId="4" hidden="1">'Run VRS'!$H$108:$I$108</definedName>
    <definedName name="solver_lhs1177" localSheetId="2" hidden="1">'Run CRS'!$H$108:$I$108</definedName>
    <definedName name="solver_lhs1177" localSheetId="4" hidden="1">'Run VRS'!$H$108:$I$108</definedName>
    <definedName name="solver_lhs1178" localSheetId="2" hidden="1">'Run CRS'!$H$108:$I$108</definedName>
    <definedName name="solver_lhs1178" localSheetId="4" hidden="1">'Run VRS'!$H$108:$I$108</definedName>
    <definedName name="solver_lhs1179" localSheetId="2" hidden="1">'Run CRS'!$H$108:$I$108</definedName>
    <definedName name="solver_lhs1179" localSheetId="4" hidden="1">'Run VRS'!$H$108:$I$108</definedName>
    <definedName name="solver_lhs118" localSheetId="2" hidden="1">'Run CRS'!$AC$107</definedName>
    <definedName name="solver_lhs118" localSheetId="4" hidden="1">'Run VRS'!$AC$107</definedName>
    <definedName name="solver_lhs1180" localSheetId="2" hidden="1">'Run CRS'!$H$108:$I$108</definedName>
    <definedName name="solver_lhs1180" localSheetId="4" hidden="1">'Run VRS'!$H$108:$I$108</definedName>
    <definedName name="solver_lhs1181" localSheetId="2" hidden="1">'Run CRS'!$H$108:$I$108</definedName>
    <definedName name="solver_lhs1181" localSheetId="4" hidden="1">'Run VRS'!$H$108:$I$108</definedName>
    <definedName name="solver_lhs1182" localSheetId="2" hidden="1">'Run CRS'!$H$108:$I$108</definedName>
    <definedName name="solver_lhs1182" localSheetId="4" hidden="1">'Run VRS'!$H$108:$I$108</definedName>
    <definedName name="solver_lhs1183" localSheetId="2" hidden="1">'Run CRS'!$H$108:$I$108</definedName>
    <definedName name="solver_lhs1183" localSheetId="4" hidden="1">'Run VRS'!$H$108:$I$108</definedName>
    <definedName name="solver_lhs1184" localSheetId="2" hidden="1">'Run CRS'!$H$108:$I$108</definedName>
    <definedName name="solver_lhs1184" localSheetId="4" hidden="1">'Run VRS'!$H$108:$I$108</definedName>
    <definedName name="solver_lhs1185" localSheetId="2" hidden="1">'Run CRS'!$H$108:$I$108</definedName>
    <definedName name="solver_lhs1185" localSheetId="4" hidden="1">'Run VRS'!$H$108:$I$108</definedName>
    <definedName name="solver_lhs1186" localSheetId="2" hidden="1">'Run CRS'!$H$108:$I$108</definedName>
    <definedName name="solver_lhs1186" localSheetId="4" hidden="1">'Run VRS'!$H$108:$I$108</definedName>
    <definedName name="solver_lhs1187" localSheetId="2" hidden="1">'Run CRS'!$H$108:$I$108</definedName>
    <definedName name="solver_lhs1187" localSheetId="4" hidden="1">'Run VRS'!$H$108:$I$108</definedName>
    <definedName name="solver_lhs1188" localSheetId="2" hidden="1">'Run CRS'!$H$108:$I$108</definedName>
    <definedName name="solver_lhs1188" localSheetId="4" hidden="1">'Run VRS'!$H$108:$I$108</definedName>
    <definedName name="solver_lhs1189" localSheetId="2" hidden="1">'Run CRS'!$H$108:$I$108</definedName>
    <definedName name="solver_lhs1189" localSheetId="4" hidden="1">'Run VRS'!$H$108:$I$108</definedName>
    <definedName name="solver_lhs119" localSheetId="2" hidden="1">'Run CRS'!$AC$107</definedName>
    <definedName name="solver_lhs119" localSheetId="4" hidden="1">'Run VRS'!$AC$107</definedName>
    <definedName name="solver_lhs1190" localSheetId="2" hidden="1">'Run CRS'!$H$108:$I$108</definedName>
    <definedName name="solver_lhs1190" localSheetId="4" hidden="1">'Run VRS'!$H$108:$I$108</definedName>
    <definedName name="solver_lhs1191" localSheetId="2" hidden="1">'Run CRS'!$H$108:$I$108</definedName>
    <definedName name="solver_lhs1191" localSheetId="4" hidden="1">'Run VRS'!$H$108:$I$108</definedName>
    <definedName name="solver_lhs1192" localSheetId="2" hidden="1">'Run CRS'!$H$108:$I$108</definedName>
    <definedName name="solver_lhs1192" localSheetId="4" hidden="1">'Run VRS'!$H$108:$I$108</definedName>
    <definedName name="solver_lhs1193" localSheetId="2" hidden="1">'Run CRS'!$H$108:$I$108</definedName>
    <definedName name="solver_lhs1193" localSheetId="4" hidden="1">'Run VRS'!$H$108:$I$108</definedName>
    <definedName name="solver_lhs1194" localSheetId="2" hidden="1">'Run CRS'!$H$108:$I$108</definedName>
    <definedName name="solver_lhs1194" localSheetId="4" hidden="1">'Run VRS'!$H$108:$I$108</definedName>
    <definedName name="solver_lhs1195" localSheetId="2" hidden="1">'Run CRS'!$H$108:$I$108</definedName>
    <definedName name="solver_lhs1195" localSheetId="4" hidden="1">'Run VRS'!$H$108:$I$108</definedName>
    <definedName name="solver_lhs1196" localSheetId="2" hidden="1">'Run CRS'!$H$108:$I$108</definedName>
    <definedName name="solver_lhs1196" localSheetId="4" hidden="1">'Run VRS'!$H$108:$I$108</definedName>
    <definedName name="solver_lhs1197" localSheetId="2" hidden="1">'Run CRS'!$H$108:$I$108</definedName>
    <definedName name="solver_lhs1197" localSheetId="4" hidden="1">'Run VRS'!$H$108:$I$108</definedName>
    <definedName name="solver_lhs1198" localSheetId="2" hidden="1">'Run CRS'!$H$108:$I$108</definedName>
    <definedName name="solver_lhs1198" localSheetId="4" hidden="1">'Run VRS'!$H$108:$I$108</definedName>
    <definedName name="solver_lhs1199" localSheetId="2" hidden="1">'Run CRS'!$H$108:$I$108</definedName>
    <definedName name="solver_lhs1199" localSheetId="4" hidden="1">'Run VRS'!$H$108:$I$108</definedName>
    <definedName name="solver_lhs12" localSheetId="0" hidden="1">'Data input'!$AC$105</definedName>
    <definedName name="solver_lhs12" localSheetId="2" hidden="1">'Run CRS'!$M$105</definedName>
    <definedName name="solver_lhs12" localSheetId="4" hidden="1">'Run VRS'!$M$105</definedName>
    <definedName name="solver_lhs120" localSheetId="2" hidden="1">'Run CRS'!$AC$107</definedName>
    <definedName name="solver_lhs120" localSheetId="4" hidden="1">'Run VRS'!$AC$107</definedName>
    <definedName name="solver_lhs1200" localSheetId="2" hidden="1">'Run CRS'!$H$108:$I$108</definedName>
    <definedName name="solver_lhs1200" localSheetId="4" hidden="1">'Run VRS'!$H$108:$I$108</definedName>
    <definedName name="solver_lhs1201" localSheetId="2" hidden="1">'Run CRS'!$H$108:$I$108</definedName>
    <definedName name="solver_lhs1201" localSheetId="4" hidden="1">'Run VRS'!$H$108:$I$108</definedName>
    <definedName name="solver_lhs1202" localSheetId="2" hidden="1">'Run CRS'!$H$108:$I$108</definedName>
    <definedName name="solver_lhs1202" localSheetId="4" hidden="1">'Run VRS'!$H$108:$I$108</definedName>
    <definedName name="solver_lhs1203" localSheetId="2" hidden="1">'Run CRS'!$H$108:$I$108</definedName>
    <definedName name="solver_lhs1203" localSheetId="4" hidden="1">'Run VRS'!$H$108:$I$108</definedName>
    <definedName name="solver_lhs1204" localSheetId="2" hidden="1">'Run CRS'!$H$108:$I$108</definedName>
    <definedName name="solver_lhs1204" localSheetId="4" hidden="1">'Run VRS'!$H$108:$I$108</definedName>
    <definedName name="solver_lhs1205" localSheetId="2" hidden="1">'Run CRS'!$H$108:$I$108</definedName>
    <definedName name="solver_lhs1205" localSheetId="4" hidden="1">'Run VRS'!$H$108:$I$108</definedName>
    <definedName name="solver_lhs1206" localSheetId="2" hidden="1">'Run CRS'!$H$108:$I$108</definedName>
    <definedName name="solver_lhs1206" localSheetId="4" hidden="1">'Run VRS'!$H$108:$I$108</definedName>
    <definedName name="solver_lhs1207" localSheetId="2" hidden="1">'Run CRS'!$H$108:$I$108</definedName>
    <definedName name="solver_lhs1207" localSheetId="4" hidden="1">'Run VRS'!$H$108:$I$108</definedName>
    <definedName name="solver_lhs1208" localSheetId="2" hidden="1">'Run CRS'!$H$108:$I$108</definedName>
    <definedName name="solver_lhs1208" localSheetId="4" hidden="1">'Run VRS'!$H$108:$I$108</definedName>
    <definedName name="solver_lhs1209" localSheetId="2" hidden="1">'Run CRS'!$H$108:$I$108</definedName>
    <definedName name="solver_lhs1209" localSheetId="4" hidden="1">'Run VRS'!$H$108:$I$108</definedName>
    <definedName name="solver_lhs121" localSheetId="2" hidden="1">'Run CRS'!$AC$107</definedName>
    <definedName name="solver_lhs121" localSheetId="4" hidden="1">'Run VRS'!$AC$107</definedName>
    <definedName name="solver_lhs1210" localSheetId="2" hidden="1">'Run CRS'!$H$108:$I$108</definedName>
    <definedName name="solver_lhs1210" localSheetId="4" hidden="1">'Run VRS'!$H$108:$I$108</definedName>
    <definedName name="solver_lhs1211" localSheetId="2" hidden="1">'Run CRS'!$H$108:$I$108</definedName>
    <definedName name="solver_lhs1211" localSheetId="4" hidden="1">'Run VRS'!$H$108:$I$108</definedName>
    <definedName name="solver_lhs1212" localSheetId="2" hidden="1">'Run CRS'!$H$108:$I$108</definedName>
    <definedName name="solver_lhs1212" localSheetId="4" hidden="1">'Run VRS'!$H$108:$I$108</definedName>
    <definedName name="solver_lhs1213" localSheetId="2" hidden="1">'Run CRS'!$H$108:$I$108</definedName>
    <definedName name="solver_lhs1213" localSheetId="4" hidden="1">'Run VRS'!$H$108:$I$108</definedName>
    <definedName name="solver_lhs1214" localSheetId="2" hidden="1">'Run CRS'!$H$108:$I$108</definedName>
    <definedName name="solver_lhs1214" localSheetId="4" hidden="1">'Run VRS'!$H$108:$I$108</definedName>
    <definedName name="solver_lhs1215" localSheetId="2" hidden="1">'Run CRS'!$H$108:$I$108</definedName>
    <definedName name="solver_lhs1215" localSheetId="4" hidden="1">'Run VRS'!$H$108:$I$108</definedName>
    <definedName name="solver_lhs1216" localSheetId="2" hidden="1">'Run CRS'!$H$108:$I$108</definedName>
    <definedName name="solver_lhs1216" localSheetId="4" hidden="1">'Run VRS'!$H$108:$I$108</definedName>
    <definedName name="solver_lhs1217" localSheetId="2" hidden="1">'Run CRS'!$H$108:$I$108</definedName>
    <definedName name="solver_lhs1217" localSheetId="4" hidden="1">'Run VRS'!$H$108:$I$108</definedName>
    <definedName name="solver_lhs1218" localSheetId="2" hidden="1">'Run CRS'!$H$108:$I$108</definedName>
    <definedName name="solver_lhs1218" localSheetId="4" hidden="1">'Run VRS'!$H$108:$I$108</definedName>
    <definedName name="solver_lhs1219" localSheetId="2" hidden="1">'Run CRS'!$H$108:$I$108</definedName>
    <definedName name="solver_lhs1219" localSheetId="4" hidden="1">'Run VRS'!$H$108:$I$108</definedName>
    <definedName name="solver_lhs122" localSheetId="2" hidden="1">'Run CRS'!$AC$107</definedName>
    <definedName name="solver_lhs122" localSheetId="4" hidden="1">'Run VRS'!$AC$107</definedName>
    <definedName name="solver_lhs1220" localSheetId="2" hidden="1">'Run CRS'!$H$108:$I$108</definedName>
    <definedName name="solver_lhs1220" localSheetId="4" hidden="1">'Run VRS'!$H$108:$I$108</definedName>
    <definedName name="solver_lhs1221" localSheetId="2" hidden="1">'Run CRS'!$H$108:$I$108</definedName>
    <definedName name="solver_lhs1221" localSheetId="4" hidden="1">'Run VRS'!$H$108:$I$108</definedName>
    <definedName name="solver_lhs1222" localSheetId="2" hidden="1">'Run CRS'!$H$108:$I$108</definedName>
    <definedName name="solver_lhs1222" localSheetId="4" hidden="1">'Run VRS'!$H$108:$I$108</definedName>
    <definedName name="solver_lhs1223" localSheetId="2" hidden="1">'Run CRS'!$H$108:$I$108</definedName>
    <definedName name="solver_lhs1223" localSheetId="4" hidden="1">'Run VRS'!$H$108:$I$108</definedName>
    <definedName name="solver_lhs1224" localSheetId="2" hidden="1">'Run CRS'!$H$108:$I$108</definedName>
    <definedName name="solver_lhs1224" localSheetId="4" hidden="1">'Run VRS'!$H$108:$I$108</definedName>
    <definedName name="solver_lhs1225" localSheetId="2" hidden="1">'Run CRS'!$H$108:$I$108</definedName>
    <definedName name="solver_lhs1225" localSheetId="4" hidden="1">'Run VRS'!$H$108:$I$108</definedName>
    <definedName name="solver_lhs1226" localSheetId="2" hidden="1">'Run CRS'!$H$108:$I$108</definedName>
    <definedName name="solver_lhs1226" localSheetId="4" hidden="1">'Run VRS'!$H$108:$I$108</definedName>
    <definedName name="solver_lhs1227" localSheetId="2" hidden="1">'Run CRS'!$H$108:$I$108</definedName>
    <definedName name="solver_lhs1227" localSheetId="4" hidden="1">'Run VRS'!$H$108:$I$108</definedName>
    <definedName name="solver_lhs1228" localSheetId="2" hidden="1">'Run CRS'!$H$108:$I$108</definedName>
    <definedName name="solver_lhs1228" localSheetId="4" hidden="1">'Run VRS'!$H$108:$I$108</definedName>
    <definedName name="solver_lhs1229" localSheetId="2" hidden="1">'Run CRS'!$H$108:$I$108</definedName>
    <definedName name="solver_lhs1229" localSheetId="4" hidden="1">'Run VRS'!$H$108:$I$108</definedName>
    <definedName name="solver_lhs123" localSheetId="2" hidden="1">'Run CRS'!$AC$107</definedName>
    <definedName name="solver_lhs123" localSheetId="4" hidden="1">'Run VRS'!$AC$107</definedName>
    <definedName name="solver_lhs1230" localSheetId="2" hidden="1">'Run CRS'!$H$108:$I$108</definedName>
    <definedName name="solver_lhs1230" localSheetId="4" hidden="1">'Run VRS'!$H$108:$I$108</definedName>
    <definedName name="solver_lhs1231" localSheetId="2" hidden="1">'Run CRS'!$H$108:$I$108</definedName>
    <definedName name="solver_lhs1231" localSheetId="4" hidden="1">'Run VRS'!$H$108:$I$108</definedName>
    <definedName name="solver_lhs1232" localSheetId="2" hidden="1">'Run CRS'!$H$108:$I$108</definedName>
    <definedName name="solver_lhs1232" localSheetId="4" hidden="1">'Run VRS'!$H$108:$I$108</definedName>
    <definedName name="solver_lhs1233" localSheetId="2" hidden="1">'Run CRS'!$H$108:$I$108</definedName>
    <definedName name="solver_lhs1233" localSheetId="4" hidden="1">'Run VRS'!$H$108:$I$108</definedName>
    <definedName name="solver_lhs1234" localSheetId="2" hidden="1">'Run CRS'!$H$108:$I$108</definedName>
    <definedName name="solver_lhs1234" localSheetId="4" hidden="1">'Run VRS'!$H$108:$I$108</definedName>
    <definedName name="solver_lhs1235" localSheetId="2" hidden="1">'Run CRS'!$H$108:$I$108</definedName>
    <definedName name="solver_lhs1235" localSheetId="4" hidden="1">'Run VRS'!$H$108:$I$108</definedName>
    <definedName name="solver_lhs1236" localSheetId="2" hidden="1">'Run CRS'!$H$108:$I$108</definedName>
    <definedName name="solver_lhs1236" localSheetId="4" hidden="1">'Run VRS'!$H$108:$I$108</definedName>
    <definedName name="solver_lhs1237" localSheetId="2" hidden="1">'Run CRS'!$H$108:$I$108</definedName>
    <definedName name="solver_lhs1237" localSheetId="4" hidden="1">'Run VRS'!$H$108:$I$108</definedName>
    <definedName name="solver_lhs1238" localSheetId="2" hidden="1">'Run CRS'!$H$108:$I$108</definedName>
    <definedName name="solver_lhs1238" localSheetId="4" hidden="1">'Run VRS'!$H$108:$I$108</definedName>
    <definedName name="solver_lhs1239" localSheetId="2" hidden="1">'Run CRS'!$H$108:$I$108</definedName>
    <definedName name="solver_lhs1239" localSheetId="4" hidden="1">'Run VRS'!$H$108:$I$108</definedName>
    <definedName name="solver_lhs124" localSheetId="2" hidden="1">'Run CRS'!$AC$107</definedName>
    <definedName name="solver_lhs124" localSheetId="4" hidden="1">'Run VRS'!$AC$107</definedName>
    <definedName name="solver_lhs1240" localSheetId="2" hidden="1">'Run CRS'!$H$108:$I$108</definedName>
    <definedName name="solver_lhs1240" localSheetId="4" hidden="1">'Run VRS'!$H$108:$I$108</definedName>
    <definedName name="solver_lhs1241" localSheetId="2" hidden="1">'Run CRS'!$H$108:$I$108</definedName>
    <definedName name="solver_lhs1241" localSheetId="4" hidden="1">'Run VRS'!$H$108:$I$108</definedName>
    <definedName name="solver_lhs1242" localSheetId="2" hidden="1">'Run CRS'!$H$108:$I$108</definedName>
    <definedName name="solver_lhs1242" localSheetId="4" hidden="1">'Run VRS'!$H$108:$I$108</definedName>
    <definedName name="solver_lhs1243" localSheetId="2" hidden="1">'Run CRS'!$H$108:$I$108</definedName>
    <definedName name="solver_lhs1243" localSheetId="4" hidden="1">'Run VRS'!$H$108:$I$108</definedName>
    <definedName name="solver_lhs1244" localSheetId="2" hidden="1">'Run CRS'!$H$108:$I$108</definedName>
    <definedName name="solver_lhs1244" localSheetId="4" hidden="1">'Run VRS'!$H$108:$I$108</definedName>
    <definedName name="solver_lhs1245" localSheetId="2" hidden="1">'Run CRS'!$H$108:$I$108</definedName>
    <definedName name="solver_lhs1245" localSheetId="4" hidden="1">'Run VRS'!$H$108:$I$108</definedName>
    <definedName name="solver_lhs1246" localSheetId="2" hidden="1">'Run CRS'!$H$108:$I$108</definedName>
    <definedName name="solver_lhs1246" localSheetId="4" hidden="1">'Run VRS'!$H$108:$I$108</definedName>
    <definedName name="solver_lhs1247" localSheetId="2" hidden="1">'Run CRS'!$H$108:$I$108</definedName>
    <definedName name="solver_lhs1247" localSheetId="4" hidden="1">'Run VRS'!$H$108:$I$108</definedName>
    <definedName name="solver_lhs1248" localSheetId="2" hidden="1">'Run CRS'!$H$108:$I$108</definedName>
    <definedName name="solver_lhs1248" localSheetId="4" hidden="1">'Run VRS'!$H$108:$I$108</definedName>
    <definedName name="solver_lhs1249" localSheetId="2" hidden="1">'Run CRS'!$H$108:$I$108</definedName>
    <definedName name="solver_lhs1249" localSheetId="4" hidden="1">'Run VRS'!$H$108:$I$108</definedName>
    <definedName name="solver_lhs125" localSheetId="2" hidden="1">'Run CRS'!$AC$107</definedName>
    <definedName name="solver_lhs125" localSheetId="4" hidden="1">'Run VRS'!$AC$107</definedName>
    <definedName name="solver_lhs1250" localSheetId="2" hidden="1">'Run CRS'!$H$108:$I$108</definedName>
    <definedName name="solver_lhs1250" localSheetId="4" hidden="1">'Run VRS'!$H$108:$I$108</definedName>
    <definedName name="solver_lhs1251" localSheetId="2" hidden="1">'Run CRS'!$H$108:$I$108</definedName>
    <definedName name="solver_lhs1251" localSheetId="4" hidden="1">'Run VRS'!$H$108:$I$108</definedName>
    <definedName name="solver_lhs1252" localSheetId="2" hidden="1">'Run CRS'!$H$108:$I$108</definedName>
    <definedName name="solver_lhs1252" localSheetId="4" hidden="1">'Run VRS'!$H$108:$I$108</definedName>
    <definedName name="solver_lhs1253" localSheetId="2" hidden="1">'Run CRS'!$H$108:$I$108</definedName>
    <definedName name="solver_lhs1253" localSheetId="4" hidden="1">'Run VRS'!$H$108:$I$108</definedName>
    <definedName name="solver_lhs1254" localSheetId="2" hidden="1">'Run CRS'!$H$108:$I$108</definedName>
    <definedName name="solver_lhs1254" localSheetId="4" hidden="1">'Run VRS'!$H$108:$I$108</definedName>
    <definedName name="solver_lhs1255" localSheetId="2" hidden="1">'Run CRS'!$H$108:$I$108</definedName>
    <definedName name="solver_lhs1255" localSheetId="4" hidden="1">'Run VRS'!$H$108:$I$108</definedName>
    <definedName name="solver_lhs1256" localSheetId="2" hidden="1">'Run CRS'!$H$108:$I$108</definedName>
    <definedName name="solver_lhs1256" localSheetId="4" hidden="1">'Run VRS'!$H$108:$I$108</definedName>
    <definedName name="solver_lhs1257" localSheetId="2" hidden="1">'Run CRS'!$H$108:$I$108</definedName>
    <definedName name="solver_lhs1257" localSheetId="4" hidden="1">'Run VRS'!$H$108:$I$108</definedName>
    <definedName name="solver_lhs1258" localSheetId="2" hidden="1">'Run CRS'!$H$108:$I$108</definedName>
    <definedName name="solver_lhs1258" localSheetId="4" hidden="1">'Run VRS'!$H$108:$I$108</definedName>
    <definedName name="solver_lhs1259" localSheetId="2" hidden="1">'Run CRS'!$H$108:$I$108</definedName>
    <definedName name="solver_lhs1259" localSheetId="4" hidden="1">'Run VRS'!$H$108:$I$108</definedName>
    <definedName name="solver_lhs126" localSheetId="2" hidden="1">'Run CRS'!$AC$107</definedName>
    <definedName name="solver_lhs126" localSheetId="4" hidden="1">'Run VRS'!$AC$107</definedName>
    <definedName name="solver_lhs1260" localSheetId="2" hidden="1">'Run CRS'!$H$108:$I$108</definedName>
    <definedName name="solver_lhs1260" localSheetId="4" hidden="1">'Run VRS'!$H$108:$I$108</definedName>
    <definedName name="solver_lhs1261" localSheetId="2" hidden="1">'Run CRS'!$H$108:$I$108</definedName>
    <definedName name="solver_lhs1261" localSheetId="4" hidden="1">'Run VRS'!$H$108:$I$108</definedName>
    <definedName name="solver_lhs1262" localSheetId="2" hidden="1">'Run CRS'!$H$108:$I$108</definedName>
    <definedName name="solver_lhs1262" localSheetId="4" hidden="1">'Run VRS'!$H$108:$I$108</definedName>
    <definedName name="solver_lhs1263" localSheetId="2" hidden="1">'Run CRS'!$H$108:$I$108</definedName>
    <definedName name="solver_lhs1263" localSheetId="4" hidden="1">'Run VRS'!$H$108:$I$108</definedName>
    <definedName name="solver_lhs1264" localSheetId="2" hidden="1">'Run CRS'!$H$108:$I$108</definedName>
    <definedName name="solver_lhs1264" localSheetId="4" hidden="1">'Run VRS'!$H$108:$I$108</definedName>
    <definedName name="solver_lhs1265" localSheetId="2" hidden="1">'Run CRS'!$H$108:$I$108</definedName>
    <definedName name="solver_lhs1265" localSheetId="4" hidden="1">'Run VRS'!$H$108:$I$108</definedName>
    <definedName name="solver_lhs1266" localSheetId="2" hidden="1">'Run CRS'!$H$108:$I$108</definedName>
    <definedName name="solver_lhs1266" localSheetId="4" hidden="1">'Run VRS'!$H$108:$I$108</definedName>
    <definedName name="solver_lhs1267" localSheetId="2" hidden="1">'Run CRS'!$H$108:$I$108</definedName>
    <definedName name="solver_lhs1267" localSheetId="4" hidden="1">'Run VRS'!$H$108:$I$108</definedName>
    <definedName name="solver_lhs1268" localSheetId="2" hidden="1">'Run CRS'!$H$108:$I$108</definedName>
    <definedName name="solver_lhs1268" localSheetId="4" hidden="1">'Run VRS'!$H$108:$I$108</definedName>
    <definedName name="solver_lhs1269" localSheetId="2" hidden="1">'Run CRS'!$H$108:$I$108</definedName>
    <definedName name="solver_lhs1269" localSheetId="4" hidden="1">'Run VRS'!$H$108:$I$108</definedName>
    <definedName name="solver_lhs127" localSheetId="2" hidden="1">'Run CRS'!$AC$107</definedName>
    <definedName name="solver_lhs127" localSheetId="4" hidden="1">'Run VRS'!$AC$107</definedName>
    <definedName name="solver_lhs1270" localSheetId="2" hidden="1">'Run CRS'!$H$108:$I$108</definedName>
    <definedName name="solver_lhs1270" localSheetId="4" hidden="1">'Run VRS'!$H$108:$I$108</definedName>
    <definedName name="solver_lhs1271" localSheetId="2" hidden="1">'Run CRS'!$H$108:$I$108</definedName>
    <definedName name="solver_lhs1271" localSheetId="4" hidden="1">'Run VRS'!$H$108:$I$108</definedName>
    <definedName name="solver_lhs1272" localSheetId="2" hidden="1">'Run CRS'!$H$108:$I$108</definedName>
    <definedName name="solver_lhs1272" localSheetId="4" hidden="1">'Run VRS'!$H$108:$I$108</definedName>
    <definedName name="solver_lhs1273" localSheetId="2" hidden="1">'Run CRS'!$H$108:$I$108</definedName>
    <definedName name="solver_lhs1273" localSheetId="4" hidden="1">'Run VRS'!$H$108:$I$108</definedName>
    <definedName name="solver_lhs1274" localSheetId="2" hidden="1">'Run CRS'!$H$108:$I$108</definedName>
    <definedName name="solver_lhs1274" localSheetId="4" hidden="1">'Run VRS'!$H$108:$I$108</definedName>
    <definedName name="solver_lhs1275" localSheetId="2" hidden="1">'Run CRS'!$H$108:$I$108</definedName>
    <definedName name="solver_lhs1275" localSheetId="4" hidden="1">'Run VRS'!$H$108:$I$108</definedName>
    <definedName name="solver_lhs1276" localSheetId="2" hidden="1">'Run CRS'!$H$108:$I$108</definedName>
    <definedName name="solver_lhs1276" localSheetId="4" hidden="1">'Run VRS'!$H$108:$I$108</definedName>
    <definedName name="solver_lhs1277" localSheetId="2" hidden="1">'Run CRS'!$H$108:$I$108</definedName>
    <definedName name="solver_lhs1277" localSheetId="4" hidden="1">'Run VRS'!$H$108:$I$108</definedName>
    <definedName name="solver_lhs1278" localSheetId="2" hidden="1">'Run CRS'!$H$108:$I$108</definedName>
    <definedName name="solver_lhs1278" localSheetId="4" hidden="1">'Run VRS'!$H$108:$I$108</definedName>
    <definedName name="solver_lhs1279" localSheetId="2" hidden="1">'Run CRS'!$H$108:$I$108</definedName>
    <definedName name="solver_lhs1279" localSheetId="4" hidden="1">'Run VRS'!$H$108:$I$108</definedName>
    <definedName name="solver_lhs128" localSheetId="2" hidden="1">'Run CRS'!$AC$107</definedName>
    <definedName name="solver_lhs128" localSheetId="4" hidden="1">'Run VRS'!$AC$107</definedName>
    <definedName name="solver_lhs1280" localSheetId="2" hidden="1">'Run CRS'!$H$108:$I$108</definedName>
    <definedName name="solver_lhs1280" localSheetId="4" hidden="1">'Run VRS'!$H$108:$I$108</definedName>
    <definedName name="solver_lhs1281" localSheetId="2" hidden="1">'Run CRS'!$H$108:$I$108</definedName>
    <definedName name="solver_lhs1281" localSheetId="4" hidden="1">'Run VRS'!$H$108:$I$108</definedName>
    <definedName name="solver_lhs1282" localSheetId="2" hidden="1">'Run CRS'!$H$108:$I$108</definedName>
    <definedName name="solver_lhs1282" localSheetId="4" hidden="1">'Run VRS'!$H$108:$I$108</definedName>
    <definedName name="solver_lhs1283" localSheetId="2" hidden="1">'Run CRS'!$H$108:$I$108</definedName>
    <definedName name="solver_lhs1283" localSheetId="4" hidden="1">'Run VRS'!$H$108:$I$108</definedName>
    <definedName name="solver_lhs1284" localSheetId="2" hidden="1">'Run CRS'!$H$108:$I$108</definedName>
    <definedName name="solver_lhs1284" localSheetId="4" hidden="1">'Run VRS'!$H$108:$I$108</definedName>
    <definedName name="solver_lhs1285" localSheetId="2" hidden="1">'Run CRS'!$H$108:$I$108</definedName>
    <definedName name="solver_lhs1285" localSheetId="4" hidden="1">'Run VRS'!$H$108:$I$108</definedName>
    <definedName name="solver_lhs1286" localSheetId="2" hidden="1">'Run CRS'!$H$108:$I$108</definedName>
    <definedName name="solver_lhs1286" localSheetId="4" hidden="1">'Run VRS'!$H$108:$I$108</definedName>
    <definedName name="solver_lhs1287" localSheetId="2" hidden="1">'Run CRS'!$H$108:$I$108</definedName>
    <definedName name="solver_lhs1287" localSheetId="4" hidden="1">'Run VRS'!$H$108:$I$108</definedName>
    <definedName name="solver_lhs1288" localSheetId="2" hidden="1">'Run CRS'!$H$108:$I$108</definedName>
    <definedName name="solver_lhs1288" localSheetId="4" hidden="1">'Run VRS'!$H$108:$I$108</definedName>
    <definedName name="solver_lhs1289" localSheetId="2" hidden="1">'Run CRS'!$H$108:$I$108</definedName>
    <definedName name="solver_lhs1289" localSheetId="4" hidden="1">'Run VRS'!$H$108:$I$108</definedName>
    <definedName name="solver_lhs129" localSheetId="2" hidden="1">'Run CRS'!$AC$107</definedName>
    <definedName name="solver_lhs129" localSheetId="4" hidden="1">'Run VRS'!$AC$107</definedName>
    <definedName name="solver_lhs1290" localSheetId="2" hidden="1">'Run CRS'!$H$108:$I$108</definedName>
    <definedName name="solver_lhs1290" localSheetId="4" hidden="1">'Run VRS'!$H$108:$I$108</definedName>
    <definedName name="solver_lhs1291" localSheetId="2" hidden="1">'Run CRS'!$H$108:$I$108</definedName>
    <definedName name="solver_lhs1291" localSheetId="4" hidden="1">'Run VRS'!$H$108:$I$108</definedName>
    <definedName name="solver_lhs1292" localSheetId="2" hidden="1">'Run CRS'!$H$108:$I$108</definedName>
    <definedName name="solver_lhs1292" localSheetId="4" hidden="1">'Run VRS'!$H$108:$I$108</definedName>
    <definedName name="solver_lhs1293" localSheetId="2" hidden="1">'Run CRS'!$H$108:$I$108</definedName>
    <definedName name="solver_lhs1293" localSheetId="4" hidden="1">'Run VRS'!$H$108:$I$108</definedName>
    <definedName name="solver_lhs1294" localSheetId="2" hidden="1">'Run CRS'!$H$108:$I$108</definedName>
    <definedName name="solver_lhs1294" localSheetId="4" hidden="1">'Run VRS'!$H$108:$I$108</definedName>
    <definedName name="solver_lhs1295" localSheetId="2" hidden="1">'Run CRS'!$H$108:$I$108</definedName>
    <definedName name="solver_lhs1295" localSheetId="4" hidden="1">'Run VRS'!$H$108:$I$108</definedName>
    <definedName name="solver_lhs1296" localSheetId="2" hidden="1">'Run CRS'!$H$108:$I$108</definedName>
    <definedName name="solver_lhs1296" localSheetId="4" hidden="1">'Run VRS'!$H$108:$I$108</definedName>
    <definedName name="solver_lhs1297" localSheetId="2" hidden="1">'Run CRS'!$H$108:$I$108</definedName>
    <definedName name="solver_lhs1297" localSheetId="4" hidden="1">'Run VRS'!$H$108:$I$108</definedName>
    <definedName name="solver_lhs1298" localSheetId="2" hidden="1">'Run CRS'!$H$108:$I$108</definedName>
    <definedName name="solver_lhs1298" localSheetId="4" hidden="1">'Run VRS'!$H$108:$I$108</definedName>
    <definedName name="solver_lhs1299" localSheetId="2" hidden="1">'Run CRS'!$H$108:$I$108</definedName>
    <definedName name="solver_lhs1299" localSheetId="4" hidden="1">'Run VRS'!$H$108:$I$108</definedName>
    <definedName name="solver_lhs13" localSheetId="0" hidden="1">'Data input'!$AC$107</definedName>
    <definedName name="solver_lhs13" localSheetId="2" hidden="1">'Run CRS'!$H$108:$I$108</definedName>
    <definedName name="solver_lhs13" localSheetId="4" hidden="1">'Run VRS'!$H$108:$I$108</definedName>
    <definedName name="solver_lhs130" localSheetId="2" hidden="1">'Run CRS'!$AC$107</definedName>
    <definedName name="solver_lhs130" localSheetId="4" hidden="1">'Run VRS'!$AC$107</definedName>
    <definedName name="solver_lhs1300" localSheetId="2" hidden="1">'Run CRS'!$H$108:$I$108</definedName>
    <definedName name="solver_lhs1300" localSheetId="4" hidden="1">'Run VRS'!$H$108:$I$108</definedName>
    <definedName name="solver_lhs1301" localSheetId="2" hidden="1">'Run CRS'!$H$108:$I$108</definedName>
    <definedName name="solver_lhs1301" localSheetId="4" hidden="1">'Run VRS'!$H$108:$I$108</definedName>
    <definedName name="solver_lhs1302" localSheetId="2" hidden="1">'Run CRS'!$H$108:$I$108</definedName>
    <definedName name="solver_lhs1302" localSheetId="4" hidden="1">'Run VRS'!$H$108:$I$108</definedName>
    <definedName name="solver_lhs1303" localSheetId="2" hidden="1">'Run CRS'!$H$108:$I$108</definedName>
    <definedName name="solver_lhs1303" localSheetId="4" hidden="1">'Run VRS'!$H$108:$I$108</definedName>
    <definedName name="solver_lhs1304" localSheetId="2" hidden="1">'Run CRS'!$H$108:$I$108</definedName>
    <definedName name="solver_lhs1304" localSheetId="4" hidden="1">'Run VRS'!$H$108:$I$108</definedName>
    <definedName name="solver_lhs1305" localSheetId="2" hidden="1">'Run CRS'!$H$108:$I$108</definedName>
    <definedName name="solver_lhs1305" localSheetId="4" hidden="1">'Run VRS'!$H$108:$I$108</definedName>
    <definedName name="solver_lhs1306" localSheetId="2" hidden="1">'Run CRS'!$H$108:$I$108</definedName>
    <definedName name="solver_lhs1306" localSheetId="4" hidden="1">'Run VRS'!$H$108:$I$108</definedName>
    <definedName name="solver_lhs1307" localSheetId="2" hidden="1">'Run CRS'!$H$108:$I$108</definedName>
    <definedName name="solver_lhs1307" localSheetId="4" hidden="1">'Run VRS'!$H$108:$I$108</definedName>
    <definedName name="solver_lhs1308" localSheetId="2" hidden="1">'Run CRS'!$H$108:$I$108</definedName>
    <definedName name="solver_lhs1308" localSheetId="4" hidden="1">'Run VRS'!$H$108:$I$108</definedName>
    <definedName name="solver_lhs1309" localSheetId="2" hidden="1">'Run CRS'!$H$108:$I$108</definedName>
    <definedName name="solver_lhs1309" localSheetId="4" hidden="1">'Run VRS'!$H$108:$I$108</definedName>
    <definedName name="solver_lhs131" localSheetId="2" hidden="1">'Run CRS'!$AC$107</definedName>
    <definedName name="solver_lhs131" localSheetId="4" hidden="1">'Run VRS'!$AC$107</definedName>
    <definedName name="solver_lhs1310" localSheetId="2" hidden="1">'Run CRS'!$H$108:$I$108</definedName>
    <definedName name="solver_lhs1310" localSheetId="4" hidden="1">'Run VRS'!$H$108:$I$108</definedName>
    <definedName name="solver_lhs1311" localSheetId="2" hidden="1">'Run CRS'!$H$108:$I$108</definedName>
    <definedName name="solver_lhs1311" localSheetId="4" hidden="1">'Run VRS'!$H$108:$I$108</definedName>
    <definedName name="solver_lhs1312" localSheetId="2" hidden="1">'Run CRS'!$H$108:$I$108</definedName>
    <definedName name="solver_lhs1312" localSheetId="4" hidden="1">'Run VRS'!$H$108:$I$108</definedName>
    <definedName name="solver_lhs1313" localSheetId="2" hidden="1">'Run CRS'!$H$108:$I$108</definedName>
    <definedName name="solver_lhs1313" localSheetId="4" hidden="1">'Run VRS'!$H$108:$I$108</definedName>
    <definedName name="solver_lhs1314" localSheetId="2" hidden="1">'Run CRS'!$H$108:$I$108</definedName>
    <definedName name="solver_lhs1314" localSheetId="4" hidden="1">'Run VRS'!$H$108:$I$108</definedName>
    <definedName name="solver_lhs1315" localSheetId="2" hidden="1">'Run CRS'!$H$108:$I$108</definedName>
    <definedName name="solver_lhs1315" localSheetId="4" hidden="1">'Run VRS'!$H$108:$I$108</definedName>
    <definedName name="solver_lhs1316" localSheetId="2" hidden="1">'Run CRS'!$H$108:$I$108</definedName>
    <definedName name="solver_lhs1316" localSheetId="4" hidden="1">'Run VRS'!$H$108:$I$108</definedName>
    <definedName name="solver_lhs1317" localSheetId="2" hidden="1">'Run CRS'!$H$108:$I$108</definedName>
    <definedName name="solver_lhs1317" localSheetId="4" hidden="1">'Run VRS'!$H$108:$I$108</definedName>
    <definedName name="solver_lhs1318" localSheetId="2" hidden="1">'Run CRS'!$H$108:$I$108</definedName>
    <definedName name="solver_lhs1318" localSheetId="4" hidden="1">'Run VRS'!$H$108:$I$108</definedName>
    <definedName name="solver_lhs1319" localSheetId="2" hidden="1">'Run CRS'!$H$108:$I$108</definedName>
    <definedName name="solver_lhs1319" localSheetId="4" hidden="1">'Run VRS'!$H$108:$I$108</definedName>
    <definedName name="solver_lhs132" localSheetId="2" hidden="1">'Run CRS'!$AC$107</definedName>
    <definedName name="solver_lhs132" localSheetId="4" hidden="1">'Run VRS'!$AC$107</definedName>
    <definedName name="solver_lhs1320" localSheetId="2" hidden="1">'Run CRS'!$H$108:$I$108</definedName>
    <definedName name="solver_lhs1320" localSheetId="4" hidden="1">'Run VRS'!$H$108:$I$108</definedName>
    <definedName name="solver_lhs1321" localSheetId="2" hidden="1">'Run CRS'!$H$108:$I$108</definedName>
    <definedName name="solver_lhs1321" localSheetId="4" hidden="1">'Run VRS'!$H$108:$I$108</definedName>
    <definedName name="solver_lhs1322" localSheetId="2" hidden="1">'Run CRS'!$H$108:$I$108</definedName>
    <definedName name="solver_lhs1322" localSheetId="4" hidden="1">'Run VRS'!$H$108:$I$108</definedName>
    <definedName name="solver_lhs1323" localSheetId="2" hidden="1">'Run CRS'!$H$108:$I$108</definedName>
    <definedName name="solver_lhs1323" localSheetId="4" hidden="1">'Run VRS'!$H$108:$I$108</definedName>
    <definedName name="solver_lhs1324" localSheetId="2" hidden="1">'Run CRS'!$H$108:$I$108</definedName>
    <definedName name="solver_lhs1324" localSheetId="4" hidden="1">'Run VRS'!$H$108:$I$108</definedName>
    <definedName name="solver_lhs1325" localSheetId="2" hidden="1">'Run CRS'!$H$108:$I$108</definedName>
    <definedName name="solver_lhs1325" localSheetId="4" hidden="1">'Run VRS'!$H$108:$I$108</definedName>
    <definedName name="solver_lhs1326" localSheetId="2" hidden="1">'Run CRS'!$H$108:$I$108</definedName>
    <definedName name="solver_lhs1326" localSheetId="4" hidden="1">'Run VRS'!$H$108:$I$108</definedName>
    <definedName name="solver_lhs1327" localSheetId="2" hidden="1">'Run CRS'!$H$108:$I$108</definedName>
    <definedName name="solver_lhs1327" localSheetId="4" hidden="1">'Run VRS'!$H$108:$I$108</definedName>
    <definedName name="solver_lhs1328" localSheetId="2" hidden="1">'Run CRS'!$H$108:$I$108</definedName>
    <definedName name="solver_lhs1328" localSheetId="4" hidden="1">'Run VRS'!$H$108:$I$108</definedName>
    <definedName name="solver_lhs1329" localSheetId="2" hidden="1">'Run CRS'!$H$108:$I$108</definedName>
    <definedName name="solver_lhs1329" localSheetId="4" hidden="1">'Run VRS'!$H$108:$I$108</definedName>
    <definedName name="solver_lhs133" localSheetId="2" hidden="1">'Run CRS'!$AC$107</definedName>
    <definedName name="solver_lhs133" localSheetId="4" hidden="1">'Run VRS'!$AC$107</definedName>
    <definedName name="solver_lhs1330" localSheetId="2" hidden="1">'Run CRS'!$H$108:$I$108</definedName>
    <definedName name="solver_lhs1330" localSheetId="4" hidden="1">'Run VRS'!$H$108:$I$108</definedName>
    <definedName name="solver_lhs1331" localSheetId="2" hidden="1">'Run CRS'!$H$108:$I$108</definedName>
    <definedName name="solver_lhs1331" localSheetId="4" hidden="1">'Run VRS'!$H$108:$I$108</definedName>
    <definedName name="solver_lhs1332" localSheetId="2" hidden="1">'Run CRS'!$H$108:$I$108</definedName>
    <definedName name="solver_lhs1332" localSheetId="4" hidden="1">'Run VRS'!$H$108:$I$108</definedName>
    <definedName name="solver_lhs1333" localSheetId="2" hidden="1">'Run CRS'!$H$108:$I$108</definedName>
    <definedName name="solver_lhs1333" localSheetId="4" hidden="1">'Run VRS'!$H$108:$I$108</definedName>
    <definedName name="solver_lhs1334" localSheetId="2" hidden="1">'Run CRS'!$H$108:$I$108</definedName>
    <definedName name="solver_lhs1334" localSheetId="4" hidden="1">'Run VRS'!$H$108:$I$108</definedName>
    <definedName name="solver_lhs1335" localSheetId="2" hidden="1">'Run CRS'!$H$108:$I$108</definedName>
    <definedName name="solver_lhs1335" localSheetId="4" hidden="1">'Run VRS'!$H$108:$I$108</definedName>
    <definedName name="solver_lhs1336" localSheetId="2" hidden="1">'Run CRS'!$H$108:$I$108</definedName>
    <definedName name="solver_lhs1336" localSheetId="4" hidden="1">'Run VRS'!$H$108:$I$108</definedName>
    <definedName name="solver_lhs1337" localSheetId="2" hidden="1">'Run CRS'!$H$108:$I$108</definedName>
    <definedName name="solver_lhs1337" localSheetId="4" hidden="1">'Run VRS'!$H$108:$I$108</definedName>
    <definedName name="solver_lhs1338" localSheetId="2" hidden="1">'Run CRS'!$H$108:$I$108</definedName>
    <definedName name="solver_lhs1338" localSheetId="4" hidden="1">'Run VRS'!$H$108:$I$108</definedName>
    <definedName name="solver_lhs1339" localSheetId="2" hidden="1">'Run CRS'!$H$108:$I$108</definedName>
    <definedName name="solver_lhs1339" localSheetId="4" hidden="1">'Run VRS'!$H$108:$I$108</definedName>
    <definedName name="solver_lhs134" localSheetId="2" hidden="1">'Run CRS'!$AC$107</definedName>
    <definedName name="solver_lhs134" localSheetId="4" hidden="1">'Run VRS'!$AC$107</definedName>
    <definedName name="solver_lhs1340" localSheetId="2" hidden="1">'Run CRS'!$H$108:$I$108</definedName>
    <definedName name="solver_lhs1340" localSheetId="4" hidden="1">'Run VRS'!$H$108:$I$108</definedName>
    <definedName name="solver_lhs1341" localSheetId="2" hidden="1">'Run CRS'!$H$108:$I$108</definedName>
    <definedName name="solver_lhs1341" localSheetId="4" hidden="1">'Run VRS'!$H$108:$I$108</definedName>
    <definedName name="solver_lhs1342" localSheetId="2" hidden="1">'Run CRS'!$H$108:$I$108</definedName>
    <definedName name="solver_lhs1342" localSheetId="4" hidden="1">'Run VRS'!$H$108:$I$108</definedName>
    <definedName name="solver_lhs1343" localSheetId="2" hidden="1">'Run CRS'!$H$108:$I$108</definedName>
    <definedName name="solver_lhs1343" localSheetId="4" hidden="1">'Run VRS'!$H$108:$I$108</definedName>
    <definedName name="solver_lhs1344" localSheetId="2" hidden="1">'Run CRS'!$H$108:$I$108</definedName>
    <definedName name="solver_lhs1344" localSheetId="4" hidden="1">'Run VRS'!$H$108:$I$108</definedName>
    <definedName name="solver_lhs1345" localSheetId="2" hidden="1">'Run CRS'!$H$108:$I$108</definedName>
    <definedName name="solver_lhs1345" localSheetId="4" hidden="1">'Run VRS'!$H$108:$I$108</definedName>
    <definedName name="solver_lhs1346" localSheetId="2" hidden="1">'Run CRS'!$H$108:$I$108</definedName>
    <definedName name="solver_lhs1346" localSheetId="4" hidden="1">'Run VRS'!$H$108:$I$108</definedName>
    <definedName name="solver_lhs1347" localSheetId="2" hidden="1">'Run CRS'!$H$108:$I$108</definedName>
    <definedName name="solver_lhs1347" localSheetId="4" hidden="1">'Run VRS'!$H$108:$I$108</definedName>
    <definedName name="solver_lhs1348" localSheetId="2" hidden="1">'Run CRS'!$H$108:$I$108</definedName>
    <definedName name="solver_lhs1348" localSheetId="4" hidden="1">'Run VRS'!$H$108:$I$108</definedName>
    <definedName name="solver_lhs1349" localSheetId="2" hidden="1">'Run CRS'!$H$108:$I$108</definedName>
    <definedName name="solver_lhs1349" localSheetId="4" hidden="1">'Run VRS'!$H$108:$I$108</definedName>
    <definedName name="solver_lhs135" localSheetId="2" hidden="1">'Run CRS'!$AC$107</definedName>
    <definedName name="solver_lhs135" localSheetId="4" hidden="1">'Run VRS'!$AC$107</definedName>
    <definedName name="solver_lhs1350" localSheetId="2" hidden="1">'Run CRS'!$H$108:$I$108</definedName>
    <definedName name="solver_lhs1350" localSheetId="4" hidden="1">'Run VRS'!$H$108:$I$108</definedName>
    <definedName name="solver_lhs1351" localSheetId="2" hidden="1">'Run CRS'!$H$108:$I$108</definedName>
    <definedName name="solver_lhs1351" localSheetId="4" hidden="1">'Run VRS'!$H$108:$I$108</definedName>
    <definedName name="solver_lhs1352" localSheetId="2" hidden="1">'Run CRS'!$H$108:$I$108</definedName>
    <definedName name="solver_lhs1352" localSheetId="4" hidden="1">'Run VRS'!$H$108:$I$108</definedName>
    <definedName name="solver_lhs1353" localSheetId="2" hidden="1">'Run CRS'!$H$108:$I$108</definedName>
    <definedName name="solver_lhs1353" localSheetId="4" hidden="1">'Run VRS'!$H$108:$I$108</definedName>
    <definedName name="solver_lhs1354" localSheetId="2" hidden="1">'Run CRS'!$H$108:$I$108</definedName>
    <definedName name="solver_lhs1354" localSheetId="4" hidden="1">'Run VRS'!$H$108:$I$108</definedName>
    <definedName name="solver_lhs1355" localSheetId="2" hidden="1">'Run CRS'!$H$108:$I$108</definedName>
    <definedName name="solver_lhs1355" localSheetId="4" hidden="1">'Run VRS'!$H$108:$I$108</definedName>
    <definedName name="solver_lhs1356" localSheetId="2" hidden="1">'Run CRS'!$H$108:$I$108</definedName>
    <definedName name="solver_lhs1356" localSheetId="4" hidden="1">'Run VRS'!$H$108:$I$108</definedName>
    <definedName name="solver_lhs1357" localSheetId="2" hidden="1">'Run CRS'!$H$108:$I$108</definedName>
    <definedName name="solver_lhs1357" localSheetId="4" hidden="1">'Run VRS'!$H$108:$I$108</definedName>
    <definedName name="solver_lhs1358" localSheetId="2" hidden="1">'Run CRS'!$H$108:$I$108</definedName>
    <definedName name="solver_lhs1358" localSheetId="4" hidden="1">'Run VRS'!$H$108:$I$108</definedName>
    <definedName name="solver_lhs1359" localSheetId="2" hidden="1">'Run CRS'!$H$108:$I$108</definedName>
    <definedName name="solver_lhs1359" localSheetId="4" hidden="1">'Run VRS'!$H$108:$I$108</definedName>
    <definedName name="solver_lhs136" localSheetId="2" hidden="1">'Run CRS'!$AC$107</definedName>
    <definedName name="solver_lhs136" localSheetId="4" hidden="1">'Run VRS'!$AC$107</definedName>
    <definedName name="solver_lhs1360" localSheetId="2" hidden="1">'Run CRS'!$H$108:$I$108</definedName>
    <definedName name="solver_lhs1360" localSheetId="4" hidden="1">'Run VRS'!$H$108:$I$108</definedName>
    <definedName name="solver_lhs1361" localSheetId="2" hidden="1">'Run CRS'!$H$108:$I$108</definedName>
    <definedName name="solver_lhs1361" localSheetId="4" hidden="1">'Run VRS'!$H$108:$I$108</definedName>
    <definedName name="solver_lhs1362" localSheetId="2" hidden="1">'Run CRS'!$H$108:$I$108</definedName>
    <definedName name="solver_lhs1362" localSheetId="4" hidden="1">'Run VRS'!$H$108:$I$108</definedName>
    <definedName name="solver_lhs1363" localSheetId="2" hidden="1">'Run CRS'!$H$108:$I$108</definedName>
    <definedName name="solver_lhs1363" localSheetId="4" hidden="1">'Run VRS'!$H$108:$I$108</definedName>
    <definedName name="solver_lhs1364" localSheetId="2" hidden="1">'Run CRS'!$H$108:$I$108</definedName>
    <definedName name="solver_lhs1364" localSheetId="4" hidden="1">'Run VRS'!$H$108:$I$108</definedName>
    <definedName name="solver_lhs1365" localSheetId="2" hidden="1">'Run CRS'!$H$108:$I$108</definedName>
    <definedName name="solver_lhs1365" localSheetId="4" hidden="1">'Run VRS'!$H$108:$I$108</definedName>
    <definedName name="solver_lhs1366" localSheetId="2" hidden="1">'Run CRS'!$H$108:$I$108</definedName>
    <definedName name="solver_lhs1366" localSheetId="4" hidden="1">'Run VRS'!$H$108:$I$108</definedName>
    <definedName name="solver_lhs1367" localSheetId="2" hidden="1">'Run CRS'!$H$108:$I$108</definedName>
    <definedName name="solver_lhs1367" localSheetId="4" hidden="1">'Run VRS'!$H$108:$I$108</definedName>
    <definedName name="solver_lhs1368" localSheetId="2" hidden="1">'Run CRS'!$H$108:$I$108</definedName>
    <definedName name="solver_lhs1368" localSheetId="4" hidden="1">'Run VRS'!$H$108:$I$108</definedName>
    <definedName name="solver_lhs1369" localSheetId="2" hidden="1">'Run CRS'!$H$108:$I$108</definedName>
    <definedName name="solver_lhs1369" localSheetId="4" hidden="1">'Run VRS'!$H$108:$I$108</definedName>
    <definedName name="solver_lhs137" localSheetId="2" hidden="1">'Run CRS'!$AC$107</definedName>
    <definedName name="solver_lhs137" localSheetId="4" hidden="1">'Run VRS'!$AC$107</definedName>
    <definedName name="solver_lhs1370" localSheetId="2" hidden="1">'Run CRS'!$H$108:$I$108</definedName>
    <definedName name="solver_lhs1370" localSheetId="4" hidden="1">'Run VRS'!$H$108:$I$108</definedName>
    <definedName name="solver_lhs1371" localSheetId="2" hidden="1">'Run CRS'!$H$108:$I$108</definedName>
    <definedName name="solver_lhs1371" localSheetId="4" hidden="1">'Run VRS'!$H$108:$I$108</definedName>
    <definedName name="solver_lhs1372" localSheetId="2" hidden="1">'Run CRS'!$H$108:$I$108</definedName>
    <definedName name="solver_lhs1372" localSheetId="4" hidden="1">'Run VRS'!$H$108:$I$108</definedName>
    <definedName name="solver_lhs1373" localSheetId="2" hidden="1">'Run CRS'!$H$108:$I$108</definedName>
    <definedName name="solver_lhs1373" localSheetId="4" hidden="1">'Run VRS'!$H$108:$I$108</definedName>
    <definedName name="solver_lhs1374" localSheetId="2" hidden="1">'Run CRS'!$H$108:$I$108</definedName>
    <definedName name="solver_lhs1374" localSheetId="4" hidden="1">'Run VRS'!$H$108:$I$108</definedName>
    <definedName name="solver_lhs1375" localSheetId="2" hidden="1">'Run CRS'!$H$108:$I$108</definedName>
    <definedName name="solver_lhs1375" localSheetId="4" hidden="1">'Run VRS'!$H$108:$I$108</definedName>
    <definedName name="solver_lhs1376" localSheetId="2" hidden="1">'Run CRS'!$H$108:$I$108</definedName>
    <definedName name="solver_lhs1376" localSheetId="4" hidden="1">'Run VRS'!$H$108:$I$108</definedName>
    <definedName name="solver_lhs1377" localSheetId="2" hidden="1">'Run CRS'!$H$108:$I$108</definedName>
    <definedName name="solver_lhs1377" localSheetId="4" hidden="1">'Run VRS'!$H$108:$I$108</definedName>
    <definedName name="solver_lhs1378" localSheetId="2" hidden="1">'Run CRS'!$H$108:$I$108</definedName>
    <definedName name="solver_lhs1378" localSheetId="4" hidden="1">'Run VRS'!$H$108:$I$108</definedName>
    <definedName name="solver_lhs1379" localSheetId="2" hidden="1">'Run CRS'!$H$108:$I$108</definedName>
    <definedName name="solver_lhs1379" localSheetId="4" hidden="1">'Run VRS'!$H$108:$I$108</definedName>
    <definedName name="solver_lhs138" localSheetId="2" hidden="1">'Run CRS'!$AC$107</definedName>
    <definedName name="solver_lhs138" localSheetId="4" hidden="1">'Run VRS'!$AC$107</definedName>
    <definedName name="solver_lhs1380" localSheetId="2" hidden="1">'Run CRS'!$H$108:$I$108</definedName>
    <definedName name="solver_lhs1380" localSheetId="4" hidden="1">'Run VRS'!$H$108:$I$108</definedName>
    <definedName name="solver_lhs1381" localSheetId="2" hidden="1">'Run CRS'!$H$108:$I$108</definedName>
    <definedName name="solver_lhs1381" localSheetId="4" hidden="1">'Run VRS'!$H$108:$I$108</definedName>
    <definedName name="solver_lhs1382" localSheetId="2" hidden="1">'Run CRS'!$H$108:$I$108</definedName>
    <definedName name="solver_lhs1382" localSheetId="4" hidden="1">'Run VRS'!$H$108:$I$108</definedName>
    <definedName name="solver_lhs1383" localSheetId="2" hidden="1">'Run CRS'!$H$108:$I$108</definedName>
    <definedName name="solver_lhs1383" localSheetId="4" hidden="1">'Run VRS'!$H$108:$I$108</definedName>
    <definedName name="solver_lhs1384" localSheetId="2" hidden="1">'Run CRS'!$H$108:$I$108</definedName>
    <definedName name="solver_lhs1384" localSheetId="4" hidden="1">'Run VRS'!$H$108:$I$108</definedName>
    <definedName name="solver_lhs1385" localSheetId="2" hidden="1">'Run CRS'!$H$108:$I$108</definedName>
    <definedName name="solver_lhs1385" localSheetId="4" hidden="1">'Run VRS'!$H$108:$I$108</definedName>
    <definedName name="solver_lhs1386" localSheetId="2" hidden="1">'Run CRS'!$H$108:$I$108</definedName>
    <definedName name="solver_lhs1386" localSheetId="4" hidden="1">'Run VRS'!$H$108:$I$108</definedName>
    <definedName name="solver_lhs1387" localSheetId="2" hidden="1">'Run CRS'!$H$108:$I$108</definedName>
    <definedName name="solver_lhs1387" localSheetId="4" hidden="1">'Run VRS'!$H$108:$I$108</definedName>
    <definedName name="solver_lhs1388" localSheetId="2" hidden="1">'Run CRS'!$H$108:$I$108</definedName>
    <definedName name="solver_lhs1388" localSheetId="4" hidden="1">'Run VRS'!$H$108:$I$108</definedName>
    <definedName name="solver_lhs1389" localSheetId="2" hidden="1">'Run CRS'!$H$108:$I$108</definedName>
    <definedName name="solver_lhs1389" localSheetId="4" hidden="1">'Run VRS'!$H$108:$I$108</definedName>
    <definedName name="solver_lhs139" localSheetId="2" hidden="1">'Run CRS'!$AC$107</definedName>
    <definedName name="solver_lhs139" localSheetId="4" hidden="1">'Run VRS'!$AC$107</definedName>
    <definedName name="solver_lhs1390" localSheetId="2" hidden="1">'Run CRS'!$H$108:$I$108</definedName>
    <definedName name="solver_lhs1390" localSheetId="4" hidden="1">'Run VRS'!$H$108:$I$108</definedName>
    <definedName name="solver_lhs1391" localSheetId="2" hidden="1">'Run CRS'!$H$108:$I$108</definedName>
    <definedName name="solver_lhs1391" localSheetId="4" hidden="1">'Run VRS'!$H$108:$I$108</definedName>
    <definedName name="solver_lhs1392" localSheetId="2" hidden="1">'Run CRS'!$H$108:$I$108</definedName>
    <definedName name="solver_lhs1392" localSheetId="4" hidden="1">'Run VRS'!$H$108:$I$108</definedName>
    <definedName name="solver_lhs1393" localSheetId="2" hidden="1">'Run CRS'!$H$108:$I$108</definedName>
    <definedName name="solver_lhs1393" localSheetId="4" hidden="1">'Run VRS'!$H$108:$I$108</definedName>
    <definedName name="solver_lhs1394" localSheetId="2" hidden="1">'Run CRS'!$H$108:$I$108</definedName>
    <definedName name="solver_lhs1394" localSheetId="4" hidden="1">'Run VRS'!$H$108:$I$108</definedName>
    <definedName name="solver_lhs1395" localSheetId="2" hidden="1">'Run CRS'!$H$108:$I$108</definedName>
    <definedName name="solver_lhs1395" localSheetId="4" hidden="1">'Run VRS'!$H$108:$I$108</definedName>
    <definedName name="solver_lhs1396" localSheetId="2" hidden="1">'Run CRS'!$H$108:$I$108</definedName>
    <definedName name="solver_lhs1396" localSheetId="4" hidden="1">'Run VRS'!$H$108:$I$108</definedName>
    <definedName name="solver_lhs1397" localSheetId="2" hidden="1">'Run CRS'!$H$108:$I$108</definedName>
    <definedName name="solver_lhs1397" localSheetId="4" hidden="1">'Run VRS'!$H$108:$I$108</definedName>
    <definedName name="solver_lhs1398" localSheetId="2" hidden="1">'Run CRS'!$H$108:$I$108</definedName>
    <definedName name="solver_lhs1398" localSheetId="4" hidden="1">'Run VRS'!$H$108:$I$108</definedName>
    <definedName name="solver_lhs1399" localSheetId="2" hidden="1">'Run CRS'!$H$108:$I$108</definedName>
    <definedName name="solver_lhs1399" localSheetId="4" hidden="1">'Run VRS'!$H$108:$I$108</definedName>
    <definedName name="solver_lhs14" localSheetId="0" hidden="1">'Data input'!$AC$3:$AC$53</definedName>
    <definedName name="solver_lhs14" localSheetId="2" hidden="1">'Run CRS'!$C$108</definedName>
    <definedName name="solver_lhs14" localSheetId="4" hidden="1">'Run VRS'!$C$108</definedName>
    <definedName name="solver_lhs140" localSheetId="2" hidden="1">'Run CRS'!$AC$107</definedName>
    <definedName name="solver_lhs140" localSheetId="4" hidden="1">'Run VRS'!$AC$107</definedName>
    <definedName name="solver_lhs1400" localSheetId="2" hidden="1">'Run CRS'!$H$108:$I$108</definedName>
    <definedName name="solver_lhs1400" localSheetId="4" hidden="1">'Run VRS'!$H$108:$I$108</definedName>
    <definedName name="solver_lhs1401" localSheetId="2" hidden="1">'Run CRS'!$H$108:$I$108</definedName>
    <definedName name="solver_lhs1401" localSheetId="4" hidden="1">'Run VRS'!$H$108:$I$108</definedName>
    <definedName name="solver_lhs1402" localSheetId="2" hidden="1">'Run CRS'!$H$108:$I$108</definedName>
    <definedName name="solver_lhs1402" localSheetId="4" hidden="1">'Run VRS'!$H$108:$I$108</definedName>
    <definedName name="solver_lhs1403" localSheetId="2" hidden="1">'Run CRS'!$H$108:$I$108</definedName>
    <definedName name="solver_lhs1403" localSheetId="4" hidden="1">'Run VRS'!$H$108:$I$108</definedName>
    <definedName name="solver_lhs1404" localSheetId="2" hidden="1">'Run CRS'!$H$108:$I$108</definedName>
    <definedName name="solver_lhs1404" localSheetId="4" hidden="1">'Run VRS'!$H$108:$I$108</definedName>
    <definedName name="solver_lhs1405" localSheetId="2" hidden="1">'Run CRS'!$H$108:$I$108</definedName>
    <definedName name="solver_lhs1405" localSheetId="4" hidden="1">'Run VRS'!$H$108:$I$108</definedName>
    <definedName name="solver_lhs1406" localSheetId="2" hidden="1">'Run CRS'!$H$108:$I$108</definedName>
    <definedName name="solver_lhs1406" localSheetId="4" hidden="1">'Run VRS'!$H$108:$I$108</definedName>
    <definedName name="solver_lhs1407" localSheetId="2" hidden="1">'Run CRS'!$H$108:$I$108</definedName>
    <definedName name="solver_lhs1407" localSheetId="4" hidden="1">'Run VRS'!$H$108:$I$108</definedName>
    <definedName name="solver_lhs1408" localSheetId="2" hidden="1">'Run CRS'!$H$108:$I$108</definedName>
    <definedName name="solver_lhs1408" localSheetId="4" hidden="1">'Run VRS'!$H$108:$I$108</definedName>
    <definedName name="solver_lhs1409" localSheetId="2" hidden="1">'Run CRS'!$H$108:$I$108</definedName>
    <definedName name="solver_lhs1409" localSheetId="4" hidden="1">'Run VRS'!$H$108:$I$108</definedName>
    <definedName name="solver_lhs141" localSheetId="2" hidden="1">'Run CRS'!$AC$107</definedName>
    <definedName name="solver_lhs141" localSheetId="4" hidden="1">'Run VRS'!$AC$107</definedName>
    <definedName name="solver_lhs1410" localSheetId="2" hidden="1">'Run CRS'!$H$108:$I$108</definedName>
    <definedName name="solver_lhs1410" localSheetId="4" hidden="1">'Run VRS'!$H$108:$I$108</definedName>
    <definedName name="solver_lhs1411" localSheetId="2" hidden="1">'Run CRS'!$H$108:$I$108</definedName>
    <definedName name="solver_lhs1411" localSheetId="4" hidden="1">'Run VRS'!$H$108:$I$108</definedName>
    <definedName name="solver_lhs1412" localSheetId="2" hidden="1">'Run CRS'!$H$108:$I$108</definedName>
    <definedName name="solver_lhs1412" localSheetId="4" hidden="1">'Run VRS'!$H$108:$I$108</definedName>
    <definedName name="solver_lhs1413" localSheetId="2" hidden="1">'Run CRS'!$H$108:$I$108</definedName>
    <definedName name="solver_lhs1413" localSheetId="4" hidden="1">'Run VRS'!$H$108:$I$108</definedName>
    <definedName name="solver_lhs1414" localSheetId="2" hidden="1">'Run CRS'!$H$108:$I$108</definedName>
    <definedName name="solver_lhs1414" localSheetId="4" hidden="1">'Run VRS'!$H$108:$I$108</definedName>
    <definedName name="solver_lhs1415" localSheetId="2" hidden="1">'Run CRS'!$H$108:$I$108</definedName>
    <definedName name="solver_lhs1415" localSheetId="4" hidden="1">'Run VRS'!$H$108:$I$108</definedName>
    <definedName name="solver_lhs1416" localSheetId="2" hidden="1">'Run CRS'!$H$108:$I$108</definedName>
    <definedName name="solver_lhs1416" localSheetId="4" hidden="1">'Run VRS'!$H$108:$I$108</definedName>
    <definedName name="solver_lhs1417" localSheetId="2" hidden="1">'Run CRS'!$H$108:$I$108</definedName>
    <definedName name="solver_lhs1417" localSheetId="4" hidden="1">'Run VRS'!$H$108:$I$108</definedName>
    <definedName name="solver_lhs1418" localSheetId="2" hidden="1">'Run CRS'!$H$108:$I$108</definedName>
    <definedName name="solver_lhs1418" localSheetId="4" hidden="1">'Run VRS'!$H$108:$I$108</definedName>
    <definedName name="solver_lhs1419" localSheetId="2" hidden="1">'Run CRS'!$H$108:$I$108</definedName>
    <definedName name="solver_lhs1419" localSheetId="4" hidden="1">'Run VRS'!$H$108:$I$108</definedName>
    <definedName name="solver_lhs142" localSheetId="2" hidden="1">'Run CRS'!$AC$107</definedName>
    <definedName name="solver_lhs142" localSheetId="4" hidden="1">'Run VRS'!$AC$107</definedName>
    <definedName name="solver_lhs1420" localSheetId="2" hidden="1">'Run CRS'!$H$108:$I$108</definedName>
    <definedName name="solver_lhs1420" localSheetId="4" hidden="1">'Run VRS'!$H$108:$I$108</definedName>
    <definedName name="solver_lhs1421" localSheetId="2" hidden="1">'Run CRS'!$H$108:$I$108</definedName>
    <definedName name="solver_lhs1421" localSheetId="4" hidden="1">'Run VRS'!$H$108:$I$108</definedName>
    <definedName name="solver_lhs1422" localSheetId="2" hidden="1">'Run CRS'!$H$108:$I$108</definedName>
    <definedName name="solver_lhs1422" localSheetId="4" hidden="1">'Run VRS'!$H$108:$I$108</definedName>
    <definedName name="solver_lhs1423" localSheetId="2" hidden="1">'Run CRS'!$H$108:$I$108</definedName>
    <definedName name="solver_lhs1423" localSheetId="4" hidden="1">'Run VRS'!$H$108:$I$108</definedName>
    <definedName name="solver_lhs1424" localSheetId="2" hidden="1">'Run CRS'!$H$108:$I$108</definedName>
    <definedName name="solver_lhs1424" localSheetId="4" hidden="1">'Run VRS'!$H$108:$I$108</definedName>
    <definedName name="solver_lhs1425" localSheetId="2" hidden="1">'Run CRS'!$H$108:$I$108</definedName>
    <definedName name="solver_lhs1425" localSheetId="4" hidden="1">'Run VRS'!$H$108:$I$108</definedName>
    <definedName name="solver_lhs1426" localSheetId="2" hidden="1">'Run CRS'!$H$108:$I$108</definedName>
    <definedName name="solver_lhs1426" localSheetId="4" hidden="1">'Run VRS'!$H$108:$I$108</definedName>
    <definedName name="solver_lhs1427" localSheetId="2" hidden="1">'Run CRS'!$H$108:$I$108</definedName>
    <definedName name="solver_lhs1427" localSheetId="4" hidden="1">'Run VRS'!$H$108:$I$108</definedName>
    <definedName name="solver_lhs1428" localSheetId="2" hidden="1">'Run CRS'!$H$108:$I$108</definedName>
    <definedName name="solver_lhs1428" localSheetId="4" hidden="1">'Run VRS'!$H$108:$I$108</definedName>
    <definedName name="solver_lhs1429" localSheetId="2" hidden="1">'Run CRS'!$H$108:$I$108</definedName>
    <definedName name="solver_lhs1429" localSheetId="4" hidden="1">'Run VRS'!$H$108:$I$108</definedName>
    <definedName name="solver_lhs143" localSheetId="2" hidden="1">'Run CRS'!$AC$107</definedName>
    <definedName name="solver_lhs143" localSheetId="4" hidden="1">'Run VRS'!$AC$107</definedName>
    <definedName name="solver_lhs1430" localSheetId="2" hidden="1">'Run CRS'!$H$108:$I$108</definedName>
    <definedName name="solver_lhs1430" localSheetId="4" hidden="1">'Run VRS'!$H$108:$I$108</definedName>
    <definedName name="solver_lhs1431" localSheetId="2" hidden="1">'Run CRS'!$H$108:$I$108</definedName>
    <definedName name="solver_lhs1431" localSheetId="4" hidden="1">'Run VRS'!$H$108:$I$108</definedName>
    <definedName name="solver_lhs1432" localSheetId="2" hidden="1">'Run CRS'!$H$108:$I$108</definedName>
    <definedName name="solver_lhs1432" localSheetId="4" hidden="1">'Run VRS'!$H$108:$I$108</definedName>
    <definedName name="solver_lhs1433" localSheetId="2" hidden="1">'Run CRS'!$H$108:$I$108</definedName>
    <definedName name="solver_lhs1433" localSheetId="4" hidden="1">'Run VRS'!$H$108:$I$108</definedName>
    <definedName name="solver_lhs1434" localSheetId="2" hidden="1">'Run CRS'!$H$108:$I$108</definedName>
    <definedName name="solver_lhs1434" localSheetId="4" hidden="1">'Run VRS'!$H$108:$I$108</definedName>
    <definedName name="solver_lhs1435" localSheetId="2" hidden="1">'Run CRS'!$H$108:$I$108</definedName>
    <definedName name="solver_lhs1435" localSheetId="4" hidden="1">'Run VRS'!$H$108:$I$108</definedName>
    <definedName name="solver_lhs1436" localSheetId="2" hidden="1">'Run CRS'!$H$108:$I$108</definedName>
    <definedName name="solver_lhs1436" localSheetId="4" hidden="1">'Run VRS'!$H$108:$I$108</definedName>
    <definedName name="solver_lhs1437" localSheetId="2" hidden="1">'Run CRS'!$H$108:$I$108</definedName>
    <definedName name="solver_lhs1437" localSheetId="4" hidden="1">'Run VRS'!$H$108:$I$108</definedName>
    <definedName name="solver_lhs1438" localSheetId="2" hidden="1">'Run CRS'!$H$108:$I$108</definedName>
    <definedName name="solver_lhs1438" localSheetId="4" hidden="1">'Run VRS'!$H$108:$I$108</definedName>
    <definedName name="solver_lhs1439" localSheetId="2" hidden="1">'Run CRS'!$H$108:$I$108</definedName>
    <definedName name="solver_lhs1439" localSheetId="4" hidden="1">'Run VRS'!$H$108:$I$108</definedName>
    <definedName name="solver_lhs144" localSheetId="2" hidden="1">'Run CRS'!$AC$107</definedName>
    <definedName name="solver_lhs144" localSheetId="4" hidden="1">'Run VRS'!$AC$107</definedName>
    <definedName name="solver_lhs1440" localSheetId="2" hidden="1">'Run CRS'!$H$108:$I$108</definedName>
    <definedName name="solver_lhs1440" localSheetId="4" hidden="1">'Run VRS'!$H$108:$I$108</definedName>
    <definedName name="solver_lhs1441" localSheetId="2" hidden="1">'Run CRS'!$H$108:$I$108</definedName>
    <definedName name="solver_lhs1441" localSheetId="4" hidden="1">'Run VRS'!$H$108:$I$108</definedName>
    <definedName name="solver_lhs1442" localSheetId="2" hidden="1">'Run CRS'!$H$108:$I$108</definedName>
    <definedName name="solver_lhs1442" localSheetId="4" hidden="1">'Run VRS'!$H$108:$I$108</definedName>
    <definedName name="solver_lhs1443" localSheetId="2" hidden="1">'Run CRS'!$H$108:$I$108</definedName>
    <definedName name="solver_lhs1443" localSheetId="4" hidden="1">'Run VRS'!$H$108:$I$108</definedName>
    <definedName name="solver_lhs1444" localSheetId="2" hidden="1">'Run CRS'!$H$108:$I$108</definedName>
    <definedName name="solver_lhs1444" localSheetId="4" hidden="1">'Run VRS'!$H$108:$I$108</definedName>
    <definedName name="solver_lhs1445" localSheetId="2" hidden="1">'Run CRS'!$H$108:$I$108</definedName>
    <definedName name="solver_lhs1445" localSheetId="4" hidden="1">'Run VRS'!$H$108:$I$108</definedName>
    <definedName name="solver_lhs1446" localSheetId="2" hidden="1">'Run CRS'!$H$108:$I$108</definedName>
    <definedName name="solver_lhs1446" localSheetId="4" hidden="1">'Run VRS'!$H$108:$I$108</definedName>
    <definedName name="solver_lhs1447" localSheetId="2" hidden="1">'Run CRS'!$H$108:$I$108</definedName>
    <definedName name="solver_lhs1447" localSheetId="4" hidden="1">'Run VRS'!$H$108:$I$108</definedName>
    <definedName name="solver_lhs1448" localSheetId="2" hidden="1">'Run CRS'!$H$108:$I$108</definedName>
    <definedName name="solver_lhs1448" localSheetId="4" hidden="1">'Run VRS'!$H$108:$I$108</definedName>
    <definedName name="solver_lhs1449" localSheetId="2" hidden="1">'Run CRS'!$H$108:$I$108</definedName>
    <definedName name="solver_lhs1449" localSheetId="4" hidden="1">'Run VRS'!$H$108:$I$108</definedName>
    <definedName name="solver_lhs145" localSheetId="2" hidden="1">'Run CRS'!$AC$107</definedName>
    <definedName name="solver_lhs145" localSheetId="4" hidden="1">'Run VRS'!$AC$107</definedName>
    <definedName name="solver_lhs1450" localSheetId="2" hidden="1">'Run CRS'!$H$108:$I$108</definedName>
    <definedName name="solver_lhs1450" localSheetId="4" hidden="1">'Run VRS'!$H$108:$I$108</definedName>
    <definedName name="solver_lhs1451" localSheetId="2" hidden="1">'Run CRS'!$H$108:$I$108</definedName>
    <definedName name="solver_lhs1451" localSheetId="4" hidden="1">'Run VRS'!$H$108:$I$108</definedName>
    <definedName name="solver_lhs1452" localSheetId="2" hidden="1">'Run CRS'!$H$108:$I$108</definedName>
    <definedName name="solver_lhs1452" localSheetId="4" hidden="1">'Run VRS'!$H$108:$I$108</definedName>
    <definedName name="solver_lhs1453" localSheetId="2" hidden="1">'Run CRS'!$H$108:$I$108</definedName>
    <definedName name="solver_lhs1453" localSheetId="4" hidden="1">'Run VRS'!$H$108:$I$108</definedName>
    <definedName name="solver_lhs1454" localSheetId="2" hidden="1">'Run CRS'!$H$108:$I$108</definedName>
    <definedName name="solver_lhs1454" localSheetId="4" hidden="1">'Run VRS'!$H$108:$I$108</definedName>
    <definedName name="solver_lhs1455" localSheetId="2" hidden="1">'Run CRS'!$H$108:$I$108</definedName>
    <definedName name="solver_lhs1455" localSheetId="4" hidden="1">'Run VRS'!$H$108:$I$108</definedName>
    <definedName name="solver_lhs1456" localSheetId="2" hidden="1">'Run CRS'!$H$108:$I$108</definedName>
    <definedName name="solver_lhs1456" localSheetId="4" hidden="1">'Run VRS'!$H$108:$I$108</definedName>
    <definedName name="solver_lhs1457" localSheetId="2" hidden="1">'Run CRS'!$H$108:$I$108</definedName>
    <definedName name="solver_lhs1457" localSheetId="4" hidden="1">'Run VRS'!$H$108:$I$108</definedName>
    <definedName name="solver_lhs1458" localSheetId="2" hidden="1">'Run CRS'!$H$108:$I$108</definedName>
    <definedName name="solver_lhs1458" localSheetId="4" hidden="1">'Run VRS'!$H$108:$I$108</definedName>
    <definedName name="solver_lhs1459" localSheetId="2" hidden="1">'Run CRS'!$H$108:$I$108</definedName>
    <definedName name="solver_lhs1459" localSheetId="4" hidden="1">'Run VRS'!$H$108:$I$108</definedName>
    <definedName name="solver_lhs146" localSheetId="2" hidden="1">'Run CRS'!$AC$107</definedName>
    <definedName name="solver_lhs146" localSheetId="4" hidden="1">'Run VRS'!$AC$107</definedName>
    <definedName name="solver_lhs1460" localSheetId="2" hidden="1">'Run CRS'!$H$108:$I$108</definedName>
    <definedName name="solver_lhs1460" localSheetId="4" hidden="1">'Run VRS'!$H$108:$I$108</definedName>
    <definedName name="solver_lhs1461" localSheetId="2" hidden="1">'Run CRS'!$H$108:$I$108</definedName>
    <definedName name="solver_lhs1461" localSheetId="4" hidden="1">'Run VRS'!$H$108:$I$108</definedName>
    <definedName name="solver_lhs1462" localSheetId="2" hidden="1">'Run CRS'!$H$108:$I$108</definedName>
    <definedName name="solver_lhs1462" localSheetId="4" hidden="1">'Run VRS'!$H$108:$I$108</definedName>
    <definedName name="solver_lhs1463" localSheetId="2" hidden="1">'Run CRS'!$H$108:$I$108</definedName>
    <definedName name="solver_lhs1463" localSheetId="4" hidden="1">'Run VRS'!$H$108:$I$108</definedName>
    <definedName name="solver_lhs1464" localSheetId="2" hidden="1">'Run CRS'!$H$108:$I$108</definedName>
    <definedName name="solver_lhs1464" localSheetId="4" hidden="1">'Run VRS'!$H$108:$I$108</definedName>
    <definedName name="solver_lhs1465" localSheetId="2" hidden="1">'Run CRS'!$H$108:$I$108</definedName>
    <definedName name="solver_lhs1465" localSheetId="4" hidden="1">'Run VRS'!$H$108:$I$108</definedName>
    <definedName name="solver_lhs1466" localSheetId="2" hidden="1">'Run CRS'!$H$108:$I$108</definedName>
    <definedName name="solver_lhs1466" localSheetId="4" hidden="1">'Run VRS'!$H$108:$I$108</definedName>
    <definedName name="solver_lhs1467" localSheetId="2" hidden="1">'Run CRS'!$H$108:$I$108</definedName>
    <definedName name="solver_lhs1467" localSheetId="4" hidden="1">'Run VRS'!$H$108:$I$108</definedName>
    <definedName name="solver_lhs1468" localSheetId="2" hidden="1">'Run CRS'!$H$108:$I$108</definedName>
    <definedName name="solver_lhs1468" localSheetId="4" hidden="1">'Run VRS'!$H$108:$I$108</definedName>
    <definedName name="solver_lhs1469" localSheetId="2" hidden="1">'Run CRS'!$H$108:$I$108</definedName>
    <definedName name="solver_lhs1469" localSheetId="4" hidden="1">'Run VRS'!$H$108:$I$108</definedName>
    <definedName name="solver_lhs147" localSheetId="2" hidden="1">'Run CRS'!$AC$107</definedName>
    <definedName name="solver_lhs147" localSheetId="4" hidden="1">'Run VRS'!$AC$107</definedName>
    <definedName name="solver_lhs1470" localSheetId="2" hidden="1">'Run CRS'!$H$108:$I$108</definedName>
    <definedName name="solver_lhs1470" localSheetId="4" hidden="1">'Run VRS'!$H$108:$I$108</definedName>
    <definedName name="solver_lhs1471" localSheetId="2" hidden="1">'Run CRS'!$H$108:$I$108</definedName>
    <definedName name="solver_lhs1471" localSheetId="4" hidden="1">'Run VRS'!$H$108:$I$108</definedName>
    <definedName name="solver_lhs1472" localSheetId="2" hidden="1">'Run CRS'!$H$108:$I$108</definedName>
    <definedName name="solver_lhs1472" localSheetId="4" hidden="1">'Run VRS'!$H$108:$I$108</definedName>
    <definedName name="solver_lhs1473" localSheetId="2" hidden="1">'Run CRS'!$H$108:$I$108</definedName>
    <definedName name="solver_lhs1473" localSheetId="4" hidden="1">'Run VRS'!$H$108:$I$108</definedName>
    <definedName name="solver_lhs1474" localSheetId="2" hidden="1">'Run CRS'!$H$108:$I$108</definedName>
    <definedName name="solver_lhs1474" localSheetId="4" hidden="1">'Run VRS'!$H$108:$I$108</definedName>
    <definedName name="solver_lhs1475" localSheetId="2" hidden="1">'Run CRS'!$H$108:$I$108</definedName>
    <definedName name="solver_lhs1475" localSheetId="4" hidden="1">'Run VRS'!$H$108:$I$108</definedName>
    <definedName name="solver_lhs1476" localSheetId="2" hidden="1">'Run CRS'!$H$108:$I$108</definedName>
    <definedName name="solver_lhs1476" localSheetId="4" hidden="1">'Run VRS'!$H$108:$I$108</definedName>
    <definedName name="solver_lhs1477" localSheetId="2" hidden="1">'Run CRS'!$H$108:$I$108</definedName>
    <definedName name="solver_lhs1477" localSheetId="4" hidden="1">'Run VRS'!$H$108:$I$108</definedName>
    <definedName name="solver_lhs1478" localSheetId="2" hidden="1">'Run CRS'!$H$108:$I$108</definedName>
    <definedName name="solver_lhs1478" localSheetId="4" hidden="1">'Run VRS'!$H$108:$I$108</definedName>
    <definedName name="solver_lhs1479" localSheetId="2" hidden="1">'Run CRS'!$H$108:$I$108</definedName>
    <definedName name="solver_lhs1479" localSheetId="4" hidden="1">'Run VRS'!$H$108:$I$108</definedName>
    <definedName name="solver_lhs148" localSheetId="2" hidden="1">'Run CRS'!$AC$107</definedName>
    <definedName name="solver_lhs148" localSheetId="4" hidden="1">'Run VRS'!$AC$107</definedName>
    <definedName name="solver_lhs1480" localSheetId="2" hidden="1">'Run CRS'!$H$108:$I$108</definedName>
    <definedName name="solver_lhs1480" localSheetId="4" hidden="1">'Run VRS'!$H$108:$I$108</definedName>
    <definedName name="solver_lhs1481" localSheetId="2" hidden="1">'Run CRS'!$H$108:$I$108</definedName>
    <definedName name="solver_lhs1481" localSheetId="4" hidden="1">'Run VRS'!$H$108:$I$108</definedName>
    <definedName name="solver_lhs1482" localSheetId="2" hidden="1">'Run CRS'!$H$108:$I$108</definedName>
    <definedName name="solver_lhs1482" localSheetId="4" hidden="1">'Run VRS'!$H$108:$I$108</definedName>
    <definedName name="solver_lhs1483" localSheetId="2" hidden="1">'Run CRS'!$H$108:$I$108</definedName>
    <definedName name="solver_lhs1483" localSheetId="4" hidden="1">'Run VRS'!$H$108:$I$108</definedName>
    <definedName name="solver_lhs1484" localSheetId="2" hidden="1">'Run CRS'!$H$108:$I$108</definedName>
    <definedName name="solver_lhs1484" localSheetId="4" hidden="1">'Run VRS'!$H$108:$I$108</definedName>
    <definedName name="solver_lhs1485" localSheetId="2" hidden="1">'Run CRS'!$H$108:$I$108</definedName>
    <definedName name="solver_lhs1485" localSheetId="4" hidden="1">'Run VRS'!$H$108:$I$108</definedName>
    <definedName name="solver_lhs1486" localSheetId="2" hidden="1">'Run CRS'!$H$108:$I$108</definedName>
    <definedName name="solver_lhs1486" localSheetId="4" hidden="1">'Run VRS'!$H$108:$I$108</definedName>
    <definedName name="solver_lhs1487" localSheetId="2" hidden="1">'Run CRS'!$H$108:$I$108</definedName>
    <definedName name="solver_lhs1487" localSheetId="4" hidden="1">'Run VRS'!$H$108:$I$108</definedName>
    <definedName name="solver_lhs1488" localSheetId="2" hidden="1">'Run CRS'!$H$108:$I$108</definedName>
    <definedName name="solver_lhs1488" localSheetId="4" hidden="1">'Run VRS'!$H$108:$I$108</definedName>
    <definedName name="solver_lhs1489" localSheetId="2" hidden="1">'Run CRS'!$H$108:$I$108</definedName>
    <definedName name="solver_lhs1489" localSheetId="4" hidden="1">'Run VRS'!$H$108:$I$108</definedName>
    <definedName name="solver_lhs149" localSheetId="2" hidden="1">'Run CRS'!$AC$107</definedName>
    <definedName name="solver_lhs149" localSheetId="4" hidden="1">'Run VRS'!$AC$107</definedName>
    <definedName name="solver_lhs1490" localSheetId="2" hidden="1">'Run CRS'!$H$108:$I$108</definedName>
    <definedName name="solver_lhs1490" localSheetId="4" hidden="1">'Run VRS'!$H$108:$I$108</definedName>
    <definedName name="solver_lhs1491" localSheetId="2" hidden="1">'Run CRS'!$H$108:$I$108</definedName>
    <definedName name="solver_lhs1491" localSheetId="4" hidden="1">'Run VRS'!$H$108:$I$108</definedName>
    <definedName name="solver_lhs1492" localSheetId="2" hidden="1">'Run CRS'!$H$108:$I$108</definedName>
    <definedName name="solver_lhs1492" localSheetId="4" hidden="1">'Run VRS'!$H$108:$I$108</definedName>
    <definedName name="solver_lhs1493" localSheetId="2" hidden="1">'Run CRS'!$H$108:$I$108</definedName>
    <definedName name="solver_lhs1493" localSheetId="4" hidden="1">'Run VRS'!$H$108:$I$108</definedName>
    <definedName name="solver_lhs1494" localSheetId="2" hidden="1">'Run CRS'!$H$108:$I$108</definedName>
    <definedName name="solver_lhs1494" localSheetId="4" hidden="1">'Run VRS'!$H$108:$I$108</definedName>
    <definedName name="solver_lhs1495" localSheetId="2" hidden="1">'Run CRS'!$H$108:$I$108</definedName>
    <definedName name="solver_lhs1495" localSheetId="4" hidden="1">'Run VRS'!$H$108:$I$108</definedName>
    <definedName name="solver_lhs1496" localSheetId="2" hidden="1">'Run CRS'!$H$108:$I$108</definedName>
    <definedName name="solver_lhs1496" localSheetId="4" hidden="1">'Run VRS'!$H$108:$I$108</definedName>
    <definedName name="solver_lhs1497" localSheetId="2" hidden="1">'Run CRS'!$H$108:$I$108</definedName>
    <definedName name="solver_lhs1497" localSheetId="4" hidden="1">'Run VRS'!$H$108:$I$108</definedName>
    <definedName name="solver_lhs1498" localSheetId="2" hidden="1">'Run CRS'!$H$108:$I$108</definedName>
    <definedName name="solver_lhs1498" localSheetId="4" hidden="1">'Run VRS'!$H$108:$I$108</definedName>
    <definedName name="solver_lhs1499" localSheetId="2" hidden="1">'Run CRS'!$H$108:$I$108</definedName>
    <definedName name="solver_lhs1499" localSheetId="4" hidden="1">'Run VRS'!$H$108:$I$108</definedName>
    <definedName name="solver_lhs15" localSheetId="0" hidden="1">'Data input'!$C$108</definedName>
    <definedName name="solver_lhs15" localSheetId="2" hidden="1">'Run CRS'!$H$108:$I$108</definedName>
    <definedName name="solver_lhs15" localSheetId="4" hidden="1">'Run VRS'!$H$108:$I$108</definedName>
    <definedName name="solver_lhs150" localSheetId="2" hidden="1">'Run CRS'!$AC$107</definedName>
    <definedName name="solver_lhs150" localSheetId="4" hidden="1">'Run VRS'!$AC$107</definedName>
    <definedName name="solver_lhs1500" localSheetId="2" hidden="1">'Run CRS'!$H$108:$I$108</definedName>
    <definedName name="solver_lhs1500" localSheetId="4" hidden="1">'Run VRS'!$H$108:$I$108</definedName>
    <definedName name="solver_lhs1501" localSheetId="2" hidden="1">'Run CRS'!$H$108:$I$108</definedName>
    <definedName name="solver_lhs1501" localSheetId="4" hidden="1">'Run VRS'!$H$108:$I$108</definedName>
    <definedName name="solver_lhs1502" localSheetId="2" hidden="1">'Run CRS'!$H$108:$I$108</definedName>
    <definedName name="solver_lhs1502" localSheetId="4" hidden="1">'Run VRS'!$H$108:$I$108</definedName>
    <definedName name="solver_lhs1503" localSheetId="2" hidden="1">'Run CRS'!$H$108:$I$108</definedName>
    <definedName name="solver_lhs1503" localSheetId="4" hidden="1">'Run VRS'!$H$108:$I$108</definedName>
    <definedName name="solver_lhs1504" localSheetId="2" hidden="1">'Run CRS'!$H$108:$I$108</definedName>
    <definedName name="solver_lhs1504" localSheetId="4" hidden="1">'Run VRS'!$H$108:$I$108</definedName>
    <definedName name="solver_lhs1505" localSheetId="2" hidden="1">'Run CRS'!$H$108:$I$108</definedName>
    <definedName name="solver_lhs1505" localSheetId="4" hidden="1">'Run VRS'!$H$108:$I$108</definedName>
    <definedName name="solver_lhs1506" localSheetId="2" hidden="1">'Run CRS'!$H$108:$I$108</definedName>
    <definedName name="solver_lhs1506" localSheetId="4" hidden="1">'Run VRS'!$H$108:$I$108</definedName>
    <definedName name="solver_lhs1507" localSheetId="2" hidden="1">'Run CRS'!$H$108:$I$108</definedName>
    <definedName name="solver_lhs1507" localSheetId="4" hidden="1">'Run VRS'!$H$108:$I$108</definedName>
    <definedName name="solver_lhs1508" localSheetId="2" hidden="1">'Run CRS'!$H$108:$I$108</definedName>
    <definedName name="solver_lhs1508" localSheetId="4" hidden="1">'Run VRS'!$H$108:$I$108</definedName>
    <definedName name="solver_lhs1509" localSheetId="2" hidden="1">'Run CRS'!$H$108:$I$108</definedName>
    <definedName name="solver_lhs1509" localSheetId="4" hidden="1">'Run VRS'!$H$108:$I$108</definedName>
    <definedName name="solver_lhs151" localSheetId="2" hidden="1">'Run CRS'!$AC$107</definedName>
    <definedName name="solver_lhs151" localSheetId="4" hidden="1">'Run VRS'!$AC$107</definedName>
    <definedName name="solver_lhs1510" localSheetId="2" hidden="1">'Run CRS'!$H$108:$I$108</definedName>
    <definedName name="solver_lhs1510" localSheetId="4" hidden="1">'Run VRS'!$H$108:$I$108</definedName>
    <definedName name="solver_lhs1511" localSheetId="2" hidden="1">'Run CRS'!$H$108:$I$108</definedName>
    <definedName name="solver_lhs1511" localSheetId="4" hidden="1">'Run VRS'!$H$108:$I$108</definedName>
    <definedName name="solver_lhs1512" localSheetId="2" hidden="1">'Run CRS'!$H$108:$I$108</definedName>
    <definedName name="solver_lhs1512" localSheetId="4" hidden="1">'Run VRS'!$H$108:$I$108</definedName>
    <definedName name="solver_lhs1513" localSheetId="2" hidden="1">'Run CRS'!$H$108:$I$108</definedName>
    <definedName name="solver_lhs1513" localSheetId="4" hidden="1">'Run VRS'!$H$108:$I$108</definedName>
    <definedName name="solver_lhs1514" localSheetId="2" hidden="1">'Run CRS'!$H$108:$I$108</definedName>
    <definedName name="solver_lhs1514" localSheetId="4" hidden="1">'Run VRS'!$H$108:$I$108</definedName>
    <definedName name="solver_lhs1515" localSheetId="2" hidden="1">'Run CRS'!$H$108:$I$108</definedName>
    <definedName name="solver_lhs1515" localSheetId="4" hidden="1">'Run VRS'!$H$108:$I$108</definedName>
    <definedName name="solver_lhs1516" localSheetId="2" hidden="1">'Run CRS'!$H$108:$I$108</definedName>
    <definedName name="solver_lhs1516" localSheetId="4" hidden="1">'Run VRS'!$H$108:$I$108</definedName>
    <definedName name="solver_lhs1517" localSheetId="2" hidden="1">'Run CRS'!$H$108:$I$108</definedName>
    <definedName name="solver_lhs1517" localSheetId="4" hidden="1">'Run VRS'!$H$108:$I$108</definedName>
    <definedName name="solver_lhs1518" localSheetId="2" hidden="1">'Run CRS'!$H$108:$I$108</definedName>
    <definedName name="solver_lhs1518" localSheetId="4" hidden="1">'Run VRS'!$H$108:$I$108</definedName>
    <definedName name="solver_lhs1519" localSheetId="2" hidden="1">'Run CRS'!$H$108:$I$108</definedName>
    <definedName name="solver_lhs1519" localSheetId="4" hidden="1">'Run VRS'!$H$108:$I$108</definedName>
    <definedName name="solver_lhs152" localSheetId="2" hidden="1">'Run CRS'!$AC$107</definedName>
    <definedName name="solver_lhs152" localSheetId="4" hidden="1">'Run VRS'!$AC$107</definedName>
    <definedName name="solver_lhs1520" localSheetId="2" hidden="1">'Run CRS'!$H$108:$I$108</definedName>
    <definedName name="solver_lhs1520" localSheetId="4" hidden="1">'Run VRS'!$H$108:$I$108</definedName>
    <definedName name="solver_lhs1521" localSheetId="2" hidden="1">'Run CRS'!$H$108:$I$108</definedName>
    <definedName name="solver_lhs1521" localSheetId="4" hidden="1">'Run VRS'!$H$108:$I$108</definedName>
    <definedName name="solver_lhs1522" localSheetId="2" hidden="1">'Run CRS'!$H$108:$I$108</definedName>
    <definedName name="solver_lhs1522" localSheetId="4" hidden="1">'Run VRS'!$H$108:$I$108</definedName>
    <definedName name="solver_lhs1523" localSheetId="2" hidden="1">'Run CRS'!$H$108:$I$108</definedName>
    <definedName name="solver_lhs1523" localSheetId="4" hidden="1">'Run VRS'!$H$108:$I$108</definedName>
    <definedName name="solver_lhs1524" localSheetId="2" hidden="1">'Run CRS'!$H$108:$I$108</definedName>
    <definedName name="solver_lhs1524" localSheetId="4" hidden="1">'Run VRS'!$H$108:$I$108</definedName>
    <definedName name="solver_lhs1525" localSheetId="2" hidden="1">'Run CRS'!$H$108:$I$108</definedName>
    <definedName name="solver_lhs1525" localSheetId="4" hidden="1">'Run VRS'!$H$108:$I$108</definedName>
    <definedName name="solver_lhs1526" localSheetId="2" hidden="1">'Run CRS'!$H$108:$I$108</definedName>
    <definedName name="solver_lhs1526" localSheetId="4" hidden="1">'Run VRS'!$H$108:$I$108</definedName>
    <definedName name="solver_lhs1527" localSheetId="2" hidden="1">'Run CRS'!$H$108:$I$108</definedName>
    <definedName name="solver_lhs1527" localSheetId="4" hidden="1">'Run VRS'!$H$108:$I$108</definedName>
    <definedName name="solver_lhs1528" localSheetId="2" hidden="1">'Run CRS'!$H$108:$I$108</definedName>
    <definedName name="solver_lhs1528" localSheetId="4" hidden="1">'Run VRS'!$H$108:$I$108</definedName>
    <definedName name="solver_lhs1529" localSheetId="2" hidden="1">'Run CRS'!$H$108:$I$108</definedName>
    <definedName name="solver_lhs1529" localSheetId="4" hidden="1">'Run VRS'!$H$108:$I$108</definedName>
    <definedName name="solver_lhs153" localSheetId="2" hidden="1">'Run CRS'!$AC$107</definedName>
    <definedName name="solver_lhs153" localSheetId="4" hidden="1">'Run VRS'!$AC$107</definedName>
    <definedName name="solver_lhs1530" localSheetId="2" hidden="1">'Run CRS'!$H$108:$I$108</definedName>
    <definedName name="solver_lhs1530" localSheetId="4" hidden="1">'Run VRS'!$H$108:$I$108</definedName>
    <definedName name="solver_lhs1531" localSheetId="2" hidden="1">'Run CRS'!$H$108:$I$108</definedName>
    <definedName name="solver_lhs1531" localSheetId="4" hidden="1">'Run VRS'!$H$108:$I$108</definedName>
    <definedName name="solver_lhs1532" localSheetId="2" hidden="1">'Run CRS'!$H$108:$I$108</definedName>
    <definedName name="solver_lhs1532" localSheetId="4" hidden="1">'Run VRS'!$H$108:$I$108</definedName>
    <definedName name="solver_lhs1533" localSheetId="2" hidden="1">'Run CRS'!$H$108:$I$108</definedName>
    <definedName name="solver_lhs1533" localSheetId="4" hidden="1">'Run VRS'!$H$108:$I$108</definedName>
    <definedName name="solver_lhs1534" localSheetId="2" hidden="1">'Run CRS'!$H$108:$I$108</definedName>
    <definedName name="solver_lhs1534" localSheetId="4" hidden="1">'Run VRS'!$H$108:$I$108</definedName>
    <definedName name="solver_lhs1535" localSheetId="2" hidden="1">'Run CRS'!$H$108:$I$108</definedName>
    <definedName name="solver_lhs1535" localSheetId="4" hidden="1">'Run VRS'!$H$108:$I$108</definedName>
    <definedName name="solver_lhs1536" localSheetId="2" hidden="1">'Run CRS'!$H$108:$I$108</definedName>
    <definedName name="solver_lhs1536" localSheetId="4" hidden="1">'Run VRS'!$H$108:$I$108</definedName>
    <definedName name="solver_lhs1537" localSheetId="2" hidden="1">'Run CRS'!$H$108:$I$108</definedName>
    <definedName name="solver_lhs1537" localSheetId="4" hidden="1">'Run VRS'!$H$108:$I$108</definedName>
    <definedName name="solver_lhs1538" localSheetId="2" hidden="1">'Run CRS'!$H$108:$I$108</definedName>
    <definedName name="solver_lhs1538" localSheetId="4" hidden="1">'Run VRS'!$H$108:$I$108</definedName>
    <definedName name="solver_lhs1539" localSheetId="2" hidden="1">'Run CRS'!$H$108:$I$108</definedName>
    <definedName name="solver_lhs1539" localSheetId="4" hidden="1">'Run VRS'!$H$108:$I$108</definedName>
    <definedName name="solver_lhs154" localSheetId="2" hidden="1">'Run CRS'!$AC$107</definedName>
    <definedName name="solver_lhs154" localSheetId="4" hidden="1">'Run VRS'!$AC$107</definedName>
    <definedName name="solver_lhs1540" localSheetId="2" hidden="1">'Run CRS'!$H$108:$I$108</definedName>
    <definedName name="solver_lhs1540" localSheetId="4" hidden="1">'Run VRS'!$H$108:$I$108</definedName>
    <definedName name="solver_lhs1541" localSheetId="2" hidden="1">'Run CRS'!$H$108:$I$108</definedName>
    <definedName name="solver_lhs1541" localSheetId="4" hidden="1">'Run VRS'!$H$108:$I$108</definedName>
    <definedName name="solver_lhs1542" localSheetId="2" hidden="1">'Run CRS'!$H$108:$I$108</definedName>
    <definedName name="solver_lhs1542" localSheetId="4" hidden="1">'Run VRS'!$H$108:$I$108</definedName>
    <definedName name="solver_lhs1543" localSheetId="2" hidden="1">'Run CRS'!$H$108:$I$108</definedName>
    <definedName name="solver_lhs1543" localSheetId="4" hidden="1">'Run VRS'!$H$108:$I$108</definedName>
    <definedName name="solver_lhs1544" localSheetId="2" hidden="1">'Run CRS'!$H$108:$I$108</definedName>
    <definedName name="solver_lhs1544" localSheetId="4" hidden="1">'Run VRS'!$H$108:$I$108</definedName>
    <definedName name="solver_lhs1545" localSheetId="2" hidden="1">'Run CRS'!$H$108:$I$108</definedName>
    <definedName name="solver_lhs1545" localSheetId="4" hidden="1">'Run VRS'!$H$108:$I$108</definedName>
    <definedName name="solver_lhs1546" localSheetId="2" hidden="1">'Run CRS'!$H$108:$I$108</definedName>
    <definedName name="solver_lhs1546" localSheetId="4" hidden="1">'Run VRS'!$H$108:$I$108</definedName>
    <definedName name="solver_lhs1547" localSheetId="2" hidden="1">'Run CRS'!$H$108:$I$108</definedName>
    <definedName name="solver_lhs1547" localSheetId="4" hidden="1">'Run VRS'!$H$108:$I$108</definedName>
    <definedName name="solver_lhs1548" localSheetId="2" hidden="1">'Run CRS'!$H$108:$I$108</definedName>
    <definedName name="solver_lhs1548" localSheetId="4" hidden="1">'Run VRS'!$H$108:$I$108</definedName>
    <definedName name="solver_lhs1549" localSheetId="2" hidden="1">'Run CRS'!$H$108:$I$108</definedName>
    <definedName name="solver_lhs1549" localSheetId="4" hidden="1">'Run VRS'!$H$108:$I$108</definedName>
    <definedName name="solver_lhs155" localSheetId="2" hidden="1">'Run CRS'!$AC$107</definedName>
    <definedName name="solver_lhs155" localSheetId="4" hidden="1">'Run VRS'!$AC$107</definedName>
    <definedName name="solver_lhs1550" localSheetId="2" hidden="1">'Run CRS'!$H$108:$I$108</definedName>
    <definedName name="solver_lhs1550" localSheetId="4" hidden="1">'Run VRS'!$H$108:$I$108</definedName>
    <definedName name="solver_lhs1551" localSheetId="2" hidden="1">'Run CRS'!$H$108:$I$108</definedName>
    <definedName name="solver_lhs1551" localSheetId="4" hidden="1">'Run VRS'!$H$108:$I$108</definedName>
    <definedName name="solver_lhs1552" localSheetId="2" hidden="1">'Run CRS'!$H$108:$I$108</definedName>
    <definedName name="solver_lhs1552" localSheetId="4" hidden="1">'Run VRS'!$H$108:$I$108</definedName>
    <definedName name="solver_lhs1553" localSheetId="2" hidden="1">'Run CRS'!$H$108:$I$108</definedName>
    <definedName name="solver_lhs1553" localSheetId="4" hidden="1">'Run VRS'!$H$108:$I$108</definedName>
    <definedName name="solver_lhs1554" localSheetId="2" hidden="1">'Run CRS'!$H$110:$I$110</definedName>
    <definedName name="solver_lhs1554" localSheetId="4" hidden="1">'Run VRS'!$H$110:$I$110</definedName>
    <definedName name="solver_lhs1555" localSheetId="2" hidden="1">'Run CRS'!$H$108:$I$108</definedName>
    <definedName name="solver_lhs1555" localSheetId="4" hidden="1">'Run VRS'!$H$108:$I$108</definedName>
    <definedName name="solver_lhs1556" localSheetId="2" hidden="1">'Run CRS'!$H$110:$I$110</definedName>
    <definedName name="solver_lhs1556" localSheetId="4" hidden="1">'Run VRS'!$H$110:$I$110</definedName>
    <definedName name="solver_lhs1557" localSheetId="2" hidden="1">'Run CRS'!$H$108:$I$108</definedName>
    <definedName name="solver_lhs1557" localSheetId="4" hidden="1">'Run VRS'!$H$108:$I$108</definedName>
    <definedName name="solver_lhs1558" localSheetId="2" hidden="1">'Run CRS'!$H$110:$I$110</definedName>
    <definedName name="solver_lhs1558" localSheetId="4" hidden="1">'Run VRS'!$H$110:$I$110</definedName>
    <definedName name="solver_lhs1559" localSheetId="2" hidden="1">'Run CRS'!$H$108:$I$108</definedName>
    <definedName name="solver_lhs1559" localSheetId="4" hidden="1">'Run VRS'!$H$108:$I$108</definedName>
    <definedName name="solver_lhs156" localSheetId="2" hidden="1">'Run CRS'!$AC$107</definedName>
    <definedName name="solver_lhs156" localSheetId="4" hidden="1">'Run VRS'!$AC$107</definedName>
    <definedName name="solver_lhs1560" localSheetId="2" hidden="1">'Run CRS'!$H$110:$I$110</definedName>
    <definedName name="solver_lhs1560" localSheetId="4" hidden="1">'Run VRS'!$H$110:$I$110</definedName>
    <definedName name="solver_lhs1561" localSheetId="2" hidden="1">'Run CRS'!$H$108:$I$108</definedName>
    <definedName name="solver_lhs1561" localSheetId="4" hidden="1">'Run VRS'!$H$108:$I$108</definedName>
    <definedName name="solver_lhs1562" localSheetId="2" hidden="1">'Run CRS'!$H$110:$I$110</definedName>
    <definedName name="solver_lhs1562" localSheetId="4" hidden="1">'Run VRS'!$H$110:$I$110</definedName>
    <definedName name="solver_lhs1563" localSheetId="2" hidden="1">'Run CRS'!$H$110:$I$110</definedName>
    <definedName name="solver_lhs1563" localSheetId="4" hidden="1">'Run VRS'!$H$110:$I$110</definedName>
    <definedName name="solver_lhs1564" localSheetId="2" hidden="1">'Run CRS'!$H$110:$I$110</definedName>
    <definedName name="solver_lhs1564" localSheetId="4" hidden="1">'Run VRS'!$H$110:$I$110</definedName>
    <definedName name="solver_lhs1565" localSheetId="2" hidden="1">'Run CRS'!$H$110:$I$110</definedName>
    <definedName name="solver_lhs1565" localSheetId="4" hidden="1">'Run VRS'!$H$110:$I$110</definedName>
    <definedName name="solver_lhs1566" localSheetId="2" hidden="1">'Run CRS'!$H$110:$I$110</definedName>
    <definedName name="solver_lhs1566" localSheetId="4" hidden="1">'Run VRS'!$H$110:$I$110</definedName>
    <definedName name="solver_lhs1567" localSheetId="2" hidden="1">'Run CRS'!$H$110:$I$110</definedName>
    <definedName name="solver_lhs1567" localSheetId="4" hidden="1">'Run VRS'!$H$110:$I$110</definedName>
    <definedName name="solver_lhs1568" localSheetId="2" hidden="1">'Run CRS'!$H$110:$I$110</definedName>
    <definedName name="solver_lhs1568" localSheetId="4" hidden="1">'Run VRS'!$H$110:$I$110</definedName>
    <definedName name="solver_lhs1569" localSheetId="2" hidden="1">'Run CRS'!$H$110:$I$110</definedName>
    <definedName name="solver_lhs1569" localSheetId="4" hidden="1">'Run VRS'!$H$110:$I$110</definedName>
    <definedName name="solver_lhs157" localSheetId="2" hidden="1">'Run CRS'!$AC$107</definedName>
    <definedName name="solver_lhs157" localSheetId="4" hidden="1">'Run VRS'!$AC$107</definedName>
    <definedName name="solver_lhs1570" localSheetId="2" hidden="1">'Run CRS'!$H$110:$I$110</definedName>
    <definedName name="solver_lhs1570" localSheetId="4" hidden="1">'Run VRS'!$H$110:$I$110</definedName>
    <definedName name="solver_lhs1571" localSheetId="2" hidden="1">'Run CRS'!$H$108:$I$108</definedName>
    <definedName name="solver_lhs1571" localSheetId="4" hidden="1">'Run VRS'!$H$108:$I$108</definedName>
    <definedName name="solver_lhs1572" localSheetId="2" hidden="1">'Run CRS'!$H$110:$I$110</definedName>
    <definedName name="solver_lhs1572" localSheetId="4" hidden="1">'Run VRS'!$H$110:$I$110</definedName>
    <definedName name="solver_lhs1573" localSheetId="2" hidden="1">'Run CRS'!$H$110:$I$110</definedName>
    <definedName name="solver_lhs1573" localSheetId="4" hidden="1">'Run VRS'!$H$110:$I$110</definedName>
    <definedName name="solver_lhs1574" localSheetId="2" hidden="1">'Run CRS'!$H$110:$I$110</definedName>
    <definedName name="solver_lhs1574" localSheetId="4" hidden="1">'Run VRS'!$H$110:$I$110</definedName>
    <definedName name="solver_lhs1575" localSheetId="2" hidden="1">'Run CRS'!$H$110:$I$110</definedName>
    <definedName name="solver_lhs1575" localSheetId="4" hidden="1">'Run VRS'!$H$110:$I$110</definedName>
    <definedName name="solver_lhs1576" localSheetId="2" hidden="1">'Run CRS'!$H$110:$I$110</definedName>
    <definedName name="solver_lhs1576" localSheetId="4" hidden="1">'Run VRS'!$H$110:$I$110</definedName>
    <definedName name="solver_lhs1577" localSheetId="2" hidden="1">'Run CRS'!$H$110:$I$110</definedName>
    <definedName name="solver_lhs1577" localSheetId="4" hidden="1">'Run VRS'!$H$110:$I$110</definedName>
    <definedName name="solver_lhs1578" localSheetId="2" hidden="1">'Run CRS'!$H$110:$I$110</definedName>
    <definedName name="solver_lhs1578" localSheetId="4" hidden="1">'Run VRS'!$H$110:$I$110</definedName>
    <definedName name="solver_lhs1579" localSheetId="2" hidden="1">'Run CRS'!$H$110:$I$110</definedName>
    <definedName name="solver_lhs1579" localSheetId="4" hidden="1">'Run VRS'!$H$110:$I$110</definedName>
    <definedName name="solver_lhs158" localSheetId="2" hidden="1">'Run CRS'!$AC$107</definedName>
    <definedName name="solver_lhs158" localSheetId="4" hidden="1">'Run VRS'!$AC$107</definedName>
    <definedName name="solver_lhs1580" localSheetId="2" hidden="1">'Run CRS'!$H$110:$I$110</definedName>
    <definedName name="solver_lhs1580" localSheetId="4" hidden="1">'Run VRS'!$H$110:$I$110</definedName>
    <definedName name="solver_lhs1581" localSheetId="2" hidden="1">'Run CRS'!$H$110:$I$110</definedName>
    <definedName name="solver_lhs1581" localSheetId="4" hidden="1">'Run VRS'!$H$110:$I$110</definedName>
    <definedName name="solver_lhs1582" localSheetId="2" hidden="1">'Run CRS'!$H$110:$I$110</definedName>
    <definedName name="solver_lhs1582" localSheetId="4" hidden="1">'Run VRS'!$H$110:$I$110</definedName>
    <definedName name="solver_lhs1583" localSheetId="2" hidden="1">'Run CRS'!$H$110:$I$110</definedName>
    <definedName name="solver_lhs1583" localSheetId="4" hidden="1">'Run VRS'!$H$110:$I$110</definedName>
    <definedName name="solver_lhs1584" localSheetId="2" hidden="1">'Run CRS'!$H$110:$I$110</definedName>
    <definedName name="solver_lhs1584" localSheetId="4" hidden="1">'Run VRS'!$H$110:$I$110</definedName>
    <definedName name="solver_lhs1585" localSheetId="2" hidden="1">'Run CRS'!$H$110:$I$110</definedName>
    <definedName name="solver_lhs1585" localSheetId="4" hidden="1">'Run VRS'!$H$110:$I$110</definedName>
    <definedName name="solver_lhs1586" localSheetId="2" hidden="1">'Run CRS'!$H$110:$I$110</definedName>
    <definedName name="solver_lhs1586" localSheetId="4" hidden="1">'Run VRS'!$H$110:$I$110</definedName>
    <definedName name="solver_lhs1587" localSheetId="2" hidden="1">'Run CRS'!$H$110:$I$110</definedName>
    <definedName name="solver_lhs1587" localSheetId="4" hidden="1">'Run VRS'!$H$110:$I$110</definedName>
    <definedName name="solver_lhs1588" localSheetId="2" hidden="1">'Run CRS'!$H$110:$I$110</definedName>
    <definedName name="solver_lhs1588" localSheetId="4" hidden="1">'Run VRS'!$H$110:$I$110</definedName>
    <definedName name="solver_lhs1589" localSheetId="2" hidden="1">'Run CRS'!$H$110:$I$110</definedName>
    <definedName name="solver_lhs1589" localSheetId="4" hidden="1">'Run VRS'!$H$110:$I$110</definedName>
    <definedName name="solver_lhs159" localSheetId="2" hidden="1">'Run CRS'!$AC$107</definedName>
    <definedName name="solver_lhs159" localSheetId="4" hidden="1">'Run VRS'!$AC$107</definedName>
    <definedName name="solver_lhs1590" localSheetId="2" hidden="1">'Run CRS'!$H$110:$I$110</definedName>
    <definedName name="solver_lhs1590" localSheetId="4" hidden="1">'Run VRS'!$H$110:$I$110</definedName>
    <definedName name="solver_lhs1591" localSheetId="2" hidden="1">'Run CRS'!$H$110:$I$110</definedName>
    <definedName name="solver_lhs1591" localSheetId="4" hidden="1">'Run VRS'!$H$110:$I$110</definedName>
    <definedName name="solver_lhs1592" localSheetId="2" hidden="1">'Run CRS'!$H$110:$I$110</definedName>
    <definedName name="solver_lhs1592" localSheetId="4" hidden="1">'Run VRS'!$H$110:$I$110</definedName>
    <definedName name="solver_lhs1593" localSheetId="2" hidden="1">'Run CRS'!$H$110:$I$110</definedName>
    <definedName name="solver_lhs1593" localSheetId="4" hidden="1">'Run VRS'!$H$110:$I$110</definedName>
    <definedName name="solver_lhs1594" localSheetId="2" hidden="1">'Run CRS'!$H$110:$I$110</definedName>
    <definedName name="solver_lhs1594" localSheetId="4" hidden="1">'Run VRS'!$H$110:$I$110</definedName>
    <definedName name="solver_lhs1595" localSheetId="2" hidden="1">'Run CRS'!$H$110:$I$110</definedName>
    <definedName name="solver_lhs1595" localSheetId="4" hidden="1">'Run VRS'!$H$110:$I$110</definedName>
    <definedName name="solver_lhs1596" localSheetId="2" hidden="1">'Run CRS'!$H$110:$I$110</definedName>
    <definedName name="solver_lhs1596" localSheetId="4" hidden="1">'Run VRS'!$H$110:$I$110</definedName>
    <definedName name="solver_lhs1597" localSheetId="2" hidden="1">'Run CRS'!$H$110:$I$110</definedName>
    <definedName name="solver_lhs1597" localSheetId="4" hidden="1">'Run VRS'!$H$110:$I$110</definedName>
    <definedName name="solver_lhs1598" localSheetId="2" hidden="1">'Run CRS'!$H$110:$I$110</definedName>
    <definedName name="solver_lhs1598" localSheetId="4" hidden="1">'Run VRS'!$H$110:$I$110</definedName>
    <definedName name="solver_lhs1599" localSheetId="2" hidden="1">'Run CRS'!$H$110:$I$110</definedName>
    <definedName name="solver_lhs1599" localSheetId="4" hidden="1">'Run VRS'!$H$110:$I$110</definedName>
    <definedName name="solver_lhs16" localSheetId="0" hidden="1">'Data input'!$H$108:$I$108</definedName>
    <definedName name="solver_lhs16" localSheetId="2" hidden="1">'Run CRS'!$C$110</definedName>
    <definedName name="solver_lhs16" localSheetId="4" hidden="1">'Run VRS'!$C$110</definedName>
    <definedName name="solver_lhs160" localSheetId="2" hidden="1">'Run CRS'!$AC$107</definedName>
    <definedName name="solver_lhs160" localSheetId="4" hidden="1">'Run VRS'!$AC$107</definedName>
    <definedName name="solver_lhs1600" localSheetId="2" hidden="1">'Run CRS'!$H$110:$I$110</definedName>
    <definedName name="solver_lhs1600" localSheetId="4" hidden="1">'Run VRS'!$H$110:$I$110</definedName>
    <definedName name="solver_lhs1601" localSheetId="2" hidden="1">'Run CRS'!$H$110:$I$110</definedName>
    <definedName name="solver_lhs1601" localSheetId="4" hidden="1">'Run VRS'!$H$110:$I$110</definedName>
    <definedName name="solver_lhs1602" localSheetId="2" hidden="1">'Run CRS'!$H$110:$I$110</definedName>
    <definedName name="solver_lhs1602" localSheetId="4" hidden="1">'Run VRS'!$H$110:$I$110</definedName>
    <definedName name="solver_lhs1603" localSheetId="2" hidden="1">'Run CRS'!$H$110:$I$110</definedName>
    <definedName name="solver_lhs1603" localSheetId="4" hidden="1">'Run VRS'!$H$110:$I$110</definedName>
    <definedName name="solver_lhs1604" localSheetId="2" hidden="1">'Run CRS'!$H$110:$I$110</definedName>
    <definedName name="solver_lhs1604" localSheetId="4" hidden="1">'Run VRS'!$H$110:$I$110</definedName>
    <definedName name="solver_lhs1605" localSheetId="2" hidden="1">'Run CRS'!$H$110:$I$110</definedName>
    <definedName name="solver_lhs1605" localSheetId="4" hidden="1">'Run VRS'!$H$110:$I$110</definedName>
    <definedName name="solver_lhs1606" localSheetId="2" hidden="1">'Run CRS'!$H$110:$I$110</definedName>
    <definedName name="solver_lhs1606" localSheetId="4" hidden="1">'Run VRS'!$H$110:$I$110</definedName>
    <definedName name="solver_lhs1607" localSheetId="2" hidden="1">'Run CRS'!$H$110:$I$110</definedName>
    <definedName name="solver_lhs1607" localSheetId="4" hidden="1">'Run VRS'!$H$110:$I$110</definedName>
    <definedName name="solver_lhs1608" localSheetId="2" hidden="1">'Run CRS'!$H$110:$I$110</definedName>
    <definedName name="solver_lhs1608" localSheetId="4" hidden="1">'Run VRS'!$H$110:$I$110</definedName>
    <definedName name="solver_lhs1609" localSheetId="2" hidden="1">'Run CRS'!$H$110:$I$110</definedName>
    <definedName name="solver_lhs1609" localSheetId="4" hidden="1">'Run VRS'!$H$110:$I$110</definedName>
    <definedName name="solver_lhs161" localSheetId="2" hidden="1">'Run CRS'!$AC$107</definedName>
    <definedName name="solver_lhs161" localSheetId="4" hidden="1">'Run VRS'!$AC$107</definedName>
    <definedName name="solver_lhs1610" localSheetId="2" hidden="1">'Run CRS'!$H$110:$I$110</definedName>
    <definedName name="solver_lhs1610" localSheetId="4" hidden="1">'Run VRS'!$H$110:$I$110</definedName>
    <definedName name="solver_lhs1611" localSheetId="2" hidden="1">'Run CRS'!$H$110:$I$110</definedName>
    <definedName name="solver_lhs1611" localSheetId="4" hidden="1">'Run VRS'!$H$110:$I$110</definedName>
    <definedName name="solver_lhs1612" localSheetId="2" hidden="1">'Run CRS'!$H$110:$I$110</definedName>
    <definedName name="solver_lhs1612" localSheetId="4" hidden="1">'Run VRS'!$H$110:$I$110</definedName>
    <definedName name="solver_lhs1613" localSheetId="2" hidden="1">'Run CRS'!$H$110:$I$110</definedName>
    <definedName name="solver_lhs1613" localSheetId="4" hidden="1">'Run VRS'!$H$110:$I$110</definedName>
    <definedName name="solver_lhs1614" localSheetId="2" hidden="1">'Run CRS'!$H$110:$I$110</definedName>
    <definedName name="solver_lhs1614" localSheetId="4" hidden="1">'Run VRS'!$H$110:$I$110</definedName>
    <definedName name="solver_lhs1615" localSheetId="2" hidden="1">'Run CRS'!$H$110:$I$110</definedName>
    <definedName name="solver_lhs1615" localSheetId="4" hidden="1">'Run VRS'!$H$110:$I$110</definedName>
    <definedName name="solver_lhs1616" localSheetId="2" hidden="1">'Run CRS'!$H$110:$I$110</definedName>
    <definedName name="solver_lhs1616" localSheetId="4" hidden="1">'Run VRS'!$H$110:$I$110</definedName>
    <definedName name="solver_lhs1617" localSheetId="2" hidden="1">'Run CRS'!$H$110:$I$110</definedName>
    <definedName name="solver_lhs1617" localSheetId="4" hidden="1">'Run VRS'!$H$110:$I$110</definedName>
    <definedName name="solver_lhs1618" localSheetId="2" hidden="1">'Run CRS'!$H$110:$I$110</definedName>
    <definedName name="solver_lhs1618" localSheetId="4" hidden="1">'Run VRS'!$H$110:$I$110</definedName>
    <definedName name="solver_lhs1619" localSheetId="2" hidden="1">'Run CRS'!$H$110:$I$110</definedName>
    <definedName name="solver_lhs1619" localSheetId="4" hidden="1">'Run VRS'!$H$110:$I$110</definedName>
    <definedName name="solver_lhs162" localSheetId="2" hidden="1">'Run CRS'!$AC$107</definedName>
    <definedName name="solver_lhs162" localSheetId="4" hidden="1">'Run VRS'!$AC$107</definedName>
    <definedName name="solver_lhs1620" localSheetId="2" hidden="1">'Run CRS'!$H$110:$I$110</definedName>
    <definedName name="solver_lhs1620" localSheetId="4" hidden="1">'Run VRS'!$H$110:$I$110</definedName>
    <definedName name="solver_lhs1621" localSheetId="2" hidden="1">'Run CRS'!$H$110:$I$110</definedName>
    <definedName name="solver_lhs1621" localSheetId="4" hidden="1">'Run VRS'!$H$110:$I$110</definedName>
    <definedName name="solver_lhs1622" localSheetId="2" hidden="1">'Run CRS'!$H$110:$I$110</definedName>
    <definedName name="solver_lhs1622" localSheetId="4" hidden="1">'Run VRS'!$H$110:$I$110</definedName>
    <definedName name="solver_lhs1623" localSheetId="2" hidden="1">'Run CRS'!$H$110:$I$110</definedName>
    <definedName name="solver_lhs1623" localSheetId="4" hidden="1">'Run VRS'!$H$110:$I$110</definedName>
    <definedName name="solver_lhs1624" localSheetId="2" hidden="1">'Run CRS'!$H$110:$I$110</definedName>
    <definedName name="solver_lhs1624" localSheetId="4" hidden="1">'Run VRS'!$H$110:$I$110</definedName>
    <definedName name="solver_lhs1625" localSheetId="2" hidden="1">'Run CRS'!$H$110:$I$110</definedName>
    <definedName name="solver_lhs1625" localSheetId="4" hidden="1">'Run VRS'!$H$110:$I$110</definedName>
    <definedName name="solver_lhs1626" localSheetId="2" hidden="1">'Run CRS'!$H$110:$I$110</definedName>
    <definedName name="solver_lhs1626" localSheetId="4" hidden="1">'Run VRS'!$H$110:$I$110</definedName>
    <definedName name="solver_lhs1627" localSheetId="2" hidden="1">'Run CRS'!$H$110:$I$110</definedName>
    <definedName name="solver_lhs1627" localSheetId="4" hidden="1">'Run VRS'!$H$110:$I$110</definedName>
    <definedName name="solver_lhs1628" localSheetId="2" hidden="1">'Run CRS'!$H$110:$I$110</definedName>
    <definedName name="solver_lhs1628" localSheetId="4" hidden="1">'Run VRS'!$H$110:$I$110</definedName>
    <definedName name="solver_lhs1629" localSheetId="2" hidden="1">'Run CRS'!$H$110:$I$110</definedName>
    <definedName name="solver_lhs1629" localSheetId="4" hidden="1">'Run VRS'!$H$110:$I$110</definedName>
    <definedName name="solver_lhs163" localSheetId="2" hidden="1">'Run CRS'!$AC$107</definedName>
    <definedName name="solver_lhs163" localSheetId="4" hidden="1">'Run VRS'!$AC$107</definedName>
    <definedName name="solver_lhs1630" localSheetId="2" hidden="1">'Run CRS'!$H$110:$I$110</definedName>
    <definedName name="solver_lhs1630" localSheetId="4" hidden="1">'Run VRS'!$H$110:$I$110</definedName>
    <definedName name="solver_lhs1631" localSheetId="2" hidden="1">'Run CRS'!$H$110:$I$110</definedName>
    <definedName name="solver_lhs1631" localSheetId="4" hidden="1">'Run VRS'!$H$110:$I$110</definedName>
    <definedName name="solver_lhs1632" localSheetId="2" hidden="1">'Run CRS'!$H$110:$I$110</definedName>
    <definedName name="solver_lhs1632" localSheetId="4" hidden="1">'Run VRS'!$H$110:$I$110</definedName>
    <definedName name="solver_lhs1633" localSheetId="2" hidden="1">'Run CRS'!$H$110:$I$110</definedName>
    <definedName name="solver_lhs1633" localSheetId="4" hidden="1">'Run VRS'!$H$110:$I$110</definedName>
    <definedName name="solver_lhs1634" localSheetId="2" hidden="1">'Run CRS'!$H$110:$I$110</definedName>
    <definedName name="solver_lhs1634" localSheetId="4" hidden="1">'Run VRS'!$H$110:$I$110</definedName>
    <definedName name="solver_lhs1635" localSheetId="2" hidden="1">'Run CRS'!$H$110:$I$110</definedName>
    <definedName name="solver_lhs1635" localSheetId="4" hidden="1">'Run VRS'!$H$110:$I$110</definedName>
    <definedName name="solver_lhs1636" localSheetId="2" hidden="1">'Run CRS'!$H$110:$I$110</definedName>
    <definedName name="solver_lhs1636" localSheetId="4" hidden="1">'Run VRS'!$H$110:$I$110</definedName>
    <definedName name="solver_lhs1637" localSheetId="2" hidden="1">'Run CRS'!$H$110:$I$110</definedName>
    <definedName name="solver_lhs1637" localSheetId="4" hidden="1">'Run VRS'!$H$110:$I$110</definedName>
    <definedName name="solver_lhs1638" localSheetId="2" hidden="1">'Run CRS'!$H$110:$I$110</definedName>
    <definedName name="solver_lhs1638" localSheetId="4" hidden="1">'Run VRS'!$H$110:$I$110</definedName>
    <definedName name="solver_lhs1639" localSheetId="2" hidden="1">'Run CRS'!$H$110:$I$110</definedName>
    <definedName name="solver_lhs1639" localSheetId="4" hidden="1">'Run VRS'!$H$110:$I$110</definedName>
    <definedName name="solver_lhs164" localSheetId="2" hidden="1">'Run CRS'!$AC$107</definedName>
    <definedName name="solver_lhs164" localSheetId="4" hidden="1">'Run VRS'!$AC$107</definedName>
    <definedName name="solver_lhs1640" localSheetId="2" hidden="1">'Run CRS'!$H$110:$I$110</definedName>
    <definedName name="solver_lhs1640" localSheetId="4" hidden="1">'Run VRS'!$H$110:$I$110</definedName>
    <definedName name="solver_lhs1641" localSheetId="2" hidden="1">'Run CRS'!$H$110:$I$110</definedName>
    <definedName name="solver_lhs1641" localSheetId="4" hidden="1">'Run VRS'!$H$110:$I$110</definedName>
    <definedName name="solver_lhs1642" localSheetId="2" hidden="1">'Run CRS'!$H$110:$I$110</definedName>
    <definedName name="solver_lhs1642" localSheetId="4" hidden="1">'Run VRS'!$H$110:$I$110</definedName>
    <definedName name="solver_lhs1643" localSheetId="2" hidden="1">'Run CRS'!$H$110:$I$110</definedName>
    <definedName name="solver_lhs1643" localSheetId="4" hidden="1">'Run VRS'!$H$110:$I$110</definedName>
    <definedName name="solver_lhs1644" localSheetId="2" hidden="1">'Run CRS'!$H$110:$I$110</definedName>
    <definedName name="solver_lhs1644" localSheetId="4" hidden="1">'Run VRS'!$H$110:$I$110</definedName>
    <definedName name="solver_lhs1645" localSheetId="2" hidden="1">'Run CRS'!$H$110:$I$110</definedName>
    <definedName name="solver_lhs1645" localSheetId="4" hidden="1">'Run VRS'!$H$110:$I$110</definedName>
    <definedName name="solver_lhs1646" localSheetId="2" hidden="1">'Run CRS'!$H$110:$I$110</definedName>
    <definedName name="solver_lhs1646" localSheetId="4" hidden="1">'Run VRS'!$H$110:$I$110</definedName>
    <definedName name="solver_lhs1647" localSheetId="2" hidden="1">'Run CRS'!$H$110:$I$110</definedName>
    <definedName name="solver_lhs1647" localSheetId="4" hidden="1">'Run VRS'!$H$110:$I$110</definedName>
    <definedName name="solver_lhs1648" localSheetId="2" hidden="1">'Run CRS'!$H$110:$I$110</definedName>
    <definedName name="solver_lhs1648" localSheetId="4" hidden="1">'Run VRS'!$H$110:$I$110</definedName>
    <definedName name="solver_lhs1649" localSheetId="2" hidden="1">'Run CRS'!$H$110:$I$110</definedName>
    <definedName name="solver_lhs1649" localSheetId="4" hidden="1">'Run VRS'!$H$110:$I$110</definedName>
    <definedName name="solver_lhs165" localSheetId="2" hidden="1">'Run CRS'!$AC$107</definedName>
    <definedName name="solver_lhs165" localSheetId="4" hidden="1">'Run VRS'!$AC$107</definedName>
    <definedName name="solver_lhs1650" localSheetId="2" hidden="1">'Run CRS'!$H$110:$I$110</definedName>
    <definedName name="solver_lhs1650" localSheetId="4" hidden="1">'Run VRS'!$H$110:$I$110</definedName>
    <definedName name="solver_lhs1651" localSheetId="2" hidden="1">'Run CRS'!$H$110:$I$110</definedName>
    <definedName name="solver_lhs1651" localSheetId="4" hidden="1">'Run VRS'!$H$110:$I$110</definedName>
    <definedName name="solver_lhs1652" localSheetId="2" hidden="1">'Run CRS'!$H$110:$I$110</definedName>
    <definedName name="solver_lhs1652" localSheetId="4" hidden="1">'Run VRS'!$H$110:$I$110</definedName>
    <definedName name="solver_lhs1653" localSheetId="2" hidden="1">'Run CRS'!$H$110:$I$110</definedName>
    <definedName name="solver_lhs1653" localSheetId="4" hidden="1">'Run VRS'!$H$110:$I$110</definedName>
    <definedName name="solver_lhs1654" localSheetId="2" hidden="1">'Run CRS'!$H$110:$I$110</definedName>
    <definedName name="solver_lhs1654" localSheetId="4" hidden="1">'Run VRS'!$H$110:$I$110</definedName>
    <definedName name="solver_lhs1655" localSheetId="2" hidden="1">'Run CRS'!$H$110:$I$110</definedName>
    <definedName name="solver_lhs1655" localSheetId="4" hidden="1">'Run VRS'!$H$110:$I$110</definedName>
    <definedName name="solver_lhs1656" localSheetId="2" hidden="1">'Run CRS'!$H$110:$I$110</definedName>
    <definedName name="solver_lhs1656" localSheetId="4" hidden="1">'Run VRS'!$H$110:$I$110</definedName>
    <definedName name="solver_lhs1657" localSheetId="2" hidden="1">'Run CRS'!$H$110:$I$110</definedName>
    <definedName name="solver_lhs1657" localSheetId="4" hidden="1">'Run VRS'!$H$110:$I$110</definedName>
    <definedName name="solver_lhs1658" localSheetId="2" hidden="1">'Run CRS'!$H$110:$I$110</definedName>
    <definedName name="solver_lhs1658" localSheetId="4" hidden="1">'Run VRS'!$H$110:$I$110</definedName>
    <definedName name="solver_lhs1659" localSheetId="2" hidden="1">'Run CRS'!$H$110:$I$110</definedName>
    <definedName name="solver_lhs1659" localSheetId="4" hidden="1">'Run VRS'!$H$110:$I$110</definedName>
    <definedName name="solver_lhs166" localSheetId="2" hidden="1">'Run CRS'!$AC$107</definedName>
    <definedName name="solver_lhs166" localSheetId="4" hidden="1">'Run VRS'!$AC$107</definedName>
    <definedName name="solver_lhs1660" localSheetId="2" hidden="1">'Run CRS'!$H$110:$I$110</definedName>
    <definedName name="solver_lhs1660" localSheetId="4" hidden="1">'Run VRS'!$H$110:$I$110</definedName>
    <definedName name="solver_lhs1661" localSheetId="2" hidden="1">'Run CRS'!$H$110:$I$110</definedName>
    <definedName name="solver_lhs1661" localSheetId="4" hidden="1">'Run VRS'!$H$110:$I$110</definedName>
    <definedName name="solver_lhs1662" localSheetId="2" hidden="1">'Run CRS'!$H$110:$I$110</definedName>
    <definedName name="solver_lhs1662" localSheetId="4" hidden="1">'Run VRS'!$H$110:$I$110</definedName>
    <definedName name="solver_lhs1663" localSheetId="2" hidden="1">'Run CRS'!$H$110:$I$110</definedName>
    <definedName name="solver_lhs1663" localSheetId="4" hidden="1">'Run VRS'!$H$110:$I$110</definedName>
    <definedName name="solver_lhs1664" localSheetId="2" hidden="1">'Run CRS'!$H$110:$I$110</definedName>
    <definedName name="solver_lhs1664" localSheetId="4" hidden="1">'Run VRS'!$H$110:$I$110</definedName>
    <definedName name="solver_lhs1665" localSheetId="2" hidden="1">'Run CRS'!$H$110:$I$110</definedName>
    <definedName name="solver_lhs1665" localSheetId="4" hidden="1">'Run VRS'!$H$110:$I$110</definedName>
    <definedName name="solver_lhs1666" localSheetId="2" hidden="1">'Run CRS'!$H$110:$I$110</definedName>
    <definedName name="solver_lhs1666" localSheetId="4" hidden="1">'Run VRS'!$H$110:$I$110</definedName>
    <definedName name="solver_lhs1667" localSheetId="2" hidden="1">'Run CRS'!$H$110:$I$110</definedName>
    <definedName name="solver_lhs1667" localSheetId="4" hidden="1">'Run VRS'!$H$110:$I$110</definedName>
    <definedName name="solver_lhs1668" localSheetId="2" hidden="1">'Run CRS'!$H$110:$I$110</definedName>
    <definedName name="solver_lhs1668" localSheetId="4" hidden="1">'Run VRS'!$H$110:$I$110</definedName>
    <definedName name="solver_lhs1669" localSheetId="2" hidden="1">'Run CRS'!$H$110:$I$110</definedName>
    <definedName name="solver_lhs1669" localSheetId="4" hidden="1">'Run VRS'!$H$110:$I$110</definedName>
    <definedName name="solver_lhs167" localSheetId="2" hidden="1">'Run CRS'!$AC$107</definedName>
    <definedName name="solver_lhs167" localSheetId="4" hidden="1">'Run VRS'!$AC$107</definedName>
    <definedName name="solver_lhs1670" localSheetId="2" hidden="1">'Run CRS'!$H$110:$I$110</definedName>
    <definedName name="solver_lhs1670" localSheetId="4" hidden="1">'Run VRS'!$H$110:$I$110</definedName>
    <definedName name="solver_lhs1671" localSheetId="2" hidden="1">'Run CRS'!$H$110:$I$110</definedName>
    <definedName name="solver_lhs1671" localSheetId="4" hidden="1">'Run VRS'!$H$110:$I$110</definedName>
    <definedName name="solver_lhs1672" localSheetId="2" hidden="1">'Run CRS'!$H$110:$I$110</definedName>
    <definedName name="solver_lhs1672" localSheetId="4" hidden="1">'Run VRS'!$H$110:$I$110</definedName>
    <definedName name="solver_lhs1673" localSheetId="2" hidden="1">'Run CRS'!$H$110:$I$110</definedName>
    <definedName name="solver_lhs1673" localSheetId="4" hidden="1">'Run VRS'!$H$110:$I$110</definedName>
    <definedName name="solver_lhs1674" localSheetId="2" hidden="1">'Run CRS'!$H$110:$I$110</definedName>
    <definedName name="solver_lhs1674" localSheetId="4" hidden="1">'Run VRS'!$H$110:$I$110</definedName>
    <definedName name="solver_lhs1675" localSheetId="2" hidden="1">'Run CRS'!$H$110:$I$110</definedName>
    <definedName name="solver_lhs1675" localSheetId="4" hidden="1">'Run VRS'!$H$110:$I$110</definedName>
    <definedName name="solver_lhs1676" localSheetId="2" hidden="1">'Run CRS'!$H$110:$I$110</definedName>
    <definedName name="solver_lhs1676" localSheetId="4" hidden="1">'Run VRS'!$H$110:$I$110</definedName>
    <definedName name="solver_lhs1677" localSheetId="2" hidden="1">'Run CRS'!$H$110:$I$110</definedName>
    <definedName name="solver_lhs1677" localSheetId="4" hidden="1">'Run VRS'!$H$110:$I$110</definedName>
    <definedName name="solver_lhs1678" localSheetId="2" hidden="1">'Run CRS'!$H$110:$I$110</definedName>
    <definedName name="solver_lhs1678" localSheetId="4" hidden="1">'Run VRS'!$H$110:$I$110</definedName>
    <definedName name="solver_lhs1679" localSheetId="2" hidden="1">'Run CRS'!$H$110:$I$110</definedName>
    <definedName name="solver_lhs1679" localSheetId="4" hidden="1">'Run VRS'!$H$110:$I$110</definedName>
    <definedName name="solver_lhs168" localSheetId="2" hidden="1">'Run CRS'!$AC$107</definedName>
    <definedName name="solver_lhs168" localSheetId="4" hidden="1">'Run VRS'!$AC$107</definedName>
    <definedName name="solver_lhs1680" localSheetId="2" hidden="1">'Run CRS'!$H$110:$I$110</definedName>
    <definedName name="solver_lhs1680" localSheetId="4" hidden="1">'Run VRS'!$H$110:$I$110</definedName>
    <definedName name="solver_lhs1681" localSheetId="2" hidden="1">'Run CRS'!$H$110:$I$110</definedName>
    <definedName name="solver_lhs1681" localSheetId="4" hidden="1">'Run VRS'!$H$110:$I$110</definedName>
    <definedName name="solver_lhs1682" localSheetId="2" hidden="1">'Run CRS'!$H$110:$I$110</definedName>
    <definedName name="solver_lhs1682" localSheetId="4" hidden="1">'Run VRS'!$H$110:$I$110</definedName>
    <definedName name="solver_lhs1683" localSheetId="2" hidden="1">'Run CRS'!$H$110:$I$110</definedName>
    <definedName name="solver_lhs1683" localSheetId="4" hidden="1">'Run VRS'!$H$110:$I$110</definedName>
    <definedName name="solver_lhs1684" localSheetId="2" hidden="1">'Run CRS'!$H$110:$I$110</definedName>
    <definedName name="solver_lhs1684" localSheetId="4" hidden="1">'Run VRS'!$H$110:$I$110</definedName>
    <definedName name="solver_lhs1685" localSheetId="2" hidden="1">'Run CRS'!$H$110:$I$110</definedName>
    <definedName name="solver_lhs1685" localSheetId="4" hidden="1">'Run VRS'!$H$110:$I$110</definedName>
    <definedName name="solver_lhs1686" localSheetId="2" hidden="1">'Run CRS'!$H$110:$I$110</definedName>
    <definedName name="solver_lhs1686" localSheetId="4" hidden="1">'Run VRS'!$H$110:$I$110</definedName>
    <definedName name="solver_lhs1687" localSheetId="2" hidden="1">'Run CRS'!$H$110:$I$110</definedName>
    <definedName name="solver_lhs1687" localSheetId="4" hidden="1">'Run VRS'!$H$110:$I$110</definedName>
    <definedName name="solver_lhs1688" localSheetId="2" hidden="1">'Run CRS'!$H$110:$I$110</definedName>
    <definedName name="solver_lhs1688" localSheetId="4" hidden="1">'Run VRS'!$H$110:$I$110</definedName>
    <definedName name="solver_lhs1689" localSheetId="2" hidden="1">'Run CRS'!$H$110:$I$110</definedName>
    <definedName name="solver_lhs1689" localSheetId="4" hidden="1">'Run VRS'!$H$110:$I$110</definedName>
    <definedName name="solver_lhs169" localSheetId="2" hidden="1">'Run CRS'!$AC$107</definedName>
    <definedName name="solver_lhs169" localSheetId="4" hidden="1">'Run VRS'!$AC$107</definedName>
    <definedName name="solver_lhs1690" localSheetId="2" hidden="1">'Run CRS'!$H$110:$I$110</definedName>
    <definedName name="solver_lhs1690" localSheetId="4" hidden="1">'Run VRS'!$H$110:$I$110</definedName>
    <definedName name="solver_lhs1691" localSheetId="2" hidden="1">'Run CRS'!$H$110:$I$110</definedName>
    <definedName name="solver_lhs1691" localSheetId="4" hidden="1">'Run VRS'!$H$110:$I$110</definedName>
    <definedName name="solver_lhs1692" localSheetId="2" hidden="1">'Run CRS'!$H$110:$I$110</definedName>
    <definedName name="solver_lhs1692" localSheetId="4" hidden="1">'Run VRS'!$H$110:$I$110</definedName>
    <definedName name="solver_lhs1693" localSheetId="2" hidden="1">'Run CRS'!$H$110:$I$110</definedName>
    <definedName name="solver_lhs1693" localSheetId="4" hidden="1">'Run VRS'!$H$110:$I$110</definedName>
    <definedName name="solver_lhs1694" localSheetId="2" hidden="1">'Run CRS'!$H$110:$I$110</definedName>
    <definedName name="solver_lhs1694" localSheetId="4" hidden="1">'Run VRS'!$H$110:$I$110</definedName>
    <definedName name="solver_lhs1695" localSheetId="2" hidden="1">'Run CRS'!$H$110:$I$110</definedName>
    <definedName name="solver_lhs1695" localSheetId="4" hidden="1">'Run VRS'!$H$110:$I$110</definedName>
    <definedName name="solver_lhs1696" localSheetId="2" hidden="1">'Run CRS'!$H$110:$I$110</definedName>
    <definedName name="solver_lhs1696" localSheetId="4" hidden="1">'Run VRS'!$H$110:$I$110</definedName>
    <definedName name="solver_lhs1697" localSheetId="2" hidden="1">'Run CRS'!$H$110:$I$110</definedName>
    <definedName name="solver_lhs1697" localSheetId="4" hidden="1">'Run VRS'!$H$110:$I$110</definedName>
    <definedName name="solver_lhs1698" localSheetId="2" hidden="1">'Run CRS'!$H$110:$I$110</definedName>
    <definedName name="solver_lhs1698" localSheetId="4" hidden="1">'Run VRS'!$H$110:$I$110</definedName>
    <definedName name="solver_lhs1699" localSheetId="2" hidden="1">'Run CRS'!$H$110:$I$110</definedName>
    <definedName name="solver_lhs1699" localSheetId="4" hidden="1">'Run VRS'!$H$110:$I$110</definedName>
    <definedName name="solver_lhs17" localSheetId="0" hidden="1">'Data input'!$C$108</definedName>
    <definedName name="solver_lhs17" localSheetId="2" hidden="1">'Run CRS'!$H$110:$I$110</definedName>
    <definedName name="solver_lhs17" localSheetId="4" hidden="1">'Run VRS'!$H$110:$I$110</definedName>
    <definedName name="solver_lhs170" localSheetId="2" hidden="1">'Run CRS'!$AC$107</definedName>
    <definedName name="solver_lhs170" localSheetId="4" hidden="1">'Run VRS'!$AC$107</definedName>
    <definedName name="solver_lhs1700" localSheetId="2" hidden="1">'Run CRS'!$H$110:$I$110</definedName>
    <definedName name="solver_lhs1700" localSheetId="4" hidden="1">'Run VRS'!$H$110:$I$110</definedName>
    <definedName name="solver_lhs1701" localSheetId="2" hidden="1">'Run CRS'!$H$110:$I$110</definedName>
    <definedName name="solver_lhs1701" localSheetId="4" hidden="1">'Run VRS'!$H$110:$I$110</definedName>
    <definedName name="solver_lhs1702" localSheetId="2" hidden="1">'Run CRS'!$H$110:$I$110</definedName>
    <definedName name="solver_lhs1702" localSheetId="4" hidden="1">'Run VRS'!$H$110:$I$110</definedName>
    <definedName name="solver_lhs1703" localSheetId="2" hidden="1">'Run CRS'!$H$110:$I$110</definedName>
    <definedName name="solver_lhs1703" localSheetId="4" hidden="1">'Run VRS'!$H$110:$I$110</definedName>
    <definedName name="solver_lhs1704" localSheetId="2" hidden="1">'Run CRS'!$H$110:$I$110</definedName>
    <definedName name="solver_lhs1704" localSheetId="4" hidden="1">'Run VRS'!$H$110:$I$110</definedName>
    <definedName name="solver_lhs1705" localSheetId="2" hidden="1">'Run CRS'!$H$110:$I$110</definedName>
    <definedName name="solver_lhs1705" localSheetId="4" hidden="1">'Run VRS'!$H$110:$I$110</definedName>
    <definedName name="solver_lhs1706" localSheetId="2" hidden="1">'Run CRS'!$H$110:$I$110</definedName>
    <definedName name="solver_lhs1706" localSheetId="4" hidden="1">'Run VRS'!$H$110:$I$110</definedName>
    <definedName name="solver_lhs1707" localSheetId="2" hidden="1">'Run CRS'!$H$110:$I$110</definedName>
    <definedName name="solver_lhs1707" localSheetId="4" hidden="1">'Run VRS'!$H$110:$I$110</definedName>
    <definedName name="solver_lhs1708" localSheetId="2" hidden="1">'Run CRS'!$H$110:$I$110</definedName>
    <definedName name="solver_lhs1708" localSheetId="4" hidden="1">'Run VRS'!$H$110:$I$110</definedName>
    <definedName name="solver_lhs1709" localSheetId="2" hidden="1">'Run CRS'!$H$110:$I$110</definedName>
    <definedName name="solver_lhs1709" localSheetId="4" hidden="1">'Run VRS'!$H$110:$I$110</definedName>
    <definedName name="solver_lhs171" localSheetId="2" hidden="1">'Run CRS'!$AC$107</definedName>
    <definedName name="solver_lhs171" localSheetId="4" hidden="1">'Run VRS'!$AC$107</definedName>
    <definedName name="solver_lhs1710" localSheetId="2" hidden="1">'Run CRS'!$H$110:$I$110</definedName>
    <definedName name="solver_lhs1710" localSheetId="4" hidden="1">'Run VRS'!$H$110:$I$110</definedName>
    <definedName name="solver_lhs1711" localSheetId="2" hidden="1">'Run CRS'!$H$110:$I$110</definedName>
    <definedName name="solver_lhs1711" localSheetId="4" hidden="1">'Run VRS'!$H$110:$I$110</definedName>
    <definedName name="solver_lhs1712" localSheetId="2" hidden="1">'Run CRS'!$H$110:$I$110</definedName>
    <definedName name="solver_lhs1712" localSheetId="4" hidden="1">'Run VRS'!$H$110:$I$110</definedName>
    <definedName name="solver_lhs1713" localSheetId="2" hidden="1">'Run CRS'!$H$110:$I$110</definedName>
    <definedName name="solver_lhs1713" localSheetId="4" hidden="1">'Run VRS'!$H$110:$I$110</definedName>
    <definedName name="solver_lhs1714" localSheetId="2" hidden="1">'Run CRS'!$H$110:$I$110</definedName>
    <definedName name="solver_lhs1714" localSheetId="4" hidden="1">'Run VRS'!$H$110:$I$110</definedName>
    <definedName name="solver_lhs1715" localSheetId="2" hidden="1">'Run CRS'!$H$110:$I$110</definedName>
    <definedName name="solver_lhs1715" localSheetId="4" hidden="1">'Run VRS'!$H$110:$I$110</definedName>
    <definedName name="solver_lhs1716" localSheetId="2" hidden="1">'Run CRS'!$H$110:$I$110</definedName>
    <definedName name="solver_lhs1716" localSheetId="4" hidden="1">'Run VRS'!$H$110:$I$110</definedName>
    <definedName name="solver_lhs1717" localSheetId="2" hidden="1">'Run CRS'!$H$110:$I$110</definedName>
    <definedName name="solver_lhs1717" localSheetId="4" hidden="1">'Run VRS'!$H$110:$I$110</definedName>
    <definedName name="solver_lhs1718" localSheetId="2" hidden="1">'Run CRS'!$H$110:$I$110</definedName>
    <definedName name="solver_lhs1718" localSheetId="4" hidden="1">'Run VRS'!$H$110:$I$110</definedName>
    <definedName name="solver_lhs1719" localSheetId="2" hidden="1">'Run CRS'!$H$110:$I$110</definedName>
    <definedName name="solver_lhs1719" localSheetId="4" hidden="1">'Run VRS'!$H$110:$I$110</definedName>
    <definedName name="solver_lhs172" localSheetId="2" hidden="1">'Run CRS'!$AC$107</definedName>
    <definedName name="solver_lhs172" localSheetId="4" hidden="1">'Run VRS'!$AC$107</definedName>
    <definedName name="solver_lhs1720" localSheetId="2" hidden="1">'Run CRS'!$H$110:$I$110</definedName>
    <definedName name="solver_lhs1720" localSheetId="4" hidden="1">'Run VRS'!$H$110:$I$110</definedName>
    <definedName name="solver_lhs1721" localSheetId="2" hidden="1">'Run CRS'!$H$110:$I$110</definedName>
    <definedName name="solver_lhs1721" localSheetId="4" hidden="1">'Run VRS'!$H$110:$I$110</definedName>
    <definedName name="solver_lhs1722" localSheetId="2" hidden="1">'Run CRS'!$H$110:$I$110</definedName>
    <definedName name="solver_lhs1722" localSheetId="4" hidden="1">'Run VRS'!$H$110:$I$110</definedName>
    <definedName name="solver_lhs1723" localSheetId="2" hidden="1">'Run CRS'!$H$110:$I$110</definedName>
    <definedName name="solver_lhs1723" localSheetId="4" hidden="1">'Run VRS'!$H$110:$I$110</definedName>
    <definedName name="solver_lhs1724" localSheetId="2" hidden="1">'Run CRS'!$H$110:$I$110</definedName>
    <definedName name="solver_lhs1724" localSheetId="4" hidden="1">'Run VRS'!$H$110:$I$110</definedName>
    <definedName name="solver_lhs1725" localSheetId="2" hidden="1">'Run CRS'!$H$110:$I$110</definedName>
    <definedName name="solver_lhs1725" localSheetId="4" hidden="1">'Run VRS'!$H$110:$I$110</definedName>
    <definedName name="solver_lhs1726" localSheetId="2" hidden="1">'Run CRS'!$H$110:$I$110</definedName>
    <definedName name="solver_lhs1726" localSheetId="4" hidden="1">'Run VRS'!$H$110:$I$110</definedName>
    <definedName name="solver_lhs1727" localSheetId="2" hidden="1">'Run CRS'!$H$110:$I$110</definedName>
    <definedName name="solver_lhs1727" localSheetId="4" hidden="1">'Run VRS'!$H$110:$I$110</definedName>
    <definedName name="solver_lhs1728" localSheetId="2" hidden="1">'Run CRS'!$H$110:$I$110</definedName>
    <definedName name="solver_lhs1728" localSheetId="4" hidden="1">'Run VRS'!$H$110:$I$110</definedName>
    <definedName name="solver_lhs1729" localSheetId="2" hidden="1">'Run CRS'!$H$110:$I$110</definedName>
    <definedName name="solver_lhs1729" localSheetId="4" hidden="1">'Run VRS'!$H$110:$I$110</definedName>
    <definedName name="solver_lhs173" localSheetId="2" hidden="1">'Run CRS'!$AC$107</definedName>
    <definedName name="solver_lhs173" localSheetId="4" hidden="1">'Run VRS'!$AC$107</definedName>
    <definedName name="solver_lhs1730" localSheetId="2" hidden="1">'Run CRS'!$H$110:$I$110</definedName>
    <definedName name="solver_lhs1730" localSheetId="4" hidden="1">'Run VRS'!$H$110:$I$110</definedName>
    <definedName name="solver_lhs1731" localSheetId="2" hidden="1">'Run CRS'!$H$110:$I$110</definedName>
    <definedName name="solver_lhs1731" localSheetId="4" hidden="1">'Run VRS'!$H$110:$I$110</definedName>
    <definedName name="solver_lhs1732" localSheetId="2" hidden="1">'Run CRS'!$H$110:$I$110</definedName>
    <definedName name="solver_lhs1732" localSheetId="4" hidden="1">'Run VRS'!$H$110:$I$110</definedName>
    <definedName name="solver_lhs1733" localSheetId="2" hidden="1">'Run CRS'!$H$110:$I$110</definedName>
    <definedName name="solver_lhs1733" localSheetId="4" hidden="1">'Run VRS'!$H$110:$I$110</definedName>
    <definedName name="solver_lhs1734" localSheetId="2" hidden="1">'Run CRS'!$H$110:$I$110</definedName>
    <definedName name="solver_lhs1734" localSheetId="4" hidden="1">'Run VRS'!$H$110:$I$110</definedName>
    <definedName name="solver_lhs1735" localSheetId="2" hidden="1">'Run CRS'!$H$110:$I$110</definedName>
    <definedName name="solver_lhs1735" localSheetId="4" hidden="1">'Run VRS'!$H$110:$I$110</definedName>
    <definedName name="solver_lhs1736" localSheetId="2" hidden="1">'Run CRS'!$H$110:$I$110</definedName>
    <definedName name="solver_lhs1736" localSheetId="4" hidden="1">'Run VRS'!$H$110:$I$110</definedName>
    <definedName name="solver_lhs1737" localSheetId="2" hidden="1">'Run CRS'!$H$110:$I$110</definedName>
    <definedName name="solver_lhs1737" localSheetId="4" hidden="1">'Run VRS'!$H$110:$I$110</definedName>
    <definedName name="solver_lhs1738" localSheetId="2" hidden="1">'Run CRS'!$H$110:$I$110</definedName>
    <definedName name="solver_lhs1738" localSheetId="4" hidden="1">'Run VRS'!$H$110:$I$110</definedName>
    <definedName name="solver_lhs1739" localSheetId="2" hidden="1">'Run CRS'!$H$110:$I$110</definedName>
    <definedName name="solver_lhs1739" localSheetId="4" hidden="1">'Run VRS'!$H$110:$I$110</definedName>
    <definedName name="solver_lhs174" localSheetId="2" hidden="1">'Run CRS'!$AC$107</definedName>
    <definedName name="solver_lhs174" localSheetId="4" hidden="1">'Run VRS'!$AC$107</definedName>
    <definedName name="solver_lhs1740" localSheetId="2" hidden="1">'Run CRS'!$H$110:$I$110</definedName>
    <definedName name="solver_lhs1740" localSheetId="4" hidden="1">'Run VRS'!$H$110:$I$110</definedName>
    <definedName name="solver_lhs1741" localSheetId="2" hidden="1">'Run CRS'!$H$110:$I$110</definedName>
    <definedName name="solver_lhs1741" localSheetId="4" hidden="1">'Run VRS'!$H$110:$I$110</definedName>
    <definedName name="solver_lhs1742" localSheetId="2" hidden="1">'Run CRS'!$H$110:$I$110</definedName>
    <definedName name="solver_lhs1742" localSheetId="4" hidden="1">'Run VRS'!$H$110:$I$110</definedName>
    <definedName name="solver_lhs1743" localSheetId="2" hidden="1">'Run CRS'!$H$110:$I$110</definedName>
    <definedName name="solver_lhs1743" localSheetId="4" hidden="1">'Run VRS'!$H$110:$I$110</definedName>
    <definedName name="solver_lhs1744" localSheetId="2" hidden="1">'Run CRS'!$H$110:$I$110</definedName>
    <definedName name="solver_lhs1744" localSheetId="4" hidden="1">'Run VRS'!$H$110:$I$110</definedName>
    <definedName name="solver_lhs1745" localSheetId="2" hidden="1">'Run CRS'!$H$110:$I$110</definedName>
    <definedName name="solver_lhs1745" localSheetId="4" hidden="1">'Run VRS'!$H$110:$I$110</definedName>
    <definedName name="solver_lhs1746" localSheetId="2" hidden="1">'Run CRS'!$H$110:$I$110</definedName>
    <definedName name="solver_lhs1746" localSheetId="4" hidden="1">'Run VRS'!$H$110:$I$110</definedName>
    <definedName name="solver_lhs1747" localSheetId="2" hidden="1">'Run CRS'!$H$110:$I$110</definedName>
    <definedName name="solver_lhs1747" localSheetId="4" hidden="1">'Run VRS'!$H$110:$I$110</definedName>
    <definedName name="solver_lhs1748" localSheetId="2" hidden="1">'Run CRS'!$H$110:$I$110</definedName>
    <definedName name="solver_lhs1748" localSheetId="4" hidden="1">'Run VRS'!$H$110:$I$110</definedName>
    <definedName name="solver_lhs1749" localSheetId="2" hidden="1">'Run CRS'!$H$110:$I$110</definedName>
    <definedName name="solver_lhs1749" localSheetId="4" hidden="1">'Run VRS'!$H$110:$I$110</definedName>
    <definedName name="solver_lhs175" localSheetId="2" hidden="1">'Run CRS'!$AC$107</definedName>
    <definedName name="solver_lhs175" localSheetId="4" hidden="1">'Run VRS'!$AC$107</definedName>
    <definedName name="solver_lhs1750" localSheetId="2" hidden="1">'Run CRS'!$H$110:$I$110</definedName>
    <definedName name="solver_lhs1750" localSheetId="4" hidden="1">'Run VRS'!$H$110:$I$110</definedName>
    <definedName name="solver_lhs1751" localSheetId="2" hidden="1">'Run CRS'!$H$110:$I$110</definedName>
    <definedName name="solver_lhs1751" localSheetId="4" hidden="1">'Run VRS'!$H$110:$I$110</definedName>
    <definedName name="solver_lhs1752" localSheetId="2" hidden="1">'Run CRS'!$H$110:$I$110</definedName>
    <definedName name="solver_lhs1752" localSheetId="4" hidden="1">'Run VRS'!$H$110:$I$110</definedName>
    <definedName name="solver_lhs1753" localSheetId="2" hidden="1">'Run CRS'!$H$110:$I$110</definedName>
    <definedName name="solver_lhs1753" localSheetId="4" hidden="1">'Run VRS'!$H$110:$I$110</definedName>
    <definedName name="solver_lhs1754" localSheetId="2" hidden="1">'Run CRS'!$H$110:$I$110</definedName>
    <definedName name="solver_lhs1754" localSheetId="4" hidden="1">'Run VRS'!$H$110:$I$110</definedName>
    <definedName name="solver_lhs1755" localSheetId="2" hidden="1">'Run CRS'!$H$110:$I$110</definedName>
    <definedName name="solver_lhs1755" localSheetId="4" hidden="1">'Run VRS'!$H$110:$I$110</definedName>
    <definedName name="solver_lhs1756" localSheetId="2" hidden="1">'Run CRS'!$H$110:$I$110</definedName>
    <definedName name="solver_lhs1756" localSheetId="4" hidden="1">'Run VRS'!$H$110:$I$110</definedName>
    <definedName name="solver_lhs1757" localSheetId="2" hidden="1">'Run CRS'!$H$110:$I$110</definedName>
    <definedName name="solver_lhs1757" localSheetId="4" hidden="1">'Run VRS'!$H$110:$I$110</definedName>
    <definedName name="solver_lhs1758" localSheetId="2" hidden="1">'Run CRS'!$H$110:$I$110</definedName>
    <definedName name="solver_lhs1758" localSheetId="4" hidden="1">'Run VRS'!$H$110:$I$110</definedName>
    <definedName name="solver_lhs1759" localSheetId="2" hidden="1">'Run CRS'!$H$110:$I$110</definedName>
    <definedName name="solver_lhs1759" localSheetId="4" hidden="1">'Run VRS'!$H$110:$I$110</definedName>
    <definedName name="solver_lhs176" localSheetId="2" hidden="1">'Run CRS'!$AC$107</definedName>
    <definedName name="solver_lhs176" localSheetId="4" hidden="1">'Run VRS'!$AC$107</definedName>
    <definedName name="solver_lhs1760" localSheetId="2" hidden="1">'Run CRS'!$H$110:$I$110</definedName>
    <definedName name="solver_lhs1760" localSheetId="4" hidden="1">'Run VRS'!$H$110:$I$110</definedName>
    <definedName name="solver_lhs1761" localSheetId="2" hidden="1">'Run CRS'!$H$110:$I$110</definedName>
    <definedName name="solver_lhs1761" localSheetId="4" hidden="1">'Run VRS'!$H$110:$I$110</definedName>
    <definedName name="solver_lhs1762" localSheetId="2" hidden="1">'Run CRS'!$H$110:$I$110</definedName>
    <definedName name="solver_lhs1762" localSheetId="4" hidden="1">'Run VRS'!$H$110:$I$110</definedName>
    <definedName name="solver_lhs1763" localSheetId="2" hidden="1">'Run CRS'!$H$110:$I$110</definedName>
    <definedName name="solver_lhs1763" localSheetId="4" hidden="1">'Run VRS'!$H$110:$I$110</definedName>
    <definedName name="solver_lhs1764" localSheetId="2" hidden="1">'Run CRS'!$H$110:$I$110</definedName>
    <definedName name="solver_lhs1764" localSheetId="4" hidden="1">'Run VRS'!$H$110:$I$110</definedName>
    <definedName name="solver_lhs1765" localSheetId="2" hidden="1">'Run CRS'!$H$110:$I$110</definedName>
    <definedName name="solver_lhs1765" localSheetId="4" hidden="1">'Run VRS'!$H$110:$I$110</definedName>
    <definedName name="solver_lhs1766" localSheetId="2" hidden="1">'Run CRS'!$H$110:$I$110</definedName>
    <definedName name="solver_lhs1766" localSheetId="4" hidden="1">'Run VRS'!$H$110:$I$110</definedName>
    <definedName name="solver_lhs1767" localSheetId="2" hidden="1">'Run CRS'!$H$110:$I$110</definedName>
    <definedName name="solver_lhs1767" localSheetId="4" hidden="1">'Run VRS'!$H$110:$I$110</definedName>
    <definedName name="solver_lhs1768" localSheetId="2" hidden="1">'Run CRS'!$H$110:$I$110</definedName>
    <definedName name="solver_lhs1768" localSheetId="4" hidden="1">'Run VRS'!$H$110:$I$110</definedName>
    <definedName name="solver_lhs1769" localSheetId="2" hidden="1">'Run CRS'!$H$110:$I$110</definedName>
    <definedName name="solver_lhs1769" localSheetId="4" hidden="1">'Run VRS'!$H$110:$I$110</definedName>
    <definedName name="solver_lhs177" localSheetId="2" hidden="1">'Run CRS'!$AC$107</definedName>
    <definedName name="solver_lhs177" localSheetId="4" hidden="1">'Run VRS'!$AC$107</definedName>
    <definedName name="solver_lhs1770" localSheetId="2" hidden="1">'Run CRS'!$H$110:$I$110</definedName>
    <definedName name="solver_lhs1770" localSheetId="4" hidden="1">'Run VRS'!$H$110:$I$110</definedName>
    <definedName name="solver_lhs1771" localSheetId="2" hidden="1">'Run CRS'!$H$110:$I$110</definedName>
    <definedName name="solver_lhs1771" localSheetId="4" hidden="1">'Run VRS'!$H$110:$I$110</definedName>
    <definedName name="solver_lhs1772" localSheetId="2" hidden="1">'Run CRS'!$H$110:$I$110</definedName>
    <definedName name="solver_lhs1772" localSheetId="4" hidden="1">'Run VRS'!$H$110:$I$110</definedName>
    <definedName name="solver_lhs1773" localSheetId="2" hidden="1">'Run CRS'!$H$110:$I$110</definedName>
    <definedName name="solver_lhs1773" localSheetId="4" hidden="1">'Run VRS'!$H$110:$I$110</definedName>
    <definedName name="solver_lhs1774" localSheetId="2" hidden="1">'Run CRS'!$H$110:$I$110</definedName>
    <definedName name="solver_lhs1774" localSheetId="4" hidden="1">'Run VRS'!$H$110:$I$110</definedName>
    <definedName name="solver_lhs1775" localSheetId="2" hidden="1">'Run CRS'!$H$110:$I$110</definedName>
    <definedName name="solver_lhs1775" localSheetId="4" hidden="1">'Run VRS'!$H$110:$I$110</definedName>
    <definedName name="solver_lhs1776" localSheetId="2" hidden="1">'Run CRS'!$M$105:$V$105</definedName>
    <definedName name="solver_lhs1776" localSheetId="4" hidden="1">'Run VRS'!$M$105:$V$105</definedName>
    <definedName name="solver_lhs1777" localSheetId="2" hidden="1">'Run CRS'!$H$110:$I$110</definedName>
    <definedName name="solver_lhs1777" localSheetId="4" hidden="1">'Run VRS'!$H$110:$I$110</definedName>
    <definedName name="solver_lhs1778" localSheetId="2" hidden="1">'Run CRS'!$M$105:$V$105</definedName>
    <definedName name="solver_lhs1778" localSheetId="4" hidden="1">'Run VRS'!$M$105:$V$105</definedName>
    <definedName name="solver_lhs1779" localSheetId="2" hidden="1">'Run CRS'!$H$110:$I$110</definedName>
    <definedName name="solver_lhs1779" localSheetId="4" hidden="1">'Run VRS'!$H$110:$I$110</definedName>
    <definedName name="solver_lhs178" localSheetId="2" hidden="1">'Run CRS'!$AC$107</definedName>
    <definedName name="solver_lhs178" localSheetId="4" hidden="1">'Run VRS'!$AC$107</definedName>
    <definedName name="solver_lhs1780" localSheetId="2" hidden="1">'Run CRS'!$M$105:$V$105</definedName>
    <definedName name="solver_lhs1780" localSheetId="4" hidden="1">'Run VRS'!$M$105:$V$105</definedName>
    <definedName name="solver_lhs1781" localSheetId="2" hidden="1">'Run CRS'!$H$110:$I$110</definedName>
    <definedName name="solver_lhs1781" localSheetId="4" hidden="1">'Run VRS'!$H$110:$I$110</definedName>
    <definedName name="solver_lhs1782" localSheetId="2" hidden="1">'Run CRS'!$M$105:$V$105</definedName>
    <definedName name="solver_lhs1782" localSheetId="4" hidden="1">'Run VRS'!$M$105:$V$105</definedName>
    <definedName name="solver_lhs1783" localSheetId="2" hidden="1">'Run CRS'!$H$110:$I$110</definedName>
    <definedName name="solver_lhs1783" localSheetId="4" hidden="1">'Run VRS'!$H$110:$I$110</definedName>
    <definedName name="solver_lhs1784" localSheetId="2" hidden="1">'Run CRS'!$M$105:$V$105</definedName>
    <definedName name="solver_lhs1784" localSheetId="4" hidden="1">'Run VRS'!$M$105:$V$105</definedName>
    <definedName name="solver_lhs1785" localSheetId="2" hidden="1">'Run CRS'!$H$110:$I$110</definedName>
    <definedName name="solver_lhs1785" localSheetId="4" hidden="1">'Run VRS'!$H$110:$I$110</definedName>
    <definedName name="solver_lhs1786" localSheetId="2" hidden="1">'Run CRS'!$M$105:$V$105</definedName>
    <definedName name="solver_lhs1786" localSheetId="4" hidden="1">'Run VRS'!$M$105:$V$105</definedName>
    <definedName name="solver_lhs1787" localSheetId="2" hidden="1">'Run CRS'!$M$105:$V$105</definedName>
    <definedName name="solver_lhs1787" localSheetId="4" hidden="1">'Run VRS'!$M$105:$V$105</definedName>
    <definedName name="solver_lhs1788" localSheetId="2" hidden="1">'Run CRS'!$M$105:$V$105</definedName>
    <definedName name="solver_lhs1788" localSheetId="4" hidden="1">'Run VRS'!$M$105:$V$105</definedName>
    <definedName name="solver_lhs1789" localSheetId="2" hidden="1">'Run CRS'!$M$105:$V$105</definedName>
    <definedName name="solver_lhs1789" localSheetId="4" hidden="1">'Run VRS'!$M$105:$V$105</definedName>
    <definedName name="solver_lhs179" localSheetId="2" hidden="1">'Run CRS'!$AC$107</definedName>
    <definedName name="solver_lhs179" localSheetId="4" hidden="1">'Run VRS'!$AC$107</definedName>
    <definedName name="solver_lhs1790" localSheetId="2" hidden="1">'Run CRS'!$M$105:$V$105</definedName>
    <definedName name="solver_lhs1790" localSheetId="4" hidden="1">'Run VRS'!$M$105:$V$105</definedName>
    <definedName name="solver_lhs1791" localSheetId="2" hidden="1">'Run CRS'!$M$105:$V$105</definedName>
    <definedName name="solver_lhs1791" localSheetId="4" hidden="1">'Run VRS'!$M$105:$V$105</definedName>
    <definedName name="solver_lhs1792" localSheetId="2" hidden="1">'Run CRS'!$M$105:$V$105</definedName>
    <definedName name="solver_lhs1792" localSheetId="4" hidden="1">'Run VRS'!$M$105:$V$105</definedName>
    <definedName name="solver_lhs1793" localSheetId="2" hidden="1">'Run CRS'!$M$105:$V$105</definedName>
    <definedName name="solver_lhs1793" localSheetId="4" hidden="1">'Run VRS'!$M$105:$V$105</definedName>
    <definedName name="solver_lhs1794" localSheetId="2" hidden="1">'Run CRS'!$M$105:$V$105</definedName>
    <definedName name="solver_lhs1794" localSheetId="4" hidden="1">'Run VRS'!$M$105:$V$105</definedName>
    <definedName name="solver_lhs1795" localSheetId="2" hidden="1">'Run CRS'!$M$105:$V$105</definedName>
    <definedName name="solver_lhs1795" localSheetId="4" hidden="1">'Run VRS'!$M$105:$V$105</definedName>
    <definedName name="solver_lhs1796" localSheetId="2" hidden="1">'Run CRS'!$M$105:$V$105</definedName>
    <definedName name="solver_lhs1796" localSheetId="4" hidden="1">'Run VRS'!$M$105:$V$105</definedName>
    <definedName name="solver_lhs1797" localSheetId="2" hidden="1">'Run CRS'!$M$105:$V$105</definedName>
    <definedName name="solver_lhs1797" localSheetId="4" hidden="1">'Run VRS'!$M$105:$V$105</definedName>
    <definedName name="solver_lhs1798" localSheetId="2" hidden="1">'Run CRS'!$M$105:$V$105</definedName>
    <definedName name="solver_lhs1798" localSheetId="4" hidden="1">'Run VRS'!$M$105:$V$105</definedName>
    <definedName name="solver_lhs1799" localSheetId="2" hidden="1">'Run CRS'!$M$105:$V$105</definedName>
    <definedName name="solver_lhs1799" localSheetId="4" hidden="1">'Run VRS'!$M$105:$V$105</definedName>
    <definedName name="solver_lhs18" localSheetId="0" hidden="1">'Data input'!$H$108:$I$108</definedName>
    <definedName name="solver_lhs18" localSheetId="2" hidden="1">'Run CRS'!$M$105:$V$105</definedName>
    <definedName name="solver_lhs18" localSheetId="4" hidden="1">'Run VRS'!$M$105:$V$105</definedName>
    <definedName name="solver_lhs180" localSheetId="2" hidden="1">'Run CRS'!$AC$107</definedName>
    <definedName name="solver_lhs180" localSheetId="4" hidden="1">'Run VRS'!$AC$107</definedName>
    <definedName name="solver_lhs1800" localSheetId="2" hidden="1">'Run CRS'!$M$105:$V$105</definedName>
    <definedName name="solver_lhs1800" localSheetId="4" hidden="1">'Run VRS'!$M$105:$V$105</definedName>
    <definedName name="solver_lhs1801" localSheetId="2" hidden="1">'Run CRS'!$M$105:$V$105</definedName>
    <definedName name="solver_lhs1801" localSheetId="4" hidden="1">'Run VRS'!$M$105:$V$105</definedName>
    <definedName name="solver_lhs1802" localSheetId="2" hidden="1">'Run CRS'!$M$105:$V$105</definedName>
    <definedName name="solver_lhs1802" localSheetId="4" hidden="1">'Run VRS'!$M$105:$V$105</definedName>
    <definedName name="solver_lhs1803" localSheetId="2" hidden="1">'Run CRS'!$M$105:$V$105</definedName>
    <definedName name="solver_lhs1803" localSheetId="4" hidden="1">'Run VRS'!$M$105:$V$105</definedName>
    <definedName name="solver_lhs1804" localSheetId="2" hidden="1">'Run CRS'!$M$105:$V$105</definedName>
    <definedName name="solver_lhs1804" localSheetId="4" hidden="1">'Run VRS'!$M$105:$V$105</definedName>
    <definedName name="solver_lhs1805" localSheetId="2" hidden="1">'Run CRS'!$M$105:$V$105</definedName>
    <definedName name="solver_lhs1805" localSheetId="4" hidden="1">'Run VRS'!$M$105:$V$105</definedName>
    <definedName name="solver_lhs1806" localSheetId="2" hidden="1">'Run CRS'!$M$105:$V$105</definedName>
    <definedName name="solver_lhs1806" localSheetId="4" hidden="1">'Run VRS'!$M$105:$V$105</definedName>
    <definedName name="solver_lhs1807" localSheetId="2" hidden="1">'Run CRS'!$M$105:$V$105</definedName>
    <definedName name="solver_lhs1807" localSheetId="4" hidden="1">'Run VRS'!$M$105:$V$105</definedName>
    <definedName name="solver_lhs1808" localSheetId="2" hidden="1">'Run CRS'!$M$105:$V$105</definedName>
    <definedName name="solver_lhs1808" localSheetId="4" hidden="1">'Run VRS'!$M$105:$V$105</definedName>
    <definedName name="solver_lhs1809" localSheetId="2" hidden="1">'Run CRS'!$M$105:$V$105</definedName>
    <definedName name="solver_lhs1809" localSheetId="4" hidden="1">'Run VRS'!$M$105:$V$105</definedName>
    <definedName name="solver_lhs181" localSheetId="2" hidden="1">'Run CRS'!$AC$107</definedName>
    <definedName name="solver_lhs181" localSheetId="4" hidden="1">'Run VRS'!$AC$107</definedName>
    <definedName name="solver_lhs1810" localSheetId="2" hidden="1">'Run CRS'!$M$105:$V$105</definedName>
    <definedName name="solver_lhs1810" localSheetId="4" hidden="1">'Run VRS'!$M$105:$V$105</definedName>
    <definedName name="solver_lhs1811" localSheetId="2" hidden="1">'Run CRS'!$M$105:$V$105</definedName>
    <definedName name="solver_lhs1811" localSheetId="4" hidden="1">'Run VRS'!$M$105:$V$105</definedName>
    <definedName name="solver_lhs1812" localSheetId="2" hidden="1">'Run CRS'!$M$105:$V$105</definedName>
    <definedName name="solver_lhs1812" localSheetId="4" hidden="1">'Run VRS'!$M$105:$V$105</definedName>
    <definedName name="solver_lhs1813" localSheetId="2" hidden="1">'Run CRS'!$M$105:$V$105</definedName>
    <definedName name="solver_lhs1813" localSheetId="4" hidden="1">'Run VRS'!$M$105:$V$105</definedName>
    <definedName name="solver_lhs1814" localSheetId="2" hidden="1">'Run CRS'!$M$105:$V$105</definedName>
    <definedName name="solver_lhs1814" localSheetId="4" hidden="1">'Run VRS'!$M$105:$V$105</definedName>
    <definedName name="solver_lhs1815" localSheetId="2" hidden="1">'Run CRS'!$M$105:$V$105</definedName>
    <definedName name="solver_lhs1815" localSheetId="4" hidden="1">'Run VRS'!$M$105:$V$105</definedName>
    <definedName name="solver_lhs1816" localSheetId="2" hidden="1">'Run CRS'!$M$105:$V$105</definedName>
    <definedName name="solver_lhs1816" localSheetId="4" hidden="1">'Run VRS'!$M$105:$V$105</definedName>
    <definedName name="solver_lhs1817" localSheetId="2" hidden="1">'Run CRS'!$M$105:$V$105</definedName>
    <definedName name="solver_lhs1817" localSheetId="4" hidden="1">'Run VRS'!$M$105:$V$105</definedName>
    <definedName name="solver_lhs1818" localSheetId="2" hidden="1">'Run CRS'!$M$105:$V$105</definedName>
    <definedName name="solver_lhs1818" localSheetId="4" hidden="1">'Run VRS'!$M$105:$V$105</definedName>
    <definedName name="solver_lhs1819" localSheetId="2" hidden="1">'Run CRS'!$M$105:$V$105</definedName>
    <definedName name="solver_lhs1819" localSheetId="4" hidden="1">'Run VRS'!$M$105:$V$105</definedName>
    <definedName name="solver_lhs182" localSheetId="2" hidden="1">'Run CRS'!$AC$107</definedName>
    <definedName name="solver_lhs182" localSheetId="4" hidden="1">'Run VRS'!$AC$107</definedName>
    <definedName name="solver_lhs1820" localSheetId="2" hidden="1">'Run CRS'!$M$105:$V$105</definedName>
    <definedName name="solver_lhs1820" localSheetId="4" hidden="1">'Run VRS'!$M$105:$V$105</definedName>
    <definedName name="solver_lhs1821" localSheetId="2" hidden="1">'Run CRS'!$M$105:$V$105</definedName>
    <definedName name="solver_lhs1821" localSheetId="4" hidden="1">'Run VRS'!$M$105:$V$105</definedName>
    <definedName name="solver_lhs1822" localSheetId="2" hidden="1">'Run CRS'!$M$105:$V$105</definedName>
    <definedName name="solver_lhs1822" localSheetId="4" hidden="1">'Run VRS'!$M$105:$V$105</definedName>
    <definedName name="solver_lhs1823" localSheetId="2" hidden="1">'Run CRS'!$M$105:$V$105</definedName>
    <definedName name="solver_lhs1823" localSheetId="4" hidden="1">'Run VRS'!$M$105:$V$105</definedName>
    <definedName name="solver_lhs1824" localSheetId="2" hidden="1">'Run CRS'!$M$105:$V$105</definedName>
    <definedName name="solver_lhs1824" localSheetId="4" hidden="1">'Run VRS'!$M$105:$V$105</definedName>
    <definedName name="solver_lhs1825" localSheetId="2" hidden="1">'Run CRS'!$M$105:$V$105</definedName>
    <definedName name="solver_lhs1825" localSheetId="4" hidden="1">'Run VRS'!$M$105:$V$105</definedName>
    <definedName name="solver_lhs1826" localSheetId="2" hidden="1">'Run CRS'!$M$105:$V$105</definedName>
    <definedName name="solver_lhs1826" localSheetId="4" hidden="1">'Run VRS'!$M$105:$V$105</definedName>
    <definedName name="solver_lhs1827" localSheetId="2" hidden="1">'Run CRS'!$M$105:$V$105</definedName>
    <definedName name="solver_lhs1827" localSheetId="4" hidden="1">'Run VRS'!$M$105:$V$105</definedName>
    <definedName name="solver_lhs1828" localSheetId="2" hidden="1">'Run CRS'!$M$105:$V$105</definedName>
    <definedName name="solver_lhs1828" localSheetId="4" hidden="1">'Run VRS'!$M$105:$V$105</definedName>
    <definedName name="solver_lhs1829" localSheetId="2" hidden="1">'Run CRS'!$M$105:$V$105</definedName>
    <definedName name="solver_lhs1829" localSheetId="4" hidden="1">'Run VRS'!$M$105:$V$105</definedName>
    <definedName name="solver_lhs183" localSheetId="2" hidden="1">'Run CRS'!$AC$107</definedName>
    <definedName name="solver_lhs183" localSheetId="4" hidden="1">'Run VRS'!$AC$107</definedName>
    <definedName name="solver_lhs1830" localSheetId="2" hidden="1">'Run CRS'!$M$105:$V$105</definedName>
    <definedName name="solver_lhs1830" localSheetId="4" hidden="1">'Run VRS'!$M$105:$V$105</definedName>
    <definedName name="solver_lhs1831" localSheetId="2" hidden="1">'Run CRS'!$M$105:$V$105</definedName>
    <definedName name="solver_lhs1831" localSheetId="4" hidden="1">'Run VRS'!$M$105:$V$105</definedName>
    <definedName name="solver_lhs1832" localSheetId="2" hidden="1">'Run CRS'!$M$105:$V$105</definedName>
    <definedName name="solver_lhs1832" localSheetId="4" hidden="1">'Run VRS'!$M$105:$V$105</definedName>
    <definedName name="solver_lhs1833" localSheetId="2" hidden="1">'Run CRS'!$M$105:$V$105</definedName>
    <definedName name="solver_lhs1833" localSheetId="4" hidden="1">'Run VRS'!$M$105:$V$105</definedName>
    <definedName name="solver_lhs1834" localSheetId="2" hidden="1">'Run CRS'!$M$105:$V$105</definedName>
    <definedName name="solver_lhs1834" localSheetId="4" hidden="1">'Run VRS'!$M$105:$V$105</definedName>
    <definedName name="solver_lhs1835" localSheetId="2" hidden="1">'Run CRS'!$M$105:$V$105</definedName>
    <definedName name="solver_lhs1835" localSheetId="4" hidden="1">'Run VRS'!$M$105:$V$105</definedName>
    <definedName name="solver_lhs1836" localSheetId="2" hidden="1">'Run CRS'!$M$105:$V$105</definedName>
    <definedName name="solver_lhs1836" localSheetId="4" hidden="1">'Run VRS'!$M$105:$V$105</definedName>
    <definedName name="solver_lhs1837" localSheetId="2" hidden="1">'Run CRS'!$M$105:$V$105</definedName>
    <definedName name="solver_lhs1837" localSheetId="4" hidden="1">'Run VRS'!$M$105:$V$105</definedName>
    <definedName name="solver_lhs1838" localSheetId="2" hidden="1">'Run CRS'!$M$105:$V$105</definedName>
    <definedName name="solver_lhs1838" localSheetId="4" hidden="1">'Run VRS'!$M$105:$V$105</definedName>
    <definedName name="solver_lhs1839" localSheetId="2" hidden="1">'Run CRS'!$M$105:$V$105</definedName>
    <definedName name="solver_lhs1839" localSheetId="4" hidden="1">'Run VRS'!$M$105:$V$105</definedName>
    <definedName name="solver_lhs184" localSheetId="2" hidden="1">'Run CRS'!$AC$107</definedName>
    <definedName name="solver_lhs184" localSheetId="4" hidden="1">'Run VRS'!$AC$107</definedName>
    <definedName name="solver_lhs1840" localSheetId="2" hidden="1">'Run CRS'!$M$105:$V$105</definedName>
    <definedName name="solver_lhs1840" localSheetId="4" hidden="1">'Run VRS'!$M$105:$V$105</definedName>
    <definedName name="solver_lhs1841" localSheetId="2" hidden="1">'Run CRS'!$M$105:$V$105</definedName>
    <definedName name="solver_lhs1841" localSheetId="4" hidden="1">'Run VRS'!$M$105:$V$105</definedName>
    <definedName name="solver_lhs1842" localSheetId="2" hidden="1">'Run CRS'!$M$105:$V$105</definedName>
    <definedName name="solver_lhs1842" localSheetId="4" hidden="1">'Run VRS'!$M$105:$V$105</definedName>
    <definedName name="solver_lhs1843" localSheetId="2" hidden="1">'Run CRS'!$M$105:$V$105</definedName>
    <definedName name="solver_lhs1843" localSheetId="4" hidden="1">'Run VRS'!$M$105:$V$105</definedName>
    <definedName name="solver_lhs1844" localSheetId="2" hidden="1">'Run CRS'!$M$105:$V$105</definedName>
    <definedName name="solver_lhs1844" localSheetId="4" hidden="1">'Run VRS'!$M$105:$V$105</definedName>
    <definedName name="solver_lhs1845" localSheetId="2" hidden="1">'Run CRS'!$M$105:$V$105</definedName>
    <definedName name="solver_lhs1845" localSheetId="4" hidden="1">'Run VRS'!$M$105:$V$105</definedName>
    <definedName name="solver_lhs1846" localSheetId="2" hidden="1">'Run CRS'!$M$105:$V$105</definedName>
    <definedName name="solver_lhs1846" localSheetId="4" hidden="1">'Run VRS'!$M$105:$V$105</definedName>
    <definedName name="solver_lhs1847" localSheetId="2" hidden="1">'Run CRS'!$M$105:$V$105</definedName>
    <definedName name="solver_lhs1847" localSheetId="4" hidden="1">'Run VRS'!$M$105:$V$105</definedName>
    <definedName name="solver_lhs1848" localSheetId="2" hidden="1">'Run CRS'!$M$105:$V$105</definedName>
    <definedName name="solver_lhs1848" localSheetId="4" hidden="1">'Run VRS'!$M$105:$V$105</definedName>
    <definedName name="solver_lhs1849" localSheetId="2" hidden="1">'Run CRS'!$M$105:$V$105</definedName>
    <definedName name="solver_lhs1849" localSheetId="4" hidden="1">'Run VRS'!$M$105:$V$105</definedName>
    <definedName name="solver_lhs185" localSheetId="2" hidden="1">'Run CRS'!$AC$107</definedName>
    <definedName name="solver_lhs185" localSheetId="4" hidden="1">'Run VRS'!$AC$107</definedName>
    <definedName name="solver_lhs1850" localSheetId="2" hidden="1">'Run CRS'!$M$105:$V$105</definedName>
    <definedName name="solver_lhs1850" localSheetId="4" hidden="1">'Run VRS'!$M$105:$V$105</definedName>
    <definedName name="solver_lhs1851" localSheetId="2" hidden="1">'Run CRS'!$M$105:$V$105</definedName>
    <definedName name="solver_lhs1851" localSheetId="4" hidden="1">'Run VRS'!$M$105:$V$105</definedName>
    <definedName name="solver_lhs1852" localSheetId="2" hidden="1">'Run CRS'!$M$105:$V$105</definedName>
    <definedName name="solver_lhs1852" localSheetId="4" hidden="1">'Run VRS'!$M$105:$V$105</definedName>
    <definedName name="solver_lhs1853" localSheetId="2" hidden="1">'Run CRS'!$M$105:$V$105</definedName>
    <definedName name="solver_lhs1853" localSheetId="4" hidden="1">'Run VRS'!$M$105:$V$105</definedName>
    <definedName name="solver_lhs1854" localSheetId="2" hidden="1">'Run CRS'!$M$105:$V$105</definedName>
    <definedName name="solver_lhs1854" localSheetId="4" hidden="1">'Run VRS'!$M$105:$V$105</definedName>
    <definedName name="solver_lhs1855" localSheetId="2" hidden="1">'Run CRS'!$M$105:$V$105</definedName>
    <definedName name="solver_lhs1855" localSheetId="4" hidden="1">'Run VRS'!$M$105:$V$105</definedName>
    <definedName name="solver_lhs1856" localSheetId="2" hidden="1">'Run CRS'!$M$105:$V$105</definedName>
    <definedName name="solver_lhs1856" localSheetId="4" hidden="1">'Run VRS'!$M$105:$V$105</definedName>
    <definedName name="solver_lhs1857" localSheetId="2" hidden="1">'Run CRS'!$M$105:$V$105</definedName>
    <definedName name="solver_lhs1857" localSheetId="4" hidden="1">'Run VRS'!$M$105:$V$105</definedName>
    <definedName name="solver_lhs1858" localSheetId="2" hidden="1">'Run CRS'!$M$105:$V$105</definedName>
    <definedName name="solver_lhs1858" localSheetId="4" hidden="1">'Run VRS'!$M$105:$V$105</definedName>
    <definedName name="solver_lhs1859" localSheetId="2" hidden="1">'Run CRS'!$M$105:$V$105</definedName>
    <definedName name="solver_lhs1859" localSheetId="4" hidden="1">'Run VRS'!$M$105:$V$105</definedName>
    <definedName name="solver_lhs186" localSheetId="2" hidden="1">'Run CRS'!$AC$107</definedName>
    <definedName name="solver_lhs186" localSheetId="4" hidden="1">'Run VRS'!$AC$107</definedName>
    <definedName name="solver_lhs1860" localSheetId="2" hidden="1">'Run CRS'!$M$105:$V$105</definedName>
    <definedName name="solver_lhs1860" localSheetId="4" hidden="1">'Run VRS'!$M$105:$V$105</definedName>
    <definedName name="solver_lhs1861" localSheetId="2" hidden="1">'Run CRS'!$M$105:$V$105</definedName>
    <definedName name="solver_lhs1861" localSheetId="4" hidden="1">'Run VRS'!$M$105:$V$105</definedName>
    <definedName name="solver_lhs1862" localSheetId="2" hidden="1">'Run CRS'!$M$105:$V$105</definedName>
    <definedName name="solver_lhs1862" localSheetId="4" hidden="1">'Run VRS'!$M$105:$V$105</definedName>
    <definedName name="solver_lhs1863" localSheetId="2" hidden="1">'Run CRS'!$M$105:$V$105</definedName>
    <definedName name="solver_lhs1863" localSheetId="4" hidden="1">'Run VRS'!$M$105:$V$105</definedName>
    <definedName name="solver_lhs1864" localSheetId="2" hidden="1">'Run CRS'!$M$105:$V$105</definedName>
    <definedName name="solver_lhs1864" localSheetId="4" hidden="1">'Run VRS'!$M$105:$V$105</definedName>
    <definedName name="solver_lhs1865" localSheetId="2" hidden="1">'Run CRS'!$M$105:$V$105</definedName>
    <definedName name="solver_lhs1865" localSheetId="4" hidden="1">'Run VRS'!$M$105:$V$105</definedName>
    <definedName name="solver_lhs1866" localSheetId="2" hidden="1">'Run CRS'!$M$105:$V$105</definedName>
    <definedName name="solver_lhs1866" localSheetId="4" hidden="1">'Run VRS'!$M$105:$V$105</definedName>
    <definedName name="solver_lhs1867" localSheetId="2" hidden="1">'Run CRS'!$M$105:$V$105</definedName>
    <definedName name="solver_lhs1867" localSheetId="4" hidden="1">'Run VRS'!$M$105:$V$105</definedName>
    <definedName name="solver_lhs1868" localSheetId="2" hidden="1">'Run CRS'!$M$105:$V$105</definedName>
    <definedName name="solver_lhs1868" localSheetId="4" hidden="1">'Run VRS'!$M$105:$V$105</definedName>
    <definedName name="solver_lhs1869" localSheetId="2" hidden="1">'Run CRS'!$M$105:$V$105</definedName>
    <definedName name="solver_lhs1869" localSheetId="4" hidden="1">'Run VRS'!$M$105:$V$105</definedName>
    <definedName name="solver_lhs187" localSheetId="2" hidden="1">'Run CRS'!$AC$107</definedName>
    <definedName name="solver_lhs187" localSheetId="4" hidden="1">'Run VRS'!$AC$107</definedName>
    <definedName name="solver_lhs1870" localSheetId="2" hidden="1">'Run CRS'!$M$105:$V$105</definedName>
    <definedName name="solver_lhs1870" localSheetId="4" hidden="1">'Run VRS'!$M$105:$V$105</definedName>
    <definedName name="solver_lhs1871" localSheetId="2" hidden="1">'Run CRS'!$M$105:$V$105</definedName>
    <definedName name="solver_lhs1871" localSheetId="4" hidden="1">'Run VRS'!$M$105:$V$105</definedName>
    <definedName name="solver_lhs1872" localSheetId="2" hidden="1">'Run CRS'!$M$105:$V$105</definedName>
    <definedName name="solver_lhs1872" localSheetId="4" hidden="1">'Run VRS'!$M$105:$V$105</definedName>
    <definedName name="solver_lhs1873" localSheetId="2" hidden="1">'Run CRS'!$M$105:$V$105</definedName>
    <definedName name="solver_lhs1873" localSheetId="4" hidden="1">'Run VRS'!$M$105:$V$105</definedName>
    <definedName name="solver_lhs1874" localSheetId="2" hidden="1">'Run CRS'!$M$105:$V$105</definedName>
    <definedName name="solver_lhs1874" localSheetId="4" hidden="1">'Run VRS'!$M$105:$V$105</definedName>
    <definedName name="solver_lhs1875" localSheetId="2" hidden="1">'Run CRS'!$M$105:$V$105</definedName>
    <definedName name="solver_lhs1875" localSheetId="4" hidden="1">'Run VRS'!$M$105:$V$105</definedName>
    <definedName name="solver_lhs1876" localSheetId="2" hidden="1">'Run CRS'!$M$105:$V$105</definedName>
    <definedName name="solver_lhs1876" localSheetId="4" hidden="1">'Run VRS'!$M$105:$V$105</definedName>
    <definedName name="solver_lhs1877" localSheetId="2" hidden="1">'Run CRS'!$M$105:$V$105</definedName>
    <definedName name="solver_lhs1877" localSheetId="4" hidden="1">'Run VRS'!$M$105:$V$105</definedName>
    <definedName name="solver_lhs1878" localSheetId="2" hidden="1">'Run CRS'!$M$105:$V$105</definedName>
    <definedName name="solver_lhs1878" localSheetId="4" hidden="1">'Run VRS'!$M$105:$V$105</definedName>
    <definedName name="solver_lhs1879" localSheetId="2" hidden="1">'Run CRS'!$M$105:$V$105</definedName>
    <definedName name="solver_lhs1879" localSheetId="4" hidden="1">'Run VRS'!$M$105:$V$105</definedName>
    <definedName name="solver_lhs188" localSheetId="2" hidden="1">'Run CRS'!$AC$107</definedName>
    <definedName name="solver_lhs188" localSheetId="4" hidden="1">'Run VRS'!$AC$107</definedName>
    <definedName name="solver_lhs1880" localSheetId="2" hidden="1">'Run CRS'!$M$105:$V$105</definedName>
    <definedName name="solver_lhs1880" localSheetId="4" hidden="1">'Run VRS'!$M$105:$V$105</definedName>
    <definedName name="solver_lhs1881" localSheetId="2" hidden="1">'Run CRS'!$M$105:$V$105</definedName>
    <definedName name="solver_lhs1881" localSheetId="4" hidden="1">'Run VRS'!$M$105:$V$105</definedName>
    <definedName name="solver_lhs1882" localSheetId="2" hidden="1">'Run CRS'!$M$105:$V$105</definedName>
    <definedName name="solver_lhs1882" localSheetId="4" hidden="1">'Run VRS'!$M$105:$V$105</definedName>
    <definedName name="solver_lhs1883" localSheetId="2" hidden="1">'Run CRS'!$M$105:$V$105</definedName>
    <definedName name="solver_lhs1883" localSheetId="4" hidden="1">'Run VRS'!$M$105:$V$105</definedName>
    <definedName name="solver_lhs1884" localSheetId="2" hidden="1">'Run CRS'!$M$105:$V$105</definedName>
    <definedName name="solver_lhs1884" localSheetId="4" hidden="1">'Run VRS'!$M$105:$V$105</definedName>
    <definedName name="solver_lhs1885" localSheetId="2" hidden="1">'Run CRS'!$M$105:$V$105</definedName>
    <definedName name="solver_lhs1885" localSheetId="4" hidden="1">'Run VRS'!$M$105:$V$105</definedName>
    <definedName name="solver_lhs1886" localSheetId="2" hidden="1">'Run CRS'!$M$105:$V$105</definedName>
    <definedName name="solver_lhs1886" localSheetId="4" hidden="1">'Run VRS'!$M$105:$V$105</definedName>
    <definedName name="solver_lhs1887" localSheetId="2" hidden="1">'Run CRS'!$M$105:$V$105</definedName>
    <definedName name="solver_lhs1887" localSheetId="4" hidden="1">'Run VRS'!$M$105:$V$105</definedName>
    <definedName name="solver_lhs1888" localSheetId="2" hidden="1">'Run CRS'!$M$105:$V$105</definedName>
    <definedName name="solver_lhs1888" localSheetId="4" hidden="1">'Run VRS'!$M$105:$V$105</definedName>
    <definedName name="solver_lhs1889" localSheetId="2" hidden="1">'Run CRS'!$M$105:$V$105</definedName>
    <definedName name="solver_lhs1889" localSheetId="4" hidden="1">'Run VRS'!$M$105:$V$105</definedName>
    <definedName name="solver_lhs189" localSheetId="2" hidden="1">'Run CRS'!$AC$107</definedName>
    <definedName name="solver_lhs189" localSheetId="4" hidden="1">'Run VRS'!$AC$107</definedName>
    <definedName name="solver_lhs1890" localSheetId="2" hidden="1">'Run CRS'!$M$105:$V$105</definedName>
    <definedName name="solver_lhs1890" localSheetId="4" hidden="1">'Run VRS'!$M$105:$V$105</definedName>
    <definedName name="solver_lhs1891" localSheetId="2" hidden="1">'Run CRS'!$M$105:$V$105</definedName>
    <definedName name="solver_lhs1891" localSheetId="4" hidden="1">'Run VRS'!$M$105:$V$105</definedName>
    <definedName name="solver_lhs1892" localSheetId="2" hidden="1">'Run CRS'!$M$105:$V$105</definedName>
    <definedName name="solver_lhs1892" localSheetId="4" hidden="1">'Run VRS'!$M$105:$V$105</definedName>
    <definedName name="solver_lhs1893" localSheetId="2" hidden="1">'Run CRS'!$M$105:$V$105</definedName>
    <definedName name="solver_lhs1893" localSheetId="4" hidden="1">'Run VRS'!$M$105:$V$105</definedName>
    <definedName name="solver_lhs1894" localSheetId="2" hidden="1">'Run CRS'!$M$105:$V$105</definedName>
    <definedName name="solver_lhs1894" localSheetId="4" hidden="1">'Run VRS'!$M$105:$V$105</definedName>
    <definedName name="solver_lhs1895" localSheetId="2" hidden="1">'Run CRS'!$M$105:$V$105</definedName>
    <definedName name="solver_lhs1895" localSheetId="4" hidden="1">'Run VRS'!$M$105:$V$105</definedName>
    <definedName name="solver_lhs1896" localSheetId="2" hidden="1">'Run CRS'!$M$105:$V$105</definedName>
    <definedName name="solver_lhs1896" localSheetId="4" hidden="1">'Run VRS'!$M$105:$V$105</definedName>
    <definedName name="solver_lhs1897" localSheetId="2" hidden="1">'Run CRS'!$M$105:$V$105</definedName>
    <definedName name="solver_lhs1897" localSheetId="4" hidden="1">'Run VRS'!$M$105:$V$105</definedName>
    <definedName name="solver_lhs1898" localSheetId="2" hidden="1">'Run CRS'!$M$105:$V$105</definedName>
    <definedName name="solver_lhs1898" localSheetId="4" hidden="1">'Run VRS'!$M$105:$V$105</definedName>
    <definedName name="solver_lhs1899" localSheetId="2" hidden="1">'Run CRS'!$M$105:$V$105</definedName>
    <definedName name="solver_lhs1899" localSheetId="4" hidden="1">'Run VRS'!$M$105:$V$105</definedName>
    <definedName name="solver_lhs19" localSheetId="0" hidden="1">'Data input'!$C$110</definedName>
    <definedName name="solver_lhs19" localSheetId="2" hidden="1">'Run CRS'!$AC$107</definedName>
    <definedName name="solver_lhs19" localSheetId="4" hidden="1">'Run VRS'!$AC$107</definedName>
    <definedName name="solver_lhs190" localSheetId="2" hidden="1">'Run CRS'!$AC$107</definedName>
    <definedName name="solver_lhs190" localSheetId="4" hidden="1">'Run VRS'!$AC$107</definedName>
    <definedName name="solver_lhs1900" localSheetId="2" hidden="1">'Run CRS'!$M$105:$V$105</definedName>
    <definedName name="solver_lhs1900" localSheetId="4" hidden="1">'Run VRS'!$M$105:$V$105</definedName>
    <definedName name="solver_lhs1901" localSheetId="2" hidden="1">'Run CRS'!$M$105:$V$105</definedName>
    <definedName name="solver_lhs1901" localSheetId="4" hidden="1">'Run VRS'!$M$105:$V$105</definedName>
    <definedName name="solver_lhs1902" localSheetId="2" hidden="1">'Run CRS'!$M$105:$V$105</definedName>
    <definedName name="solver_lhs1902" localSheetId="4" hidden="1">'Run VRS'!$M$105:$V$105</definedName>
    <definedName name="solver_lhs1903" localSheetId="2" hidden="1">'Run CRS'!$M$105:$V$105</definedName>
    <definedName name="solver_lhs1903" localSheetId="4" hidden="1">'Run VRS'!$M$105:$V$105</definedName>
    <definedName name="solver_lhs1904" localSheetId="2" hidden="1">'Run CRS'!$M$105:$V$105</definedName>
    <definedName name="solver_lhs1904" localSheetId="4" hidden="1">'Run VRS'!$M$105:$V$105</definedName>
    <definedName name="solver_lhs1905" localSheetId="2" hidden="1">'Run CRS'!$M$105:$V$105</definedName>
    <definedName name="solver_lhs1905" localSheetId="4" hidden="1">'Run VRS'!$M$105:$V$105</definedName>
    <definedName name="solver_lhs1906" localSheetId="2" hidden="1">'Run CRS'!$M$105:$V$105</definedName>
    <definedName name="solver_lhs1906" localSheetId="4" hidden="1">'Run VRS'!$M$105:$V$105</definedName>
    <definedName name="solver_lhs1907" localSheetId="2" hidden="1">'Run CRS'!$M$105:$V$105</definedName>
    <definedName name="solver_lhs1907" localSheetId="4" hidden="1">'Run VRS'!$M$105:$V$105</definedName>
    <definedName name="solver_lhs1908" localSheetId="2" hidden="1">'Run CRS'!$M$105:$V$105</definedName>
    <definedName name="solver_lhs1908" localSheetId="4" hidden="1">'Run VRS'!$M$105:$V$105</definedName>
    <definedName name="solver_lhs1909" localSheetId="2" hidden="1">'Run CRS'!$M$105:$V$105</definedName>
    <definedName name="solver_lhs1909" localSheetId="4" hidden="1">'Run VRS'!$M$105:$V$105</definedName>
    <definedName name="solver_lhs191" localSheetId="2" hidden="1">'Run CRS'!$AC$107</definedName>
    <definedName name="solver_lhs191" localSheetId="4" hidden="1">'Run VRS'!$AC$107</definedName>
    <definedName name="solver_lhs1910" localSheetId="2" hidden="1">'Run CRS'!$M$105:$V$105</definedName>
    <definedName name="solver_lhs1910" localSheetId="4" hidden="1">'Run VRS'!$M$105:$V$105</definedName>
    <definedName name="solver_lhs1911" localSheetId="2" hidden="1">'Run CRS'!$M$105:$V$105</definedName>
    <definedName name="solver_lhs1911" localSheetId="4" hidden="1">'Run VRS'!$M$105:$V$105</definedName>
    <definedName name="solver_lhs1912" localSheetId="2" hidden="1">'Run CRS'!$M$105:$V$105</definedName>
    <definedName name="solver_lhs1912" localSheetId="4" hidden="1">'Run VRS'!$M$105:$V$105</definedName>
    <definedName name="solver_lhs1913" localSheetId="2" hidden="1">'Run CRS'!$M$105:$V$105</definedName>
    <definedName name="solver_lhs1913" localSheetId="4" hidden="1">'Run VRS'!$M$105:$V$105</definedName>
    <definedName name="solver_lhs1914" localSheetId="2" hidden="1">'Run CRS'!$M$105:$V$105</definedName>
    <definedName name="solver_lhs1914" localSheetId="4" hidden="1">'Run VRS'!$M$105:$V$105</definedName>
    <definedName name="solver_lhs1915" localSheetId="2" hidden="1">'Run CRS'!$M$105:$V$105</definedName>
    <definedName name="solver_lhs1915" localSheetId="4" hidden="1">'Run VRS'!$M$105:$V$105</definedName>
    <definedName name="solver_lhs1916" localSheetId="2" hidden="1">'Run CRS'!$M$105:$V$105</definedName>
    <definedName name="solver_lhs1916" localSheetId="4" hidden="1">'Run VRS'!$M$105:$V$105</definedName>
    <definedName name="solver_lhs1917" localSheetId="2" hidden="1">'Run CRS'!$M$105:$V$105</definedName>
    <definedName name="solver_lhs1917" localSheetId="4" hidden="1">'Run VRS'!$M$105:$V$105</definedName>
    <definedName name="solver_lhs1918" localSheetId="2" hidden="1">'Run CRS'!$M$105:$V$105</definedName>
    <definedName name="solver_lhs1918" localSheetId="4" hidden="1">'Run VRS'!$M$105:$V$105</definedName>
    <definedName name="solver_lhs1919" localSheetId="2" hidden="1">'Run CRS'!$M$105:$V$105</definedName>
    <definedName name="solver_lhs1919" localSheetId="4" hidden="1">'Run VRS'!$M$105:$V$105</definedName>
    <definedName name="solver_lhs192" localSheetId="2" hidden="1">'Run CRS'!$AC$107</definedName>
    <definedName name="solver_lhs192" localSheetId="4" hidden="1">'Run VRS'!$AC$107</definedName>
    <definedName name="solver_lhs1920" localSheetId="2" hidden="1">'Run CRS'!$M$105:$V$105</definedName>
    <definedName name="solver_lhs1920" localSheetId="4" hidden="1">'Run VRS'!$M$105:$V$105</definedName>
    <definedName name="solver_lhs1921" localSheetId="2" hidden="1">'Run CRS'!$M$105:$V$105</definedName>
    <definedName name="solver_lhs1921" localSheetId="4" hidden="1">'Run VRS'!$M$105:$V$105</definedName>
    <definedName name="solver_lhs1922" localSheetId="2" hidden="1">'Run CRS'!$M$105:$V$105</definedName>
    <definedName name="solver_lhs1922" localSheetId="4" hidden="1">'Run VRS'!$M$105:$V$105</definedName>
    <definedName name="solver_lhs1923" localSheetId="2" hidden="1">'Run CRS'!$M$105:$V$105</definedName>
    <definedName name="solver_lhs1923" localSheetId="4" hidden="1">'Run VRS'!$M$105:$V$105</definedName>
    <definedName name="solver_lhs1924" localSheetId="2" hidden="1">'Run CRS'!$M$105:$V$105</definedName>
    <definedName name="solver_lhs1924" localSheetId="4" hidden="1">'Run VRS'!$M$105:$V$105</definedName>
    <definedName name="solver_lhs1925" localSheetId="2" hidden="1">'Run CRS'!$M$105:$V$105</definedName>
    <definedName name="solver_lhs1925" localSheetId="4" hidden="1">'Run VRS'!$M$105:$V$105</definedName>
    <definedName name="solver_lhs1926" localSheetId="2" hidden="1">'Run CRS'!$M$105:$V$105</definedName>
    <definedName name="solver_lhs1926" localSheetId="4" hidden="1">'Run VRS'!$M$105:$V$105</definedName>
    <definedName name="solver_lhs1927" localSheetId="2" hidden="1">'Run CRS'!$M$105:$V$105</definedName>
    <definedName name="solver_lhs1927" localSheetId="4" hidden="1">'Run VRS'!$M$105:$V$105</definedName>
    <definedName name="solver_lhs1928" localSheetId="2" hidden="1">'Run CRS'!$M$105:$V$105</definedName>
    <definedName name="solver_lhs1928" localSheetId="4" hidden="1">'Run VRS'!$M$105:$V$105</definedName>
    <definedName name="solver_lhs1929" localSheetId="2" hidden="1">'Run CRS'!$M$105:$V$105</definedName>
    <definedName name="solver_lhs1929" localSheetId="4" hidden="1">'Run VRS'!$M$105:$V$105</definedName>
    <definedName name="solver_lhs193" localSheetId="2" hidden="1">'Run CRS'!$AC$107</definedName>
    <definedName name="solver_lhs193" localSheetId="4" hidden="1">'Run VRS'!$AC$107</definedName>
    <definedName name="solver_lhs1930" localSheetId="2" hidden="1">'Run CRS'!$M$105:$V$105</definedName>
    <definedName name="solver_lhs1930" localSheetId="4" hidden="1">'Run VRS'!$M$105:$V$105</definedName>
    <definedName name="solver_lhs1931" localSheetId="2" hidden="1">'Run CRS'!$M$105:$V$105</definedName>
    <definedName name="solver_lhs1931" localSheetId="4" hidden="1">'Run VRS'!$M$105:$V$105</definedName>
    <definedName name="solver_lhs1932" localSheetId="2" hidden="1">'Run CRS'!$M$105:$V$105</definedName>
    <definedName name="solver_lhs1932" localSheetId="4" hidden="1">'Run VRS'!$M$105:$V$105</definedName>
    <definedName name="solver_lhs1933" localSheetId="2" hidden="1">'Run CRS'!$M$105:$V$105</definedName>
    <definedName name="solver_lhs1933" localSheetId="4" hidden="1">'Run VRS'!$M$105:$V$105</definedName>
    <definedName name="solver_lhs1934" localSheetId="2" hidden="1">'Run CRS'!$M$105:$V$105</definedName>
    <definedName name="solver_lhs1934" localSheetId="4" hidden="1">'Run VRS'!$M$105:$V$105</definedName>
    <definedName name="solver_lhs1935" localSheetId="2" hidden="1">'Run CRS'!$M$105:$V$105</definedName>
    <definedName name="solver_lhs1935" localSheetId="4" hidden="1">'Run VRS'!$M$105:$V$105</definedName>
    <definedName name="solver_lhs1936" localSheetId="2" hidden="1">'Run CRS'!$M$105:$V$105</definedName>
    <definedName name="solver_lhs1936" localSheetId="4" hidden="1">'Run VRS'!$M$105:$V$105</definedName>
    <definedName name="solver_lhs1937" localSheetId="2" hidden="1">'Run CRS'!$M$105:$V$105</definedName>
    <definedName name="solver_lhs1937" localSheetId="4" hidden="1">'Run VRS'!$M$105:$V$105</definedName>
    <definedName name="solver_lhs1938" localSheetId="2" hidden="1">'Run CRS'!$M$105:$V$105</definedName>
    <definedName name="solver_lhs1938" localSheetId="4" hidden="1">'Run VRS'!$M$105:$V$105</definedName>
    <definedName name="solver_lhs1939" localSheetId="2" hidden="1">'Run CRS'!$M$105:$V$105</definedName>
    <definedName name="solver_lhs1939" localSheetId="4" hidden="1">'Run VRS'!$M$105:$V$105</definedName>
    <definedName name="solver_lhs194" localSheetId="2" hidden="1">'Run CRS'!$AC$107</definedName>
    <definedName name="solver_lhs194" localSheetId="4" hidden="1">'Run VRS'!$AC$107</definedName>
    <definedName name="solver_lhs1940" localSheetId="2" hidden="1">'Run CRS'!$M$105:$V$105</definedName>
    <definedName name="solver_lhs1940" localSheetId="4" hidden="1">'Run VRS'!$M$105:$V$105</definedName>
    <definedName name="solver_lhs1941" localSheetId="2" hidden="1">'Run CRS'!$M$105:$V$105</definedName>
    <definedName name="solver_lhs1941" localSheetId="4" hidden="1">'Run VRS'!$M$105:$V$105</definedName>
    <definedName name="solver_lhs1942" localSheetId="2" hidden="1">'Run CRS'!$M$105:$V$105</definedName>
    <definedName name="solver_lhs1942" localSheetId="4" hidden="1">'Run VRS'!$M$105:$V$105</definedName>
    <definedName name="solver_lhs1943" localSheetId="2" hidden="1">'Run CRS'!$M$105:$V$105</definedName>
    <definedName name="solver_lhs1943" localSheetId="4" hidden="1">'Run VRS'!$M$105:$V$105</definedName>
    <definedName name="solver_lhs1944" localSheetId="2" hidden="1">'Run CRS'!$M$105:$V$105</definedName>
    <definedName name="solver_lhs1944" localSheetId="4" hidden="1">'Run VRS'!$M$105:$V$105</definedName>
    <definedName name="solver_lhs1945" localSheetId="2" hidden="1">'Run CRS'!$M$105:$V$105</definedName>
    <definedName name="solver_lhs1945" localSheetId="4" hidden="1">'Run VRS'!$M$105:$V$105</definedName>
    <definedName name="solver_lhs1946" localSheetId="2" hidden="1">'Run CRS'!$M$105:$V$105</definedName>
    <definedName name="solver_lhs1946" localSheetId="4" hidden="1">'Run VRS'!$M$105:$V$105</definedName>
    <definedName name="solver_lhs1947" localSheetId="2" hidden="1">'Run CRS'!$M$105:$V$105</definedName>
    <definedName name="solver_lhs1947" localSheetId="4" hidden="1">'Run VRS'!$M$105:$V$105</definedName>
    <definedName name="solver_lhs1948" localSheetId="2" hidden="1">'Run CRS'!$M$105:$V$105</definedName>
    <definedName name="solver_lhs1948" localSheetId="4" hidden="1">'Run VRS'!$M$105:$V$105</definedName>
    <definedName name="solver_lhs1949" localSheetId="2" hidden="1">'Run CRS'!$M$105:$V$105</definedName>
    <definedName name="solver_lhs1949" localSheetId="4" hidden="1">'Run VRS'!$M$105:$V$105</definedName>
    <definedName name="solver_lhs195" localSheetId="2" hidden="1">'Run CRS'!$AC$107</definedName>
    <definedName name="solver_lhs195" localSheetId="4" hidden="1">'Run VRS'!$AC$107</definedName>
    <definedName name="solver_lhs1950" localSheetId="2" hidden="1">'Run CRS'!$M$105:$V$105</definedName>
    <definedName name="solver_lhs1950" localSheetId="4" hidden="1">'Run VRS'!$M$105:$V$105</definedName>
    <definedName name="solver_lhs1951" localSheetId="2" hidden="1">'Run CRS'!$M$105:$V$105</definedName>
    <definedName name="solver_lhs1951" localSheetId="4" hidden="1">'Run VRS'!$M$105:$V$105</definedName>
    <definedName name="solver_lhs1952" localSheetId="2" hidden="1">'Run CRS'!$M$105:$V$105</definedName>
    <definedName name="solver_lhs1952" localSheetId="4" hidden="1">'Run VRS'!$M$105:$V$105</definedName>
    <definedName name="solver_lhs1953" localSheetId="2" hidden="1">'Run CRS'!$M$105:$V$105</definedName>
    <definedName name="solver_lhs1953" localSheetId="4" hidden="1">'Run VRS'!$M$105:$V$105</definedName>
    <definedName name="solver_lhs1954" localSheetId="2" hidden="1">'Run CRS'!$M$105:$V$105</definedName>
    <definedName name="solver_lhs1954" localSheetId="4" hidden="1">'Run VRS'!$M$105:$V$105</definedName>
    <definedName name="solver_lhs1955" localSheetId="2" hidden="1">'Run CRS'!$M$105:$V$105</definedName>
    <definedName name="solver_lhs1955" localSheetId="4" hidden="1">'Run VRS'!$M$105:$V$105</definedName>
    <definedName name="solver_lhs1956" localSheetId="2" hidden="1">'Run CRS'!$M$105:$V$105</definedName>
    <definedName name="solver_lhs1956" localSheetId="4" hidden="1">'Run VRS'!$M$105:$V$105</definedName>
    <definedName name="solver_lhs1957" localSheetId="2" hidden="1">'Run CRS'!$M$105:$V$105</definedName>
    <definedName name="solver_lhs1957" localSheetId="4" hidden="1">'Run VRS'!$M$105:$V$105</definedName>
    <definedName name="solver_lhs1958" localSheetId="2" hidden="1">'Run CRS'!$M$105:$V$105</definedName>
    <definedName name="solver_lhs1958" localSheetId="4" hidden="1">'Run VRS'!$M$105:$V$105</definedName>
    <definedName name="solver_lhs1959" localSheetId="2" hidden="1">'Run CRS'!$M$105:$V$105</definedName>
    <definedName name="solver_lhs1959" localSheetId="4" hidden="1">'Run VRS'!$M$105:$V$105</definedName>
    <definedName name="solver_lhs196" localSheetId="2" hidden="1">'Run CRS'!$AC$107</definedName>
    <definedName name="solver_lhs196" localSheetId="4" hidden="1">'Run VRS'!$AC$107</definedName>
    <definedName name="solver_lhs1960" localSheetId="2" hidden="1">'Run CRS'!$M$105:$V$105</definedName>
    <definedName name="solver_lhs1960" localSheetId="4" hidden="1">'Run VRS'!$M$105:$V$105</definedName>
    <definedName name="solver_lhs1961" localSheetId="2" hidden="1">'Run CRS'!$M$105:$V$105</definedName>
    <definedName name="solver_lhs1961" localSheetId="4" hidden="1">'Run VRS'!$M$105:$V$105</definedName>
    <definedName name="solver_lhs1962" localSheetId="2" hidden="1">'Run CRS'!$M$105:$V$105</definedName>
    <definedName name="solver_lhs1962" localSheetId="4" hidden="1">'Run VRS'!$M$105:$V$105</definedName>
    <definedName name="solver_lhs1963" localSheetId="2" hidden="1">'Run CRS'!$M$105:$V$105</definedName>
    <definedName name="solver_lhs1963" localSheetId="4" hidden="1">'Run VRS'!$M$105:$V$105</definedName>
    <definedName name="solver_lhs1964" localSheetId="2" hidden="1">'Run CRS'!$M$105:$V$105</definedName>
    <definedName name="solver_lhs1964" localSheetId="4" hidden="1">'Run VRS'!$M$105:$V$105</definedName>
    <definedName name="solver_lhs1965" localSheetId="2" hidden="1">'Run CRS'!$M$105:$V$105</definedName>
    <definedName name="solver_lhs1965" localSheetId="4" hidden="1">'Run VRS'!$M$105:$V$105</definedName>
    <definedName name="solver_lhs1966" localSheetId="2" hidden="1">'Run CRS'!$M$105:$V$105</definedName>
    <definedName name="solver_lhs1966" localSheetId="4" hidden="1">'Run VRS'!$M$105:$V$105</definedName>
    <definedName name="solver_lhs1967" localSheetId="2" hidden="1">'Run CRS'!$M$105:$V$105</definedName>
    <definedName name="solver_lhs1967" localSheetId="4" hidden="1">'Run VRS'!$M$105:$V$105</definedName>
    <definedName name="solver_lhs1968" localSheetId="2" hidden="1">'Run CRS'!$M$105:$V$105</definedName>
    <definedName name="solver_lhs1968" localSheetId="4" hidden="1">'Run VRS'!$M$105:$V$105</definedName>
    <definedName name="solver_lhs1969" localSheetId="2" hidden="1">'Run CRS'!$M$105:$V$105</definedName>
    <definedName name="solver_lhs1969" localSheetId="4" hidden="1">'Run VRS'!$M$105:$V$105</definedName>
    <definedName name="solver_lhs197" localSheetId="2" hidden="1">'Run CRS'!$AC$107</definedName>
    <definedName name="solver_lhs197" localSheetId="4" hidden="1">'Run VRS'!$AC$107</definedName>
    <definedName name="solver_lhs1970" localSheetId="2" hidden="1">'Run CRS'!$M$105:$V$105</definedName>
    <definedName name="solver_lhs1970" localSheetId="4" hidden="1">'Run VRS'!$M$105:$V$105</definedName>
    <definedName name="solver_lhs1971" localSheetId="2" hidden="1">'Run CRS'!$M$105:$V$105</definedName>
    <definedName name="solver_lhs1971" localSheetId="4" hidden="1">'Run VRS'!$M$105:$V$105</definedName>
    <definedName name="solver_lhs1972" localSheetId="2" hidden="1">'Run CRS'!$M$105:$V$105</definedName>
    <definedName name="solver_lhs1972" localSheetId="4" hidden="1">'Run VRS'!$M$105:$V$105</definedName>
    <definedName name="solver_lhs1973" localSheetId="2" hidden="1">'Run CRS'!$M$105:$V$105</definedName>
    <definedName name="solver_lhs1973" localSheetId="4" hidden="1">'Run VRS'!$M$105:$V$105</definedName>
    <definedName name="solver_lhs1974" localSheetId="2" hidden="1">'Run CRS'!$M$105:$V$105</definedName>
    <definedName name="solver_lhs1974" localSheetId="4" hidden="1">'Run VRS'!$M$105:$V$105</definedName>
    <definedName name="solver_lhs1975" localSheetId="2" hidden="1">'Run CRS'!$M$105:$V$105</definedName>
    <definedName name="solver_lhs1975" localSheetId="4" hidden="1">'Run VRS'!$M$105:$V$105</definedName>
    <definedName name="solver_lhs1976" localSheetId="2" hidden="1">'Run CRS'!$M$105:$V$105</definedName>
    <definedName name="solver_lhs1976" localSheetId="4" hidden="1">'Run VRS'!$M$105:$V$105</definedName>
    <definedName name="solver_lhs1977" localSheetId="2" hidden="1">'Run CRS'!$M$105:$V$105</definedName>
    <definedName name="solver_lhs1977" localSheetId="4" hidden="1">'Run VRS'!$M$105:$V$105</definedName>
    <definedName name="solver_lhs1978" localSheetId="2" hidden="1">'Run CRS'!$M$105:$V$105</definedName>
    <definedName name="solver_lhs1978" localSheetId="4" hidden="1">'Run VRS'!$M$105:$V$105</definedName>
    <definedName name="solver_lhs1979" localSheetId="2" hidden="1">'Run CRS'!$M$105:$V$105</definedName>
    <definedName name="solver_lhs1979" localSheetId="4" hidden="1">'Run VRS'!$M$105:$V$105</definedName>
    <definedName name="solver_lhs198" localSheetId="2" hidden="1">'Run CRS'!$AC$107</definedName>
    <definedName name="solver_lhs198" localSheetId="4" hidden="1">'Run VRS'!$AC$107</definedName>
    <definedName name="solver_lhs1980" localSheetId="2" hidden="1">'Run CRS'!$M$105:$V$105</definedName>
    <definedName name="solver_lhs1980" localSheetId="4" hidden="1">'Run VRS'!$M$105:$V$105</definedName>
    <definedName name="solver_lhs1981" localSheetId="2" hidden="1">'Run CRS'!$M$105:$V$105</definedName>
    <definedName name="solver_lhs1981" localSheetId="4" hidden="1">'Run VRS'!$M$105:$V$105</definedName>
    <definedName name="solver_lhs1982" localSheetId="2" hidden="1">'Run CRS'!$M$105:$V$105</definedName>
    <definedName name="solver_lhs1982" localSheetId="4" hidden="1">'Run VRS'!$M$105:$V$105</definedName>
    <definedName name="solver_lhs1983" localSheetId="2" hidden="1">'Run CRS'!$M$105:$V$105</definedName>
    <definedName name="solver_lhs1983" localSheetId="4" hidden="1">'Run VRS'!$M$105:$V$105</definedName>
    <definedName name="solver_lhs1984" localSheetId="2" hidden="1">'Run CRS'!$M$105:$V$105</definedName>
    <definedName name="solver_lhs1984" localSheetId="4" hidden="1">'Run VRS'!$M$105:$V$105</definedName>
    <definedName name="solver_lhs1985" localSheetId="2" hidden="1">'Run CRS'!$M$105:$V$105</definedName>
    <definedName name="solver_lhs1985" localSheetId="4" hidden="1">'Run VRS'!$M$105:$V$105</definedName>
    <definedName name="solver_lhs1986" localSheetId="2" hidden="1">'Run CRS'!$M$105:$V$105</definedName>
    <definedName name="solver_lhs1986" localSheetId="4" hidden="1">'Run VRS'!$M$105:$V$105</definedName>
    <definedName name="solver_lhs1987" localSheetId="2" hidden="1">'Run CRS'!$M$105:$V$105</definedName>
    <definedName name="solver_lhs1987" localSheetId="4" hidden="1">'Run VRS'!$M$105:$V$105</definedName>
    <definedName name="solver_lhs1988" localSheetId="2" hidden="1">'Run CRS'!$M$105:$V$105</definedName>
    <definedName name="solver_lhs1988" localSheetId="4" hidden="1">'Run VRS'!$M$105:$V$105</definedName>
    <definedName name="solver_lhs1989" localSheetId="2" hidden="1">'Run CRS'!$M$105:$V$105</definedName>
    <definedName name="solver_lhs1989" localSheetId="4" hidden="1">'Run VRS'!$M$105:$V$105</definedName>
    <definedName name="solver_lhs199" localSheetId="2" hidden="1">'Run CRS'!$AC$107</definedName>
    <definedName name="solver_lhs199" localSheetId="4" hidden="1">'Run VRS'!$AC$107</definedName>
    <definedName name="solver_lhs1990" localSheetId="2" hidden="1">'Run CRS'!$M$105:$V$105</definedName>
    <definedName name="solver_lhs1990" localSheetId="4" hidden="1">'Run VRS'!$M$105:$V$105</definedName>
    <definedName name="solver_lhs1991" localSheetId="2" hidden="1">'Run CRS'!$M$105:$V$105</definedName>
    <definedName name="solver_lhs1991" localSheetId="4" hidden="1">'Run VRS'!$M$105:$V$105</definedName>
    <definedName name="solver_lhs1992" localSheetId="2" hidden="1">'Run CRS'!$M$105:$V$105</definedName>
    <definedName name="solver_lhs1992" localSheetId="4" hidden="1">'Run VRS'!$M$105:$V$105</definedName>
    <definedName name="solver_lhs1993" localSheetId="2" hidden="1">'Run CRS'!$M$105:$V$105</definedName>
    <definedName name="solver_lhs1993" localSheetId="4" hidden="1">'Run VRS'!$M$105:$V$105</definedName>
    <definedName name="solver_lhs1994" localSheetId="2" hidden="1">'Run CRS'!$M$105:$V$105</definedName>
    <definedName name="solver_lhs1994" localSheetId="4" hidden="1">'Run VRS'!$M$105:$V$105</definedName>
    <definedName name="solver_lhs1995" localSheetId="2" hidden="1">'Run CRS'!$M$105:$V$105</definedName>
    <definedName name="solver_lhs1995" localSheetId="4" hidden="1">'Run VRS'!$M$105:$V$105</definedName>
    <definedName name="solver_lhs1996" localSheetId="2" hidden="1">'Run CRS'!$M$105:$V$105</definedName>
    <definedName name="solver_lhs1996" localSheetId="4" hidden="1">'Run VRS'!$M$105:$V$105</definedName>
    <definedName name="solver_lhs1997" localSheetId="2" hidden="1">'Run CRS'!$M$105:$V$105</definedName>
    <definedName name="solver_lhs1997" localSheetId="4" hidden="1">'Run VRS'!$M$105:$V$105</definedName>
    <definedName name="solver_lhs1998" localSheetId="2" hidden="1">'Run CRS'!$M$105:$V$105</definedName>
    <definedName name="solver_lhs1998" localSheetId="4" hidden="1">'Run VRS'!$M$105:$V$105</definedName>
    <definedName name="solver_lhs1999" localSheetId="2" hidden="1">'Run CRS'!$M$105:$V$105</definedName>
    <definedName name="solver_lhs1999" localSheetId="4" hidden="1">'Run VRS'!$M$105:$V$105</definedName>
    <definedName name="solver_lhs2" localSheetId="0" hidden="1">'Data input'!$AC$107</definedName>
    <definedName name="solver_lhs2" localSheetId="2" hidden="1">'Run CRS'!$AC$107</definedName>
    <definedName name="solver_lhs2" localSheetId="4" hidden="1">'Run VRS'!$AC$107</definedName>
    <definedName name="solver_lhs20" localSheetId="0" hidden="1">'Data input'!$H$110:$I$110</definedName>
    <definedName name="solver_lhs20" localSheetId="2" hidden="1">'Run CRS'!$AC$3:$AC$53</definedName>
    <definedName name="solver_lhs20" localSheetId="4" hidden="1">'Run VRS'!$AC$3:$AC$53</definedName>
    <definedName name="solver_lhs200" localSheetId="2" hidden="1">'Run CRS'!$AC$107</definedName>
    <definedName name="solver_lhs200" localSheetId="4" hidden="1">'Run VRS'!$AC$107</definedName>
    <definedName name="solver_lhs2000" localSheetId="2" hidden="1">'Run CRS'!$M$105:$V$105</definedName>
    <definedName name="solver_lhs2000" localSheetId="4" hidden="1">'Run VRS'!$M$105:$V$105</definedName>
    <definedName name="solver_lhs2001" localSheetId="2" hidden="1">'Run CRS'!$M$105:$V$105</definedName>
    <definedName name="solver_lhs2001" localSheetId="4" hidden="1">'Run VRS'!$M$105:$V$105</definedName>
    <definedName name="solver_lhs2002" localSheetId="2" hidden="1">'Run CRS'!$M$105:$V$105</definedName>
    <definedName name="solver_lhs2002" localSheetId="4" hidden="1">'Run VRS'!$M$105:$V$105</definedName>
    <definedName name="solver_lhs201" localSheetId="2" hidden="1">'Run CRS'!$AC$107</definedName>
    <definedName name="solver_lhs201" localSheetId="4" hidden="1">'Run VRS'!$AC$107</definedName>
    <definedName name="solver_lhs202" localSheetId="2" hidden="1">'Run CRS'!$AC$107</definedName>
    <definedName name="solver_lhs202" localSheetId="4" hidden="1">'Run VRS'!$AC$107</definedName>
    <definedName name="solver_lhs203" localSheetId="2" hidden="1">'Run CRS'!$AC$107</definedName>
    <definedName name="solver_lhs203" localSheetId="4" hidden="1">'Run VRS'!$AC$107</definedName>
    <definedName name="solver_lhs204" localSheetId="2" hidden="1">'Run CRS'!$AC$107</definedName>
    <definedName name="solver_lhs204" localSheetId="4" hidden="1">'Run VRS'!$AC$107</definedName>
    <definedName name="solver_lhs205" localSheetId="2" hidden="1">'Run CRS'!$AC$107</definedName>
    <definedName name="solver_lhs205" localSheetId="4" hidden="1">'Run VRS'!$AC$107</definedName>
    <definedName name="solver_lhs206" localSheetId="2" hidden="1">'Run CRS'!$AC$107</definedName>
    <definedName name="solver_lhs206" localSheetId="4" hidden="1">'Run VRS'!$AC$107</definedName>
    <definedName name="solver_lhs207" localSheetId="2" hidden="1">'Run CRS'!$AC$107</definedName>
    <definedName name="solver_lhs207" localSheetId="4" hidden="1">'Run VRS'!$AC$107</definedName>
    <definedName name="solver_lhs208" localSheetId="2" hidden="1">'Run CRS'!$AC$107</definedName>
    <definedName name="solver_lhs208" localSheetId="4" hidden="1">'Run VRS'!$AC$107</definedName>
    <definedName name="solver_lhs209" localSheetId="2" hidden="1">'Run CRS'!$AC$107</definedName>
    <definedName name="solver_lhs209" localSheetId="4" hidden="1">'Run VRS'!$AC$107</definedName>
    <definedName name="solver_lhs21" localSheetId="0" hidden="1">'Data input'!$C$112</definedName>
    <definedName name="solver_lhs21" localSheetId="2" hidden="1">'Run CRS'!$C$108</definedName>
    <definedName name="solver_lhs21" localSheetId="4" hidden="1">'Run VRS'!$C$108</definedName>
    <definedName name="solver_lhs210" localSheetId="2" hidden="1">'Run CRS'!$AC$107</definedName>
    <definedName name="solver_lhs210" localSheetId="4" hidden="1">'Run VRS'!$AC$107</definedName>
    <definedName name="solver_lhs211" localSheetId="2" hidden="1">'Run CRS'!$AC$107</definedName>
    <definedName name="solver_lhs211" localSheetId="4" hidden="1">'Run VRS'!$AC$107</definedName>
    <definedName name="solver_lhs212" localSheetId="2" hidden="1">'Run CRS'!$AC$107</definedName>
    <definedName name="solver_lhs212" localSheetId="4" hidden="1">'Run VRS'!$AC$107</definedName>
    <definedName name="solver_lhs213" localSheetId="2" hidden="1">'Run CRS'!$AC$107</definedName>
    <definedName name="solver_lhs213" localSheetId="4" hidden="1">'Run VRS'!$AC$107</definedName>
    <definedName name="solver_lhs214" localSheetId="2" hidden="1">'Run CRS'!$AC$107</definedName>
    <definedName name="solver_lhs214" localSheetId="4" hidden="1">'Run VRS'!$AC$107</definedName>
    <definedName name="solver_lhs215" localSheetId="2" hidden="1">'Run CRS'!$AC$107</definedName>
    <definedName name="solver_lhs215" localSheetId="4" hidden="1">'Run VRS'!$AC$107</definedName>
    <definedName name="solver_lhs216" localSheetId="2" hidden="1">'Run CRS'!$AC$107</definedName>
    <definedName name="solver_lhs216" localSheetId="4" hidden="1">'Run VRS'!$AC$107</definedName>
    <definedName name="solver_lhs217" localSheetId="2" hidden="1">'Run CRS'!$AC$107</definedName>
    <definedName name="solver_lhs217" localSheetId="4" hidden="1">'Run VRS'!$AC$107</definedName>
    <definedName name="solver_lhs218" localSheetId="2" hidden="1">'Run CRS'!$AC$107</definedName>
    <definedName name="solver_lhs218" localSheetId="4" hidden="1">'Run VRS'!$AC$107</definedName>
    <definedName name="solver_lhs219" localSheetId="2" hidden="1">'Run CRS'!$AC$107</definedName>
    <definedName name="solver_lhs219" localSheetId="4" hidden="1">'Run VRS'!$AC$107</definedName>
    <definedName name="solver_lhs22" localSheetId="0" hidden="1">'Data input'!$M$105:$V$105</definedName>
    <definedName name="solver_lhs22" localSheetId="2" hidden="1">'Run CRS'!$H$108:$I$108</definedName>
    <definedName name="solver_lhs22" localSheetId="4" hidden="1">'Run VRS'!$H$108:$I$108</definedName>
    <definedName name="solver_lhs220" localSheetId="2" hidden="1">'Run CRS'!$AC$107</definedName>
    <definedName name="solver_lhs220" localSheetId="4" hidden="1">'Run VRS'!$AC$107</definedName>
    <definedName name="solver_lhs221" localSheetId="2" hidden="1">'Run CRS'!$AC$107</definedName>
    <definedName name="solver_lhs221" localSheetId="4" hidden="1">'Run VRS'!$AC$107</definedName>
    <definedName name="solver_lhs222" localSheetId="2" hidden="1">'Run CRS'!$AC$107</definedName>
    <definedName name="solver_lhs222" localSheetId="4" hidden="1">'Run VRS'!$AC$107</definedName>
    <definedName name="solver_lhs223" localSheetId="2" hidden="1">'Run CRS'!$AC$107</definedName>
    <definedName name="solver_lhs223" localSheetId="4" hidden="1">'Run VRS'!$AC$107</definedName>
    <definedName name="solver_lhs224" localSheetId="2" hidden="1">'Run CRS'!$AC$105</definedName>
    <definedName name="solver_lhs224" localSheetId="4" hidden="1">'Run VRS'!$AC$105</definedName>
    <definedName name="solver_lhs225" localSheetId="2" hidden="1">'Run CRS'!$AC$107</definedName>
    <definedName name="solver_lhs225" localSheetId="4" hidden="1">'Run VRS'!$AC$107</definedName>
    <definedName name="solver_lhs226" localSheetId="2" hidden="1">'Run CRS'!$AC$3:$AC$53</definedName>
    <definedName name="solver_lhs226" localSheetId="4" hidden="1">'Run VRS'!$AC$3:$AC$53</definedName>
    <definedName name="solver_lhs227" localSheetId="2" hidden="1">'Run CRS'!$AC$3:$AC$53</definedName>
    <definedName name="solver_lhs227" localSheetId="4" hidden="1">'Run VRS'!$AC$3:$AC$53</definedName>
    <definedName name="solver_lhs228" localSheetId="2" hidden="1">'Run CRS'!$AC$3:$AC$53</definedName>
    <definedName name="solver_lhs228" localSheetId="4" hidden="1">'Run VRS'!$AC$3:$AC$53</definedName>
    <definedName name="solver_lhs229" localSheetId="2" hidden="1">'Run CRS'!$AC$3:$AC$53</definedName>
    <definedName name="solver_lhs229" localSheetId="4" hidden="1">'Run VRS'!$AC$3:$AC$53</definedName>
    <definedName name="solver_lhs23" localSheetId="0" hidden="1">'Data input'!$AC$105</definedName>
    <definedName name="solver_lhs23" localSheetId="2" hidden="1">'Run CRS'!$C$108</definedName>
    <definedName name="solver_lhs23" localSheetId="4" hidden="1">'Run VRS'!$C$108</definedName>
    <definedName name="solver_lhs230" localSheetId="2" hidden="1">'Run CRS'!$AC$3:$AC$53</definedName>
    <definedName name="solver_lhs230" localSheetId="4" hidden="1">'Run VRS'!$AC$3:$AC$53</definedName>
    <definedName name="solver_lhs231" localSheetId="2" hidden="1">'Run CRS'!$AC$3:$AC$53</definedName>
    <definedName name="solver_lhs231" localSheetId="4" hidden="1">'Run VRS'!$AC$3:$AC$53</definedName>
    <definedName name="solver_lhs232" localSheetId="2" hidden="1">'Run CRS'!$AC$3:$AC$53</definedName>
    <definedName name="solver_lhs232" localSheetId="4" hidden="1">'Run VRS'!$AC$3:$AC$53</definedName>
    <definedName name="solver_lhs233" localSheetId="2" hidden="1">'Run CRS'!$AC$3:$AC$53</definedName>
    <definedName name="solver_lhs233" localSheetId="4" hidden="1">'Run VRS'!$AC$3:$AC$53</definedName>
    <definedName name="solver_lhs234" localSheetId="2" hidden="1">'Run CRS'!$AC$3:$AC$53</definedName>
    <definedName name="solver_lhs234" localSheetId="4" hidden="1">'Run VRS'!$AC$3:$AC$53</definedName>
    <definedName name="solver_lhs235" localSheetId="2" hidden="1">'Run CRS'!$AC$3:$AC$53</definedName>
    <definedName name="solver_lhs235" localSheetId="4" hidden="1">'Run VRS'!$AC$3:$AC$53</definedName>
    <definedName name="solver_lhs236" localSheetId="2" hidden="1">'Run CRS'!$AC$3:$AC$53</definedName>
    <definedName name="solver_lhs236" localSheetId="4" hidden="1">'Run VRS'!$AC$3:$AC$53</definedName>
    <definedName name="solver_lhs237" localSheetId="2" hidden="1">'Run CRS'!$AC$3:$AC$53</definedName>
    <definedName name="solver_lhs237" localSheetId="4" hidden="1">'Run VRS'!$AC$3:$AC$53</definedName>
    <definedName name="solver_lhs238" localSheetId="2" hidden="1">'Run CRS'!$AC$3:$AC$53</definedName>
    <definedName name="solver_lhs238" localSheetId="4" hidden="1">'Run VRS'!$AC$3:$AC$53</definedName>
    <definedName name="solver_lhs239" localSheetId="2" hidden="1">'Run CRS'!$AC$3:$AC$53</definedName>
    <definedName name="solver_lhs239" localSheetId="4" hidden="1">'Run VRS'!$AC$3:$AC$53</definedName>
    <definedName name="solver_lhs24" localSheetId="0" hidden="1">'Data input'!$AC$107</definedName>
    <definedName name="solver_lhs24" localSheetId="2" hidden="1">'Run CRS'!$H$108:$I$108</definedName>
    <definedName name="solver_lhs24" localSheetId="4" hidden="1">'Run VRS'!$H$108:$I$108</definedName>
    <definedName name="solver_lhs240" localSheetId="2" hidden="1">'Run CRS'!$AC$3:$AC$53</definedName>
    <definedName name="solver_lhs240" localSheetId="4" hidden="1">'Run VRS'!$AC$3:$AC$53</definedName>
    <definedName name="solver_lhs241" localSheetId="2" hidden="1">'Run CRS'!$AC$3:$AC$53</definedName>
    <definedName name="solver_lhs241" localSheetId="4" hidden="1">'Run VRS'!$AC$3:$AC$53</definedName>
    <definedName name="solver_lhs242" localSheetId="2" hidden="1">'Run CRS'!$AC$3:$AC$53</definedName>
    <definedName name="solver_lhs242" localSheetId="4" hidden="1">'Run VRS'!$AC$3:$AC$53</definedName>
    <definedName name="solver_lhs243" localSheetId="2" hidden="1">'Run CRS'!$AC$3:$AC$53</definedName>
    <definedName name="solver_lhs243" localSheetId="4" hidden="1">'Run VRS'!$AC$3:$AC$53</definedName>
    <definedName name="solver_lhs244" localSheetId="2" hidden="1">'Run CRS'!$AC$3:$AC$53</definedName>
    <definedName name="solver_lhs244" localSheetId="4" hidden="1">'Run VRS'!$AC$3:$AC$53</definedName>
    <definedName name="solver_lhs245" localSheetId="2" hidden="1">'Run CRS'!$AC$3:$AC$53</definedName>
    <definedName name="solver_lhs245" localSheetId="4" hidden="1">'Run VRS'!$AC$3:$AC$53</definedName>
    <definedName name="solver_lhs246" localSheetId="2" hidden="1">'Run CRS'!$AC$3:$AC$53</definedName>
    <definedName name="solver_lhs246" localSheetId="4" hidden="1">'Run VRS'!$AC$3:$AC$53</definedName>
    <definedName name="solver_lhs247" localSheetId="2" hidden="1">'Run CRS'!$AC$3:$AC$53</definedName>
    <definedName name="solver_lhs247" localSheetId="4" hidden="1">'Run VRS'!$AC$3:$AC$53</definedName>
    <definedName name="solver_lhs248" localSheetId="2" hidden="1">'Run CRS'!$AC$3:$AC$53</definedName>
    <definedName name="solver_lhs248" localSheetId="4" hidden="1">'Run VRS'!$AC$3:$AC$53</definedName>
    <definedName name="solver_lhs249" localSheetId="2" hidden="1">'Run CRS'!$AC$3:$AC$53</definedName>
    <definedName name="solver_lhs249" localSheetId="4" hidden="1">'Run VRS'!$AC$3:$AC$53</definedName>
    <definedName name="solver_lhs25" localSheetId="0" hidden="1">'Data input'!$AC$3:$AC$53</definedName>
    <definedName name="solver_lhs25" localSheetId="2" hidden="1">'Run CRS'!$C$110</definedName>
    <definedName name="solver_lhs25" localSheetId="4" hidden="1">'Run VRS'!$C$110</definedName>
    <definedName name="solver_lhs250" localSheetId="2" hidden="1">'Run CRS'!$AC$3:$AC$53</definedName>
    <definedName name="solver_lhs250" localSheetId="4" hidden="1">'Run VRS'!$AC$3:$AC$53</definedName>
    <definedName name="solver_lhs251" localSheetId="2" hidden="1">'Run CRS'!$AC$3:$AC$53</definedName>
    <definedName name="solver_lhs251" localSheetId="4" hidden="1">'Run VRS'!$AC$3:$AC$53</definedName>
    <definedName name="solver_lhs252" localSheetId="2" hidden="1">'Run CRS'!$AC$3:$AC$53</definedName>
    <definedName name="solver_lhs252" localSheetId="4" hidden="1">'Run VRS'!$AC$3:$AC$53</definedName>
    <definedName name="solver_lhs253" localSheetId="2" hidden="1">'Run CRS'!$AC$3:$AC$53</definedName>
    <definedName name="solver_lhs253" localSheetId="4" hidden="1">'Run VRS'!$AC$3:$AC$53</definedName>
    <definedName name="solver_lhs254" localSheetId="2" hidden="1">'Run CRS'!$AC$3:$AC$53</definedName>
    <definedName name="solver_lhs254" localSheetId="4" hidden="1">'Run VRS'!$AC$3:$AC$53</definedName>
    <definedName name="solver_lhs255" localSheetId="2" hidden="1">'Run CRS'!$AC$3:$AC$53</definedName>
    <definedName name="solver_lhs255" localSheetId="4" hidden="1">'Run VRS'!$AC$3:$AC$53</definedName>
    <definedName name="solver_lhs256" localSheetId="2" hidden="1">'Run CRS'!$AC$3:$AC$53</definedName>
    <definedName name="solver_lhs256" localSheetId="4" hidden="1">'Run VRS'!$AC$3:$AC$53</definedName>
    <definedName name="solver_lhs257" localSheetId="2" hidden="1">'Run CRS'!$AC$3:$AC$53</definedName>
    <definedName name="solver_lhs257" localSheetId="4" hidden="1">'Run VRS'!$AC$3:$AC$53</definedName>
    <definedName name="solver_lhs258" localSheetId="2" hidden="1">'Run CRS'!$AC$3:$AC$53</definedName>
    <definedName name="solver_lhs258" localSheetId="4" hidden="1">'Run VRS'!$AC$3:$AC$53</definedName>
    <definedName name="solver_lhs259" localSheetId="2" hidden="1">'Run CRS'!$AC$3:$AC$53</definedName>
    <definedName name="solver_lhs259" localSheetId="4" hidden="1">'Run VRS'!$AC$3:$AC$53</definedName>
    <definedName name="solver_lhs26" localSheetId="0" hidden="1">'Data input'!$C$108</definedName>
    <definedName name="solver_lhs26" localSheetId="2" hidden="1">'Run CRS'!$H$110:$I$110</definedName>
    <definedName name="solver_lhs26" localSheetId="4" hidden="1">'Run VRS'!$H$110:$I$110</definedName>
    <definedName name="solver_lhs260" localSheetId="2" hidden="1">'Run CRS'!$AC$3:$AC$53</definedName>
    <definedName name="solver_lhs260" localSheetId="4" hidden="1">'Run VRS'!$AC$3:$AC$53</definedName>
    <definedName name="solver_lhs261" localSheetId="2" hidden="1">'Run CRS'!$AC$3:$AC$53</definedName>
    <definedName name="solver_lhs261" localSheetId="4" hidden="1">'Run VRS'!$AC$3:$AC$53</definedName>
    <definedName name="solver_lhs262" localSheetId="2" hidden="1">'Run CRS'!$AC$3:$AC$53</definedName>
    <definedName name="solver_lhs262" localSheetId="4" hidden="1">'Run VRS'!$AC$3:$AC$53</definedName>
    <definedName name="solver_lhs263" localSheetId="2" hidden="1">'Run CRS'!$AC$3:$AC$53</definedName>
    <definedName name="solver_lhs263" localSheetId="4" hidden="1">'Run VRS'!$AC$3:$AC$53</definedName>
    <definedName name="solver_lhs264" localSheetId="2" hidden="1">'Run CRS'!$AC$3:$AC$53</definedName>
    <definedName name="solver_lhs264" localSheetId="4" hidden="1">'Run VRS'!$AC$3:$AC$53</definedName>
    <definedName name="solver_lhs265" localSheetId="2" hidden="1">'Run CRS'!$AC$3:$AC$53</definedName>
    <definedName name="solver_lhs265" localSheetId="4" hidden="1">'Run VRS'!$AC$3:$AC$53</definedName>
    <definedName name="solver_lhs266" localSheetId="2" hidden="1">'Run CRS'!$AC$3:$AC$53</definedName>
    <definedName name="solver_lhs266" localSheetId="4" hidden="1">'Run VRS'!$AC$3:$AC$53</definedName>
    <definedName name="solver_lhs267" localSheetId="2" hidden="1">'Run CRS'!$AC$3:$AC$53</definedName>
    <definedName name="solver_lhs267" localSheetId="4" hidden="1">'Run VRS'!$AC$3:$AC$53</definedName>
    <definedName name="solver_lhs268" localSheetId="2" hidden="1">'Run CRS'!$AC$3:$AC$53</definedName>
    <definedName name="solver_lhs268" localSheetId="4" hidden="1">'Run VRS'!$AC$3:$AC$53</definedName>
    <definedName name="solver_lhs269" localSheetId="2" hidden="1">'Run CRS'!$AC$3:$AC$53</definedName>
    <definedName name="solver_lhs269" localSheetId="4" hidden="1">'Run VRS'!$AC$3:$AC$53</definedName>
    <definedName name="solver_lhs27" localSheetId="0" hidden="1">'Data input'!$H$108:$I$108</definedName>
    <definedName name="solver_lhs27" localSheetId="2" hidden="1">'Run CRS'!$M$105:$V$105</definedName>
    <definedName name="solver_lhs27" localSheetId="4" hidden="1">'Run VRS'!$M$105:$V$105</definedName>
    <definedName name="solver_lhs270" localSheetId="2" hidden="1">'Run CRS'!$AC$3:$AC$53</definedName>
    <definedName name="solver_lhs270" localSheetId="4" hidden="1">'Run VRS'!$AC$3:$AC$53</definedName>
    <definedName name="solver_lhs271" localSheetId="2" hidden="1">'Run CRS'!$AC$3:$AC$53</definedName>
    <definedName name="solver_lhs271" localSheetId="4" hidden="1">'Run VRS'!$AC$3:$AC$53</definedName>
    <definedName name="solver_lhs272" localSheetId="2" hidden="1">'Run CRS'!$AC$3:$AC$53</definedName>
    <definedName name="solver_lhs272" localSheetId="4" hidden="1">'Run VRS'!$AC$3:$AC$53</definedName>
    <definedName name="solver_lhs273" localSheetId="2" hidden="1">'Run CRS'!$AC$3:$AC$53</definedName>
    <definedName name="solver_lhs273" localSheetId="4" hidden="1">'Run VRS'!$AC$3:$AC$53</definedName>
    <definedName name="solver_lhs274" localSheetId="2" hidden="1">'Run CRS'!$AC$3:$AC$53</definedName>
    <definedName name="solver_lhs274" localSheetId="4" hidden="1">'Run VRS'!$AC$3:$AC$53</definedName>
    <definedName name="solver_lhs275" localSheetId="2" hidden="1">'Run CRS'!$AC$3:$AC$53</definedName>
    <definedName name="solver_lhs275" localSheetId="4" hidden="1">'Run VRS'!$AC$3:$AC$53</definedName>
    <definedName name="solver_lhs276" localSheetId="2" hidden="1">'Run CRS'!$AC$3:$AC$53</definedName>
    <definedName name="solver_lhs276" localSheetId="4" hidden="1">'Run VRS'!$AC$3:$AC$53</definedName>
    <definedName name="solver_lhs277" localSheetId="2" hidden="1">'Run CRS'!$AC$3:$AC$53</definedName>
    <definedName name="solver_lhs277" localSheetId="4" hidden="1">'Run VRS'!$AC$3:$AC$53</definedName>
    <definedName name="solver_lhs278" localSheetId="2" hidden="1">'Run CRS'!$AC$3:$AC$53</definedName>
    <definedName name="solver_lhs278" localSheetId="4" hidden="1">'Run VRS'!$AC$3:$AC$53</definedName>
    <definedName name="solver_lhs279" localSheetId="2" hidden="1">'Run CRS'!$AC$3:$AC$53</definedName>
    <definedName name="solver_lhs279" localSheetId="4" hidden="1">'Run VRS'!$AC$3:$AC$53</definedName>
    <definedName name="solver_lhs28" localSheetId="0" hidden="1">'Data input'!$C$108</definedName>
    <definedName name="solver_lhs28" localSheetId="2" hidden="1">'Run CRS'!$AC$107</definedName>
    <definedName name="solver_lhs28" localSheetId="4" hidden="1">'Run VRS'!$AC$107</definedName>
    <definedName name="solver_lhs280" localSheetId="2" hidden="1">'Run CRS'!$AC$3:$AC$53</definedName>
    <definedName name="solver_lhs280" localSheetId="4" hidden="1">'Run VRS'!$AC$3:$AC$53</definedName>
    <definedName name="solver_lhs281" localSheetId="2" hidden="1">'Run CRS'!$AC$3:$AC$53</definedName>
    <definedName name="solver_lhs281" localSheetId="4" hidden="1">'Run VRS'!$AC$3:$AC$53</definedName>
    <definedName name="solver_lhs282" localSheetId="2" hidden="1">'Run CRS'!$AC$3:$AC$53</definedName>
    <definedName name="solver_lhs282" localSheetId="4" hidden="1">'Run VRS'!$AC$3:$AC$53</definedName>
    <definedName name="solver_lhs283" localSheetId="2" hidden="1">'Run CRS'!$AC$3:$AC$53</definedName>
    <definedName name="solver_lhs283" localSheetId="4" hidden="1">'Run VRS'!$AC$3:$AC$53</definedName>
    <definedName name="solver_lhs284" localSheetId="2" hidden="1">'Run CRS'!$AC$3:$AC$53</definedName>
    <definedName name="solver_lhs284" localSheetId="4" hidden="1">'Run VRS'!$AC$3:$AC$53</definedName>
    <definedName name="solver_lhs285" localSheetId="2" hidden="1">'Run CRS'!$AC$3:$AC$53</definedName>
    <definedName name="solver_lhs285" localSheetId="4" hidden="1">'Run VRS'!$AC$3:$AC$53</definedName>
    <definedName name="solver_lhs286" localSheetId="2" hidden="1">'Run CRS'!$AC$3:$AC$53</definedName>
    <definedName name="solver_lhs286" localSheetId="4" hidden="1">'Run VRS'!$AC$3:$AC$53</definedName>
    <definedName name="solver_lhs287" localSheetId="2" hidden="1">'Run CRS'!$AC$3:$AC$53</definedName>
    <definedName name="solver_lhs287" localSheetId="4" hidden="1">'Run VRS'!$AC$3:$AC$53</definedName>
    <definedName name="solver_lhs288" localSheetId="2" hidden="1">'Run CRS'!$AC$3:$AC$53</definedName>
    <definedName name="solver_lhs288" localSheetId="4" hidden="1">'Run VRS'!$AC$3:$AC$53</definedName>
    <definedName name="solver_lhs289" localSheetId="2" hidden="1">'Run CRS'!$AC$3:$AC$53</definedName>
    <definedName name="solver_lhs289" localSheetId="4" hidden="1">'Run VRS'!$AC$3:$AC$53</definedName>
    <definedName name="solver_lhs29" localSheetId="0" hidden="1">'Data input'!$H$108:$I$108</definedName>
    <definedName name="solver_lhs29" localSheetId="2" hidden="1">'Run CRS'!$AC$107</definedName>
    <definedName name="solver_lhs29" localSheetId="4" hidden="1">'Run VRS'!$AC$107</definedName>
    <definedName name="solver_lhs290" localSheetId="2" hidden="1">'Run CRS'!$AC$3:$AC$53</definedName>
    <definedName name="solver_lhs290" localSheetId="4" hidden="1">'Run VRS'!$AC$3:$AC$53</definedName>
    <definedName name="solver_lhs291" localSheetId="2" hidden="1">'Run CRS'!$AC$3:$AC$53</definedName>
    <definedName name="solver_lhs291" localSheetId="4" hidden="1">'Run VRS'!$AC$3:$AC$53</definedName>
    <definedName name="solver_lhs292" localSheetId="2" hidden="1">'Run CRS'!$AC$3:$AC$53</definedName>
    <definedName name="solver_lhs292" localSheetId="4" hidden="1">'Run VRS'!$AC$3:$AC$53</definedName>
    <definedName name="solver_lhs293" localSheetId="2" hidden="1">'Run CRS'!$AC$3:$AC$53</definedName>
    <definedName name="solver_lhs293" localSheetId="4" hidden="1">'Run VRS'!$AC$3:$AC$53</definedName>
    <definedName name="solver_lhs294" localSheetId="2" hidden="1">'Run CRS'!$AC$3:$AC$53</definedName>
    <definedName name="solver_lhs294" localSheetId="4" hidden="1">'Run VRS'!$AC$3:$AC$53</definedName>
    <definedName name="solver_lhs295" localSheetId="2" hidden="1">'Run CRS'!$AC$3:$AC$53</definedName>
    <definedName name="solver_lhs295" localSheetId="4" hidden="1">'Run VRS'!$AC$3:$AC$53</definedName>
    <definedName name="solver_lhs296" localSheetId="2" hidden="1">'Run CRS'!$AC$3:$AC$53</definedName>
    <definedName name="solver_lhs296" localSheetId="4" hidden="1">'Run VRS'!$AC$3:$AC$53</definedName>
    <definedName name="solver_lhs297" localSheetId="2" hidden="1">'Run CRS'!$AC$3:$AC$53</definedName>
    <definedName name="solver_lhs297" localSheetId="4" hidden="1">'Run VRS'!$AC$3:$AC$53</definedName>
    <definedName name="solver_lhs298" localSheetId="2" hidden="1">'Run CRS'!$AC$3:$AC$53</definedName>
    <definedName name="solver_lhs298" localSheetId="4" hidden="1">'Run VRS'!$AC$3:$AC$53</definedName>
    <definedName name="solver_lhs299" localSheetId="2" hidden="1">'Run CRS'!$AC$3:$AC$53</definedName>
    <definedName name="solver_lhs299" localSheetId="4" hidden="1">'Run VRS'!$AC$3:$AC$53</definedName>
    <definedName name="solver_lhs3" localSheetId="0" hidden="1">'Data input'!$AC$3:$AC$53</definedName>
    <definedName name="solver_lhs3" localSheetId="2" hidden="1">'Run CRS'!$AC$3:$AC$52</definedName>
    <definedName name="solver_lhs3" localSheetId="4" hidden="1">'Run VRS'!$AC$3:$AC$52</definedName>
    <definedName name="solver_lhs30" localSheetId="0" hidden="1">'Data input'!$C$110</definedName>
    <definedName name="solver_lhs30" localSheetId="2" hidden="1">'Run CRS'!$AC$107</definedName>
    <definedName name="solver_lhs30" localSheetId="4" hidden="1">'Run VRS'!$AC$107</definedName>
    <definedName name="solver_lhs300" localSheetId="2" hidden="1">'Run CRS'!$AC$3:$AC$53</definedName>
    <definedName name="solver_lhs300" localSheetId="4" hidden="1">'Run VRS'!$AC$3:$AC$53</definedName>
    <definedName name="solver_lhs301" localSheetId="2" hidden="1">'Run CRS'!$AC$3:$AC$53</definedName>
    <definedName name="solver_lhs301" localSheetId="4" hidden="1">'Run VRS'!$AC$3:$AC$53</definedName>
    <definedName name="solver_lhs302" localSheetId="2" hidden="1">'Run CRS'!$AC$3:$AC$53</definedName>
    <definedName name="solver_lhs302" localSheetId="4" hidden="1">'Run VRS'!$AC$3:$AC$53</definedName>
    <definedName name="solver_lhs303" localSheetId="2" hidden="1">'Run CRS'!$AC$3:$AC$53</definedName>
    <definedName name="solver_lhs303" localSheetId="4" hidden="1">'Run VRS'!$AC$3:$AC$53</definedName>
    <definedName name="solver_lhs304" localSheetId="2" hidden="1">'Run CRS'!$AC$3:$AC$53</definedName>
    <definedName name="solver_lhs304" localSheetId="4" hidden="1">'Run VRS'!$AC$3:$AC$53</definedName>
    <definedName name="solver_lhs305" localSheetId="2" hidden="1">'Run CRS'!$AC$3:$AC$53</definedName>
    <definedName name="solver_lhs305" localSheetId="4" hidden="1">'Run VRS'!$AC$3:$AC$53</definedName>
    <definedName name="solver_lhs306" localSheetId="2" hidden="1">'Run CRS'!$AC$3:$AC$53</definedName>
    <definedName name="solver_lhs306" localSheetId="4" hidden="1">'Run VRS'!$AC$3:$AC$53</definedName>
    <definedName name="solver_lhs307" localSheetId="2" hidden="1">'Run CRS'!$AC$3:$AC$53</definedName>
    <definedName name="solver_lhs307" localSheetId="4" hidden="1">'Run VRS'!$AC$3:$AC$53</definedName>
    <definedName name="solver_lhs308" localSheetId="2" hidden="1">'Run CRS'!$AC$3:$AC$53</definedName>
    <definedName name="solver_lhs308" localSheetId="4" hidden="1">'Run VRS'!$AC$3:$AC$53</definedName>
    <definedName name="solver_lhs309" localSheetId="2" hidden="1">'Run CRS'!$AC$3:$AC$53</definedName>
    <definedName name="solver_lhs309" localSheetId="4" hidden="1">'Run VRS'!$AC$3:$AC$53</definedName>
    <definedName name="solver_lhs31" localSheetId="0" hidden="1">'Data input'!$H$110:$I$110</definedName>
    <definedName name="solver_lhs31" localSheetId="2" hidden="1">'Run CRS'!$AC$107</definedName>
    <definedName name="solver_lhs31" localSheetId="4" hidden="1">'Run VRS'!$AC$107</definedName>
    <definedName name="solver_lhs310" localSheetId="2" hidden="1">'Run CRS'!$AC$3:$AC$53</definedName>
    <definedName name="solver_lhs310" localSheetId="4" hidden="1">'Run VRS'!$AC$3:$AC$53</definedName>
    <definedName name="solver_lhs311" localSheetId="2" hidden="1">'Run CRS'!$AC$3:$AC$53</definedName>
    <definedName name="solver_lhs311" localSheetId="4" hidden="1">'Run VRS'!$AC$3:$AC$53</definedName>
    <definedName name="solver_lhs312" localSheetId="2" hidden="1">'Run CRS'!$AC$3:$AC$53</definedName>
    <definedName name="solver_lhs312" localSheetId="4" hidden="1">'Run VRS'!$AC$3:$AC$53</definedName>
    <definedName name="solver_lhs313" localSheetId="2" hidden="1">'Run CRS'!$AC$3:$AC$53</definedName>
    <definedName name="solver_lhs313" localSheetId="4" hidden="1">'Run VRS'!$AC$3:$AC$53</definedName>
    <definedName name="solver_lhs314" localSheetId="2" hidden="1">'Run CRS'!$AC$3:$AC$53</definedName>
    <definedName name="solver_lhs314" localSheetId="4" hidden="1">'Run VRS'!$AC$3:$AC$53</definedName>
    <definedName name="solver_lhs315" localSheetId="2" hidden="1">'Run CRS'!$AC$3:$AC$53</definedName>
    <definedName name="solver_lhs315" localSheetId="4" hidden="1">'Run VRS'!$AC$3:$AC$53</definedName>
    <definedName name="solver_lhs316" localSheetId="2" hidden="1">'Run CRS'!$AC$3:$AC$53</definedName>
    <definedName name="solver_lhs316" localSheetId="4" hidden="1">'Run VRS'!$AC$3:$AC$53</definedName>
    <definedName name="solver_lhs317" localSheetId="2" hidden="1">'Run CRS'!$AC$3:$AC$53</definedName>
    <definedName name="solver_lhs317" localSheetId="4" hidden="1">'Run VRS'!$AC$3:$AC$53</definedName>
    <definedName name="solver_lhs318" localSheetId="2" hidden="1">'Run CRS'!$AC$3:$AC$53</definedName>
    <definedName name="solver_lhs318" localSheetId="4" hidden="1">'Run VRS'!$AC$3:$AC$53</definedName>
    <definedName name="solver_lhs319" localSheetId="2" hidden="1">'Run CRS'!$AC$3:$AC$53</definedName>
    <definedName name="solver_lhs319" localSheetId="4" hidden="1">'Run VRS'!$AC$3:$AC$53</definedName>
    <definedName name="solver_lhs32" localSheetId="0" hidden="1">'Data input'!$C$112</definedName>
    <definedName name="solver_lhs32" localSheetId="2" hidden="1">'Run CRS'!$AC$107</definedName>
    <definedName name="solver_lhs32" localSheetId="4" hidden="1">'Run VRS'!$AC$107</definedName>
    <definedName name="solver_lhs320" localSheetId="2" hidden="1">'Run CRS'!$AC$3:$AC$53</definedName>
    <definedName name="solver_lhs320" localSheetId="4" hidden="1">'Run VRS'!$AC$3:$AC$53</definedName>
    <definedName name="solver_lhs321" localSheetId="2" hidden="1">'Run CRS'!$AC$3:$AC$53</definedName>
    <definedName name="solver_lhs321" localSheetId="4" hidden="1">'Run VRS'!$AC$3:$AC$53</definedName>
    <definedName name="solver_lhs322" localSheetId="2" hidden="1">'Run CRS'!$AC$3:$AC$53</definedName>
    <definedName name="solver_lhs322" localSheetId="4" hidden="1">'Run VRS'!$AC$3:$AC$53</definedName>
    <definedName name="solver_lhs323" localSheetId="2" hidden="1">'Run CRS'!$AC$3:$AC$53</definedName>
    <definedName name="solver_lhs323" localSheetId="4" hidden="1">'Run VRS'!$AC$3:$AC$53</definedName>
    <definedName name="solver_lhs324" localSheetId="2" hidden="1">'Run CRS'!$AC$3:$AC$53</definedName>
    <definedName name="solver_lhs324" localSheetId="4" hidden="1">'Run VRS'!$AC$3:$AC$53</definedName>
    <definedName name="solver_lhs325" localSheetId="2" hidden="1">'Run CRS'!$AC$3:$AC$53</definedName>
    <definedName name="solver_lhs325" localSheetId="4" hidden="1">'Run VRS'!$AC$3:$AC$53</definedName>
    <definedName name="solver_lhs326" localSheetId="2" hidden="1">'Run CRS'!$AC$3:$AC$53</definedName>
    <definedName name="solver_lhs326" localSheetId="4" hidden="1">'Run VRS'!$AC$3:$AC$53</definedName>
    <definedName name="solver_lhs327" localSheetId="2" hidden="1">'Run CRS'!$AC$3:$AC$53</definedName>
    <definedName name="solver_lhs327" localSheetId="4" hidden="1">'Run VRS'!$AC$3:$AC$53</definedName>
    <definedName name="solver_lhs328" localSheetId="2" hidden="1">'Run CRS'!$AC$3:$AC$53</definedName>
    <definedName name="solver_lhs328" localSheetId="4" hidden="1">'Run VRS'!$AC$3:$AC$53</definedName>
    <definedName name="solver_lhs329" localSheetId="2" hidden="1">'Run CRS'!$AC$3:$AC$53</definedName>
    <definedName name="solver_lhs329" localSheetId="4" hidden="1">'Run VRS'!$AC$3:$AC$53</definedName>
    <definedName name="solver_lhs33" localSheetId="0" hidden="1">'Data input'!$M$105:$V$105</definedName>
    <definedName name="solver_lhs33" localSheetId="2" hidden="1">'Run CRS'!$AC$107</definedName>
    <definedName name="solver_lhs33" localSheetId="4" hidden="1">'Run VRS'!$AC$107</definedName>
    <definedName name="solver_lhs330" localSheetId="2" hidden="1">'Run CRS'!$AC$3:$AC$53</definedName>
    <definedName name="solver_lhs330" localSheetId="4" hidden="1">'Run VRS'!$AC$3:$AC$53</definedName>
    <definedName name="solver_lhs331" localSheetId="2" hidden="1">'Run CRS'!$AC$3:$AC$53</definedName>
    <definedName name="solver_lhs331" localSheetId="4" hidden="1">'Run VRS'!$AC$3:$AC$53</definedName>
    <definedName name="solver_lhs332" localSheetId="2" hidden="1">'Run CRS'!$AC$3:$AC$53</definedName>
    <definedName name="solver_lhs332" localSheetId="4" hidden="1">'Run VRS'!$AC$3:$AC$53</definedName>
    <definedName name="solver_lhs333" localSheetId="2" hidden="1">'Run CRS'!$AC$3:$AC$53</definedName>
    <definedName name="solver_lhs333" localSheetId="4" hidden="1">'Run VRS'!$AC$3:$AC$53</definedName>
    <definedName name="solver_lhs334" localSheetId="2" hidden="1">'Run CRS'!$AC$3:$AC$53</definedName>
    <definedName name="solver_lhs334" localSheetId="4" hidden="1">'Run VRS'!$AC$3:$AC$53</definedName>
    <definedName name="solver_lhs335" localSheetId="2" hidden="1">'Run CRS'!$AC$3:$AC$53</definedName>
    <definedName name="solver_lhs335" localSheetId="4" hidden="1">'Run VRS'!$AC$3:$AC$53</definedName>
    <definedName name="solver_lhs336" localSheetId="2" hidden="1">'Run CRS'!$AC$3:$AC$53</definedName>
    <definedName name="solver_lhs336" localSheetId="4" hidden="1">'Run VRS'!$AC$3:$AC$53</definedName>
    <definedName name="solver_lhs337" localSheetId="2" hidden="1">'Run CRS'!$AC$3:$AC$53</definedName>
    <definedName name="solver_lhs337" localSheetId="4" hidden="1">'Run VRS'!$AC$3:$AC$53</definedName>
    <definedName name="solver_lhs338" localSheetId="2" hidden="1">'Run CRS'!$AC$3:$AC$53</definedName>
    <definedName name="solver_lhs338" localSheetId="4" hidden="1">'Run VRS'!$AC$3:$AC$53</definedName>
    <definedName name="solver_lhs339" localSheetId="2" hidden="1">'Run CRS'!$AC$3:$AC$53</definedName>
    <definedName name="solver_lhs339" localSheetId="4" hidden="1">'Run VRS'!$AC$3:$AC$53</definedName>
    <definedName name="solver_lhs34" localSheetId="0" hidden="1">'Data input'!$AC$105</definedName>
    <definedName name="solver_lhs34" localSheetId="2" hidden="1">'Run CRS'!$AC$107</definedName>
    <definedName name="solver_lhs34" localSheetId="4" hidden="1">'Run VRS'!$AC$107</definedName>
    <definedName name="solver_lhs340" localSheetId="2" hidden="1">'Run CRS'!$AC$3:$AC$53</definedName>
    <definedName name="solver_lhs340" localSheetId="4" hidden="1">'Run VRS'!$AC$3:$AC$53</definedName>
    <definedName name="solver_lhs341" localSheetId="2" hidden="1">'Run CRS'!$AC$3:$AC$53</definedName>
    <definedName name="solver_lhs341" localSheetId="4" hidden="1">'Run VRS'!$AC$3:$AC$53</definedName>
    <definedName name="solver_lhs342" localSheetId="2" hidden="1">'Run CRS'!$AC$3:$AC$53</definedName>
    <definedName name="solver_lhs342" localSheetId="4" hidden="1">'Run VRS'!$AC$3:$AC$53</definedName>
    <definedName name="solver_lhs343" localSheetId="2" hidden="1">'Run CRS'!$AC$3:$AC$53</definedName>
    <definedName name="solver_lhs343" localSheetId="4" hidden="1">'Run VRS'!$AC$3:$AC$53</definedName>
    <definedName name="solver_lhs344" localSheetId="2" hidden="1">'Run CRS'!$AC$3:$AC$53</definedName>
    <definedName name="solver_lhs344" localSheetId="4" hidden="1">'Run VRS'!$AC$3:$AC$53</definedName>
    <definedName name="solver_lhs345" localSheetId="2" hidden="1">'Run CRS'!$AC$3:$AC$53</definedName>
    <definedName name="solver_lhs345" localSheetId="4" hidden="1">'Run VRS'!$AC$3:$AC$53</definedName>
    <definedName name="solver_lhs346" localSheetId="2" hidden="1">'Run CRS'!$AC$3:$AC$53</definedName>
    <definedName name="solver_lhs346" localSheetId="4" hidden="1">'Run VRS'!$AC$3:$AC$53</definedName>
    <definedName name="solver_lhs347" localSheetId="2" hidden="1">'Run CRS'!$AC$3:$AC$53</definedName>
    <definedName name="solver_lhs347" localSheetId="4" hidden="1">'Run VRS'!$AC$3:$AC$53</definedName>
    <definedName name="solver_lhs348" localSheetId="2" hidden="1">'Run CRS'!$AC$3:$AC$53</definedName>
    <definedName name="solver_lhs348" localSheetId="4" hidden="1">'Run VRS'!$AC$3:$AC$53</definedName>
    <definedName name="solver_lhs349" localSheetId="2" hidden="1">'Run CRS'!$AC$3:$AC$53</definedName>
    <definedName name="solver_lhs349" localSheetId="4" hidden="1">'Run VRS'!$AC$3:$AC$53</definedName>
    <definedName name="solver_lhs35" localSheetId="0" hidden="1">'Data input'!$AC$107</definedName>
    <definedName name="solver_lhs35" localSheetId="2" hidden="1">'Run CRS'!$AC$107</definedName>
    <definedName name="solver_lhs35" localSheetId="4" hidden="1">'Run VRS'!$AC$107</definedName>
    <definedName name="solver_lhs350" localSheetId="2" hidden="1">'Run CRS'!$AC$3:$AC$53</definedName>
    <definedName name="solver_lhs350" localSheetId="4" hidden="1">'Run VRS'!$AC$3:$AC$53</definedName>
    <definedName name="solver_lhs351" localSheetId="2" hidden="1">'Run CRS'!$AC$3:$AC$53</definedName>
    <definedName name="solver_lhs351" localSheetId="4" hidden="1">'Run VRS'!$AC$3:$AC$53</definedName>
    <definedName name="solver_lhs352" localSheetId="2" hidden="1">'Run CRS'!$AC$3:$AC$53</definedName>
    <definedName name="solver_lhs352" localSheetId="4" hidden="1">'Run VRS'!$AC$3:$AC$53</definedName>
    <definedName name="solver_lhs353" localSheetId="2" hidden="1">'Run CRS'!$AC$3:$AC$53</definedName>
    <definedName name="solver_lhs353" localSheetId="4" hidden="1">'Run VRS'!$AC$3:$AC$53</definedName>
    <definedName name="solver_lhs354" localSheetId="2" hidden="1">'Run CRS'!$AC$3:$AC$53</definedName>
    <definedName name="solver_lhs354" localSheetId="4" hidden="1">'Run VRS'!$AC$3:$AC$53</definedName>
    <definedName name="solver_lhs355" localSheetId="2" hidden="1">'Run CRS'!$AC$3:$AC$53</definedName>
    <definedName name="solver_lhs355" localSheetId="4" hidden="1">'Run VRS'!$AC$3:$AC$53</definedName>
    <definedName name="solver_lhs356" localSheetId="2" hidden="1">'Run CRS'!$AC$3:$AC$53</definedName>
    <definedName name="solver_lhs356" localSheetId="4" hidden="1">'Run VRS'!$AC$3:$AC$53</definedName>
    <definedName name="solver_lhs357" localSheetId="2" hidden="1">'Run CRS'!$AC$3:$AC$53</definedName>
    <definedName name="solver_lhs357" localSheetId="4" hidden="1">'Run VRS'!$AC$3:$AC$53</definedName>
    <definedName name="solver_lhs358" localSheetId="2" hidden="1">'Run CRS'!$AC$3:$AC$53</definedName>
    <definedName name="solver_lhs358" localSheetId="4" hidden="1">'Run VRS'!$AC$3:$AC$53</definedName>
    <definedName name="solver_lhs359" localSheetId="2" hidden="1">'Run CRS'!$AC$3:$AC$53</definedName>
    <definedName name="solver_lhs359" localSheetId="4" hidden="1">'Run VRS'!$AC$3:$AC$53</definedName>
    <definedName name="solver_lhs36" localSheetId="0" hidden="1">'Data input'!$AC$3:$AC$53</definedName>
    <definedName name="solver_lhs36" localSheetId="2" hidden="1">'Run CRS'!$AC$107</definedName>
    <definedName name="solver_lhs36" localSheetId="4" hidden="1">'Run VRS'!$AC$107</definedName>
    <definedName name="solver_lhs360" localSheetId="2" hidden="1">'Run CRS'!$AC$3:$AC$53</definedName>
    <definedName name="solver_lhs360" localSheetId="4" hidden="1">'Run VRS'!$AC$3:$AC$53</definedName>
    <definedName name="solver_lhs361" localSheetId="2" hidden="1">'Run CRS'!$AC$3:$AC$53</definedName>
    <definedName name="solver_lhs361" localSheetId="4" hidden="1">'Run VRS'!$AC$3:$AC$53</definedName>
    <definedName name="solver_lhs362" localSheetId="2" hidden="1">'Run CRS'!$AC$3:$AC$53</definedName>
    <definedName name="solver_lhs362" localSheetId="4" hidden="1">'Run VRS'!$AC$3:$AC$53</definedName>
    <definedName name="solver_lhs363" localSheetId="2" hidden="1">'Run CRS'!$AC$3:$AC$53</definedName>
    <definedName name="solver_lhs363" localSheetId="4" hidden="1">'Run VRS'!$AC$3:$AC$53</definedName>
    <definedName name="solver_lhs364" localSheetId="2" hidden="1">'Run CRS'!$AC$3:$AC$53</definedName>
    <definedName name="solver_lhs364" localSheetId="4" hidden="1">'Run VRS'!$AC$3:$AC$53</definedName>
    <definedName name="solver_lhs365" localSheetId="2" hidden="1">'Run CRS'!$AC$3:$AC$53</definedName>
    <definedName name="solver_lhs365" localSheetId="4" hidden="1">'Run VRS'!$AC$3:$AC$53</definedName>
    <definedName name="solver_lhs366" localSheetId="2" hidden="1">'Run CRS'!$AC$3:$AC$53</definedName>
    <definedName name="solver_lhs366" localSheetId="4" hidden="1">'Run VRS'!$AC$3:$AC$53</definedName>
    <definedName name="solver_lhs367" localSheetId="2" hidden="1">'Run CRS'!$AC$3:$AC$53</definedName>
    <definedName name="solver_lhs367" localSheetId="4" hidden="1">'Run VRS'!$AC$3:$AC$53</definedName>
    <definedName name="solver_lhs368" localSheetId="2" hidden="1">'Run CRS'!$AC$3:$AC$53</definedName>
    <definedName name="solver_lhs368" localSheetId="4" hidden="1">'Run VRS'!$AC$3:$AC$53</definedName>
    <definedName name="solver_lhs369" localSheetId="2" hidden="1">'Run CRS'!$AC$3:$AC$53</definedName>
    <definedName name="solver_lhs369" localSheetId="4" hidden="1">'Run VRS'!$AC$3:$AC$53</definedName>
    <definedName name="solver_lhs37" localSheetId="0" hidden="1">'Data input'!$C$108</definedName>
    <definedName name="solver_lhs37" localSheetId="2" hidden="1">'Run CRS'!$AC$107</definedName>
    <definedName name="solver_lhs37" localSheetId="4" hidden="1">'Run VRS'!$AC$107</definedName>
    <definedName name="solver_lhs370" localSheetId="2" hidden="1">'Run CRS'!$AC$3:$AC$53</definedName>
    <definedName name="solver_lhs370" localSheetId="4" hidden="1">'Run VRS'!$AC$3:$AC$53</definedName>
    <definedName name="solver_lhs371" localSheetId="2" hidden="1">'Run CRS'!$AC$3:$AC$53</definedName>
    <definedName name="solver_lhs371" localSheetId="4" hidden="1">'Run VRS'!$AC$3:$AC$53</definedName>
    <definedName name="solver_lhs372" localSheetId="2" hidden="1">'Run CRS'!$AC$3:$AC$53</definedName>
    <definedName name="solver_lhs372" localSheetId="4" hidden="1">'Run VRS'!$AC$3:$AC$53</definedName>
    <definedName name="solver_lhs373" localSheetId="2" hidden="1">'Run CRS'!$AC$3:$AC$53</definedName>
    <definedName name="solver_lhs373" localSheetId="4" hidden="1">'Run VRS'!$AC$3:$AC$53</definedName>
    <definedName name="solver_lhs374" localSheetId="2" hidden="1">'Run CRS'!$AC$3:$AC$53</definedName>
    <definedName name="solver_lhs374" localSheetId="4" hidden="1">'Run VRS'!$AC$3:$AC$53</definedName>
    <definedName name="solver_lhs375" localSheetId="2" hidden="1">'Run CRS'!$AC$3:$AC$53</definedName>
    <definedName name="solver_lhs375" localSheetId="4" hidden="1">'Run VRS'!$AC$3:$AC$53</definedName>
    <definedName name="solver_lhs376" localSheetId="2" hidden="1">'Run CRS'!$AC$3:$AC$53</definedName>
    <definedName name="solver_lhs376" localSheetId="4" hidden="1">'Run VRS'!$AC$3:$AC$53</definedName>
    <definedName name="solver_lhs377" localSheetId="2" hidden="1">'Run CRS'!$AC$3:$AC$53</definedName>
    <definedName name="solver_lhs377" localSheetId="4" hidden="1">'Run VRS'!$AC$3:$AC$53</definedName>
    <definedName name="solver_lhs378" localSheetId="2" hidden="1">'Run CRS'!$AC$3:$AC$53</definedName>
    <definedName name="solver_lhs378" localSheetId="4" hidden="1">'Run VRS'!$AC$3:$AC$53</definedName>
    <definedName name="solver_lhs379" localSheetId="2" hidden="1">'Run CRS'!$AC$3:$AC$53</definedName>
    <definedName name="solver_lhs379" localSheetId="4" hidden="1">'Run VRS'!$AC$3:$AC$53</definedName>
    <definedName name="solver_lhs38" localSheetId="0" hidden="1">'Data input'!$H$108:$I$108</definedName>
    <definedName name="solver_lhs38" localSheetId="2" hidden="1">'Run CRS'!$AC$107</definedName>
    <definedName name="solver_lhs38" localSheetId="4" hidden="1">'Run VRS'!$AC$107</definedName>
    <definedName name="solver_lhs380" localSheetId="2" hidden="1">'Run CRS'!$AC$3:$AC$53</definedName>
    <definedName name="solver_lhs380" localSheetId="4" hidden="1">'Run VRS'!$AC$3:$AC$53</definedName>
    <definedName name="solver_lhs381" localSheetId="2" hidden="1">'Run CRS'!$AC$3:$AC$53</definedName>
    <definedName name="solver_lhs381" localSheetId="4" hidden="1">'Run VRS'!$AC$3:$AC$53</definedName>
    <definedName name="solver_lhs382" localSheetId="2" hidden="1">'Run CRS'!$AC$3:$AC$53</definedName>
    <definedName name="solver_lhs382" localSheetId="4" hidden="1">'Run VRS'!$AC$3:$AC$53</definedName>
    <definedName name="solver_lhs383" localSheetId="2" hidden="1">'Run CRS'!$AC$3:$AC$53</definedName>
    <definedName name="solver_lhs383" localSheetId="4" hidden="1">'Run VRS'!$AC$3:$AC$53</definedName>
    <definedName name="solver_lhs384" localSheetId="2" hidden="1">'Run CRS'!$AC$3:$AC$53</definedName>
    <definedName name="solver_lhs384" localSheetId="4" hidden="1">'Run VRS'!$AC$3:$AC$53</definedName>
    <definedName name="solver_lhs385" localSheetId="2" hidden="1">'Run CRS'!$AC$3:$AC$53</definedName>
    <definedName name="solver_lhs385" localSheetId="4" hidden="1">'Run VRS'!$AC$3:$AC$53</definedName>
    <definedName name="solver_lhs386" localSheetId="2" hidden="1">'Run CRS'!$AC$3:$AC$53</definedName>
    <definedName name="solver_lhs386" localSheetId="4" hidden="1">'Run VRS'!$AC$3:$AC$53</definedName>
    <definedName name="solver_lhs387" localSheetId="2" hidden="1">'Run CRS'!$AC$3:$AC$53</definedName>
    <definedName name="solver_lhs387" localSheetId="4" hidden="1">'Run VRS'!$AC$3:$AC$53</definedName>
    <definedName name="solver_lhs388" localSheetId="2" hidden="1">'Run CRS'!$AC$3:$AC$53</definedName>
    <definedName name="solver_lhs388" localSheetId="4" hidden="1">'Run VRS'!$AC$3:$AC$53</definedName>
    <definedName name="solver_lhs389" localSheetId="2" hidden="1">'Run CRS'!$AC$3:$AC$53</definedName>
    <definedName name="solver_lhs389" localSheetId="4" hidden="1">'Run VRS'!$AC$3:$AC$53</definedName>
    <definedName name="solver_lhs39" localSheetId="0" hidden="1">'Data input'!$C$108</definedName>
    <definedName name="solver_lhs39" localSheetId="2" hidden="1">'Run CRS'!$AC$107</definedName>
    <definedName name="solver_lhs39" localSheetId="4" hidden="1">'Run VRS'!$AC$107</definedName>
    <definedName name="solver_lhs390" localSheetId="2" hidden="1">'Run CRS'!$AC$3:$AC$53</definedName>
    <definedName name="solver_lhs390" localSheetId="4" hidden="1">'Run VRS'!$AC$3:$AC$53</definedName>
    <definedName name="solver_lhs391" localSheetId="2" hidden="1">'Run CRS'!$AC$3:$AC$53</definedName>
    <definedName name="solver_lhs391" localSheetId="4" hidden="1">'Run VRS'!$AC$3:$AC$53</definedName>
    <definedName name="solver_lhs392" localSheetId="2" hidden="1">'Run CRS'!$AC$3:$AC$53</definedName>
    <definedName name="solver_lhs392" localSheetId="4" hidden="1">'Run VRS'!$AC$3:$AC$53</definedName>
    <definedName name="solver_lhs393" localSheetId="2" hidden="1">'Run CRS'!$AC$3:$AC$53</definedName>
    <definedName name="solver_lhs393" localSheetId="4" hidden="1">'Run VRS'!$AC$3:$AC$53</definedName>
    <definedName name="solver_lhs394" localSheetId="2" hidden="1">'Run CRS'!$AC$3:$AC$53</definedName>
    <definedName name="solver_lhs394" localSheetId="4" hidden="1">'Run VRS'!$AC$3:$AC$53</definedName>
    <definedName name="solver_lhs395" localSheetId="2" hidden="1">'Run CRS'!$AC$3:$AC$53</definedName>
    <definedName name="solver_lhs395" localSheetId="4" hidden="1">'Run VRS'!$AC$3:$AC$53</definedName>
    <definedName name="solver_lhs396" localSheetId="2" hidden="1">'Run CRS'!$AC$3:$AC$53</definedName>
    <definedName name="solver_lhs396" localSheetId="4" hidden="1">'Run VRS'!$AC$3:$AC$53</definedName>
    <definedName name="solver_lhs397" localSheetId="2" hidden="1">'Run CRS'!$AC$3:$AC$53</definedName>
    <definedName name="solver_lhs397" localSheetId="4" hidden="1">'Run VRS'!$AC$3:$AC$53</definedName>
    <definedName name="solver_lhs398" localSheetId="2" hidden="1">'Run CRS'!$AC$3:$AC$53</definedName>
    <definedName name="solver_lhs398" localSheetId="4" hidden="1">'Run VRS'!$AC$3:$AC$53</definedName>
    <definedName name="solver_lhs399" localSheetId="2" hidden="1">'Run CRS'!$AC$3:$AC$53</definedName>
    <definedName name="solver_lhs399" localSheetId="4" hidden="1">'Run VRS'!$AC$3:$AC$53</definedName>
    <definedName name="solver_lhs4" localSheetId="0" hidden="1">'Data input'!$C$108</definedName>
    <definedName name="solver_lhs4" localSheetId="2" hidden="1">'Run CRS'!$C$108</definedName>
    <definedName name="solver_lhs4" localSheetId="4" hidden="1">'Run VRS'!$C$108</definedName>
    <definedName name="solver_lhs40" localSheetId="0" hidden="1">'Data input'!$H$108:$I$108</definedName>
    <definedName name="solver_lhs40" localSheetId="2" hidden="1">'Run CRS'!$AC$107</definedName>
    <definedName name="solver_lhs40" localSheetId="4" hidden="1">'Run VRS'!$AC$107</definedName>
    <definedName name="solver_lhs400" localSheetId="2" hidden="1">'Run CRS'!$AC$3:$AC$53</definedName>
    <definedName name="solver_lhs400" localSheetId="4" hidden="1">'Run VRS'!$AC$3:$AC$53</definedName>
    <definedName name="solver_lhs401" localSheetId="2" hidden="1">'Run CRS'!$AC$3:$AC$53</definedName>
    <definedName name="solver_lhs401" localSheetId="4" hidden="1">'Run VRS'!$AC$3:$AC$53</definedName>
    <definedName name="solver_lhs402" localSheetId="2" hidden="1">'Run CRS'!$AC$3:$AC$53</definedName>
    <definedName name="solver_lhs402" localSheetId="4" hidden="1">'Run VRS'!$AC$3:$AC$53</definedName>
    <definedName name="solver_lhs403" localSheetId="2" hidden="1">'Run CRS'!$AC$3:$AC$53</definedName>
    <definedName name="solver_lhs403" localSheetId="4" hidden="1">'Run VRS'!$AC$3:$AC$53</definedName>
    <definedName name="solver_lhs404" localSheetId="2" hidden="1">'Run CRS'!$AC$3:$AC$53</definedName>
    <definedName name="solver_lhs404" localSheetId="4" hidden="1">'Run VRS'!$AC$3:$AC$53</definedName>
    <definedName name="solver_lhs405" localSheetId="2" hidden="1">'Run CRS'!$AC$3:$AC$53</definedName>
    <definedName name="solver_lhs405" localSheetId="4" hidden="1">'Run VRS'!$AC$3:$AC$53</definedName>
    <definedName name="solver_lhs406" localSheetId="2" hidden="1">'Run CRS'!$AC$3:$AC$53</definedName>
    <definedName name="solver_lhs406" localSheetId="4" hidden="1">'Run VRS'!$AC$3:$AC$53</definedName>
    <definedName name="solver_lhs407" localSheetId="2" hidden="1">'Run CRS'!$AC$3:$AC$53</definedName>
    <definedName name="solver_lhs407" localSheetId="4" hidden="1">'Run VRS'!$AC$3:$AC$53</definedName>
    <definedName name="solver_lhs408" localSheetId="2" hidden="1">'Run CRS'!$AC$3:$AC$53</definedName>
    <definedName name="solver_lhs408" localSheetId="4" hidden="1">'Run VRS'!$AC$3:$AC$53</definedName>
    <definedName name="solver_lhs409" localSheetId="2" hidden="1">'Run CRS'!$AC$3:$AC$53</definedName>
    <definedName name="solver_lhs409" localSheetId="4" hidden="1">'Run VRS'!$AC$3:$AC$53</definedName>
    <definedName name="solver_lhs41" localSheetId="0" hidden="1">'Data input'!$C$110</definedName>
    <definedName name="solver_lhs41" localSheetId="2" hidden="1">'Run CRS'!$AC$107</definedName>
    <definedName name="solver_lhs41" localSheetId="4" hidden="1">'Run VRS'!$AC$107</definedName>
    <definedName name="solver_lhs410" localSheetId="2" hidden="1">'Run CRS'!$AC$3:$AC$53</definedName>
    <definedName name="solver_lhs410" localSheetId="4" hidden="1">'Run VRS'!$AC$3:$AC$53</definedName>
    <definedName name="solver_lhs411" localSheetId="2" hidden="1">'Run CRS'!$AC$3:$AC$53</definedName>
    <definedName name="solver_lhs411" localSheetId="4" hidden="1">'Run VRS'!$AC$3:$AC$53</definedName>
    <definedName name="solver_lhs412" localSheetId="2" hidden="1">'Run CRS'!$AC$3:$AC$53</definedName>
    <definedName name="solver_lhs412" localSheetId="4" hidden="1">'Run VRS'!$AC$3:$AC$53</definedName>
    <definedName name="solver_lhs413" localSheetId="2" hidden="1">'Run CRS'!$AC$3:$AC$53</definedName>
    <definedName name="solver_lhs413" localSheetId="4" hidden="1">'Run VRS'!$AC$3:$AC$53</definedName>
    <definedName name="solver_lhs414" localSheetId="2" hidden="1">'Run CRS'!$AC$3:$AC$53</definedName>
    <definedName name="solver_lhs414" localSheetId="4" hidden="1">'Run VRS'!$AC$3:$AC$53</definedName>
    <definedName name="solver_lhs415" localSheetId="2" hidden="1">'Run CRS'!$AC$3:$AC$53</definedName>
    <definedName name="solver_lhs415" localSheetId="4" hidden="1">'Run VRS'!$AC$3:$AC$53</definedName>
    <definedName name="solver_lhs416" localSheetId="2" hidden="1">'Run CRS'!$AC$3:$AC$53</definedName>
    <definedName name="solver_lhs416" localSheetId="4" hidden="1">'Run VRS'!$AC$3:$AC$53</definedName>
    <definedName name="solver_lhs417" localSheetId="2" hidden="1">'Run CRS'!$AC$3:$AC$53</definedName>
    <definedName name="solver_lhs417" localSheetId="4" hidden="1">'Run VRS'!$AC$3:$AC$53</definedName>
    <definedName name="solver_lhs418" localSheetId="2" hidden="1">'Run CRS'!$AC$3:$AC$53</definedName>
    <definedName name="solver_lhs418" localSheetId="4" hidden="1">'Run VRS'!$AC$3:$AC$53</definedName>
    <definedName name="solver_lhs419" localSheetId="2" hidden="1">'Run CRS'!$AC$3:$AC$53</definedName>
    <definedName name="solver_lhs419" localSheetId="4" hidden="1">'Run VRS'!$AC$3:$AC$53</definedName>
    <definedName name="solver_lhs42" localSheetId="0" hidden="1">'Data input'!$H$110:$I$110</definedName>
    <definedName name="solver_lhs42" localSheetId="2" hidden="1">'Run CRS'!$AC$107</definedName>
    <definedName name="solver_lhs42" localSheetId="4" hidden="1">'Run VRS'!$AC$107</definedName>
    <definedName name="solver_lhs420" localSheetId="2" hidden="1">'Run CRS'!$AC$3:$AC$53</definedName>
    <definedName name="solver_lhs420" localSheetId="4" hidden="1">'Run VRS'!$AC$3:$AC$53</definedName>
    <definedName name="solver_lhs421" localSheetId="2" hidden="1">'Run CRS'!$AC$3:$AC$53</definedName>
    <definedName name="solver_lhs421" localSheetId="4" hidden="1">'Run VRS'!$AC$3:$AC$53</definedName>
    <definedName name="solver_lhs422" localSheetId="2" hidden="1">'Run CRS'!$AC$3:$AC$53</definedName>
    <definedName name="solver_lhs422" localSheetId="4" hidden="1">'Run VRS'!$AC$3:$AC$53</definedName>
    <definedName name="solver_lhs423" localSheetId="2" hidden="1">'Run CRS'!$AC$3:$AC$53</definedName>
    <definedName name="solver_lhs423" localSheetId="4" hidden="1">'Run VRS'!$AC$3:$AC$53</definedName>
    <definedName name="solver_lhs424" localSheetId="2" hidden="1">'Run CRS'!$AC$3:$AC$53</definedName>
    <definedName name="solver_lhs424" localSheetId="4" hidden="1">'Run VRS'!$AC$3:$AC$53</definedName>
    <definedName name="solver_lhs425" localSheetId="2" hidden="1">'Run CRS'!$AC$3:$AC$53</definedName>
    <definedName name="solver_lhs425" localSheetId="4" hidden="1">'Run VRS'!$AC$3:$AC$53</definedName>
    <definedName name="solver_lhs426" localSheetId="2" hidden="1">'Run CRS'!$AC$3:$AC$53</definedName>
    <definedName name="solver_lhs426" localSheetId="4" hidden="1">'Run VRS'!$AC$3:$AC$53</definedName>
    <definedName name="solver_lhs427" localSheetId="2" hidden="1">'Run CRS'!$AC$3:$AC$53</definedName>
    <definedName name="solver_lhs427" localSheetId="4" hidden="1">'Run VRS'!$AC$3:$AC$53</definedName>
    <definedName name="solver_lhs428" localSheetId="2" hidden="1">'Run CRS'!$AC$3:$AC$53</definedName>
    <definedName name="solver_lhs428" localSheetId="4" hidden="1">'Run VRS'!$AC$3:$AC$53</definedName>
    <definedName name="solver_lhs429" localSheetId="2" hidden="1">'Run CRS'!$AC$3:$AC$53</definedName>
    <definedName name="solver_lhs429" localSheetId="4" hidden="1">'Run VRS'!$AC$3:$AC$53</definedName>
    <definedName name="solver_lhs43" localSheetId="0" hidden="1">'Data input'!$C$112</definedName>
    <definedName name="solver_lhs43" localSheetId="2" hidden="1">'Run CRS'!$AC$107</definedName>
    <definedName name="solver_lhs43" localSheetId="4" hidden="1">'Run VRS'!$AC$107</definedName>
    <definedName name="solver_lhs430" localSheetId="2" hidden="1">'Run CRS'!$AC$3:$AC$53</definedName>
    <definedName name="solver_lhs430" localSheetId="4" hidden="1">'Run VRS'!$AC$3:$AC$53</definedName>
    <definedName name="solver_lhs431" localSheetId="2" hidden="1">'Run CRS'!$AC$3:$AC$53</definedName>
    <definedName name="solver_lhs431" localSheetId="4" hidden="1">'Run VRS'!$AC$3:$AC$53</definedName>
    <definedName name="solver_lhs432" localSheetId="2" hidden="1">'Run CRS'!$AC$3:$AC$53</definedName>
    <definedName name="solver_lhs432" localSheetId="4" hidden="1">'Run VRS'!$AC$3:$AC$53</definedName>
    <definedName name="solver_lhs433" localSheetId="2" hidden="1">'Run CRS'!$AC$3:$AC$53</definedName>
    <definedName name="solver_lhs433" localSheetId="4" hidden="1">'Run VRS'!$AC$3:$AC$53</definedName>
    <definedName name="solver_lhs434" localSheetId="2" hidden="1">'Run CRS'!$AC$3:$AC$53</definedName>
    <definedName name="solver_lhs434" localSheetId="4" hidden="1">'Run VRS'!$AC$3:$AC$53</definedName>
    <definedName name="solver_lhs435" localSheetId="2" hidden="1">'Run CRS'!$AC$3:$AC$53</definedName>
    <definedName name="solver_lhs435" localSheetId="4" hidden="1">'Run VRS'!$AC$3:$AC$53</definedName>
    <definedName name="solver_lhs436" localSheetId="2" hidden="1">'Run CRS'!$AC$3:$AC$53</definedName>
    <definedName name="solver_lhs436" localSheetId="4" hidden="1">'Run VRS'!$AC$3:$AC$53</definedName>
    <definedName name="solver_lhs437" localSheetId="2" hidden="1">'Run CRS'!$AC$3:$AC$53</definedName>
    <definedName name="solver_lhs437" localSheetId="4" hidden="1">'Run VRS'!$AC$3:$AC$53</definedName>
    <definedName name="solver_lhs438" localSheetId="2" hidden="1">'Run CRS'!$AC$3:$AC$53</definedName>
    <definedName name="solver_lhs438" localSheetId="4" hidden="1">'Run VRS'!$AC$3:$AC$53</definedName>
    <definedName name="solver_lhs439" localSheetId="2" hidden="1">'Run CRS'!$AC$3:$AC$53</definedName>
    <definedName name="solver_lhs439" localSheetId="4" hidden="1">'Run VRS'!$AC$3:$AC$53</definedName>
    <definedName name="solver_lhs44" localSheetId="0" hidden="1">'Data input'!$M$105:$V$105</definedName>
    <definedName name="solver_lhs44" localSheetId="2" hidden="1">'Run CRS'!$AC$107</definedName>
    <definedName name="solver_lhs44" localSheetId="4" hidden="1">'Run VRS'!$AC$107</definedName>
    <definedName name="solver_lhs440" localSheetId="2" hidden="1">'Run CRS'!$AC$3:$AC$53</definedName>
    <definedName name="solver_lhs440" localSheetId="4" hidden="1">'Run VRS'!$AC$3:$AC$53</definedName>
    <definedName name="solver_lhs441" localSheetId="2" hidden="1">'Run CRS'!$AC$3:$AC$53</definedName>
    <definedName name="solver_lhs441" localSheetId="4" hidden="1">'Run VRS'!$AC$3:$AC$53</definedName>
    <definedName name="solver_lhs442" localSheetId="2" hidden="1">'Run CRS'!$AC$3:$AC$53</definedName>
    <definedName name="solver_lhs442" localSheetId="4" hidden="1">'Run VRS'!$AC$3:$AC$53</definedName>
    <definedName name="solver_lhs443" localSheetId="2" hidden="1">'Run CRS'!$AC$3:$AC$53</definedName>
    <definedName name="solver_lhs443" localSheetId="4" hidden="1">'Run VRS'!$AC$3:$AC$53</definedName>
    <definedName name="solver_lhs444" localSheetId="2" hidden="1">'Run CRS'!$AC$3:$AC$53</definedName>
    <definedName name="solver_lhs444" localSheetId="4" hidden="1">'Run VRS'!$AC$3:$AC$53</definedName>
    <definedName name="solver_lhs445" localSheetId="2" hidden="1">'Run CRS'!$B$108:$C$108</definedName>
    <definedName name="solver_lhs445" localSheetId="4" hidden="1">'Run VRS'!$B$108:$C$108</definedName>
    <definedName name="solver_lhs446" localSheetId="2" hidden="1">'Run CRS'!$B$108:$C$108</definedName>
    <definedName name="solver_lhs446" localSheetId="4" hidden="1">'Run VRS'!$B$108:$C$108</definedName>
    <definedName name="solver_lhs447" localSheetId="2" hidden="1">'Run CRS'!$B$108:$C$108</definedName>
    <definedName name="solver_lhs447" localSheetId="4" hidden="1">'Run VRS'!$B$108:$C$108</definedName>
    <definedName name="solver_lhs448" localSheetId="2" hidden="1">'Run CRS'!$B$108:$C$108</definedName>
    <definedName name="solver_lhs448" localSheetId="4" hidden="1">'Run VRS'!$B$108:$C$108</definedName>
    <definedName name="solver_lhs449" localSheetId="2" hidden="1">'Run CRS'!$B$108:$C$108</definedName>
    <definedName name="solver_lhs449" localSheetId="4" hidden="1">'Run VRS'!$B$108:$C$108</definedName>
    <definedName name="solver_lhs45" localSheetId="2" hidden="1">'Run CRS'!$AC$107</definedName>
    <definedName name="solver_lhs45" localSheetId="4" hidden="1">'Run VRS'!$AC$107</definedName>
    <definedName name="solver_lhs450" localSheetId="2" hidden="1">'Run CRS'!$B$108:$C$108</definedName>
    <definedName name="solver_lhs450" localSheetId="4" hidden="1">'Run VRS'!$B$108:$C$108</definedName>
    <definedName name="solver_lhs451" localSheetId="2" hidden="1">'Run CRS'!$B$108:$C$108</definedName>
    <definedName name="solver_lhs451" localSheetId="4" hidden="1">'Run VRS'!$B$108:$C$108</definedName>
    <definedName name="solver_lhs452" localSheetId="2" hidden="1">'Run CRS'!$AC$3:$AC$53</definedName>
    <definedName name="solver_lhs452" localSheetId="4" hidden="1">'Run VRS'!$AC$3:$AC$53</definedName>
    <definedName name="solver_lhs453" localSheetId="2" hidden="1">'Run CRS'!$B$108:$C$108</definedName>
    <definedName name="solver_lhs453" localSheetId="4" hidden="1">'Run VRS'!$B$108:$C$108</definedName>
    <definedName name="solver_lhs454" localSheetId="2" hidden="1">'Run CRS'!$B$108:$C$108</definedName>
    <definedName name="solver_lhs454" localSheetId="4" hidden="1">'Run VRS'!$B$108:$C$108</definedName>
    <definedName name="solver_lhs455" localSheetId="2" hidden="1">'Run CRS'!$B$108:$C$108</definedName>
    <definedName name="solver_lhs455" localSheetId="4" hidden="1">'Run VRS'!$B$108:$C$108</definedName>
    <definedName name="solver_lhs456" localSheetId="2" hidden="1">'Run CRS'!$B$108:$C$108</definedName>
    <definedName name="solver_lhs456" localSheetId="4" hidden="1">'Run VRS'!$B$108:$C$108</definedName>
    <definedName name="solver_lhs457" localSheetId="2" hidden="1">'Run CRS'!$B$108:$C$108</definedName>
    <definedName name="solver_lhs457" localSheetId="4" hidden="1">'Run VRS'!$B$108:$C$108</definedName>
    <definedName name="solver_lhs458" localSheetId="2" hidden="1">'Run CRS'!$AC$3:$AC$53</definedName>
    <definedName name="solver_lhs458" localSheetId="4" hidden="1">'Run VRS'!$AC$3:$AC$53</definedName>
    <definedName name="solver_lhs459" localSheetId="2" hidden="1">'Run CRS'!$B$108:$C$108</definedName>
    <definedName name="solver_lhs459" localSheetId="4" hidden="1">'Run VRS'!$B$108:$C$108</definedName>
    <definedName name="solver_lhs46" localSheetId="2" hidden="1">'Run CRS'!$AC$107</definedName>
    <definedName name="solver_lhs46" localSheetId="4" hidden="1">'Run VRS'!$AC$107</definedName>
    <definedName name="solver_lhs460" localSheetId="2" hidden="1">'Run CRS'!$B$108:$C$108</definedName>
    <definedName name="solver_lhs460" localSheetId="4" hidden="1">'Run VRS'!$B$108:$C$108</definedName>
    <definedName name="solver_lhs461" localSheetId="2" hidden="1">'Run CRS'!$B$108:$C$108</definedName>
    <definedName name="solver_lhs461" localSheetId="4" hidden="1">'Run VRS'!$B$108:$C$108</definedName>
    <definedName name="solver_lhs462" localSheetId="2" hidden="1">'Run CRS'!$B$108:$C$108</definedName>
    <definedName name="solver_lhs462" localSheetId="4" hidden="1">'Run VRS'!$B$108:$C$108</definedName>
    <definedName name="solver_lhs463" localSheetId="2" hidden="1">'Run CRS'!$B$108:$C$108</definedName>
    <definedName name="solver_lhs463" localSheetId="4" hidden="1">'Run VRS'!$B$108:$C$108</definedName>
    <definedName name="solver_lhs464" localSheetId="2" hidden="1">'Run CRS'!$B$108:$C$108</definedName>
    <definedName name="solver_lhs464" localSheetId="4" hidden="1">'Run VRS'!$B$108:$C$108</definedName>
    <definedName name="solver_lhs465" localSheetId="2" hidden="1">'Run CRS'!$B$108:$C$108</definedName>
    <definedName name="solver_lhs465" localSheetId="4" hidden="1">'Run VRS'!$B$108:$C$108</definedName>
    <definedName name="solver_lhs466" localSheetId="2" hidden="1">'Run CRS'!$B$108:$C$108</definedName>
    <definedName name="solver_lhs466" localSheetId="4" hidden="1">'Run VRS'!$B$108:$C$108</definedName>
    <definedName name="solver_lhs467" localSheetId="2" hidden="1">'Run CRS'!$B$108:$C$108</definedName>
    <definedName name="solver_lhs467" localSheetId="4" hidden="1">'Run VRS'!$B$108:$C$108</definedName>
    <definedName name="solver_lhs468" localSheetId="2" hidden="1">'Run CRS'!$B$108:$C$108</definedName>
    <definedName name="solver_lhs468" localSheetId="4" hidden="1">'Run VRS'!$B$108:$C$108</definedName>
    <definedName name="solver_lhs469" localSheetId="2" hidden="1">'Run CRS'!$B$108:$C$108</definedName>
    <definedName name="solver_lhs469" localSheetId="4" hidden="1">'Run VRS'!$B$108:$C$108</definedName>
    <definedName name="solver_lhs47" localSheetId="2" hidden="1">'Run CRS'!$AC$107</definedName>
    <definedName name="solver_lhs47" localSheetId="4" hidden="1">'Run VRS'!$AC$107</definedName>
    <definedName name="solver_lhs470" localSheetId="2" hidden="1">'Run CRS'!$B$108:$C$108</definedName>
    <definedName name="solver_lhs470" localSheetId="4" hidden="1">'Run VRS'!$B$108:$C$108</definedName>
    <definedName name="solver_lhs471" localSheetId="2" hidden="1">'Run CRS'!$B$108:$C$108</definedName>
    <definedName name="solver_lhs471" localSheetId="4" hidden="1">'Run VRS'!$B$108:$C$108</definedName>
    <definedName name="solver_lhs472" localSheetId="2" hidden="1">'Run CRS'!$B$108:$C$108</definedName>
    <definedName name="solver_lhs472" localSheetId="4" hidden="1">'Run VRS'!$B$108:$C$108</definedName>
    <definedName name="solver_lhs473" localSheetId="2" hidden="1">'Run CRS'!$B$108:$C$108</definedName>
    <definedName name="solver_lhs473" localSheetId="4" hidden="1">'Run VRS'!$B$108:$C$108</definedName>
    <definedName name="solver_lhs474" localSheetId="2" hidden="1">'Run CRS'!$B$108:$C$108</definedName>
    <definedName name="solver_lhs474" localSheetId="4" hidden="1">'Run VRS'!$B$108:$C$108</definedName>
    <definedName name="solver_lhs475" localSheetId="2" hidden="1">'Run CRS'!$B$108:$C$108</definedName>
    <definedName name="solver_lhs475" localSheetId="4" hidden="1">'Run VRS'!$B$108:$C$108</definedName>
    <definedName name="solver_lhs476" localSheetId="2" hidden="1">'Run CRS'!$B$108:$C$108</definedName>
    <definedName name="solver_lhs476" localSheetId="4" hidden="1">'Run VRS'!$B$108:$C$108</definedName>
    <definedName name="solver_lhs477" localSheetId="2" hidden="1">'Run CRS'!$B$108:$C$108</definedName>
    <definedName name="solver_lhs477" localSheetId="4" hidden="1">'Run VRS'!$B$108:$C$108</definedName>
    <definedName name="solver_lhs478" localSheetId="2" hidden="1">'Run CRS'!$B$108:$C$108</definedName>
    <definedName name="solver_lhs478" localSheetId="4" hidden="1">'Run VRS'!$B$108:$C$108</definedName>
    <definedName name="solver_lhs479" localSheetId="2" hidden="1">'Run CRS'!$B$108:$C$108</definedName>
    <definedName name="solver_lhs479" localSheetId="4" hidden="1">'Run VRS'!$B$108:$C$108</definedName>
    <definedName name="solver_lhs48" localSheetId="2" hidden="1">'Run CRS'!$AC$107</definedName>
    <definedName name="solver_lhs48" localSheetId="4" hidden="1">'Run VRS'!$AC$107</definedName>
    <definedName name="solver_lhs480" localSheetId="2" hidden="1">'Run CRS'!$B$108:$C$108</definedName>
    <definedName name="solver_lhs480" localSheetId="4" hidden="1">'Run VRS'!$B$108:$C$108</definedName>
    <definedName name="solver_lhs481" localSheetId="2" hidden="1">'Run CRS'!$B$108:$C$108</definedName>
    <definedName name="solver_lhs481" localSheetId="4" hidden="1">'Run VRS'!$B$108:$C$108</definedName>
    <definedName name="solver_lhs482" localSheetId="2" hidden="1">'Run CRS'!$B$108:$C$108</definedName>
    <definedName name="solver_lhs482" localSheetId="4" hidden="1">'Run VRS'!$B$108:$C$108</definedName>
    <definedName name="solver_lhs483" localSheetId="2" hidden="1">'Run CRS'!$B$108:$C$108</definedName>
    <definedName name="solver_lhs483" localSheetId="4" hidden="1">'Run VRS'!$B$108:$C$108</definedName>
    <definedName name="solver_lhs484" localSheetId="2" hidden="1">'Run CRS'!$B$108:$C$108</definedName>
    <definedName name="solver_lhs484" localSheetId="4" hidden="1">'Run VRS'!$B$108:$C$108</definedName>
    <definedName name="solver_lhs485" localSheetId="2" hidden="1">'Run CRS'!$B$108:$C$108</definedName>
    <definedName name="solver_lhs485" localSheetId="4" hidden="1">'Run VRS'!$B$108:$C$108</definedName>
    <definedName name="solver_lhs486" localSheetId="2" hidden="1">'Run CRS'!$B$108:$C$108</definedName>
    <definedName name="solver_lhs486" localSheetId="4" hidden="1">'Run VRS'!$B$108:$C$108</definedName>
    <definedName name="solver_lhs487" localSheetId="2" hidden="1">'Run CRS'!$B$108:$C$108</definedName>
    <definedName name="solver_lhs487" localSheetId="4" hidden="1">'Run VRS'!$B$108:$C$108</definedName>
    <definedName name="solver_lhs488" localSheetId="2" hidden="1">'Run CRS'!$B$108:$C$108</definedName>
    <definedName name="solver_lhs488" localSheetId="4" hidden="1">'Run VRS'!$B$108:$C$108</definedName>
    <definedName name="solver_lhs489" localSheetId="2" hidden="1">'Run CRS'!$B$108:$C$108</definedName>
    <definedName name="solver_lhs489" localSheetId="4" hidden="1">'Run VRS'!$B$108:$C$108</definedName>
    <definedName name="solver_lhs49" localSheetId="2" hidden="1">'Run CRS'!$AC$107</definedName>
    <definedName name="solver_lhs49" localSheetId="4" hidden="1">'Run VRS'!$AC$107</definedName>
    <definedName name="solver_lhs490" localSheetId="2" hidden="1">'Run CRS'!$B$108:$C$108</definedName>
    <definedName name="solver_lhs490" localSheetId="4" hidden="1">'Run VRS'!$B$108:$C$108</definedName>
    <definedName name="solver_lhs491" localSheetId="2" hidden="1">'Run CRS'!$B$108:$C$108</definedName>
    <definedName name="solver_lhs491" localSheetId="4" hidden="1">'Run VRS'!$B$108:$C$108</definedName>
    <definedName name="solver_lhs492" localSheetId="2" hidden="1">'Run CRS'!$B$108:$C$108</definedName>
    <definedName name="solver_lhs492" localSheetId="4" hidden="1">'Run VRS'!$B$108:$C$108</definedName>
    <definedName name="solver_lhs493" localSheetId="2" hidden="1">'Run CRS'!$B$108:$C$108</definedName>
    <definedName name="solver_lhs493" localSheetId="4" hidden="1">'Run VRS'!$B$108:$C$108</definedName>
    <definedName name="solver_lhs494" localSheetId="2" hidden="1">'Run CRS'!$B$108:$C$108</definedName>
    <definedName name="solver_lhs494" localSheetId="4" hidden="1">'Run VRS'!$B$108:$C$108</definedName>
    <definedName name="solver_lhs495" localSheetId="2" hidden="1">'Run CRS'!$B$108:$C$108</definedName>
    <definedName name="solver_lhs495" localSheetId="4" hidden="1">'Run VRS'!$B$108:$C$108</definedName>
    <definedName name="solver_lhs496" localSheetId="2" hidden="1">'Run CRS'!$B$108:$C$108</definedName>
    <definedName name="solver_lhs496" localSheetId="4" hidden="1">'Run VRS'!$B$108:$C$108</definedName>
    <definedName name="solver_lhs497" localSheetId="2" hidden="1">'Run CRS'!$B$108:$C$108</definedName>
    <definedName name="solver_lhs497" localSheetId="4" hidden="1">'Run VRS'!$B$108:$C$108</definedName>
    <definedName name="solver_lhs498" localSheetId="2" hidden="1">'Run CRS'!$B$108:$C$108</definedName>
    <definedName name="solver_lhs498" localSheetId="4" hidden="1">'Run VRS'!$B$108:$C$108</definedName>
    <definedName name="solver_lhs499" localSheetId="2" hidden="1">'Run CRS'!$B$108:$C$108</definedName>
    <definedName name="solver_lhs499" localSheetId="4" hidden="1">'Run VRS'!$B$108:$C$108</definedName>
    <definedName name="solver_lhs5" localSheetId="0" hidden="1">'Data input'!$H$108:$I$108</definedName>
    <definedName name="solver_lhs5" localSheetId="2" hidden="1">'Run CRS'!$H$108:$I$108</definedName>
    <definedName name="solver_lhs5" localSheetId="4" hidden="1">'Run VRS'!$H$108:$I$108</definedName>
    <definedName name="solver_lhs50" localSheetId="2" hidden="1">'Run CRS'!$AC$107</definedName>
    <definedName name="solver_lhs50" localSheetId="4" hidden="1">'Run VRS'!$AC$107</definedName>
    <definedName name="solver_lhs500" localSheetId="2" hidden="1">'Run CRS'!$B$108:$C$108</definedName>
    <definedName name="solver_lhs500" localSheetId="4" hidden="1">'Run VRS'!$B$108:$C$108</definedName>
    <definedName name="solver_lhs501" localSheetId="2" hidden="1">'Run CRS'!$B$108:$C$108</definedName>
    <definedName name="solver_lhs501" localSheetId="4" hidden="1">'Run VRS'!$B$108:$C$108</definedName>
    <definedName name="solver_lhs502" localSheetId="2" hidden="1">'Run CRS'!$B$108:$C$108</definedName>
    <definedName name="solver_lhs502" localSheetId="4" hidden="1">'Run VRS'!$B$108:$C$108</definedName>
    <definedName name="solver_lhs503" localSheetId="2" hidden="1">'Run CRS'!$B$108:$C$108</definedName>
    <definedName name="solver_lhs503" localSheetId="4" hidden="1">'Run VRS'!$B$108:$C$108</definedName>
    <definedName name="solver_lhs504" localSheetId="2" hidden="1">'Run CRS'!$B$108:$C$108</definedName>
    <definedName name="solver_lhs504" localSheetId="4" hidden="1">'Run VRS'!$B$108:$C$108</definedName>
    <definedName name="solver_lhs505" localSheetId="2" hidden="1">'Run CRS'!$B$108:$C$108</definedName>
    <definedName name="solver_lhs505" localSheetId="4" hidden="1">'Run VRS'!$B$108:$C$108</definedName>
    <definedName name="solver_lhs506" localSheetId="2" hidden="1">'Run CRS'!$B$108:$C$108</definedName>
    <definedName name="solver_lhs506" localSheetId="4" hidden="1">'Run VRS'!$B$108:$C$108</definedName>
    <definedName name="solver_lhs507" localSheetId="2" hidden="1">'Run CRS'!$B$108:$C$108</definedName>
    <definedName name="solver_lhs507" localSheetId="4" hidden="1">'Run VRS'!$B$108:$C$108</definedName>
    <definedName name="solver_lhs508" localSheetId="2" hidden="1">'Run CRS'!$B$108:$C$108</definedName>
    <definedName name="solver_lhs508" localSheetId="4" hidden="1">'Run VRS'!$B$108:$C$108</definedName>
    <definedName name="solver_lhs509" localSheetId="2" hidden="1">'Run CRS'!$B$108:$C$108</definedName>
    <definedName name="solver_lhs509" localSheetId="4" hidden="1">'Run VRS'!$B$108:$C$108</definedName>
    <definedName name="solver_lhs51" localSheetId="2" hidden="1">'Run CRS'!$AC$107</definedName>
    <definedName name="solver_lhs51" localSheetId="4" hidden="1">'Run VRS'!$AC$107</definedName>
    <definedName name="solver_lhs510" localSheetId="2" hidden="1">'Run CRS'!$B$108:$C$108</definedName>
    <definedName name="solver_lhs510" localSheetId="4" hidden="1">'Run VRS'!$B$108:$C$108</definedName>
    <definedName name="solver_lhs511" localSheetId="2" hidden="1">'Run CRS'!$B$108:$C$108</definedName>
    <definedName name="solver_lhs511" localSheetId="4" hidden="1">'Run VRS'!$B$108:$C$108</definedName>
    <definedName name="solver_lhs512" localSheetId="2" hidden="1">'Run CRS'!$B$108:$C$108</definedName>
    <definedName name="solver_lhs512" localSheetId="4" hidden="1">'Run VRS'!$B$108:$C$108</definedName>
    <definedName name="solver_lhs513" localSheetId="2" hidden="1">'Run CRS'!$B$108:$C$108</definedName>
    <definedName name="solver_lhs513" localSheetId="4" hidden="1">'Run VRS'!$B$108:$C$108</definedName>
    <definedName name="solver_lhs514" localSheetId="2" hidden="1">'Run CRS'!$B$108:$C$108</definedName>
    <definedName name="solver_lhs514" localSheetId="4" hidden="1">'Run VRS'!$B$108:$C$108</definedName>
    <definedName name="solver_lhs515" localSheetId="2" hidden="1">'Run CRS'!$B$108:$C$108</definedName>
    <definedName name="solver_lhs515" localSheetId="4" hidden="1">'Run VRS'!$B$108:$C$108</definedName>
    <definedName name="solver_lhs516" localSheetId="2" hidden="1">'Run CRS'!$B$108:$C$108</definedName>
    <definedName name="solver_lhs516" localSheetId="4" hidden="1">'Run VRS'!$B$108:$C$108</definedName>
    <definedName name="solver_lhs517" localSheetId="2" hidden="1">'Run CRS'!$B$108:$C$108</definedName>
    <definedName name="solver_lhs517" localSheetId="4" hidden="1">'Run VRS'!$B$108:$C$108</definedName>
    <definedName name="solver_lhs518" localSheetId="2" hidden="1">'Run CRS'!$B$108:$C$108</definedName>
    <definedName name="solver_lhs518" localSheetId="4" hidden="1">'Run VRS'!$B$108:$C$108</definedName>
    <definedName name="solver_lhs519" localSheetId="2" hidden="1">'Run CRS'!$B$108:$C$108</definedName>
    <definedName name="solver_lhs519" localSheetId="4" hidden="1">'Run VRS'!$B$108:$C$108</definedName>
    <definedName name="solver_lhs52" localSheetId="2" hidden="1">'Run CRS'!$AC$107</definedName>
    <definedName name="solver_lhs52" localSheetId="4" hidden="1">'Run VRS'!$AC$107</definedName>
    <definedName name="solver_lhs520" localSheetId="2" hidden="1">'Run CRS'!$B$108:$C$108</definedName>
    <definedName name="solver_lhs520" localSheetId="4" hidden="1">'Run VRS'!$B$108:$C$108</definedName>
    <definedName name="solver_lhs521" localSheetId="2" hidden="1">'Run CRS'!$B$108:$C$108</definedName>
    <definedName name="solver_lhs521" localSheetId="4" hidden="1">'Run VRS'!$B$108:$C$108</definedName>
    <definedName name="solver_lhs522" localSheetId="2" hidden="1">'Run CRS'!$B$108:$C$108</definedName>
    <definedName name="solver_lhs522" localSheetId="4" hidden="1">'Run VRS'!$B$108:$C$108</definedName>
    <definedName name="solver_lhs523" localSheetId="2" hidden="1">'Run CRS'!$B$108:$C$108</definedName>
    <definedName name="solver_lhs523" localSheetId="4" hidden="1">'Run VRS'!$B$108:$C$108</definedName>
    <definedName name="solver_lhs524" localSheetId="2" hidden="1">'Run CRS'!$B$108:$C$108</definedName>
    <definedName name="solver_lhs524" localSheetId="4" hidden="1">'Run VRS'!$B$108:$C$108</definedName>
    <definedName name="solver_lhs525" localSheetId="2" hidden="1">'Run CRS'!$B$108:$C$108</definedName>
    <definedName name="solver_lhs525" localSheetId="4" hidden="1">'Run VRS'!$B$108:$C$108</definedName>
    <definedName name="solver_lhs526" localSheetId="2" hidden="1">'Run CRS'!$B$108:$C$108</definedName>
    <definedName name="solver_lhs526" localSheetId="4" hidden="1">'Run VRS'!$B$108:$C$108</definedName>
    <definedName name="solver_lhs527" localSheetId="2" hidden="1">'Run CRS'!$B$108:$C$108</definedName>
    <definedName name="solver_lhs527" localSheetId="4" hidden="1">'Run VRS'!$B$108:$C$108</definedName>
    <definedName name="solver_lhs528" localSheetId="2" hidden="1">'Run CRS'!$B$108:$C$108</definedName>
    <definedName name="solver_lhs528" localSheetId="4" hidden="1">'Run VRS'!$B$108:$C$108</definedName>
    <definedName name="solver_lhs529" localSheetId="2" hidden="1">'Run CRS'!$B$108:$C$108</definedName>
    <definedName name="solver_lhs529" localSheetId="4" hidden="1">'Run VRS'!$B$108:$C$108</definedName>
    <definedName name="solver_lhs53" localSheetId="2" hidden="1">'Run CRS'!$AC$107</definedName>
    <definedName name="solver_lhs53" localSheetId="4" hidden="1">'Run VRS'!$AC$107</definedName>
    <definedName name="solver_lhs530" localSheetId="2" hidden="1">'Run CRS'!$B$108:$C$108</definedName>
    <definedName name="solver_lhs530" localSheetId="4" hidden="1">'Run VRS'!$B$108:$C$108</definedName>
    <definedName name="solver_lhs531" localSheetId="2" hidden="1">'Run CRS'!$B$108:$C$108</definedName>
    <definedName name="solver_lhs531" localSheetId="4" hidden="1">'Run VRS'!$B$108:$C$108</definedName>
    <definedName name="solver_lhs532" localSheetId="2" hidden="1">'Run CRS'!$B$108:$C$108</definedName>
    <definedName name="solver_lhs532" localSheetId="4" hidden="1">'Run VRS'!$B$108:$C$108</definedName>
    <definedName name="solver_lhs533" localSheetId="2" hidden="1">'Run CRS'!$B$108:$C$108</definedName>
    <definedName name="solver_lhs533" localSheetId="4" hidden="1">'Run VRS'!$B$108:$C$108</definedName>
    <definedName name="solver_lhs534" localSheetId="2" hidden="1">'Run CRS'!$B$108:$C$108</definedName>
    <definedName name="solver_lhs534" localSheetId="4" hidden="1">'Run VRS'!$B$108:$C$108</definedName>
    <definedName name="solver_lhs535" localSheetId="2" hidden="1">'Run CRS'!$B$108:$C$108</definedName>
    <definedName name="solver_lhs535" localSheetId="4" hidden="1">'Run VRS'!$B$108:$C$108</definedName>
    <definedName name="solver_lhs536" localSheetId="2" hidden="1">'Run CRS'!$B$108:$C$108</definedName>
    <definedName name="solver_lhs536" localSheetId="4" hidden="1">'Run VRS'!$B$108:$C$108</definedName>
    <definedName name="solver_lhs537" localSheetId="2" hidden="1">'Run CRS'!$B$108:$C$108</definedName>
    <definedName name="solver_lhs537" localSheetId="4" hidden="1">'Run VRS'!$B$108:$C$108</definedName>
    <definedName name="solver_lhs538" localSheetId="2" hidden="1">'Run CRS'!$B$108:$C$108</definedName>
    <definedName name="solver_lhs538" localSheetId="4" hidden="1">'Run VRS'!$B$108:$C$108</definedName>
    <definedName name="solver_lhs539" localSheetId="2" hidden="1">'Run CRS'!$B$108:$C$108</definedName>
    <definedName name="solver_lhs539" localSheetId="4" hidden="1">'Run VRS'!$B$108:$C$108</definedName>
    <definedName name="solver_lhs54" localSheetId="2" hidden="1">'Run CRS'!$AC$107</definedName>
    <definedName name="solver_lhs54" localSheetId="4" hidden="1">'Run VRS'!$AC$107</definedName>
    <definedName name="solver_lhs540" localSheetId="2" hidden="1">'Run CRS'!$B$108:$C$108</definedName>
    <definedName name="solver_lhs540" localSheetId="4" hidden="1">'Run VRS'!$B$108:$C$108</definedName>
    <definedName name="solver_lhs541" localSheetId="2" hidden="1">'Run CRS'!$B$108:$C$108</definedName>
    <definedName name="solver_lhs541" localSheetId="4" hidden="1">'Run VRS'!$B$108:$C$108</definedName>
    <definedName name="solver_lhs542" localSheetId="2" hidden="1">'Run CRS'!$B$108:$C$108</definedName>
    <definedName name="solver_lhs542" localSheetId="4" hidden="1">'Run VRS'!$B$108:$C$108</definedName>
    <definedName name="solver_lhs543" localSheetId="2" hidden="1">'Run CRS'!$B$108:$C$108</definedName>
    <definedName name="solver_lhs543" localSheetId="4" hidden="1">'Run VRS'!$B$108:$C$108</definedName>
    <definedName name="solver_lhs544" localSheetId="2" hidden="1">'Run CRS'!$B$108:$C$108</definedName>
    <definedName name="solver_lhs544" localSheetId="4" hidden="1">'Run VRS'!$B$108:$C$108</definedName>
    <definedName name="solver_lhs545" localSheetId="2" hidden="1">'Run CRS'!$B$108:$C$108</definedName>
    <definedName name="solver_lhs545" localSheetId="4" hidden="1">'Run VRS'!$B$108:$C$108</definedName>
    <definedName name="solver_lhs546" localSheetId="2" hidden="1">'Run CRS'!$B$108:$C$108</definedName>
    <definedName name="solver_lhs546" localSheetId="4" hidden="1">'Run VRS'!$B$108:$C$108</definedName>
    <definedName name="solver_lhs547" localSheetId="2" hidden="1">'Run CRS'!$B$108:$C$108</definedName>
    <definedName name="solver_lhs547" localSheetId="4" hidden="1">'Run VRS'!$B$108:$C$108</definedName>
    <definedName name="solver_lhs548" localSheetId="2" hidden="1">'Run CRS'!$B$108:$C$108</definedName>
    <definedName name="solver_lhs548" localSheetId="4" hidden="1">'Run VRS'!$B$108:$C$108</definedName>
    <definedName name="solver_lhs549" localSheetId="2" hidden="1">'Run CRS'!$B$108:$C$108</definedName>
    <definedName name="solver_lhs549" localSheetId="4" hidden="1">'Run VRS'!$B$108:$C$108</definedName>
    <definedName name="solver_lhs55" localSheetId="2" hidden="1">'Run CRS'!$AC$107</definedName>
    <definedName name="solver_lhs55" localSheetId="4" hidden="1">'Run VRS'!$AC$107</definedName>
    <definedName name="solver_lhs550" localSheetId="2" hidden="1">'Run CRS'!$B$108:$C$108</definedName>
    <definedName name="solver_lhs550" localSheetId="4" hidden="1">'Run VRS'!$B$108:$C$108</definedName>
    <definedName name="solver_lhs551" localSheetId="2" hidden="1">'Run CRS'!$B$108:$C$108</definedName>
    <definedName name="solver_lhs551" localSheetId="4" hidden="1">'Run VRS'!$B$108:$C$108</definedName>
    <definedName name="solver_lhs552" localSheetId="2" hidden="1">'Run CRS'!$B$108:$C$108</definedName>
    <definedName name="solver_lhs552" localSheetId="4" hidden="1">'Run VRS'!$B$108:$C$108</definedName>
    <definedName name="solver_lhs553" localSheetId="2" hidden="1">'Run CRS'!$B$108:$C$108</definedName>
    <definedName name="solver_lhs553" localSheetId="4" hidden="1">'Run VRS'!$B$108:$C$108</definedName>
    <definedName name="solver_lhs554" localSheetId="2" hidden="1">'Run CRS'!$B$108:$C$108</definedName>
    <definedName name="solver_lhs554" localSheetId="4" hidden="1">'Run VRS'!$B$108:$C$108</definedName>
    <definedName name="solver_lhs555" localSheetId="2" hidden="1">'Run CRS'!$B$108:$C$108</definedName>
    <definedName name="solver_lhs555" localSheetId="4" hidden="1">'Run VRS'!$B$108:$C$108</definedName>
    <definedName name="solver_lhs556" localSheetId="2" hidden="1">'Run CRS'!$B$108:$C$108</definedName>
    <definedName name="solver_lhs556" localSheetId="4" hidden="1">'Run VRS'!$B$108:$C$108</definedName>
    <definedName name="solver_lhs557" localSheetId="2" hidden="1">'Run CRS'!$B$108:$C$108</definedName>
    <definedName name="solver_lhs557" localSheetId="4" hidden="1">'Run VRS'!$B$108:$C$108</definedName>
    <definedName name="solver_lhs558" localSheetId="2" hidden="1">'Run CRS'!$B$108:$C$108</definedName>
    <definedName name="solver_lhs558" localSheetId="4" hidden="1">'Run VRS'!$B$108:$C$108</definedName>
    <definedName name="solver_lhs559" localSheetId="2" hidden="1">'Run CRS'!$B$108:$C$108</definedName>
    <definedName name="solver_lhs559" localSheetId="4" hidden="1">'Run VRS'!$B$108:$C$108</definedName>
    <definedName name="solver_lhs56" localSheetId="2" hidden="1">'Run CRS'!$AC$107</definedName>
    <definedName name="solver_lhs56" localSheetId="4" hidden="1">'Run VRS'!$AC$107</definedName>
    <definedName name="solver_lhs560" localSheetId="2" hidden="1">'Run CRS'!$B$108:$C$108</definedName>
    <definedName name="solver_lhs560" localSheetId="4" hidden="1">'Run VRS'!$B$108:$C$108</definedName>
    <definedName name="solver_lhs561" localSheetId="2" hidden="1">'Run CRS'!$B$108:$C$108</definedName>
    <definedName name="solver_lhs561" localSheetId="4" hidden="1">'Run VRS'!$B$108:$C$108</definedName>
    <definedName name="solver_lhs562" localSheetId="2" hidden="1">'Run CRS'!$B$108:$C$108</definedName>
    <definedName name="solver_lhs562" localSheetId="4" hidden="1">'Run VRS'!$B$108:$C$108</definedName>
    <definedName name="solver_lhs563" localSheetId="2" hidden="1">'Run CRS'!$B$108:$C$108</definedName>
    <definedName name="solver_lhs563" localSheetId="4" hidden="1">'Run VRS'!$B$108:$C$108</definedName>
    <definedName name="solver_lhs564" localSheetId="2" hidden="1">'Run CRS'!$B$108:$C$108</definedName>
    <definedName name="solver_lhs564" localSheetId="4" hidden="1">'Run VRS'!$B$108:$C$108</definedName>
    <definedName name="solver_lhs565" localSheetId="2" hidden="1">'Run CRS'!$B$108:$C$108</definedName>
    <definedName name="solver_lhs565" localSheetId="4" hidden="1">'Run VRS'!$B$108:$C$108</definedName>
    <definedName name="solver_lhs566" localSheetId="2" hidden="1">'Run CRS'!$B$108:$C$108</definedName>
    <definedName name="solver_lhs566" localSheetId="4" hidden="1">'Run VRS'!$B$108:$C$108</definedName>
    <definedName name="solver_lhs567" localSheetId="2" hidden="1">'Run CRS'!$B$108:$C$108</definedName>
    <definedName name="solver_lhs567" localSheetId="4" hidden="1">'Run VRS'!$B$108:$C$108</definedName>
    <definedName name="solver_lhs568" localSheetId="2" hidden="1">'Run CRS'!$B$108:$C$108</definedName>
    <definedName name="solver_lhs568" localSheetId="4" hidden="1">'Run VRS'!$B$108:$C$108</definedName>
    <definedName name="solver_lhs569" localSheetId="2" hidden="1">'Run CRS'!$B$108:$C$108</definedName>
    <definedName name="solver_lhs569" localSheetId="4" hidden="1">'Run VRS'!$B$108:$C$108</definedName>
    <definedName name="solver_lhs57" localSheetId="2" hidden="1">'Run CRS'!$AC$107</definedName>
    <definedName name="solver_lhs57" localSheetId="4" hidden="1">'Run VRS'!$AC$107</definedName>
    <definedName name="solver_lhs570" localSheetId="2" hidden="1">'Run CRS'!$B$108:$C$108</definedName>
    <definedName name="solver_lhs570" localSheetId="4" hidden="1">'Run VRS'!$B$108:$C$108</definedName>
    <definedName name="solver_lhs571" localSheetId="2" hidden="1">'Run CRS'!$B$108:$C$108</definedName>
    <definedName name="solver_lhs571" localSheetId="4" hidden="1">'Run VRS'!$B$108:$C$108</definedName>
    <definedName name="solver_lhs572" localSheetId="2" hidden="1">'Run CRS'!$B$108:$C$108</definedName>
    <definedName name="solver_lhs572" localSheetId="4" hidden="1">'Run VRS'!$B$108:$C$108</definedName>
    <definedName name="solver_lhs573" localSheetId="2" hidden="1">'Run CRS'!$B$108:$C$108</definedName>
    <definedName name="solver_lhs573" localSheetId="4" hidden="1">'Run VRS'!$B$108:$C$108</definedName>
    <definedName name="solver_lhs574" localSheetId="2" hidden="1">'Run CRS'!$B$108:$C$108</definedName>
    <definedName name="solver_lhs574" localSheetId="4" hidden="1">'Run VRS'!$B$108:$C$108</definedName>
    <definedName name="solver_lhs575" localSheetId="2" hidden="1">'Run CRS'!$B$108:$C$108</definedName>
    <definedName name="solver_lhs575" localSheetId="4" hidden="1">'Run VRS'!$B$108:$C$108</definedName>
    <definedName name="solver_lhs576" localSheetId="2" hidden="1">'Run CRS'!$B$108:$C$108</definedName>
    <definedName name="solver_lhs576" localSheetId="4" hidden="1">'Run VRS'!$B$108:$C$108</definedName>
    <definedName name="solver_lhs577" localSheetId="2" hidden="1">'Run CRS'!$B$108:$C$108</definedName>
    <definedName name="solver_lhs577" localSheetId="4" hidden="1">'Run VRS'!$B$108:$C$108</definedName>
    <definedName name="solver_lhs578" localSheetId="2" hidden="1">'Run CRS'!$B$108:$C$108</definedName>
    <definedName name="solver_lhs578" localSheetId="4" hidden="1">'Run VRS'!$B$108:$C$108</definedName>
    <definedName name="solver_lhs579" localSheetId="2" hidden="1">'Run CRS'!$B$108:$C$108</definedName>
    <definedName name="solver_lhs579" localSheetId="4" hidden="1">'Run VRS'!$B$108:$C$108</definedName>
    <definedName name="solver_lhs58" localSheetId="2" hidden="1">'Run CRS'!$AC$107</definedName>
    <definedName name="solver_lhs58" localSheetId="4" hidden="1">'Run VRS'!$AC$107</definedName>
    <definedName name="solver_lhs580" localSheetId="2" hidden="1">'Run CRS'!$B$108:$C$108</definedName>
    <definedName name="solver_lhs580" localSheetId="4" hidden="1">'Run VRS'!$B$108:$C$108</definedName>
    <definedName name="solver_lhs581" localSheetId="2" hidden="1">'Run CRS'!$B$108:$C$108</definedName>
    <definedName name="solver_lhs581" localSheetId="4" hidden="1">'Run VRS'!$B$108:$C$108</definedName>
    <definedName name="solver_lhs582" localSheetId="2" hidden="1">'Run CRS'!$B$108:$C$108</definedName>
    <definedName name="solver_lhs582" localSheetId="4" hidden="1">'Run VRS'!$B$108:$C$108</definedName>
    <definedName name="solver_lhs583" localSheetId="2" hidden="1">'Run CRS'!$B$108:$C$108</definedName>
    <definedName name="solver_lhs583" localSheetId="4" hidden="1">'Run VRS'!$B$108:$C$108</definedName>
    <definedName name="solver_lhs584" localSheetId="2" hidden="1">'Run CRS'!$B$108:$C$108</definedName>
    <definedName name="solver_lhs584" localSheetId="4" hidden="1">'Run VRS'!$B$108:$C$108</definedName>
    <definedName name="solver_lhs585" localSheetId="2" hidden="1">'Run CRS'!$B$108:$C$108</definedName>
    <definedName name="solver_lhs585" localSheetId="4" hidden="1">'Run VRS'!$B$108:$C$108</definedName>
    <definedName name="solver_lhs586" localSheetId="2" hidden="1">'Run CRS'!$B$108:$C$108</definedName>
    <definedName name="solver_lhs586" localSheetId="4" hidden="1">'Run VRS'!$B$108:$C$108</definedName>
    <definedName name="solver_lhs587" localSheetId="2" hidden="1">'Run CRS'!$B$108:$C$108</definedName>
    <definedName name="solver_lhs587" localSheetId="4" hidden="1">'Run VRS'!$B$108:$C$108</definedName>
    <definedName name="solver_lhs588" localSheetId="2" hidden="1">'Run CRS'!$B$108:$C$108</definedName>
    <definedName name="solver_lhs588" localSheetId="4" hidden="1">'Run VRS'!$B$108:$C$108</definedName>
    <definedName name="solver_lhs589" localSheetId="2" hidden="1">'Run CRS'!$B$108:$C$108</definedName>
    <definedName name="solver_lhs589" localSheetId="4" hidden="1">'Run VRS'!$B$108:$C$108</definedName>
    <definedName name="solver_lhs59" localSheetId="2" hidden="1">'Run CRS'!$AC$107</definedName>
    <definedName name="solver_lhs59" localSheetId="4" hidden="1">'Run VRS'!$AC$107</definedName>
    <definedName name="solver_lhs590" localSheetId="2" hidden="1">'Run CRS'!$B$108:$C$108</definedName>
    <definedName name="solver_lhs590" localSheetId="4" hidden="1">'Run VRS'!$B$108:$C$108</definedName>
    <definedName name="solver_lhs591" localSheetId="2" hidden="1">'Run CRS'!$B$108:$C$108</definedName>
    <definedName name="solver_lhs591" localSheetId="4" hidden="1">'Run VRS'!$B$108:$C$108</definedName>
    <definedName name="solver_lhs592" localSheetId="2" hidden="1">'Run CRS'!$B$108:$C$108</definedName>
    <definedName name="solver_lhs592" localSheetId="4" hidden="1">'Run VRS'!$B$108:$C$108</definedName>
    <definedName name="solver_lhs593" localSheetId="2" hidden="1">'Run CRS'!$B$108:$C$108</definedName>
    <definedName name="solver_lhs593" localSheetId="4" hidden="1">'Run VRS'!$B$108:$C$108</definedName>
    <definedName name="solver_lhs594" localSheetId="2" hidden="1">'Run CRS'!$B$108:$C$108</definedName>
    <definedName name="solver_lhs594" localSheetId="4" hidden="1">'Run VRS'!$B$108:$C$108</definedName>
    <definedName name="solver_lhs595" localSheetId="2" hidden="1">'Run CRS'!$B$108:$C$108</definedName>
    <definedName name="solver_lhs595" localSheetId="4" hidden="1">'Run VRS'!$B$108:$C$108</definedName>
    <definedName name="solver_lhs596" localSheetId="2" hidden="1">'Run CRS'!$B$108:$C$108</definedName>
    <definedName name="solver_lhs596" localSheetId="4" hidden="1">'Run VRS'!$B$108:$C$108</definedName>
    <definedName name="solver_lhs597" localSheetId="2" hidden="1">'Run CRS'!$B$108:$C$108</definedName>
    <definedName name="solver_lhs597" localSheetId="4" hidden="1">'Run VRS'!$B$108:$C$108</definedName>
    <definedName name="solver_lhs598" localSheetId="2" hidden="1">'Run CRS'!$B$108:$C$108</definedName>
    <definedName name="solver_lhs598" localSheetId="4" hidden="1">'Run VRS'!$B$108:$C$108</definedName>
    <definedName name="solver_lhs599" localSheetId="2" hidden="1">'Run CRS'!$B$108:$C$108</definedName>
    <definedName name="solver_lhs599" localSheetId="4" hidden="1">'Run VRS'!$B$108:$C$108</definedName>
    <definedName name="solver_lhs6" localSheetId="0" hidden="1">'Data input'!$C$108</definedName>
    <definedName name="solver_lhs6" localSheetId="2" hidden="1">'Run CRS'!$C$108</definedName>
    <definedName name="solver_lhs6" localSheetId="4" hidden="1">'Run VRS'!$C$108</definedName>
    <definedName name="solver_lhs60" localSheetId="2" hidden="1">'Run CRS'!$AC$107</definedName>
    <definedName name="solver_lhs60" localSheetId="4" hidden="1">'Run VRS'!$AC$107</definedName>
    <definedName name="solver_lhs600" localSheetId="2" hidden="1">'Run CRS'!$B$108:$C$108</definedName>
    <definedName name="solver_lhs600" localSheetId="4" hidden="1">'Run VRS'!$B$108:$C$108</definedName>
    <definedName name="solver_lhs601" localSheetId="2" hidden="1">'Run CRS'!$B$108:$C$108</definedName>
    <definedName name="solver_lhs601" localSheetId="4" hidden="1">'Run VRS'!$B$108:$C$108</definedName>
    <definedName name="solver_lhs602" localSheetId="2" hidden="1">'Run CRS'!$B$108:$C$108</definedName>
    <definedName name="solver_lhs602" localSheetId="4" hidden="1">'Run VRS'!$B$108:$C$108</definedName>
    <definedName name="solver_lhs603" localSheetId="2" hidden="1">'Run CRS'!$B$108:$C$108</definedName>
    <definedName name="solver_lhs603" localSheetId="4" hidden="1">'Run VRS'!$B$108:$C$108</definedName>
    <definedName name="solver_lhs604" localSheetId="2" hidden="1">'Run CRS'!$B$108:$C$108</definedName>
    <definedName name="solver_lhs604" localSheetId="4" hidden="1">'Run VRS'!$B$108:$C$108</definedName>
    <definedName name="solver_lhs605" localSheetId="2" hidden="1">'Run CRS'!$B$108:$C$108</definedName>
    <definedName name="solver_lhs605" localSheetId="4" hidden="1">'Run VRS'!$B$108:$C$108</definedName>
    <definedName name="solver_lhs606" localSheetId="2" hidden="1">'Run CRS'!$B$108:$C$108</definedName>
    <definedName name="solver_lhs606" localSheetId="4" hidden="1">'Run VRS'!$B$108:$C$108</definedName>
    <definedName name="solver_lhs607" localSheetId="2" hidden="1">'Run CRS'!$B$108:$C$108</definedName>
    <definedName name="solver_lhs607" localSheetId="4" hidden="1">'Run VRS'!$B$108:$C$108</definedName>
    <definedName name="solver_lhs608" localSheetId="2" hidden="1">'Run CRS'!$B$108:$C$108</definedName>
    <definedName name="solver_lhs608" localSheetId="4" hidden="1">'Run VRS'!$B$108:$C$108</definedName>
    <definedName name="solver_lhs609" localSheetId="2" hidden="1">'Run CRS'!$B$108:$C$108</definedName>
    <definedName name="solver_lhs609" localSheetId="4" hidden="1">'Run VRS'!$B$108:$C$108</definedName>
    <definedName name="solver_lhs61" localSheetId="2" hidden="1">'Run CRS'!$AC$107</definedName>
    <definedName name="solver_lhs61" localSheetId="4" hidden="1">'Run VRS'!$AC$107</definedName>
    <definedName name="solver_lhs610" localSheetId="2" hidden="1">'Run CRS'!$B$108:$C$108</definedName>
    <definedName name="solver_lhs610" localSheetId="4" hidden="1">'Run VRS'!$B$108:$C$108</definedName>
    <definedName name="solver_lhs611" localSheetId="2" hidden="1">'Run CRS'!$B$108:$C$108</definedName>
    <definedName name="solver_lhs611" localSheetId="4" hidden="1">'Run VRS'!$B$108:$C$108</definedName>
    <definedName name="solver_lhs612" localSheetId="2" hidden="1">'Run CRS'!$B$108:$C$108</definedName>
    <definedName name="solver_lhs612" localSheetId="4" hidden="1">'Run VRS'!$B$108:$C$108</definedName>
    <definedName name="solver_lhs613" localSheetId="2" hidden="1">'Run CRS'!$B$108:$C$108</definedName>
    <definedName name="solver_lhs613" localSheetId="4" hidden="1">'Run VRS'!$B$108:$C$108</definedName>
    <definedName name="solver_lhs614" localSheetId="2" hidden="1">'Run CRS'!$B$108:$C$108</definedName>
    <definedName name="solver_lhs614" localSheetId="4" hidden="1">'Run VRS'!$B$108:$C$108</definedName>
    <definedName name="solver_lhs615" localSheetId="2" hidden="1">'Run CRS'!$B$108:$C$108</definedName>
    <definedName name="solver_lhs615" localSheetId="4" hidden="1">'Run VRS'!$B$108:$C$108</definedName>
    <definedName name="solver_lhs616" localSheetId="2" hidden="1">'Run CRS'!$B$108:$C$108</definedName>
    <definedName name="solver_lhs616" localSheetId="4" hidden="1">'Run VRS'!$B$108:$C$108</definedName>
    <definedName name="solver_lhs617" localSheetId="2" hidden="1">'Run CRS'!$B$108:$C$108</definedName>
    <definedName name="solver_lhs617" localSheetId="4" hidden="1">'Run VRS'!$B$108:$C$108</definedName>
    <definedName name="solver_lhs618" localSheetId="2" hidden="1">'Run CRS'!$B$108:$C$108</definedName>
    <definedName name="solver_lhs618" localSheetId="4" hidden="1">'Run VRS'!$B$108:$C$108</definedName>
    <definedName name="solver_lhs619" localSheetId="2" hidden="1">'Run CRS'!$B$108:$C$108</definedName>
    <definedName name="solver_lhs619" localSheetId="4" hidden="1">'Run VRS'!$B$108:$C$108</definedName>
    <definedName name="solver_lhs62" localSheetId="2" hidden="1">'Run CRS'!$AC$107</definedName>
    <definedName name="solver_lhs62" localSheetId="4" hidden="1">'Run VRS'!$AC$107</definedName>
    <definedName name="solver_lhs620" localSheetId="2" hidden="1">'Run CRS'!$B$108:$C$108</definedName>
    <definedName name="solver_lhs620" localSheetId="4" hidden="1">'Run VRS'!$B$108:$C$108</definedName>
    <definedName name="solver_lhs621" localSheetId="2" hidden="1">'Run CRS'!$B$108:$C$108</definedName>
    <definedName name="solver_lhs621" localSheetId="4" hidden="1">'Run VRS'!$B$108:$C$108</definedName>
    <definedName name="solver_lhs622" localSheetId="2" hidden="1">'Run CRS'!$B$108:$C$108</definedName>
    <definedName name="solver_lhs622" localSheetId="4" hidden="1">'Run VRS'!$B$108:$C$108</definedName>
    <definedName name="solver_lhs623" localSheetId="2" hidden="1">'Run CRS'!$B$108:$C$108</definedName>
    <definedName name="solver_lhs623" localSheetId="4" hidden="1">'Run VRS'!$B$108:$C$108</definedName>
    <definedName name="solver_lhs624" localSheetId="2" hidden="1">'Run CRS'!$B$108:$C$108</definedName>
    <definedName name="solver_lhs624" localSheetId="4" hidden="1">'Run VRS'!$B$108:$C$108</definedName>
    <definedName name="solver_lhs625" localSheetId="2" hidden="1">'Run CRS'!$B$108:$C$108</definedName>
    <definedName name="solver_lhs625" localSheetId="4" hidden="1">'Run VRS'!$B$108:$C$108</definedName>
    <definedName name="solver_lhs626" localSheetId="2" hidden="1">'Run CRS'!$B$108:$C$108</definedName>
    <definedName name="solver_lhs626" localSheetId="4" hidden="1">'Run VRS'!$B$108:$C$108</definedName>
    <definedName name="solver_lhs627" localSheetId="2" hidden="1">'Run CRS'!$B$108:$C$108</definedName>
    <definedName name="solver_lhs627" localSheetId="4" hidden="1">'Run VRS'!$B$108:$C$108</definedName>
    <definedName name="solver_lhs628" localSheetId="2" hidden="1">'Run CRS'!$B$108:$C$108</definedName>
    <definedName name="solver_lhs628" localSheetId="4" hidden="1">'Run VRS'!$B$108:$C$108</definedName>
    <definedName name="solver_lhs629" localSheetId="2" hidden="1">'Run CRS'!$B$108:$C$108</definedName>
    <definedName name="solver_lhs629" localSheetId="4" hidden="1">'Run VRS'!$B$108:$C$108</definedName>
    <definedName name="solver_lhs63" localSheetId="2" hidden="1">'Run CRS'!$AC$107</definedName>
    <definedName name="solver_lhs63" localSheetId="4" hidden="1">'Run VRS'!$AC$107</definedName>
    <definedName name="solver_lhs630" localSheetId="2" hidden="1">'Run CRS'!$B$108:$C$108</definedName>
    <definedName name="solver_lhs630" localSheetId="4" hidden="1">'Run VRS'!$B$108:$C$108</definedName>
    <definedName name="solver_lhs631" localSheetId="2" hidden="1">'Run CRS'!$B$108:$C$108</definedName>
    <definedName name="solver_lhs631" localSheetId="4" hidden="1">'Run VRS'!$B$108:$C$108</definedName>
    <definedName name="solver_lhs632" localSheetId="2" hidden="1">'Run CRS'!$B$108:$C$108</definedName>
    <definedName name="solver_lhs632" localSheetId="4" hidden="1">'Run VRS'!$B$108:$C$108</definedName>
    <definedName name="solver_lhs633" localSheetId="2" hidden="1">'Run CRS'!$B$108:$C$108</definedName>
    <definedName name="solver_lhs633" localSheetId="4" hidden="1">'Run VRS'!$B$108:$C$108</definedName>
    <definedName name="solver_lhs634" localSheetId="2" hidden="1">'Run CRS'!$B$108:$C$108</definedName>
    <definedName name="solver_lhs634" localSheetId="4" hidden="1">'Run VRS'!$B$108:$C$108</definedName>
    <definedName name="solver_lhs635" localSheetId="2" hidden="1">'Run CRS'!$B$108:$C$108</definedName>
    <definedName name="solver_lhs635" localSheetId="4" hidden="1">'Run VRS'!$B$108:$C$108</definedName>
    <definedName name="solver_lhs636" localSheetId="2" hidden="1">'Run CRS'!$B$108:$C$108</definedName>
    <definedName name="solver_lhs636" localSheetId="4" hidden="1">'Run VRS'!$B$108:$C$108</definedName>
    <definedName name="solver_lhs637" localSheetId="2" hidden="1">'Run CRS'!$B$108:$C$108</definedName>
    <definedName name="solver_lhs637" localSheetId="4" hidden="1">'Run VRS'!$B$108:$C$108</definedName>
    <definedName name="solver_lhs638" localSheetId="2" hidden="1">'Run CRS'!$B$108:$C$108</definedName>
    <definedName name="solver_lhs638" localSheetId="4" hidden="1">'Run VRS'!$B$108:$C$108</definedName>
    <definedName name="solver_lhs639" localSheetId="2" hidden="1">'Run CRS'!$B$108:$C$108</definedName>
    <definedName name="solver_lhs639" localSheetId="4" hidden="1">'Run VRS'!$B$108:$C$108</definedName>
    <definedName name="solver_lhs64" localSheetId="2" hidden="1">'Run CRS'!$AC$107</definedName>
    <definedName name="solver_lhs64" localSheetId="4" hidden="1">'Run VRS'!$AC$107</definedName>
    <definedName name="solver_lhs640" localSheetId="2" hidden="1">'Run CRS'!$B$108:$C$108</definedName>
    <definedName name="solver_lhs640" localSheetId="4" hidden="1">'Run VRS'!$B$108:$C$108</definedName>
    <definedName name="solver_lhs641" localSheetId="2" hidden="1">'Run CRS'!$B$108:$C$108</definedName>
    <definedName name="solver_lhs641" localSheetId="4" hidden="1">'Run VRS'!$B$108:$C$108</definedName>
    <definedName name="solver_lhs642" localSheetId="2" hidden="1">'Run CRS'!$B$108:$C$108</definedName>
    <definedName name="solver_lhs642" localSheetId="4" hidden="1">'Run VRS'!$B$108:$C$108</definedName>
    <definedName name="solver_lhs643" localSheetId="2" hidden="1">'Run CRS'!$B$108:$C$108</definedName>
    <definedName name="solver_lhs643" localSheetId="4" hidden="1">'Run VRS'!$B$108:$C$108</definedName>
    <definedName name="solver_lhs644" localSheetId="2" hidden="1">'Run CRS'!$B$108:$C$108</definedName>
    <definedName name="solver_lhs644" localSheetId="4" hidden="1">'Run VRS'!$B$108:$C$108</definedName>
    <definedName name="solver_lhs645" localSheetId="2" hidden="1">'Run CRS'!$B$108:$C$108</definedName>
    <definedName name="solver_lhs645" localSheetId="4" hidden="1">'Run VRS'!$B$108:$C$108</definedName>
    <definedName name="solver_lhs646" localSheetId="2" hidden="1">'Run CRS'!$B$108:$C$108</definedName>
    <definedName name="solver_lhs646" localSheetId="4" hidden="1">'Run VRS'!$B$108:$C$108</definedName>
    <definedName name="solver_lhs647" localSheetId="2" hidden="1">'Run CRS'!$B$108:$C$108</definedName>
    <definedName name="solver_lhs647" localSheetId="4" hidden="1">'Run VRS'!$B$108:$C$108</definedName>
    <definedName name="solver_lhs648" localSheetId="2" hidden="1">'Run CRS'!$B$108:$C$108</definedName>
    <definedName name="solver_lhs648" localSheetId="4" hidden="1">'Run VRS'!$B$108:$C$108</definedName>
    <definedName name="solver_lhs649" localSheetId="2" hidden="1">'Run CRS'!$B$108:$C$108</definedName>
    <definedName name="solver_lhs649" localSheetId="4" hidden="1">'Run VRS'!$B$108:$C$108</definedName>
    <definedName name="solver_lhs65" localSheetId="2" hidden="1">'Run CRS'!$AC$107</definedName>
    <definedName name="solver_lhs65" localSheetId="4" hidden="1">'Run VRS'!$AC$107</definedName>
    <definedName name="solver_lhs650" localSheetId="2" hidden="1">'Run CRS'!$B$108:$C$108</definedName>
    <definedName name="solver_lhs650" localSheetId="4" hidden="1">'Run VRS'!$B$108:$C$108</definedName>
    <definedName name="solver_lhs651" localSheetId="2" hidden="1">'Run CRS'!$B$108:$C$108</definedName>
    <definedName name="solver_lhs651" localSheetId="4" hidden="1">'Run VRS'!$B$108:$C$108</definedName>
    <definedName name="solver_lhs652" localSheetId="2" hidden="1">'Run CRS'!$B$108:$C$108</definedName>
    <definedName name="solver_lhs652" localSheetId="4" hidden="1">'Run VRS'!$B$108:$C$108</definedName>
    <definedName name="solver_lhs653" localSheetId="2" hidden="1">'Run CRS'!$B$108:$C$108</definedName>
    <definedName name="solver_lhs653" localSheetId="4" hidden="1">'Run VRS'!$B$108:$C$108</definedName>
    <definedName name="solver_lhs654" localSheetId="2" hidden="1">'Run CRS'!$B$108:$C$108</definedName>
    <definedName name="solver_lhs654" localSheetId="4" hidden="1">'Run VRS'!$B$108:$C$108</definedName>
    <definedName name="solver_lhs655" localSheetId="2" hidden="1">'Run CRS'!$B$108:$C$108</definedName>
    <definedName name="solver_lhs655" localSheetId="4" hidden="1">'Run VRS'!$B$108:$C$108</definedName>
    <definedName name="solver_lhs656" localSheetId="2" hidden="1">'Run CRS'!$B$108:$C$108</definedName>
    <definedName name="solver_lhs656" localSheetId="4" hidden="1">'Run VRS'!$B$108:$C$108</definedName>
    <definedName name="solver_lhs657" localSheetId="2" hidden="1">'Run CRS'!$B$108:$C$108</definedName>
    <definedName name="solver_lhs657" localSheetId="4" hidden="1">'Run VRS'!$B$108:$C$108</definedName>
    <definedName name="solver_lhs658" localSheetId="2" hidden="1">'Run CRS'!$B$108:$C$108</definedName>
    <definedName name="solver_lhs658" localSheetId="4" hidden="1">'Run VRS'!$B$108:$C$108</definedName>
    <definedName name="solver_lhs659" localSheetId="2" hidden="1">'Run CRS'!$B$108:$C$108</definedName>
    <definedName name="solver_lhs659" localSheetId="4" hidden="1">'Run VRS'!$B$108:$C$108</definedName>
    <definedName name="solver_lhs66" localSheetId="2" hidden="1">'Run CRS'!$AC$107</definedName>
    <definedName name="solver_lhs66" localSheetId="4" hidden="1">'Run VRS'!$AC$107</definedName>
    <definedName name="solver_lhs660" localSheetId="2" hidden="1">'Run CRS'!$B$108:$C$108</definedName>
    <definedName name="solver_lhs660" localSheetId="4" hidden="1">'Run VRS'!$B$108:$C$108</definedName>
    <definedName name="solver_lhs661" localSheetId="2" hidden="1">'Run CRS'!$B$108:$C$108</definedName>
    <definedName name="solver_lhs661" localSheetId="4" hidden="1">'Run VRS'!$B$108:$C$108</definedName>
    <definedName name="solver_lhs662" localSheetId="2" hidden="1">'Run CRS'!$B$108:$C$108</definedName>
    <definedName name="solver_lhs662" localSheetId="4" hidden="1">'Run VRS'!$B$108:$C$108</definedName>
    <definedName name="solver_lhs663" localSheetId="2" hidden="1">'Run CRS'!$B$108:$C$108</definedName>
    <definedName name="solver_lhs663" localSheetId="4" hidden="1">'Run VRS'!$B$108:$C$108</definedName>
    <definedName name="solver_lhs664" localSheetId="2" hidden="1">'Run CRS'!$B$108:$C$108</definedName>
    <definedName name="solver_lhs664" localSheetId="4" hidden="1">'Run VRS'!$B$108:$C$108</definedName>
    <definedName name="solver_lhs665" localSheetId="2" hidden="1">'Run CRS'!$B$108:$C$108</definedName>
    <definedName name="solver_lhs665" localSheetId="4" hidden="1">'Run VRS'!$B$108:$C$108</definedName>
    <definedName name="solver_lhs666" localSheetId="2" hidden="1">'Run CRS'!$B$108:$C$108</definedName>
    <definedName name="solver_lhs666" localSheetId="4" hidden="1">'Run VRS'!$B$108:$C$108</definedName>
    <definedName name="solver_lhs667" localSheetId="2" hidden="1">'Run CRS'!$B$108:$C$108</definedName>
    <definedName name="solver_lhs667" localSheetId="4" hidden="1">'Run VRS'!$B$108:$C$108</definedName>
    <definedName name="solver_lhs668" localSheetId="2" hidden="1">'Run CRS'!$B$108:$C$108</definedName>
    <definedName name="solver_lhs668" localSheetId="4" hidden="1">'Run VRS'!$B$108:$C$108</definedName>
    <definedName name="solver_lhs669" localSheetId="2" hidden="1">'Run CRS'!$B$108:$C$108</definedName>
    <definedName name="solver_lhs669" localSheetId="4" hidden="1">'Run VRS'!$B$108:$C$108</definedName>
    <definedName name="solver_lhs67" localSheetId="2" hidden="1">'Run CRS'!$AC$107</definedName>
    <definedName name="solver_lhs67" localSheetId="4" hidden="1">'Run VRS'!$AC$107</definedName>
    <definedName name="solver_lhs670" localSheetId="2" hidden="1">'Run CRS'!$B$108:$C$108</definedName>
    <definedName name="solver_lhs670" localSheetId="4" hidden="1">'Run VRS'!$B$108:$C$108</definedName>
    <definedName name="solver_lhs671" localSheetId="2" hidden="1">'Run CRS'!$B$108:$C$108</definedName>
    <definedName name="solver_lhs671" localSheetId="4" hidden="1">'Run VRS'!$B$108:$C$108</definedName>
    <definedName name="solver_lhs672" localSheetId="2" hidden="1">'Run CRS'!$B$108:$C$108</definedName>
    <definedName name="solver_lhs672" localSheetId="4" hidden="1">'Run VRS'!$B$108:$C$108</definedName>
    <definedName name="solver_lhs673" localSheetId="2" hidden="1">'Run CRS'!$B$108:$C$108</definedName>
    <definedName name="solver_lhs673" localSheetId="4" hidden="1">'Run VRS'!$B$108:$C$108</definedName>
    <definedName name="solver_lhs674" localSheetId="2" hidden="1">'Run CRS'!$B$108:$C$108</definedName>
    <definedName name="solver_lhs674" localSheetId="4" hidden="1">'Run VRS'!$B$108:$C$108</definedName>
    <definedName name="solver_lhs675" localSheetId="2" hidden="1">'Run CRS'!$B$108:$C$108</definedName>
    <definedName name="solver_lhs675" localSheetId="4" hidden="1">'Run VRS'!$B$108:$C$108</definedName>
    <definedName name="solver_lhs676" localSheetId="2" hidden="1">'Run CRS'!$B$108:$C$108</definedName>
    <definedName name="solver_lhs676" localSheetId="4" hidden="1">'Run VRS'!$B$108:$C$108</definedName>
    <definedName name="solver_lhs677" localSheetId="2" hidden="1">'Run CRS'!$B$108:$C$108</definedName>
    <definedName name="solver_lhs677" localSheetId="4" hidden="1">'Run VRS'!$B$108:$C$108</definedName>
    <definedName name="solver_lhs678" localSheetId="2" hidden="1">'Run CRS'!$B$108:$C$108</definedName>
    <definedName name="solver_lhs678" localSheetId="4" hidden="1">'Run VRS'!$B$108:$C$108</definedName>
    <definedName name="solver_lhs679" localSheetId="2" hidden="1">'Run CRS'!$B$108:$C$108</definedName>
    <definedName name="solver_lhs679" localSheetId="4" hidden="1">'Run VRS'!$B$108:$C$108</definedName>
    <definedName name="solver_lhs68" localSheetId="2" hidden="1">'Run CRS'!$AC$107</definedName>
    <definedName name="solver_lhs68" localSheetId="4" hidden="1">'Run VRS'!$AC$107</definedName>
    <definedName name="solver_lhs680" localSheetId="2" hidden="1">'Run CRS'!$B$108:$C$108</definedName>
    <definedName name="solver_lhs680" localSheetId="4" hidden="1">'Run VRS'!$B$108:$C$108</definedName>
    <definedName name="solver_lhs681" localSheetId="2" hidden="1">'Run CRS'!$B$108:$C$108</definedName>
    <definedName name="solver_lhs681" localSheetId="4" hidden="1">'Run VRS'!$B$108:$C$108</definedName>
    <definedName name="solver_lhs682" localSheetId="2" hidden="1">'Run CRS'!$B$108:$C$108</definedName>
    <definedName name="solver_lhs682" localSheetId="4" hidden="1">'Run VRS'!$B$108:$C$108</definedName>
    <definedName name="solver_lhs683" localSheetId="2" hidden="1">'Run CRS'!$B$108:$C$108</definedName>
    <definedName name="solver_lhs683" localSheetId="4" hidden="1">'Run VRS'!$B$108:$C$108</definedName>
    <definedName name="solver_lhs684" localSheetId="2" hidden="1">'Run CRS'!$B$108:$C$108</definedName>
    <definedName name="solver_lhs684" localSheetId="4" hidden="1">'Run VRS'!$B$108:$C$108</definedName>
    <definedName name="solver_lhs685" localSheetId="2" hidden="1">'Run CRS'!$B$108:$C$108</definedName>
    <definedName name="solver_lhs685" localSheetId="4" hidden="1">'Run VRS'!$B$108:$C$108</definedName>
    <definedName name="solver_lhs686" localSheetId="2" hidden="1">'Run CRS'!$B$108:$C$108</definedName>
    <definedName name="solver_lhs686" localSheetId="4" hidden="1">'Run VRS'!$B$108:$C$108</definedName>
    <definedName name="solver_lhs687" localSheetId="2" hidden="1">'Run CRS'!$B$108:$C$108</definedName>
    <definedName name="solver_lhs687" localSheetId="4" hidden="1">'Run VRS'!$B$108:$C$108</definedName>
    <definedName name="solver_lhs688" localSheetId="2" hidden="1">'Run CRS'!$B$108:$C$108</definedName>
    <definedName name="solver_lhs688" localSheetId="4" hidden="1">'Run VRS'!$B$108:$C$108</definedName>
    <definedName name="solver_lhs689" localSheetId="2" hidden="1">'Run CRS'!$B$108:$C$108</definedName>
    <definedName name="solver_lhs689" localSheetId="4" hidden="1">'Run VRS'!$B$108:$C$108</definedName>
    <definedName name="solver_lhs69" localSheetId="2" hidden="1">'Run CRS'!$AC$107</definedName>
    <definedName name="solver_lhs69" localSheetId="4" hidden="1">'Run VRS'!$AC$107</definedName>
    <definedName name="solver_lhs690" localSheetId="2" hidden="1">'Run CRS'!$B$108:$C$108</definedName>
    <definedName name="solver_lhs690" localSheetId="4" hidden="1">'Run VRS'!$B$108:$C$108</definedName>
    <definedName name="solver_lhs691" localSheetId="2" hidden="1">'Run CRS'!$B$108:$C$108</definedName>
    <definedName name="solver_lhs691" localSheetId="4" hidden="1">'Run VRS'!$B$108:$C$108</definedName>
    <definedName name="solver_lhs692" localSheetId="2" hidden="1">'Run CRS'!$B$108:$C$108</definedName>
    <definedName name="solver_lhs692" localSheetId="4" hidden="1">'Run VRS'!$B$108:$C$108</definedName>
    <definedName name="solver_lhs693" localSheetId="2" hidden="1">'Run CRS'!$B$108:$C$108</definedName>
    <definedName name="solver_lhs693" localSheetId="4" hidden="1">'Run VRS'!$B$108:$C$108</definedName>
    <definedName name="solver_lhs694" localSheetId="2" hidden="1">'Run CRS'!$B$108:$C$108</definedName>
    <definedName name="solver_lhs694" localSheetId="4" hidden="1">'Run VRS'!$B$108:$C$108</definedName>
    <definedName name="solver_lhs695" localSheetId="2" hidden="1">'Run CRS'!$B$108:$C$108</definedName>
    <definedName name="solver_lhs695" localSheetId="4" hidden="1">'Run VRS'!$B$108:$C$108</definedName>
    <definedName name="solver_lhs696" localSheetId="2" hidden="1">'Run CRS'!$B$108:$C$108</definedName>
    <definedName name="solver_lhs696" localSheetId="4" hidden="1">'Run VRS'!$B$108:$C$108</definedName>
    <definedName name="solver_lhs697" localSheetId="2" hidden="1">'Run CRS'!$B$108:$C$108</definedName>
    <definedName name="solver_lhs697" localSheetId="4" hidden="1">'Run VRS'!$B$108:$C$108</definedName>
    <definedName name="solver_lhs698" localSheetId="2" hidden="1">'Run CRS'!$B$108:$C$108</definedName>
    <definedName name="solver_lhs698" localSheetId="4" hidden="1">'Run VRS'!$B$108:$C$108</definedName>
    <definedName name="solver_lhs699" localSheetId="2" hidden="1">'Run CRS'!$B$108:$C$108</definedName>
    <definedName name="solver_lhs699" localSheetId="4" hidden="1">'Run VRS'!$B$108:$C$108</definedName>
    <definedName name="solver_lhs7" localSheetId="0" hidden="1">'Data input'!$H$108:$I$108</definedName>
    <definedName name="solver_lhs7" localSheetId="2" hidden="1">'Run CRS'!$H$108:$I$108</definedName>
    <definedName name="solver_lhs7" localSheetId="4" hidden="1">'Run VRS'!$H$108:$I$108</definedName>
    <definedName name="solver_lhs70" localSheetId="2" hidden="1">'Run CRS'!$AC$107</definedName>
    <definedName name="solver_lhs70" localSheetId="4" hidden="1">'Run VRS'!$AC$107</definedName>
    <definedName name="solver_lhs700" localSheetId="2" hidden="1">'Run CRS'!$B$108:$C$108</definedName>
    <definedName name="solver_lhs700" localSheetId="4" hidden="1">'Run VRS'!$B$108:$C$108</definedName>
    <definedName name="solver_lhs701" localSheetId="2" hidden="1">'Run CRS'!$B$108:$C$108</definedName>
    <definedName name="solver_lhs701" localSheetId="4" hidden="1">'Run VRS'!$B$108:$C$108</definedName>
    <definedName name="solver_lhs702" localSheetId="2" hidden="1">'Run CRS'!$B$108:$C$108</definedName>
    <definedName name="solver_lhs702" localSheetId="4" hidden="1">'Run VRS'!$B$108:$C$108</definedName>
    <definedName name="solver_lhs703" localSheetId="2" hidden="1">'Run CRS'!$B$108:$C$108</definedName>
    <definedName name="solver_lhs703" localSheetId="4" hidden="1">'Run VRS'!$B$108:$C$108</definedName>
    <definedName name="solver_lhs704" localSheetId="2" hidden="1">'Run CRS'!$B$108:$C$108</definedName>
    <definedName name="solver_lhs704" localSheetId="4" hidden="1">'Run VRS'!$B$108:$C$108</definedName>
    <definedName name="solver_lhs705" localSheetId="2" hidden="1">'Run CRS'!$B$108:$C$108</definedName>
    <definedName name="solver_lhs705" localSheetId="4" hidden="1">'Run VRS'!$B$108:$C$108</definedName>
    <definedName name="solver_lhs706" localSheetId="2" hidden="1">'Run CRS'!$B$108:$C$108</definedName>
    <definedName name="solver_lhs706" localSheetId="4" hidden="1">'Run VRS'!$B$108:$C$108</definedName>
    <definedName name="solver_lhs707" localSheetId="2" hidden="1">'Run CRS'!$B$108:$C$108</definedName>
    <definedName name="solver_lhs707" localSheetId="4" hidden="1">'Run VRS'!$B$108:$C$108</definedName>
    <definedName name="solver_lhs708" localSheetId="2" hidden="1">'Run CRS'!$B$108:$C$108</definedName>
    <definedName name="solver_lhs708" localSheetId="4" hidden="1">'Run VRS'!$B$108:$C$108</definedName>
    <definedName name="solver_lhs709" localSheetId="2" hidden="1">'Run CRS'!$B$108:$C$108</definedName>
    <definedName name="solver_lhs709" localSheetId="4" hidden="1">'Run VRS'!$B$108:$C$108</definedName>
    <definedName name="solver_lhs71" localSheetId="2" hidden="1">'Run CRS'!$AC$107</definedName>
    <definedName name="solver_lhs71" localSheetId="4" hidden="1">'Run VRS'!$AC$107</definedName>
    <definedName name="solver_lhs710" localSheetId="2" hidden="1">'Run CRS'!$B$108:$C$108</definedName>
    <definedName name="solver_lhs710" localSheetId="4" hidden="1">'Run VRS'!$B$108:$C$108</definedName>
    <definedName name="solver_lhs711" localSheetId="2" hidden="1">'Run CRS'!$B$108:$C$108</definedName>
    <definedName name="solver_lhs711" localSheetId="4" hidden="1">'Run VRS'!$B$108:$C$108</definedName>
    <definedName name="solver_lhs712" localSheetId="2" hidden="1">'Run CRS'!$B$108:$C$108</definedName>
    <definedName name="solver_lhs712" localSheetId="4" hidden="1">'Run VRS'!$B$108:$C$108</definedName>
    <definedName name="solver_lhs713" localSheetId="2" hidden="1">'Run CRS'!$B$108:$C$108</definedName>
    <definedName name="solver_lhs713" localSheetId="4" hidden="1">'Run VRS'!$B$108:$C$108</definedName>
    <definedName name="solver_lhs714" localSheetId="2" hidden="1">'Run CRS'!$B$108:$C$108</definedName>
    <definedName name="solver_lhs714" localSheetId="4" hidden="1">'Run VRS'!$B$108:$C$108</definedName>
    <definedName name="solver_lhs715" localSheetId="2" hidden="1">'Run CRS'!$B$108:$C$108</definedName>
    <definedName name="solver_lhs715" localSheetId="4" hidden="1">'Run VRS'!$B$108:$C$108</definedName>
    <definedName name="solver_lhs716" localSheetId="2" hidden="1">'Run CRS'!$B$108:$C$108</definedName>
    <definedName name="solver_lhs716" localSheetId="4" hidden="1">'Run VRS'!$B$108:$C$108</definedName>
    <definedName name="solver_lhs717" localSheetId="2" hidden="1">'Run CRS'!$B$108:$C$108</definedName>
    <definedName name="solver_lhs717" localSheetId="4" hidden="1">'Run VRS'!$B$108:$C$108</definedName>
    <definedName name="solver_lhs718" localSheetId="2" hidden="1">'Run CRS'!$B$108:$C$108</definedName>
    <definedName name="solver_lhs718" localSheetId="4" hidden="1">'Run VRS'!$B$108:$C$108</definedName>
    <definedName name="solver_lhs719" localSheetId="2" hidden="1">'Run CRS'!$B$108:$C$108</definedName>
    <definedName name="solver_lhs719" localSheetId="4" hidden="1">'Run VRS'!$B$108:$C$108</definedName>
    <definedName name="solver_lhs72" localSheetId="2" hidden="1">'Run CRS'!$AC$107</definedName>
    <definedName name="solver_lhs72" localSheetId="4" hidden="1">'Run VRS'!$AC$107</definedName>
    <definedName name="solver_lhs720" localSheetId="2" hidden="1">'Run CRS'!$B$108:$C$108</definedName>
    <definedName name="solver_lhs720" localSheetId="4" hidden="1">'Run VRS'!$B$108:$C$108</definedName>
    <definedName name="solver_lhs721" localSheetId="2" hidden="1">'Run CRS'!$B$108:$C$108</definedName>
    <definedName name="solver_lhs721" localSheetId="4" hidden="1">'Run VRS'!$B$108:$C$108</definedName>
    <definedName name="solver_lhs722" localSheetId="2" hidden="1">'Run CRS'!$B$108:$C$108</definedName>
    <definedName name="solver_lhs722" localSheetId="4" hidden="1">'Run VRS'!$B$108:$C$108</definedName>
    <definedName name="solver_lhs723" localSheetId="2" hidden="1">'Run CRS'!$B$108:$C$108</definedName>
    <definedName name="solver_lhs723" localSheetId="4" hidden="1">'Run VRS'!$B$108:$C$108</definedName>
    <definedName name="solver_lhs724" localSheetId="2" hidden="1">'Run CRS'!$B$108:$C$108</definedName>
    <definedName name="solver_lhs724" localSheetId="4" hidden="1">'Run VRS'!$B$108:$C$108</definedName>
    <definedName name="solver_lhs725" localSheetId="2" hidden="1">'Run CRS'!$B$108:$C$108</definedName>
    <definedName name="solver_lhs725" localSheetId="4" hidden="1">'Run VRS'!$B$108:$C$108</definedName>
    <definedName name="solver_lhs726" localSheetId="2" hidden="1">'Run CRS'!$B$108:$C$108</definedName>
    <definedName name="solver_lhs726" localSheetId="4" hidden="1">'Run VRS'!$B$108:$C$108</definedName>
    <definedName name="solver_lhs727" localSheetId="2" hidden="1">'Run CRS'!$B$108:$C$108</definedName>
    <definedName name="solver_lhs727" localSheetId="4" hidden="1">'Run VRS'!$B$108:$C$108</definedName>
    <definedName name="solver_lhs728" localSheetId="2" hidden="1">'Run CRS'!$B$108:$C$108</definedName>
    <definedName name="solver_lhs728" localSheetId="4" hidden="1">'Run VRS'!$B$108:$C$108</definedName>
    <definedName name="solver_lhs729" localSheetId="2" hidden="1">'Run CRS'!$B$108:$C$108</definedName>
    <definedName name="solver_lhs729" localSheetId="4" hidden="1">'Run VRS'!$B$108:$C$108</definedName>
    <definedName name="solver_lhs73" localSheetId="2" hidden="1">'Run CRS'!$AC$107</definedName>
    <definedName name="solver_lhs73" localSheetId="4" hidden="1">'Run VRS'!$AC$107</definedName>
    <definedName name="solver_lhs730" localSheetId="2" hidden="1">'Run CRS'!$B$108:$C$108</definedName>
    <definedName name="solver_lhs730" localSheetId="4" hidden="1">'Run VRS'!$B$108:$C$108</definedName>
    <definedName name="solver_lhs731" localSheetId="2" hidden="1">'Run CRS'!$B$108:$C$108</definedName>
    <definedName name="solver_lhs731" localSheetId="4" hidden="1">'Run VRS'!$B$108:$C$108</definedName>
    <definedName name="solver_lhs732" localSheetId="2" hidden="1">'Run CRS'!$B$108:$C$108</definedName>
    <definedName name="solver_lhs732" localSheetId="4" hidden="1">'Run VRS'!$B$108:$C$108</definedName>
    <definedName name="solver_lhs733" localSheetId="2" hidden="1">'Run CRS'!$B$108:$C$108</definedName>
    <definedName name="solver_lhs733" localSheetId="4" hidden="1">'Run VRS'!$B$108:$C$108</definedName>
    <definedName name="solver_lhs734" localSheetId="2" hidden="1">'Run CRS'!$B$108:$C$108</definedName>
    <definedName name="solver_lhs734" localSheetId="4" hidden="1">'Run VRS'!$B$108:$C$108</definedName>
    <definedName name="solver_lhs735" localSheetId="2" hidden="1">'Run CRS'!$B$108:$C$108</definedName>
    <definedName name="solver_lhs735" localSheetId="4" hidden="1">'Run VRS'!$B$108:$C$108</definedName>
    <definedName name="solver_lhs736" localSheetId="2" hidden="1">'Run CRS'!$B$108:$C$108</definedName>
    <definedName name="solver_lhs736" localSheetId="4" hidden="1">'Run VRS'!$B$108:$C$108</definedName>
    <definedName name="solver_lhs737" localSheetId="2" hidden="1">'Run CRS'!$B$108:$C$108</definedName>
    <definedName name="solver_lhs737" localSheetId="4" hidden="1">'Run VRS'!$B$108:$C$108</definedName>
    <definedName name="solver_lhs738" localSheetId="2" hidden="1">'Run CRS'!$B$108:$C$108</definedName>
    <definedName name="solver_lhs738" localSheetId="4" hidden="1">'Run VRS'!$B$108:$C$108</definedName>
    <definedName name="solver_lhs739" localSheetId="2" hidden="1">'Run CRS'!$B$108:$C$108</definedName>
    <definedName name="solver_lhs739" localSheetId="4" hidden="1">'Run VRS'!$B$108:$C$108</definedName>
    <definedName name="solver_lhs74" localSheetId="2" hidden="1">'Run CRS'!$AC$107</definedName>
    <definedName name="solver_lhs74" localSheetId="4" hidden="1">'Run VRS'!$AC$107</definedName>
    <definedName name="solver_lhs740" localSheetId="2" hidden="1">'Run CRS'!$B$108:$C$108</definedName>
    <definedName name="solver_lhs740" localSheetId="4" hidden="1">'Run VRS'!$B$108:$C$108</definedName>
    <definedName name="solver_lhs741" localSheetId="2" hidden="1">'Run CRS'!$B$108:$C$108</definedName>
    <definedName name="solver_lhs741" localSheetId="4" hidden="1">'Run VRS'!$B$108:$C$108</definedName>
    <definedName name="solver_lhs742" localSheetId="2" hidden="1">'Run CRS'!$B$108:$C$108</definedName>
    <definedName name="solver_lhs742" localSheetId="4" hidden="1">'Run VRS'!$B$108:$C$108</definedName>
    <definedName name="solver_lhs743" localSheetId="2" hidden="1">'Run CRS'!$B$108:$C$108</definedName>
    <definedName name="solver_lhs743" localSheetId="4" hidden="1">'Run VRS'!$B$108:$C$108</definedName>
    <definedName name="solver_lhs744" localSheetId="2" hidden="1">'Run CRS'!$B$108:$C$108</definedName>
    <definedName name="solver_lhs744" localSheetId="4" hidden="1">'Run VRS'!$B$108:$C$108</definedName>
    <definedName name="solver_lhs745" localSheetId="2" hidden="1">'Run CRS'!$B$108:$C$108</definedName>
    <definedName name="solver_lhs745" localSheetId="4" hidden="1">'Run VRS'!$B$108:$C$108</definedName>
    <definedName name="solver_lhs746" localSheetId="2" hidden="1">'Run CRS'!$B$108:$C$108</definedName>
    <definedName name="solver_lhs746" localSheetId="4" hidden="1">'Run VRS'!$B$108:$C$108</definedName>
    <definedName name="solver_lhs747" localSheetId="2" hidden="1">'Run CRS'!$B$108:$C$108</definedName>
    <definedName name="solver_lhs747" localSheetId="4" hidden="1">'Run VRS'!$B$108:$C$108</definedName>
    <definedName name="solver_lhs748" localSheetId="2" hidden="1">'Run CRS'!$B$108:$C$108</definedName>
    <definedName name="solver_lhs748" localSheetId="4" hidden="1">'Run VRS'!$B$108:$C$108</definedName>
    <definedName name="solver_lhs749" localSheetId="2" hidden="1">'Run CRS'!$B$108:$C$108</definedName>
    <definedName name="solver_lhs749" localSheetId="4" hidden="1">'Run VRS'!$B$108:$C$108</definedName>
    <definedName name="solver_lhs75" localSheetId="2" hidden="1">'Run CRS'!$AC$107</definedName>
    <definedName name="solver_lhs75" localSheetId="4" hidden="1">'Run VRS'!$AC$107</definedName>
    <definedName name="solver_lhs750" localSheetId="2" hidden="1">'Run CRS'!$B$108:$C$108</definedName>
    <definedName name="solver_lhs750" localSheetId="4" hidden="1">'Run VRS'!$B$108:$C$108</definedName>
    <definedName name="solver_lhs751" localSheetId="2" hidden="1">'Run CRS'!$B$108:$C$108</definedName>
    <definedName name="solver_lhs751" localSheetId="4" hidden="1">'Run VRS'!$B$108:$C$108</definedName>
    <definedName name="solver_lhs752" localSheetId="2" hidden="1">'Run CRS'!$B$108:$C$108</definedName>
    <definedName name="solver_lhs752" localSheetId="4" hidden="1">'Run VRS'!$B$108:$C$108</definedName>
    <definedName name="solver_lhs753" localSheetId="2" hidden="1">'Run CRS'!$B$108:$C$108</definedName>
    <definedName name="solver_lhs753" localSheetId="4" hidden="1">'Run VRS'!$B$108:$C$108</definedName>
    <definedName name="solver_lhs754" localSheetId="2" hidden="1">'Run CRS'!$B$108:$C$108</definedName>
    <definedName name="solver_lhs754" localSheetId="4" hidden="1">'Run VRS'!$B$108:$C$108</definedName>
    <definedName name="solver_lhs755" localSheetId="2" hidden="1">'Run CRS'!$B$108:$C$108</definedName>
    <definedName name="solver_lhs755" localSheetId="4" hidden="1">'Run VRS'!$B$108:$C$108</definedName>
    <definedName name="solver_lhs756" localSheetId="2" hidden="1">'Run CRS'!$B$108:$C$108</definedName>
    <definedName name="solver_lhs756" localSheetId="4" hidden="1">'Run VRS'!$B$108:$C$108</definedName>
    <definedName name="solver_lhs757" localSheetId="2" hidden="1">'Run CRS'!$B$108:$C$108</definedName>
    <definedName name="solver_lhs757" localSheetId="4" hidden="1">'Run VRS'!$B$108:$C$108</definedName>
    <definedName name="solver_lhs758" localSheetId="2" hidden="1">'Run CRS'!$B$108:$C$108</definedName>
    <definedName name="solver_lhs758" localSheetId="4" hidden="1">'Run VRS'!$B$108:$C$108</definedName>
    <definedName name="solver_lhs759" localSheetId="2" hidden="1">'Run CRS'!$B$108:$C$108</definedName>
    <definedName name="solver_lhs759" localSheetId="4" hidden="1">'Run VRS'!$B$108:$C$108</definedName>
    <definedName name="solver_lhs76" localSheetId="2" hidden="1">'Run CRS'!$AC$107</definedName>
    <definedName name="solver_lhs76" localSheetId="4" hidden="1">'Run VRS'!$AC$107</definedName>
    <definedName name="solver_lhs760" localSheetId="2" hidden="1">'Run CRS'!$B$108:$C$108</definedName>
    <definedName name="solver_lhs760" localSheetId="4" hidden="1">'Run VRS'!$B$108:$C$108</definedName>
    <definedName name="solver_lhs761" localSheetId="2" hidden="1">'Run CRS'!$B$108:$C$108</definedName>
    <definedName name="solver_lhs761" localSheetId="4" hidden="1">'Run VRS'!$B$108:$C$108</definedName>
    <definedName name="solver_lhs762" localSheetId="2" hidden="1">'Run CRS'!$B$108:$C$108</definedName>
    <definedName name="solver_lhs762" localSheetId="4" hidden="1">'Run VRS'!$B$108:$C$108</definedName>
    <definedName name="solver_lhs763" localSheetId="2" hidden="1">'Run CRS'!$B$108:$C$108</definedName>
    <definedName name="solver_lhs763" localSheetId="4" hidden="1">'Run VRS'!$B$108:$C$108</definedName>
    <definedName name="solver_lhs764" localSheetId="2" hidden="1">'Run CRS'!$B$108:$C$108</definedName>
    <definedName name="solver_lhs764" localSheetId="4" hidden="1">'Run VRS'!$B$108:$C$108</definedName>
    <definedName name="solver_lhs765" localSheetId="2" hidden="1">'Run CRS'!$B$108:$C$108</definedName>
    <definedName name="solver_lhs765" localSheetId="4" hidden="1">'Run VRS'!$B$108:$C$108</definedName>
    <definedName name="solver_lhs766" localSheetId="2" hidden="1">'Run CRS'!$B$108:$C$108</definedName>
    <definedName name="solver_lhs766" localSheetId="4" hidden="1">'Run VRS'!$B$108:$C$108</definedName>
    <definedName name="solver_lhs767" localSheetId="2" hidden="1">'Run CRS'!$B$108:$C$108</definedName>
    <definedName name="solver_lhs767" localSheetId="4" hidden="1">'Run VRS'!$B$108:$C$108</definedName>
    <definedName name="solver_lhs768" localSheetId="2" hidden="1">'Run CRS'!$B$108:$C$108</definedName>
    <definedName name="solver_lhs768" localSheetId="4" hidden="1">'Run VRS'!$B$108:$C$108</definedName>
    <definedName name="solver_lhs769" localSheetId="2" hidden="1">'Run CRS'!$B$108:$C$108</definedName>
    <definedName name="solver_lhs769" localSheetId="4" hidden="1">'Run VRS'!$B$108:$C$108</definedName>
    <definedName name="solver_lhs77" localSheetId="2" hidden="1">'Run CRS'!$AC$107</definedName>
    <definedName name="solver_lhs77" localSheetId="4" hidden="1">'Run VRS'!$AC$107</definedName>
    <definedName name="solver_lhs770" localSheetId="2" hidden="1">'Run CRS'!$B$108:$C$108</definedName>
    <definedName name="solver_lhs770" localSheetId="4" hidden="1">'Run VRS'!$B$108:$C$108</definedName>
    <definedName name="solver_lhs771" localSheetId="2" hidden="1">'Run CRS'!$B$108:$C$108</definedName>
    <definedName name="solver_lhs771" localSheetId="4" hidden="1">'Run VRS'!$B$108:$C$108</definedName>
    <definedName name="solver_lhs772" localSheetId="2" hidden="1">'Run CRS'!$B$108:$C$108</definedName>
    <definedName name="solver_lhs772" localSheetId="4" hidden="1">'Run VRS'!$B$108:$C$108</definedName>
    <definedName name="solver_lhs773" localSheetId="2" hidden="1">'Run CRS'!$B$108:$C$108</definedName>
    <definedName name="solver_lhs773" localSheetId="4" hidden="1">'Run VRS'!$B$108:$C$108</definedName>
    <definedName name="solver_lhs774" localSheetId="2" hidden="1">'Run CRS'!$B$108:$C$108</definedName>
    <definedName name="solver_lhs774" localSheetId="4" hidden="1">'Run VRS'!$B$108:$C$108</definedName>
    <definedName name="solver_lhs775" localSheetId="2" hidden="1">'Run CRS'!$B$108:$C$108</definedName>
    <definedName name="solver_lhs775" localSheetId="4" hidden="1">'Run VRS'!$B$108:$C$108</definedName>
    <definedName name="solver_lhs776" localSheetId="2" hidden="1">'Run CRS'!$B$108:$C$108</definedName>
    <definedName name="solver_lhs776" localSheetId="4" hidden="1">'Run VRS'!$B$108:$C$108</definedName>
    <definedName name="solver_lhs777" localSheetId="2" hidden="1">'Run CRS'!$B$108:$C$108</definedName>
    <definedName name="solver_lhs777" localSheetId="4" hidden="1">'Run VRS'!$B$108:$C$108</definedName>
    <definedName name="solver_lhs778" localSheetId="2" hidden="1">'Run CRS'!$B$108:$C$108</definedName>
    <definedName name="solver_lhs778" localSheetId="4" hidden="1">'Run VRS'!$B$108:$C$108</definedName>
    <definedName name="solver_lhs779" localSheetId="2" hidden="1">'Run CRS'!$B$108:$C$108</definedName>
    <definedName name="solver_lhs779" localSheetId="4" hidden="1">'Run VRS'!$B$108:$C$108</definedName>
    <definedName name="solver_lhs78" localSheetId="2" hidden="1">'Run CRS'!$AC$107</definedName>
    <definedName name="solver_lhs78" localSheetId="4" hidden="1">'Run VRS'!$AC$107</definedName>
    <definedName name="solver_lhs780" localSheetId="2" hidden="1">'Run CRS'!$B$108:$C$108</definedName>
    <definedName name="solver_lhs780" localSheetId="4" hidden="1">'Run VRS'!$B$108:$C$108</definedName>
    <definedName name="solver_lhs781" localSheetId="2" hidden="1">'Run CRS'!$B$108:$C$108</definedName>
    <definedName name="solver_lhs781" localSheetId="4" hidden="1">'Run VRS'!$B$108:$C$108</definedName>
    <definedName name="solver_lhs782" localSheetId="2" hidden="1">'Run CRS'!$B$108:$C$108</definedName>
    <definedName name="solver_lhs782" localSheetId="4" hidden="1">'Run VRS'!$B$108:$C$108</definedName>
    <definedName name="solver_lhs783" localSheetId="2" hidden="1">'Run CRS'!$B$108:$C$108</definedName>
    <definedName name="solver_lhs783" localSheetId="4" hidden="1">'Run VRS'!$B$108:$C$108</definedName>
    <definedName name="solver_lhs784" localSheetId="2" hidden="1">'Run CRS'!$B$108:$C$108</definedName>
    <definedName name="solver_lhs784" localSheetId="4" hidden="1">'Run VRS'!$B$108:$C$108</definedName>
    <definedName name="solver_lhs785" localSheetId="2" hidden="1">'Run CRS'!$B$108:$C$108</definedName>
    <definedName name="solver_lhs785" localSheetId="4" hidden="1">'Run VRS'!$B$108:$C$108</definedName>
    <definedName name="solver_lhs786" localSheetId="2" hidden="1">'Run CRS'!$B$108:$C$108</definedName>
    <definedName name="solver_lhs786" localSheetId="4" hidden="1">'Run VRS'!$B$108:$C$108</definedName>
    <definedName name="solver_lhs787" localSheetId="2" hidden="1">'Run CRS'!$B$108:$C$108</definedName>
    <definedName name="solver_lhs787" localSheetId="4" hidden="1">'Run VRS'!$B$108:$C$108</definedName>
    <definedName name="solver_lhs788" localSheetId="2" hidden="1">'Run CRS'!$B$108:$C$108</definedName>
    <definedName name="solver_lhs788" localSheetId="4" hidden="1">'Run VRS'!$B$108:$C$108</definedName>
    <definedName name="solver_lhs789" localSheetId="2" hidden="1">'Run CRS'!$B$108:$C$108</definedName>
    <definedName name="solver_lhs789" localSheetId="4" hidden="1">'Run VRS'!$B$108:$C$108</definedName>
    <definedName name="solver_lhs79" localSheetId="2" hidden="1">'Run CRS'!$AC$107</definedName>
    <definedName name="solver_lhs79" localSheetId="4" hidden="1">'Run VRS'!$AC$107</definedName>
    <definedName name="solver_lhs790" localSheetId="2" hidden="1">'Run CRS'!$B$108:$C$108</definedName>
    <definedName name="solver_lhs790" localSheetId="4" hidden="1">'Run VRS'!$B$108:$C$108</definedName>
    <definedName name="solver_lhs791" localSheetId="2" hidden="1">'Run CRS'!$B$108:$C$108</definedName>
    <definedName name="solver_lhs791" localSheetId="4" hidden="1">'Run VRS'!$B$108:$C$108</definedName>
    <definedName name="solver_lhs792" localSheetId="2" hidden="1">'Run CRS'!$B$108:$C$108</definedName>
    <definedName name="solver_lhs792" localSheetId="4" hidden="1">'Run VRS'!$B$108:$C$108</definedName>
    <definedName name="solver_lhs793" localSheetId="2" hidden="1">'Run CRS'!$B$108:$C$108</definedName>
    <definedName name="solver_lhs793" localSheetId="4" hidden="1">'Run VRS'!$B$108:$C$108</definedName>
    <definedName name="solver_lhs794" localSheetId="2" hidden="1">'Run CRS'!$B$108:$C$108</definedName>
    <definedName name="solver_lhs794" localSheetId="4" hidden="1">'Run VRS'!$B$108:$C$108</definedName>
    <definedName name="solver_lhs795" localSheetId="2" hidden="1">'Run CRS'!$B$108:$C$108</definedName>
    <definedName name="solver_lhs795" localSheetId="4" hidden="1">'Run VRS'!$B$108:$C$108</definedName>
    <definedName name="solver_lhs796" localSheetId="2" hidden="1">'Run CRS'!$B$108:$C$108</definedName>
    <definedName name="solver_lhs796" localSheetId="4" hidden="1">'Run VRS'!$B$108:$C$108</definedName>
    <definedName name="solver_lhs797" localSheetId="2" hidden="1">'Run CRS'!$B$108:$C$108</definedName>
    <definedName name="solver_lhs797" localSheetId="4" hidden="1">'Run VRS'!$B$108:$C$108</definedName>
    <definedName name="solver_lhs798" localSheetId="2" hidden="1">'Run CRS'!$B$108:$C$108</definedName>
    <definedName name="solver_lhs798" localSheetId="4" hidden="1">'Run VRS'!$B$108:$C$108</definedName>
    <definedName name="solver_lhs799" localSheetId="2" hidden="1">'Run CRS'!$B$108:$C$108</definedName>
    <definedName name="solver_lhs799" localSheetId="4" hidden="1">'Run VRS'!$B$108:$C$108</definedName>
    <definedName name="solver_lhs8" localSheetId="0" hidden="1">'Data input'!$C$110</definedName>
    <definedName name="solver_lhs8" localSheetId="2" hidden="1">'Run CRS'!$C$110</definedName>
    <definedName name="solver_lhs8" localSheetId="4" hidden="1">'Run VRS'!$C$110</definedName>
    <definedName name="solver_lhs80" localSheetId="2" hidden="1">'Run CRS'!$AC$107</definedName>
    <definedName name="solver_lhs80" localSheetId="4" hidden="1">'Run VRS'!$AC$107</definedName>
    <definedName name="solver_lhs800" localSheetId="2" hidden="1">'Run CRS'!$B$108:$C$108</definedName>
    <definedName name="solver_lhs800" localSheetId="4" hidden="1">'Run VRS'!$B$108:$C$108</definedName>
    <definedName name="solver_lhs801" localSheetId="2" hidden="1">'Run CRS'!$B$108:$C$108</definedName>
    <definedName name="solver_lhs801" localSheetId="4" hidden="1">'Run VRS'!$B$108:$C$108</definedName>
    <definedName name="solver_lhs802" localSheetId="2" hidden="1">'Run CRS'!$B$108:$C$108</definedName>
    <definedName name="solver_lhs802" localSheetId="4" hidden="1">'Run VRS'!$B$108:$C$108</definedName>
    <definedName name="solver_lhs803" localSheetId="2" hidden="1">'Run CRS'!$B$108:$C$108</definedName>
    <definedName name="solver_lhs803" localSheetId="4" hidden="1">'Run VRS'!$B$108:$C$108</definedName>
    <definedName name="solver_lhs804" localSheetId="2" hidden="1">'Run CRS'!$B$108:$C$108</definedName>
    <definedName name="solver_lhs804" localSheetId="4" hidden="1">'Run VRS'!$B$108:$C$108</definedName>
    <definedName name="solver_lhs805" localSheetId="2" hidden="1">'Run CRS'!$B$108:$C$108</definedName>
    <definedName name="solver_lhs805" localSheetId="4" hidden="1">'Run VRS'!$B$108:$C$108</definedName>
    <definedName name="solver_lhs806" localSheetId="2" hidden="1">'Run CRS'!$B$108:$C$108</definedName>
    <definedName name="solver_lhs806" localSheetId="4" hidden="1">'Run VRS'!$B$108:$C$108</definedName>
    <definedName name="solver_lhs807" localSheetId="2" hidden="1">'Run CRS'!$B$108:$C$108</definedName>
    <definedName name="solver_lhs807" localSheetId="4" hidden="1">'Run VRS'!$B$108:$C$108</definedName>
    <definedName name="solver_lhs808" localSheetId="2" hidden="1">'Run CRS'!$B$108:$C$108</definedName>
    <definedName name="solver_lhs808" localSheetId="4" hidden="1">'Run VRS'!$B$108:$C$108</definedName>
    <definedName name="solver_lhs809" localSheetId="2" hidden="1">'Run CRS'!$B$108:$C$108</definedName>
    <definedName name="solver_lhs809" localSheetId="4" hidden="1">'Run VRS'!$B$108:$C$108</definedName>
    <definedName name="solver_lhs81" localSheetId="2" hidden="1">'Run CRS'!$AC$107</definedName>
    <definedName name="solver_lhs81" localSheetId="4" hidden="1">'Run VRS'!$AC$107</definedName>
    <definedName name="solver_lhs810" localSheetId="2" hidden="1">'Run CRS'!$B$108:$C$108</definedName>
    <definedName name="solver_lhs810" localSheetId="4" hidden="1">'Run VRS'!$B$108:$C$108</definedName>
    <definedName name="solver_lhs811" localSheetId="2" hidden="1">'Run CRS'!$B$108:$C$108</definedName>
    <definedName name="solver_lhs811" localSheetId="4" hidden="1">'Run VRS'!$B$108:$C$108</definedName>
    <definedName name="solver_lhs812" localSheetId="2" hidden="1">'Run CRS'!$B$108:$C$108</definedName>
    <definedName name="solver_lhs812" localSheetId="4" hidden="1">'Run VRS'!$B$108:$C$108</definedName>
    <definedName name="solver_lhs813" localSheetId="2" hidden="1">'Run CRS'!$B$108:$C$108</definedName>
    <definedName name="solver_lhs813" localSheetId="4" hidden="1">'Run VRS'!$B$108:$C$108</definedName>
    <definedName name="solver_lhs814" localSheetId="2" hidden="1">'Run CRS'!$B$108:$C$108</definedName>
    <definedName name="solver_lhs814" localSheetId="4" hidden="1">'Run VRS'!$B$108:$C$108</definedName>
    <definedName name="solver_lhs815" localSheetId="2" hidden="1">'Run CRS'!$B$108:$C$108</definedName>
    <definedName name="solver_lhs815" localSheetId="4" hidden="1">'Run VRS'!$B$108:$C$108</definedName>
    <definedName name="solver_lhs816" localSheetId="2" hidden="1">'Run CRS'!$B$108:$C$108</definedName>
    <definedName name="solver_lhs816" localSheetId="4" hidden="1">'Run VRS'!$B$108:$C$108</definedName>
    <definedName name="solver_lhs817" localSheetId="2" hidden="1">'Run CRS'!$B$108:$C$108</definedName>
    <definedName name="solver_lhs817" localSheetId="4" hidden="1">'Run VRS'!$B$108:$C$108</definedName>
    <definedName name="solver_lhs818" localSheetId="2" hidden="1">'Run CRS'!$B$108:$C$108</definedName>
    <definedName name="solver_lhs818" localSheetId="4" hidden="1">'Run VRS'!$B$108:$C$108</definedName>
    <definedName name="solver_lhs819" localSheetId="2" hidden="1">'Run CRS'!$B$108:$C$108</definedName>
    <definedName name="solver_lhs819" localSheetId="4" hidden="1">'Run VRS'!$B$108:$C$108</definedName>
    <definedName name="solver_lhs82" localSheetId="2" hidden="1">'Run CRS'!$AC$107</definedName>
    <definedName name="solver_lhs82" localSheetId="4" hidden="1">'Run VRS'!$AC$107</definedName>
    <definedName name="solver_lhs820" localSheetId="2" hidden="1">'Run CRS'!$B$108:$C$108</definedName>
    <definedName name="solver_lhs820" localSheetId="4" hidden="1">'Run VRS'!$B$108:$C$108</definedName>
    <definedName name="solver_lhs821" localSheetId="2" hidden="1">'Run CRS'!$B$108:$C$108</definedName>
    <definedName name="solver_lhs821" localSheetId="4" hidden="1">'Run VRS'!$B$108:$C$108</definedName>
    <definedName name="solver_lhs822" localSheetId="2" hidden="1">'Run CRS'!$B$108:$C$108</definedName>
    <definedName name="solver_lhs822" localSheetId="4" hidden="1">'Run VRS'!$B$108:$C$108</definedName>
    <definedName name="solver_lhs823" localSheetId="2" hidden="1">'Run CRS'!$B$108:$C$108</definedName>
    <definedName name="solver_lhs823" localSheetId="4" hidden="1">'Run VRS'!$B$108:$C$108</definedName>
    <definedName name="solver_lhs824" localSheetId="2" hidden="1">'Run CRS'!$B$108:$C$108</definedName>
    <definedName name="solver_lhs824" localSheetId="4" hidden="1">'Run VRS'!$B$108:$C$108</definedName>
    <definedName name="solver_lhs825" localSheetId="2" hidden="1">'Run CRS'!$B$108:$C$108</definedName>
    <definedName name="solver_lhs825" localSheetId="4" hidden="1">'Run VRS'!$B$108:$C$108</definedName>
    <definedName name="solver_lhs826" localSheetId="2" hidden="1">'Run CRS'!$B$108:$C$108</definedName>
    <definedName name="solver_lhs826" localSheetId="4" hidden="1">'Run VRS'!$B$108:$C$108</definedName>
    <definedName name="solver_lhs827" localSheetId="2" hidden="1">'Run CRS'!$B$108:$C$108</definedName>
    <definedName name="solver_lhs827" localSheetId="4" hidden="1">'Run VRS'!$B$108:$C$108</definedName>
    <definedName name="solver_lhs828" localSheetId="2" hidden="1">'Run CRS'!$B$108:$C$108</definedName>
    <definedName name="solver_lhs828" localSheetId="4" hidden="1">'Run VRS'!$B$108:$C$108</definedName>
    <definedName name="solver_lhs829" localSheetId="2" hidden="1">'Run CRS'!$B$108:$C$108</definedName>
    <definedName name="solver_lhs829" localSheetId="4" hidden="1">'Run VRS'!$B$108:$C$108</definedName>
    <definedName name="solver_lhs83" localSheetId="2" hidden="1">'Run CRS'!$AC$107</definedName>
    <definedName name="solver_lhs83" localSheetId="4" hidden="1">'Run VRS'!$AC$107</definedName>
    <definedName name="solver_lhs830" localSheetId="2" hidden="1">'Run CRS'!$B$108:$C$108</definedName>
    <definedName name="solver_lhs830" localSheetId="4" hidden="1">'Run VRS'!$B$108:$C$108</definedName>
    <definedName name="solver_lhs831" localSheetId="2" hidden="1">'Run CRS'!$B$108:$C$108</definedName>
    <definedName name="solver_lhs831" localSheetId="4" hidden="1">'Run VRS'!$B$108:$C$108</definedName>
    <definedName name="solver_lhs832" localSheetId="2" hidden="1">'Run CRS'!$B$108:$C$108</definedName>
    <definedName name="solver_lhs832" localSheetId="4" hidden="1">'Run VRS'!$B$108:$C$108</definedName>
    <definedName name="solver_lhs833" localSheetId="2" hidden="1">'Run CRS'!$B$108:$C$108</definedName>
    <definedName name="solver_lhs833" localSheetId="4" hidden="1">'Run VRS'!$B$108:$C$108</definedName>
    <definedName name="solver_lhs834" localSheetId="2" hidden="1">'Run CRS'!$B$108:$C$108</definedName>
    <definedName name="solver_lhs834" localSheetId="4" hidden="1">'Run VRS'!$B$108:$C$108</definedName>
    <definedName name="solver_lhs835" localSheetId="2" hidden="1">'Run CRS'!$B$108:$C$108</definedName>
    <definedName name="solver_lhs835" localSheetId="4" hidden="1">'Run VRS'!$B$108:$C$108</definedName>
    <definedName name="solver_lhs836" localSheetId="2" hidden="1">'Run CRS'!$B$108:$C$108</definedName>
    <definedName name="solver_lhs836" localSheetId="4" hidden="1">'Run VRS'!$B$108:$C$108</definedName>
    <definedName name="solver_lhs837" localSheetId="2" hidden="1">'Run CRS'!$B$108:$C$108</definedName>
    <definedName name="solver_lhs837" localSheetId="4" hidden="1">'Run VRS'!$B$108:$C$108</definedName>
    <definedName name="solver_lhs838" localSheetId="2" hidden="1">'Run CRS'!$B$108:$C$108</definedName>
    <definedName name="solver_lhs838" localSheetId="4" hidden="1">'Run VRS'!$B$108:$C$108</definedName>
    <definedName name="solver_lhs839" localSheetId="2" hidden="1">'Run CRS'!$B$108:$C$108</definedName>
    <definedName name="solver_lhs839" localSheetId="4" hidden="1">'Run VRS'!$B$108:$C$108</definedName>
    <definedName name="solver_lhs84" localSheetId="2" hidden="1">'Run CRS'!$AC$107</definedName>
    <definedName name="solver_lhs84" localSheetId="4" hidden="1">'Run VRS'!$AC$107</definedName>
    <definedName name="solver_lhs840" localSheetId="2" hidden="1">'Run CRS'!$B$108:$C$108</definedName>
    <definedName name="solver_lhs840" localSheetId="4" hidden="1">'Run VRS'!$B$108:$C$108</definedName>
    <definedName name="solver_lhs841" localSheetId="2" hidden="1">'Run CRS'!$B$108:$C$108</definedName>
    <definedName name="solver_lhs841" localSheetId="4" hidden="1">'Run VRS'!$B$108:$C$108</definedName>
    <definedName name="solver_lhs842" localSheetId="2" hidden="1">'Run CRS'!$B$108:$C$108</definedName>
    <definedName name="solver_lhs842" localSheetId="4" hidden="1">'Run VRS'!$B$108:$C$108</definedName>
    <definedName name="solver_lhs843" localSheetId="2" hidden="1">'Run CRS'!$B$108:$C$108</definedName>
    <definedName name="solver_lhs843" localSheetId="4" hidden="1">'Run VRS'!$B$108:$C$108</definedName>
    <definedName name="solver_lhs844" localSheetId="2" hidden="1">'Run CRS'!$B$108:$C$108</definedName>
    <definedName name="solver_lhs844" localSheetId="4" hidden="1">'Run VRS'!$B$108:$C$108</definedName>
    <definedName name="solver_lhs845" localSheetId="2" hidden="1">'Run CRS'!$B$108:$C$108</definedName>
    <definedName name="solver_lhs845" localSheetId="4" hidden="1">'Run VRS'!$B$108:$C$108</definedName>
    <definedName name="solver_lhs846" localSheetId="2" hidden="1">'Run CRS'!$B$108:$C$108</definedName>
    <definedName name="solver_lhs846" localSheetId="4" hidden="1">'Run VRS'!$B$108:$C$108</definedName>
    <definedName name="solver_lhs847" localSheetId="2" hidden="1">'Run CRS'!$B$108:$C$108</definedName>
    <definedName name="solver_lhs847" localSheetId="4" hidden="1">'Run VRS'!$B$108:$C$108</definedName>
    <definedName name="solver_lhs848" localSheetId="2" hidden="1">'Run CRS'!$B$108:$C$108</definedName>
    <definedName name="solver_lhs848" localSheetId="4" hidden="1">'Run VRS'!$B$108:$C$108</definedName>
    <definedName name="solver_lhs849" localSheetId="2" hidden="1">'Run CRS'!$B$110:$C$110</definedName>
    <definedName name="solver_lhs849" localSheetId="4" hidden="1">'Run VRS'!$B$110:$C$110</definedName>
    <definedName name="solver_lhs85" localSheetId="2" hidden="1">'Run CRS'!$AC$107</definedName>
    <definedName name="solver_lhs85" localSheetId="4" hidden="1">'Run VRS'!$AC$107</definedName>
    <definedName name="solver_lhs850" localSheetId="2" hidden="1">'Run CRS'!$B$110:$C$110</definedName>
    <definedName name="solver_lhs850" localSheetId="4" hidden="1">'Run VRS'!$B$110:$C$110</definedName>
    <definedName name="solver_lhs851" localSheetId="2" hidden="1">'Run CRS'!$B$110:$C$110</definedName>
    <definedName name="solver_lhs851" localSheetId="4" hidden="1">'Run VRS'!$B$110:$C$110</definedName>
    <definedName name="solver_lhs852" localSheetId="2" hidden="1">'Run CRS'!$B$108:$C$108</definedName>
    <definedName name="solver_lhs852" localSheetId="4" hidden="1">'Run VRS'!$B$108:$C$108</definedName>
    <definedName name="solver_lhs853" localSheetId="2" hidden="1">'Run CRS'!$B$110:$C$110</definedName>
    <definedName name="solver_lhs853" localSheetId="4" hidden="1">'Run VRS'!$B$110:$C$110</definedName>
    <definedName name="solver_lhs854" localSheetId="2" hidden="1">'Run CRS'!$B$108:$C$108</definedName>
    <definedName name="solver_lhs854" localSheetId="4" hidden="1">'Run VRS'!$B$108:$C$108</definedName>
    <definedName name="solver_lhs855" localSheetId="2" hidden="1">'Run CRS'!$B$110:$C$110</definedName>
    <definedName name="solver_lhs855" localSheetId="4" hidden="1">'Run VRS'!$B$110:$C$110</definedName>
    <definedName name="solver_lhs856" localSheetId="2" hidden="1">'Run CRS'!$B$110:$C$110</definedName>
    <definedName name="solver_lhs856" localSheetId="4" hidden="1">'Run VRS'!$B$110:$C$110</definedName>
    <definedName name="solver_lhs857" localSheetId="2" hidden="1">'Run CRS'!$B$108:$C$108</definedName>
    <definedName name="solver_lhs857" localSheetId="4" hidden="1">'Run VRS'!$B$108:$C$108</definedName>
    <definedName name="solver_lhs858" localSheetId="2" hidden="1">'Run CRS'!$B$110:$C$110</definedName>
    <definedName name="solver_lhs858" localSheetId="4" hidden="1">'Run VRS'!$B$110:$C$110</definedName>
    <definedName name="solver_lhs859" localSheetId="2" hidden="1">'Run CRS'!$B$108:$C$108</definedName>
    <definedName name="solver_lhs859" localSheetId="4" hidden="1">'Run VRS'!$B$108:$C$108</definedName>
    <definedName name="solver_lhs86" localSheetId="2" hidden="1">'Run CRS'!$AC$107</definedName>
    <definedName name="solver_lhs86" localSheetId="4" hidden="1">'Run VRS'!$AC$107</definedName>
    <definedName name="solver_lhs860" localSheetId="2" hidden="1">'Run CRS'!$B$110:$C$110</definedName>
    <definedName name="solver_lhs860" localSheetId="4" hidden="1">'Run VRS'!$B$110:$C$110</definedName>
    <definedName name="solver_lhs861" localSheetId="2" hidden="1">'Run CRS'!$B$108:$C$108</definedName>
    <definedName name="solver_lhs861" localSheetId="4" hidden="1">'Run VRS'!$B$108:$C$108</definedName>
    <definedName name="solver_lhs862" localSheetId="2" hidden="1">'Run CRS'!$B$110:$C$110</definedName>
    <definedName name="solver_lhs862" localSheetId="4" hidden="1">'Run VRS'!$B$110:$C$110</definedName>
    <definedName name="solver_lhs863" localSheetId="2" hidden="1">'Run CRS'!$B$108:$C$108</definedName>
    <definedName name="solver_lhs863" localSheetId="4" hidden="1">'Run VRS'!$B$108:$C$108</definedName>
    <definedName name="solver_lhs864" localSheetId="2" hidden="1">'Run CRS'!$B$110:$C$110</definedName>
    <definedName name="solver_lhs864" localSheetId="4" hidden="1">'Run VRS'!$B$110:$C$110</definedName>
    <definedName name="solver_lhs865" localSheetId="2" hidden="1">'Run CRS'!$B$108:$C$108</definedName>
    <definedName name="solver_lhs865" localSheetId="4" hidden="1">'Run VRS'!$B$108:$C$108</definedName>
    <definedName name="solver_lhs866" localSheetId="2" hidden="1">'Run CRS'!$B$110:$C$110</definedName>
    <definedName name="solver_lhs866" localSheetId="4" hidden="1">'Run VRS'!$B$110:$C$110</definedName>
    <definedName name="solver_lhs867" localSheetId="2" hidden="1">'Run CRS'!$B$110:$C$110</definedName>
    <definedName name="solver_lhs867" localSheetId="4" hidden="1">'Run VRS'!$B$110:$C$110</definedName>
    <definedName name="solver_lhs868" localSheetId="2" hidden="1">'Run CRS'!$B$110:$C$110</definedName>
    <definedName name="solver_lhs868" localSheetId="4" hidden="1">'Run VRS'!$B$110:$C$110</definedName>
    <definedName name="solver_lhs869" localSheetId="2" hidden="1">'Run CRS'!$B$110:$C$110</definedName>
    <definedName name="solver_lhs869" localSheetId="4" hidden="1">'Run VRS'!$B$110:$C$110</definedName>
    <definedName name="solver_lhs87" localSheetId="2" hidden="1">'Run CRS'!$AC$107</definedName>
    <definedName name="solver_lhs87" localSheetId="4" hidden="1">'Run VRS'!$AC$107</definedName>
    <definedName name="solver_lhs870" localSheetId="2" hidden="1">'Run CRS'!$B$110:$C$110</definedName>
    <definedName name="solver_lhs870" localSheetId="4" hidden="1">'Run VRS'!$B$110:$C$110</definedName>
    <definedName name="solver_lhs871" localSheetId="2" hidden="1">'Run CRS'!$B$110:$C$110</definedName>
    <definedName name="solver_lhs871" localSheetId="4" hidden="1">'Run VRS'!$B$110:$C$110</definedName>
    <definedName name="solver_lhs872" localSheetId="2" hidden="1">'Run CRS'!$B$110:$C$110</definedName>
    <definedName name="solver_lhs872" localSheetId="4" hidden="1">'Run VRS'!$B$110:$C$110</definedName>
    <definedName name="solver_lhs873" localSheetId="2" hidden="1">'Run CRS'!$B$110:$C$110</definedName>
    <definedName name="solver_lhs873" localSheetId="4" hidden="1">'Run VRS'!$B$110:$C$110</definedName>
    <definedName name="solver_lhs874" localSheetId="2" hidden="1">'Run CRS'!$B$110:$C$110</definedName>
    <definedName name="solver_lhs874" localSheetId="4" hidden="1">'Run VRS'!$B$110:$C$110</definedName>
    <definedName name="solver_lhs875" localSheetId="2" hidden="1">'Run CRS'!$B$110:$C$110</definedName>
    <definedName name="solver_lhs875" localSheetId="4" hidden="1">'Run VRS'!$B$110:$C$110</definedName>
    <definedName name="solver_lhs876" localSheetId="2" hidden="1">'Run CRS'!$B$110:$C$110</definedName>
    <definedName name="solver_lhs876" localSheetId="4" hidden="1">'Run VRS'!$B$110:$C$110</definedName>
    <definedName name="solver_lhs877" localSheetId="2" hidden="1">'Run CRS'!$B$110:$C$110</definedName>
    <definedName name="solver_lhs877" localSheetId="4" hidden="1">'Run VRS'!$B$110:$C$110</definedName>
    <definedName name="solver_lhs878" localSheetId="2" hidden="1">'Run CRS'!$B$110:$C$110</definedName>
    <definedName name="solver_lhs878" localSheetId="4" hidden="1">'Run VRS'!$B$110:$C$110</definedName>
    <definedName name="solver_lhs879" localSheetId="2" hidden="1">'Run CRS'!$B$110:$C$110</definedName>
    <definedName name="solver_lhs879" localSheetId="4" hidden="1">'Run VRS'!$B$110:$C$110</definedName>
    <definedName name="solver_lhs88" localSheetId="2" hidden="1">'Run CRS'!$AC$107</definedName>
    <definedName name="solver_lhs88" localSheetId="4" hidden="1">'Run VRS'!$AC$107</definedName>
    <definedName name="solver_lhs880" localSheetId="2" hidden="1">'Run CRS'!$B$110:$C$110</definedName>
    <definedName name="solver_lhs880" localSheetId="4" hidden="1">'Run VRS'!$B$110:$C$110</definedName>
    <definedName name="solver_lhs881" localSheetId="2" hidden="1">'Run CRS'!$B$110:$C$110</definedName>
    <definedName name="solver_lhs881" localSheetId="4" hidden="1">'Run VRS'!$B$110:$C$110</definedName>
    <definedName name="solver_lhs882" localSheetId="2" hidden="1">'Run CRS'!$B$110:$C$110</definedName>
    <definedName name="solver_lhs882" localSheetId="4" hidden="1">'Run VRS'!$B$110:$C$110</definedName>
    <definedName name="solver_lhs883" localSheetId="2" hidden="1">'Run CRS'!$B$110:$C$110</definedName>
    <definedName name="solver_lhs883" localSheetId="4" hidden="1">'Run VRS'!$B$110:$C$110</definedName>
    <definedName name="solver_lhs884" localSheetId="2" hidden="1">'Run CRS'!$B$110:$C$110</definedName>
    <definedName name="solver_lhs884" localSheetId="4" hidden="1">'Run VRS'!$B$110:$C$110</definedName>
    <definedName name="solver_lhs885" localSheetId="2" hidden="1">'Run CRS'!$B$110:$C$110</definedName>
    <definedName name="solver_lhs885" localSheetId="4" hidden="1">'Run VRS'!$B$110:$C$110</definedName>
    <definedName name="solver_lhs886" localSheetId="2" hidden="1">'Run CRS'!$B$110:$C$110</definedName>
    <definedName name="solver_lhs886" localSheetId="4" hidden="1">'Run VRS'!$B$110:$C$110</definedName>
    <definedName name="solver_lhs887" localSheetId="2" hidden="1">'Run CRS'!$B$110:$C$110</definedName>
    <definedName name="solver_lhs887" localSheetId="4" hidden="1">'Run VRS'!$B$110:$C$110</definedName>
    <definedName name="solver_lhs888" localSheetId="2" hidden="1">'Run CRS'!$B$110:$C$110</definedName>
    <definedName name="solver_lhs888" localSheetId="4" hidden="1">'Run VRS'!$B$110:$C$110</definedName>
    <definedName name="solver_lhs889" localSheetId="2" hidden="1">'Run CRS'!$B$110:$C$110</definedName>
    <definedName name="solver_lhs889" localSheetId="4" hidden="1">'Run VRS'!$B$110:$C$110</definedName>
    <definedName name="solver_lhs89" localSheetId="2" hidden="1">'Run CRS'!$AC$107</definedName>
    <definedName name="solver_lhs89" localSheetId="4" hidden="1">'Run VRS'!$AC$107</definedName>
    <definedName name="solver_lhs890" localSheetId="2" hidden="1">'Run CRS'!$B$110:$C$110</definedName>
    <definedName name="solver_lhs890" localSheetId="4" hidden="1">'Run VRS'!$B$110:$C$110</definedName>
    <definedName name="solver_lhs891" localSheetId="2" hidden="1">'Run CRS'!$B$110:$C$110</definedName>
    <definedName name="solver_lhs891" localSheetId="4" hidden="1">'Run VRS'!$B$110:$C$110</definedName>
    <definedName name="solver_lhs892" localSheetId="2" hidden="1">'Run CRS'!$B$110:$C$110</definedName>
    <definedName name="solver_lhs892" localSheetId="4" hidden="1">'Run VRS'!$B$110:$C$110</definedName>
    <definedName name="solver_lhs893" localSheetId="2" hidden="1">'Run CRS'!$B$110:$C$110</definedName>
    <definedName name="solver_lhs893" localSheetId="4" hidden="1">'Run VRS'!$B$110:$C$110</definedName>
    <definedName name="solver_lhs894" localSheetId="2" hidden="1">'Run CRS'!$B$110:$C$110</definedName>
    <definedName name="solver_lhs894" localSheetId="4" hidden="1">'Run VRS'!$B$110:$C$110</definedName>
    <definedName name="solver_lhs895" localSheetId="2" hidden="1">'Run CRS'!$B$110:$C$110</definedName>
    <definedName name="solver_lhs895" localSheetId="4" hidden="1">'Run VRS'!$B$110:$C$110</definedName>
    <definedName name="solver_lhs896" localSheetId="2" hidden="1">'Run CRS'!$B$110:$C$110</definedName>
    <definedName name="solver_lhs896" localSheetId="4" hidden="1">'Run VRS'!$B$110:$C$110</definedName>
    <definedName name="solver_lhs897" localSheetId="2" hidden="1">'Run CRS'!$B$110:$C$110</definedName>
    <definedName name="solver_lhs897" localSheetId="4" hidden="1">'Run VRS'!$B$110:$C$110</definedName>
    <definedName name="solver_lhs898" localSheetId="2" hidden="1">'Run CRS'!$B$110:$C$110</definedName>
    <definedName name="solver_lhs898" localSheetId="4" hidden="1">'Run VRS'!$B$110:$C$110</definedName>
    <definedName name="solver_lhs899" localSheetId="2" hidden="1">'Run CRS'!$B$110:$C$110</definedName>
    <definedName name="solver_lhs899" localSheetId="4" hidden="1">'Run VRS'!$B$110:$C$110</definedName>
    <definedName name="solver_lhs9" localSheetId="0" hidden="1">'Data input'!$H$110:$I$110</definedName>
    <definedName name="solver_lhs9" localSheetId="2" hidden="1">'Run CRS'!$H$110:$I$110</definedName>
    <definedName name="solver_lhs9" localSheetId="4" hidden="1">'Run VRS'!$H$110:$I$110</definedName>
    <definedName name="solver_lhs90" localSheetId="2" hidden="1">'Run CRS'!$AC$107</definedName>
    <definedName name="solver_lhs90" localSheetId="4" hidden="1">'Run VRS'!$AC$107</definedName>
    <definedName name="solver_lhs900" localSheetId="2" hidden="1">'Run CRS'!$B$110:$C$110</definedName>
    <definedName name="solver_lhs900" localSheetId="4" hidden="1">'Run VRS'!$B$110:$C$110</definedName>
    <definedName name="solver_lhs901" localSheetId="2" hidden="1">'Run CRS'!$B$110:$C$110</definedName>
    <definedName name="solver_lhs901" localSheetId="4" hidden="1">'Run VRS'!$B$110:$C$110</definedName>
    <definedName name="solver_lhs902" localSheetId="2" hidden="1">'Run CRS'!$B$110:$C$110</definedName>
    <definedName name="solver_lhs902" localSheetId="4" hidden="1">'Run VRS'!$B$110:$C$110</definedName>
    <definedName name="solver_lhs903" localSheetId="2" hidden="1">'Run CRS'!$B$110:$C$110</definedName>
    <definedName name="solver_lhs903" localSheetId="4" hidden="1">'Run VRS'!$B$110:$C$110</definedName>
    <definedName name="solver_lhs904" localSheetId="2" hidden="1">'Run CRS'!$B$110:$C$110</definedName>
    <definedName name="solver_lhs904" localSheetId="4" hidden="1">'Run VRS'!$B$110:$C$110</definedName>
    <definedName name="solver_lhs905" localSheetId="2" hidden="1">'Run CRS'!$B$110:$C$110</definedName>
    <definedName name="solver_lhs905" localSheetId="4" hidden="1">'Run VRS'!$B$110:$C$110</definedName>
    <definedName name="solver_lhs906" localSheetId="2" hidden="1">'Run CRS'!$B$110:$C$110</definedName>
    <definedName name="solver_lhs906" localSheetId="4" hidden="1">'Run VRS'!$B$110:$C$110</definedName>
    <definedName name="solver_lhs907" localSheetId="2" hidden="1">'Run CRS'!$B$110:$C$110</definedName>
    <definedName name="solver_lhs907" localSheetId="4" hidden="1">'Run VRS'!$B$110:$C$110</definedName>
    <definedName name="solver_lhs908" localSheetId="2" hidden="1">'Run CRS'!$B$110:$C$110</definedName>
    <definedName name="solver_lhs908" localSheetId="4" hidden="1">'Run VRS'!$B$110:$C$110</definedName>
    <definedName name="solver_lhs909" localSheetId="2" hidden="1">'Run CRS'!$B$110:$C$110</definedName>
    <definedName name="solver_lhs909" localSheetId="4" hidden="1">'Run VRS'!$B$110:$C$110</definedName>
    <definedName name="solver_lhs91" localSheetId="2" hidden="1">'Run CRS'!$AC$107</definedName>
    <definedName name="solver_lhs91" localSheetId="4" hidden="1">'Run VRS'!$AC$107</definedName>
    <definedName name="solver_lhs910" localSheetId="2" hidden="1">'Run CRS'!$B$110:$C$110</definedName>
    <definedName name="solver_lhs910" localSheetId="4" hidden="1">'Run VRS'!$B$110:$C$110</definedName>
    <definedName name="solver_lhs911" localSheetId="2" hidden="1">'Run CRS'!$B$110:$C$110</definedName>
    <definedName name="solver_lhs911" localSheetId="4" hidden="1">'Run VRS'!$B$110:$C$110</definedName>
    <definedName name="solver_lhs912" localSheetId="2" hidden="1">'Run CRS'!$B$110:$C$110</definedName>
    <definedName name="solver_lhs912" localSheetId="4" hidden="1">'Run VRS'!$B$110:$C$110</definedName>
    <definedName name="solver_lhs913" localSheetId="2" hidden="1">'Run CRS'!$B$110:$C$110</definedName>
    <definedName name="solver_lhs913" localSheetId="4" hidden="1">'Run VRS'!$B$110:$C$110</definedName>
    <definedName name="solver_lhs914" localSheetId="2" hidden="1">'Run CRS'!$B$110:$C$110</definedName>
    <definedName name="solver_lhs914" localSheetId="4" hidden="1">'Run VRS'!$B$110:$C$110</definedName>
    <definedName name="solver_lhs915" localSheetId="2" hidden="1">'Run CRS'!$B$110:$C$110</definedName>
    <definedName name="solver_lhs915" localSheetId="4" hidden="1">'Run VRS'!$B$110:$C$110</definedName>
    <definedName name="solver_lhs916" localSheetId="2" hidden="1">'Run CRS'!$B$110:$C$110</definedName>
    <definedName name="solver_lhs916" localSheetId="4" hidden="1">'Run VRS'!$B$110:$C$110</definedName>
    <definedName name="solver_lhs917" localSheetId="2" hidden="1">'Run CRS'!$B$110:$C$110</definedName>
    <definedName name="solver_lhs917" localSheetId="4" hidden="1">'Run VRS'!$B$110:$C$110</definedName>
    <definedName name="solver_lhs918" localSheetId="2" hidden="1">'Run CRS'!$B$110:$C$110</definedName>
    <definedName name="solver_lhs918" localSheetId="4" hidden="1">'Run VRS'!$B$110:$C$110</definedName>
    <definedName name="solver_lhs919" localSheetId="2" hidden="1">'Run CRS'!$B$110:$C$110</definedName>
    <definedName name="solver_lhs919" localSheetId="4" hidden="1">'Run VRS'!$B$110:$C$110</definedName>
    <definedName name="solver_lhs92" localSheetId="2" hidden="1">'Run CRS'!$AC$107</definedName>
    <definedName name="solver_lhs92" localSheetId="4" hidden="1">'Run VRS'!$AC$107</definedName>
    <definedName name="solver_lhs920" localSheetId="2" hidden="1">'Run CRS'!$B$110:$C$110</definedName>
    <definedName name="solver_lhs920" localSheetId="4" hidden="1">'Run VRS'!$B$110:$C$110</definedName>
    <definedName name="solver_lhs921" localSheetId="2" hidden="1">'Run CRS'!$B$110:$C$110</definedName>
    <definedName name="solver_lhs921" localSheetId="4" hidden="1">'Run VRS'!$B$110:$C$110</definedName>
    <definedName name="solver_lhs922" localSheetId="2" hidden="1">'Run CRS'!$B$110:$C$110</definedName>
    <definedName name="solver_lhs922" localSheetId="4" hidden="1">'Run VRS'!$B$110:$C$110</definedName>
    <definedName name="solver_lhs923" localSheetId="2" hidden="1">'Run CRS'!$B$110:$C$110</definedName>
    <definedName name="solver_lhs923" localSheetId="4" hidden="1">'Run VRS'!$B$110:$C$110</definedName>
    <definedName name="solver_lhs924" localSheetId="2" hidden="1">'Run CRS'!$B$110:$C$110</definedName>
    <definedName name="solver_lhs924" localSheetId="4" hidden="1">'Run VRS'!$B$110:$C$110</definedName>
    <definedName name="solver_lhs925" localSheetId="2" hidden="1">'Run CRS'!$B$110:$C$110</definedName>
    <definedName name="solver_lhs925" localSheetId="4" hidden="1">'Run VRS'!$B$110:$C$110</definedName>
    <definedName name="solver_lhs926" localSheetId="2" hidden="1">'Run CRS'!$B$110:$C$110</definedName>
    <definedName name="solver_lhs926" localSheetId="4" hidden="1">'Run VRS'!$B$110:$C$110</definedName>
    <definedName name="solver_lhs927" localSheetId="2" hidden="1">'Run CRS'!$B$110:$C$110</definedName>
    <definedName name="solver_lhs927" localSheetId="4" hidden="1">'Run VRS'!$B$110:$C$110</definedName>
    <definedName name="solver_lhs928" localSheetId="2" hidden="1">'Run CRS'!$B$110:$C$110</definedName>
    <definedName name="solver_lhs928" localSheetId="4" hidden="1">'Run VRS'!$B$110:$C$110</definedName>
    <definedName name="solver_lhs929" localSheetId="2" hidden="1">'Run CRS'!$B$110:$C$110</definedName>
    <definedName name="solver_lhs929" localSheetId="4" hidden="1">'Run VRS'!$B$110:$C$110</definedName>
    <definedName name="solver_lhs93" localSheetId="2" hidden="1">'Run CRS'!$AC$107</definedName>
    <definedName name="solver_lhs93" localSheetId="4" hidden="1">'Run VRS'!$AC$107</definedName>
    <definedName name="solver_lhs930" localSheetId="2" hidden="1">'Run CRS'!$B$110:$C$110</definedName>
    <definedName name="solver_lhs930" localSheetId="4" hidden="1">'Run VRS'!$B$110:$C$110</definedName>
    <definedName name="solver_lhs931" localSheetId="2" hidden="1">'Run CRS'!$B$110:$C$110</definedName>
    <definedName name="solver_lhs931" localSheetId="4" hidden="1">'Run VRS'!$B$110:$C$110</definedName>
    <definedName name="solver_lhs932" localSheetId="2" hidden="1">'Run CRS'!$B$110:$C$110</definedName>
    <definedName name="solver_lhs932" localSheetId="4" hidden="1">'Run VRS'!$B$110:$C$110</definedName>
    <definedName name="solver_lhs933" localSheetId="2" hidden="1">'Run CRS'!$B$110:$C$110</definedName>
    <definedName name="solver_lhs933" localSheetId="4" hidden="1">'Run VRS'!$B$110:$C$110</definedName>
    <definedName name="solver_lhs934" localSheetId="2" hidden="1">'Run CRS'!$B$110:$C$110</definedName>
    <definedName name="solver_lhs934" localSheetId="4" hidden="1">'Run VRS'!$B$110:$C$110</definedName>
    <definedName name="solver_lhs935" localSheetId="2" hidden="1">'Run CRS'!$B$110:$C$110</definedName>
    <definedName name="solver_lhs935" localSheetId="4" hidden="1">'Run VRS'!$B$110:$C$110</definedName>
    <definedName name="solver_lhs936" localSheetId="2" hidden="1">'Run CRS'!$B$110:$C$110</definedName>
    <definedName name="solver_lhs936" localSheetId="4" hidden="1">'Run VRS'!$B$110:$C$110</definedName>
    <definedName name="solver_lhs937" localSheetId="2" hidden="1">'Run CRS'!$B$110:$C$110</definedName>
    <definedName name="solver_lhs937" localSheetId="4" hidden="1">'Run VRS'!$B$110:$C$110</definedName>
    <definedName name="solver_lhs938" localSheetId="2" hidden="1">'Run CRS'!$B$110:$C$110</definedName>
    <definedName name="solver_lhs938" localSheetId="4" hidden="1">'Run VRS'!$B$110:$C$110</definedName>
    <definedName name="solver_lhs939" localSheetId="2" hidden="1">'Run CRS'!$B$110:$C$110</definedName>
    <definedName name="solver_lhs939" localSheetId="4" hidden="1">'Run VRS'!$B$110:$C$110</definedName>
    <definedName name="solver_lhs94" localSheetId="2" hidden="1">'Run CRS'!$AC$107</definedName>
    <definedName name="solver_lhs94" localSheetId="4" hidden="1">'Run VRS'!$AC$107</definedName>
    <definedName name="solver_lhs940" localSheetId="2" hidden="1">'Run CRS'!$B$110:$C$110</definedName>
    <definedName name="solver_lhs940" localSheetId="4" hidden="1">'Run VRS'!$B$110:$C$110</definedName>
    <definedName name="solver_lhs941" localSheetId="2" hidden="1">'Run CRS'!$B$110:$C$110</definedName>
    <definedName name="solver_lhs941" localSheetId="4" hidden="1">'Run VRS'!$B$110:$C$110</definedName>
    <definedName name="solver_lhs942" localSheetId="2" hidden="1">'Run CRS'!$B$110:$C$110</definedName>
    <definedName name="solver_lhs942" localSheetId="4" hidden="1">'Run VRS'!$B$110:$C$110</definedName>
    <definedName name="solver_lhs943" localSheetId="2" hidden="1">'Run CRS'!$B$110:$C$110</definedName>
    <definedName name="solver_lhs943" localSheetId="4" hidden="1">'Run VRS'!$B$110:$C$110</definedName>
    <definedName name="solver_lhs944" localSheetId="2" hidden="1">'Run CRS'!$B$110:$C$110</definedName>
    <definedName name="solver_lhs944" localSheetId="4" hidden="1">'Run VRS'!$B$110:$C$110</definedName>
    <definedName name="solver_lhs945" localSheetId="2" hidden="1">'Run CRS'!$B$110:$C$110</definedName>
    <definedName name="solver_lhs945" localSheetId="4" hidden="1">'Run VRS'!$B$110:$C$110</definedName>
    <definedName name="solver_lhs946" localSheetId="2" hidden="1">'Run CRS'!$B$110:$C$110</definedName>
    <definedName name="solver_lhs946" localSheetId="4" hidden="1">'Run VRS'!$B$110:$C$110</definedName>
    <definedName name="solver_lhs947" localSheetId="2" hidden="1">'Run CRS'!$B$110:$C$110</definedName>
    <definedName name="solver_lhs947" localSheetId="4" hidden="1">'Run VRS'!$B$110:$C$110</definedName>
    <definedName name="solver_lhs948" localSheetId="2" hidden="1">'Run CRS'!$B$110:$C$110</definedName>
    <definedName name="solver_lhs948" localSheetId="4" hidden="1">'Run VRS'!$B$110:$C$110</definedName>
    <definedName name="solver_lhs949" localSheetId="2" hidden="1">'Run CRS'!$B$110:$C$110</definedName>
    <definedName name="solver_lhs949" localSheetId="4" hidden="1">'Run VRS'!$B$110:$C$110</definedName>
    <definedName name="solver_lhs95" localSheetId="2" hidden="1">'Run CRS'!$AC$107</definedName>
    <definedName name="solver_lhs95" localSheetId="4" hidden="1">'Run VRS'!$AC$107</definedName>
    <definedName name="solver_lhs950" localSheetId="2" hidden="1">'Run CRS'!$B$110:$C$110</definedName>
    <definedName name="solver_lhs950" localSheetId="4" hidden="1">'Run VRS'!$B$110:$C$110</definedName>
    <definedName name="solver_lhs951" localSheetId="2" hidden="1">'Run CRS'!$B$110:$C$110</definedName>
    <definedName name="solver_lhs951" localSheetId="4" hidden="1">'Run VRS'!$B$110:$C$110</definedName>
    <definedName name="solver_lhs952" localSheetId="2" hidden="1">'Run CRS'!$B$110:$C$110</definedName>
    <definedName name="solver_lhs952" localSheetId="4" hidden="1">'Run VRS'!$B$110:$C$110</definedName>
    <definedName name="solver_lhs953" localSheetId="2" hidden="1">'Run CRS'!$B$110:$C$110</definedName>
    <definedName name="solver_lhs953" localSheetId="4" hidden="1">'Run VRS'!$B$110:$C$110</definedName>
    <definedName name="solver_lhs954" localSheetId="2" hidden="1">'Run CRS'!$B$110:$C$110</definedName>
    <definedName name="solver_lhs954" localSheetId="4" hidden="1">'Run VRS'!$B$110:$C$110</definedName>
    <definedName name="solver_lhs955" localSheetId="2" hidden="1">'Run CRS'!$B$110:$C$110</definedName>
    <definedName name="solver_lhs955" localSheetId="4" hidden="1">'Run VRS'!$B$110:$C$110</definedName>
    <definedName name="solver_lhs956" localSheetId="2" hidden="1">'Run CRS'!$B$110:$C$110</definedName>
    <definedName name="solver_lhs956" localSheetId="4" hidden="1">'Run VRS'!$B$110:$C$110</definedName>
    <definedName name="solver_lhs957" localSheetId="2" hidden="1">'Run CRS'!$B$110:$C$110</definedName>
    <definedName name="solver_lhs957" localSheetId="4" hidden="1">'Run VRS'!$B$110:$C$110</definedName>
    <definedName name="solver_lhs958" localSheetId="2" hidden="1">'Run CRS'!$B$110:$C$110</definedName>
    <definedName name="solver_lhs958" localSheetId="4" hidden="1">'Run VRS'!$B$110:$C$110</definedName>
    <definedName name="solver_lhs959" localSheetId="2" hidden="1">'Run CRS'!$B$110:$C$110</definedName>
    <definedName name="solver_lhs959" localSheetId="4" hidden="1">'Run VRS'!$B$110:$C$110</definedName>
    <definedName name="solver_lhs96" localSheetId="2" hidden="1">'Run CRS'!$AC$107</definedName>
    <definedName name="solver_lhs96" localSheetId="4" hidden="1">'Run VRS'!$AC$107</definedName>
    <definedName name="solver_lhs960" localSheetId="2" hidden="1">'Run CRS'!$B$110:$C$110</definedName>
    <definedName name="solver_lhs960" localSheetId="4" hidden="1">'Run VRS'!$B$110:$C$110</definedName>
    <definedName name="solver_lhs961" localSheetId="2" hidden="1">'Run CRS'!$B$110:$C$110</definedName>
    <definedName name="solver_lhs961" localSheetId="4" hidden="1">'Run VRS'!$B$110:$C$110</definedName>
    <definedName name="solver_lhs962" localSheetId="2" hidden="1">'Run CRS'!$B$110:$C$110</definedName>
    <definedName name="solver_lhs962" localSheetId="4" hidden="1">'Run VRS'!$B$110:$C$110</definedName>
    <definedName name="solver_lhs963" localSheetId="2" hidden="1">'Run CRS'!$B$110:$C$110</definedName>
    <definedName name="solver_lhs963" localSheetId="4" hidden="1">'Run VRS'!$B$110:$C$110</definedName>
    <definedName name="solver_lhs964" localSheetId="2" hidden="1">'Run CRS'!$B$110:$C$110</definedName>
    <definedName name="solver_lhs964" localSheetId="4" hidden="1">'Run VRS'!$B$110:$C$110</definedName>
    <definedName name="solver_lhs965" localSheetId="2" hidden="1">'Run CRS'!$B$110:$C$110</definedName>
    <definedName name="solver_lhs965" localSheetId="4" hidden="1">'Run VRS'!$B$110:$C$110</definedName>
    <definedName name="solver_lhs966" localSheetId="2" hidden="1">'Run CRS'!$B$110:$C$110</definedName>
    <definedName name="solver_lhs966" localSheetId="4" hidden="1">'Run VRS'!$B$110:$C$110</definedName>
    <definedName name="solver_lhs967" localSheetId="2" hidden="1">'Run CRS'!$B$110:$C$110</definedName>
    <definedName name="solver_lhs967" localSheetId="4" hidden="1">'Run VRS'!$B$110:$C$110</definedName>
    <definedName name="solver_lhs968" localSheetId="2" hidden="1">'Run CRS'!$B$110:$C$110</definedName>
    <definedName name="solver_lhs968" localSheetId="4" hidden="1">'Run VRS'!$B$110:$C$110</definedName>
    <definedName name="solver_lhs969" localSheetId="2" hidden="1">'Run CRS'!$B$110:$C$110</definedName>
    <definedName name="solver_lhs969" localSheetId="4" hidden="1">'Run VRS'!$B$110:$C$110</definedName>
    <definedName name="solver_lhs97" localSheetId="2" hidden="1">'Run CRS'!$AC$107</definedName>
    <definedName name="solver_lhs97" localSheetId="4" hidden="1">'Run VRS'!$AC$107</definedName>
    <definedName name="solver_lhs970" localSheetId="2" hidden="1">'Run CRS'!$B$110:$C$110</definedName>
    <definedName name="solver_lhs970" localSheetId="4" hidden="1">'Run VRS'!$B$110:$C$110</definedName>
    <definedName name="solver_lhs971" localSheetId="2" hidden="1">'Run CRS'!$B$110:$C$110</definedName>
    <definedName name="solver_lhs971" localSheetId="4" hidden="1">'Run VRS'!$B$110:$C$110</definedName>
    <definedName name="solver_lhs972" localSheetId="2" hidden="1">'Run CRS'!$B$110:$C$110</definedName>
    <definedName name="solver_lhs972" localSheetId="4" hidden="1">'Run VRS'!$B$110:$C$110</definedName>
    <definedName name="solver_lhs973" localSheetId="2" hidden="1">'Run CRS'!$B$110:$C$110</definedName>
    <definedName name="solver_lhs973" localSheetId="4" hidden="1">'Run VRS'!$B$110:$C$110</definedName>
    <definedName name="solver_lhs974" localSheetId="2" hidden="1">'Run CRS'!$B$110:$C$110</definedName>
    <definedName name="solver_lhs974" localSheetId="4" hidden="1">'Run VRS'!$B$110:$C$110</definedName>
    <definedName name="solver_lhs975" localSheetId="2" hidden="1">'Run CRS'!$B$110:$C$110</definedName>
    <definedName name="solver_lhs975" localSheetId="4" hidden="1">'Run VRS'!$B$110:$C$110</definedName>
    <definedName name="solver_lhs976" localSheetId="2" hidden="1">'Run CRS'!$B$110:$C$110</definedName>
    <definedName name="solver_lhs976" localSheetId="4" hidden="1">'Run VRS'!$B$110:$C$110</definedName>
    <definedName name="solver_lhs977" localSheetId="2" hidden="1">'Run CRS'!$B$110:$C$110</definedName>
    <definedName name="solver_lhs977" localSheetId="4" hidden="1">'Run VRS'!$B$110:$C$110</definedName>
    <definedName name="solver_lhs978" localSheetId="2" hidden="1">'Run CRS'!$B$110:$C$110</definedName>
    <definedName name="solver_lhs978" localSheetId="4" hidden="1">'Run VRS'!$B$110:$C$110</definedName>
    <definedName name="solver_lhs979" localSheetId="2" hidden="1">'Run CRS'!$B$110:$C$110</definedName>
    <definedName name="solver_lhs979" localSheetId="4" hidden="1">'Run VRS'!$B$110:$C$110</definedName>
    <definedName name="solver_lhs98" localSheetId="2" hidden="1">'Run CRS'!$AC$107</definedName>
    <definedName name="solver_lhs98" localSheetId="4" hidden="1">'Run VRS'!$AC$107</definedName>
    <definedName name="solver_lhs980" localSheetId="2" hidden="1">'Run CRS'!$B$110:$C$110</definedName>
    <definedName name="solver_lhs980" localSheetId="4" hidden="1">'Run VRS'!$B$110:$C$110</definedName>
    <definedName name="solver_lhs981" localSheetId="2" hidden="1">'Run CRS'!$B$110:$C$110</definedName>
    <definedName name="solver_lhs981" localSheetId="4" hidden="1">'Run VRS'!$B$110:$C$110</definedName>
    <definedName name="solver_lhs982" localSheetId="2" hidden="1">'Run CRS'!$B$110:$C$110</definedName>
    <definedName name="solver_lhs982" localSheetId="4" hidden="1">'Run VRS'!$B$110:$C$110</definedName>
    <definedName name="solver_lhs983" localSheetId="2" hidden="1">'Run CRS'!$B$110:$C$110</definedName>
    <definedName name="solver_lhs983" localSheetId="4" hidden="1">'Run VRS'!$B$110:$C$110</definedName>
    <definedName name="solver_lhs984" localSheetId="2" hidden="1">'Run CRS'!$B$110:$C$110</definedName>
    <definedName name="solver_lhs984" localSheetId="4" hidden="1">'Run VRS'!$B$110:$C$110</definedName>
    <definedName name="solver_lhs985" localSheetId="2" hidden="1">'Run CRS'!$B$110:$C$110</definedName>
    <definedName name="solver_lhs985" localSheetId="4" hidden="1">'Run VRS'!$B$110:$C$110</definedName>
    <definedName name="solver_lhs986" localSheetId="2" hidden="1">'Run CRS'!$B$110:$C$110</definedName>
    <definedName name="solver_lhs986" localSheetId="4" hidden="1">'Run VRS'!$B$110:$C$110</definedName>
    <definedName name="solver_lhs987" localSheetId="2" hidden="1">'Run CRS'!$B$110:$C$110</definedName>
    <definedName name="solver_lhs987" localSheetId="4" hidden="1">'Run VRS'!$B$110:$C$110</definedName>
    <definedName name="solver_lhs988" localSheetId="2" hidden="1">'Run CRS'!$B$110:$C$110</definedName>
    <definedName name="solver_lhs988" localSheetId="4" hidden="1">'Run VRS'!$B$110:$C$110</definedName>
    <definedName name="solver_lhs989" localSheetId="2" hidden="1">'Run CRS'!$B$110:$C$110</definedName>
    <definedName name="solver_lhs989" localSheetId="4" hidden="1">'Run VRS'!$B$110:$C$110</definedName>
    <definedName name="solver_lhs99" localSheetId="2" hidden="1">'Run CRS'!$AC$107</definedName>
    <definedName name="solver_lhs99" localSheetId="4" hidden="1">'Run VRS'!$AC$107</definedName>
    <definedName name="solver_lhs990" localSheetId="2" hidden="1">'Run CRS'!$B$110:$C$110</definedName>
    <definedName name="solver_lhs990" localSheetId="4" hidden="1">'Run VRS'!$B$110:$C$110</definedName>
    <definedName name="solver_lhs991" localSheetId="2" hidden="1">'Run CRS'!$B$110:$C$110</definedName>
    <definedName name="solver_lhs991" localSheetId="4" hidden="1">'Run VRS'!$B$110:$C$110</definedName>
    <definedName name="solver_lhs992" localSheetId="2" hidden="1">'Run CRS'!$B$110:$C$110</definedName>
    <definedName name="solver_lhs992" localSheetId="4" hidden="1">'Run VRS'!$B$110:$C$110</definedName>
    <definedName name="solver_lhs993" localSheetId="2" hidden="1">'Run CRS'!$B$110:$C$110</definedName>
    <definedName name="solver_lhs993" localSheetId="4" hidden="1">'Run VRS'!$B$110:$C$110</definedName>
    <definedName name="solver_lhs994" localSheetId="2" hidden="1">'Run CRS'!$B$110:$C$110</definedName>
    <definedName name="solver_lhs994" localSheetId="4" hidden="1">'Run VRS'!$B$110:$C$110</definedName>
    <definedName name="solver_lhs995" localSheetId="2" hidden="1">'Run CRS'!$B$110:$C$110</definedName>
    <definedName name="solver_lhs995" localSheetId="4" hidden="1">'Run VRS'!$B$110:$C$110</definedName>
    <definedName name="solver_lhs996" localSheetId="2" hidden="1">'Run CRS'!$B$110:$C$110</definedName>
    <definedName name="solver_lhs996" localSheetId="4" hidden="1">'Run VRS'!$B$110:$C$110</definedName>
    <definedName name="solver_lhs997" localSheetId="2" hidden="1">'Run CRS'!$B$110:$C$110</definedName>
    <definedName name="solver_lhs997" localSheetId="4" hidden="1">'Run VRS'!$B$110:$C$110</definedName>
    <definedName name="solver_lhs998" localSheetId="2" hidden="1">'Run CRS'!$B$110:$C$110</definedName>
    <definedName name="solver_lhs998" localSheetId="4" hidden="1">'Run VRS'!$B$110:$C$110</definedName>
    <definedName name="solver_lhs999" localSheetId="2" hidden="1">'Run CRS'!$B$110:$C$110</definedName>
    <definedName name="solver_lhs999" localSheetId="4" hidden="1">'Run VRS'!$B$110:$C$110</definedName>
    <definedName name="solver_mip" localSheetId="2" hidden="1">2147483647</definedName>
    <definedName name="solver_mip" localSheetId="4" hidden="1">2147483647</definedName>
    <definedName name="solver_mni" localSheetId="2" hidden="1">30</definedName>
    <definedName name="solver_mni" localSheetId="4" hidden="1">30</definedName>
    <definedName name="solver_mrt" localSheetId="2" hidden="1">0.075</definedName>
    <definedName name="solver_mrt" localSheetId="4" hidden="1">0.075</definedName>
    <definedName name="solver_msl" localSheetId="2" hidden="1">2</definedName>
    <definedName name="solver_msl" localSheetId="4" hidden="1">2</definedName>
    <definedName name="solver_neg" localSheetId="3" hidden="1">1</definedName>
    <definedName name="solver_neg" localSheetId="5" hidden="1">1</definedName>
    <definedName name="solver_neg" localSheetId="2" hidden="1">1</definedName>
    <definedName name="solver_neg" localSheetId="4" hidden="1">1</definedName>
    <definedName name="solver_neg" localSheetId="1" hidden="1">1</definedName>
    <definedName name="solver_nod" localSheetId="2" hidden="1">2147483647</definedName>
    <definedName name="solver_nod" localSheetId="4" hidden="1">2147483647</definedName>
    <definedName name="solver_num" localSheetId="0" hidden="1">44</definedName>
    <definedName name="solver_num" localSheetId="3" hidden="1">0</definedName>
    <definedName name="solver_num" localSheetId="5" hidden="1">0</definedName>
    <definedName name="solver_num" localSheetId="2" hidden="1">11</definedName>
    <definedName name="solver_num" localSheetId="4" hidden="1">11</definedName>
    <definedName name="solver_num" localSheetId="1" hidden="1">0</definedName>
    <definedName name="solver_nwt" localSheetId="2" hidden="1">1</definedName>
    <definedName name="solver_nwt" localSheetId="4" hidden="1">1</definedName>
    <definedName name="solver_opt" localSheetId="0" hidden="1">'Data input'!$AC$110</definedName>
    <definedName name="solver_opt" localSheetId="3" hidden="1">'Result CRS'!$C$3</definedName>
    <definedName name="solver_opt" localSheetId="5" hidden="1">'Result VRS'!$C$3</definedName>
    <definedName name="solver_opt" localSheetId="2" hidden="1">'Run CRS'!$AC$110</definedName>
    <definedName name="solver_opt" localSheetId="4" hidden="1">'Run VRS'!$AC$110</definedName>
    <definedName name="solver_opt" localSheetId="1" hidden="1">'Set-ups'!$AE$14</definedName>
    <definedName name="solver_pre" localSheetId="2" hidden="1">0.00001</definedName>
    <definedName name="solver_pre" localSheetId="4" hidden="1">0.00001</definedName>
    <definedName name="solver_rbv" localSheetId="2" hidden="1">1</definedName>
    <definedName name="solver_rbv" localSheetId="4" hidden="1">1</definedName>
    <definedName name="solver_rel1" localSheetId="0" hidden="1">2</definedName>
    <definedName name="solver_rel1" localSheetId="2" hidden="1">3</definedName>
    <definedName name="solver_rel1" localSheetId="4" hidden="1">2</definedName>
    <definedName name="solver_rel10" localSheetId="0" hidden="1">2</definedName>
    <definedName name="solver_rel10" localSheetId="2" hidden="1">2</definedName>
    <definedName name="solver_rel10" localSheetId="4" hidden="1">2</definedName>
    <definedName name="solver_rel100" localSheetId="2" hidden="1">3</definedName>
    <definedName name="solver_rel100" localSheetId="4" hidden="1">3</definedName>
    <definedName name="solver_rel1000" localSheetId="2" hidden="1">2</definedName>
    <definedName name="solver_rel1000" localSheetId="4" hidden="1">2</definedName>
    <definedName name="solver_rel1001" localSheetId="2" hidden="1">2</definedName>
    <definedName name="solver_rel1001" localSheetId="4" hidden="1">2</definedName>
    <definedName name="solver_rel1002" localSheetId="2" hidden="1">2</definedName>
    <definedName name="solver_rel1002" localSheetId="4" hidden="1">2</definedName>
    <definedName name="solver_rel1003" localSheetId="2" hidden="1">2</definedName>
    <definedName name="solver_rel1003" localSheetId="4" hidden="1">2</definedName>
    <definedName name="solver_rel1004" localSheetId="2" hidden="1">2</definedName>
    <definedName name="solver_rel1004" localSheetId="4" hidden="1">2</definedName>
    <definedName name="solver_rel1005" localSheetId="2" hidden="1">2</definedName>
    <definedName name="solver_rel1005" localSheetId="4" hidden="1">2</definedName>
    <definedName name="solver_rel1006" localSheetId="2" hidden="1">2</definedName>
    <definedName name="solver_rel1006" localSheetId="4" hidden="1">2</definedName>
    <definedName name="solver_rel1007" localSheetId="2" hidden="1">2</definedName>
    <definedName name="solver_rel1007" localSheetId="4" hidden="1">2</definedName>
    <definedName name="solver_rel1008" localSheetId="2" hidden="1">2</definedName>
    <definedName name="solver_rel1008" localSheetId="4" hidden="1">2</definedName>
    <definedName name="solver_rel1009" localSheetId="2" hidden="1">2</definedName>
    <definedName name="solver_rel1009" localSheetId="4" hidden="1">2</definedName>
    <definedName name="solver_rel101" localSheetId="2" hidden="1">3</definedName>
    <definedName name="solver_rel101" localSheetId="4" hidden="1">3</definedName>
    <definedName name="solver_rel1010" localSheetId="2" hidden="1">2</definedName>
    <definedName name="solver_rel1010" localSheetId="4" hidden="1">2</definedName>
    <definedName name="solver_rel1011" localSheetId="2" hidden="1">2</definedName>
    <definedName name="solver_rel1011" localSheetId="4" hidden="1">2</definedName>
    <definedName name="solver_rel1012" localSheetId="2" hidden="1">2</definedName>
    <definedName name="solver_rel1012" localSheetId="4" hidden="1">2</definedName>
    <definedName name="solver_rel1013" localSheetId="2" hidden="1">2</definedName>
    <definedName name="solver_rel1013" localSheetId="4" hidden="1">2</definedName>
    <definedName name="solver_rel1014" localSheetId="2" hidden="1">2</definedName>
    <definedName name="solver_rel1014" localSheetId="4" hidden="1">2</definedName>
    <definedName name="solver_rel1015" localSheetId="2" hidden="1">2</definedName>
    <definedName name="solver_rel1015" localSheetId="4" hidden="1">2</definedName>
    <definedName name="solver_rel1016" localSheetId="2" hidden="1">2</definedName>
    <definedName name="solver_rel1016" localSheetId="4" hidden="1">2</definedName>
    <definedName name="solver_rel1017" localSheetId="2" hidden="1">2</definedName>
    <definedName name="solver_rel1017" localSheetId="4" hidden="1">2</definedName>
    <definedName name="solver_rel1018" localSheetId="2" hidden="1">2</definedName>
    <definedName name="solver_rel1018" localSheetId="4" hidden="1">2</definedName>
    <definedName name="solver_rel1019" localSheetId="2" hidden="1">2</definedName>
    <definedName name="solver_rel1019" localSheetId="4" hidden="1">2</definedName>
    <definedName name="solver_rel102" localSheetId="2" hidden="1">3</definedName>
    <definedName name="solver_rel102" localSheetId="4" hidden="1">3</definedName>
    <definedName name="solver_rel1020" localSheetId="2" hidden="1">2</definedName>
    <definedName name="solver_rel1020" localSheetId="4" hidden="1">2</definedName>
    <definedName name="solver_rel1021" localSheetId="2" hidden="1">2</definedName>
    <definedName name="solver_rel1021" localSheetId="4" hidden="1">2</definedName>
    <definedName name="solver_rel1022" localSheetId="2" hidden="1">2</definedName>
    <definedName name="solver_rel1022" localSheetId="4" hidden="1">2</definedName>
    <definedName name="solver_rel1023" localSheetId="2" hidden="1">2</definedName>
    <definedName name="solver_rel1023" localSheetId="4" hidden="1">2</definedName>
    <definedName name="solver_rel1024" localSheetId="2" hidden="1">2</definedName>
    <definedName name="solver_rel1024" localSheetId="4" hidden="1">2</definedName>
    <definedName name="solver_rel1025" localSheetId="2" hidden="1">2</definedName>
    <definedName name="solver_rel1025" localSheetId="4" hidden="1">2</definedName>
    <definedName name="solver_rel1026" localSheetId="2" hidden="1">2</definedName>
    <definedName name="solver_rel1026" localSheetId="4" hidden="1">2</definedName>
    <definedName name="solver_rel1027" localSheetId="2" hidden="1">2</definedName>
    <definedName name="solver_rel1027" localSheetId="4" hidden="1">2</definedName>
    <definedName name="solver_rel1028" localSheetId="2" hidden="1">2</definedName>
    <definedName name="solver_rel1028" localSheetId="4" hidden="1">2</definedName>
    <definedName name="solver_rel1029" localSheetId="2" hidden="1">2</definedName>
    <definedName name="solver_rel1029" localSheetId="4" hidden="1">2</definedName>
    <definedName name="solver_rel103" localSheetId="2" hidden="1">3</definedName>
    <definedName name="solver_rel103" localSheetId="4" hidden="1">3</definedName>
    <definedName name="solver_rel1030" localSheetId="2" hidden="1">2</definedName>
    <definedName name="solver_rel1030" localSheetId="4" hidden="1">2</definedName>
    <definedName name="solver_rel1031" localSheetId="2" hidden="1">2</definedName>
    <definedName name="solver_rel1031" localSheetId="4" hidden="1">2</definedName>
    <definedName name="solver_rel1032" localSheetId="2" hidden="1">2</definedName>
    <definedName name="solver_rel1032" localSheetId="4" hidden="1">2</definedName>
    <definedName name="solver_rel1033" localSheetId="2" hidden="1">2</definedName>
    <definedName name="solver_rel1033" localSheetId="4" hidden="1">2</definedName>
    <definedName name="solver_rel1034" localSheetId="2" hidden="1">2</definedName>
    <definedName name="solver_rel1034" localSheetId="4" hidden="1">2</definedName>
    <definedName name="solver_rel1035" localSheetId="2" hidden="1">2</definedName>
    <definedName name="solver_rel1035" localSheetId="4" hidden="1">2</definedName>
    <definedName name="solver_rel1036" localSheetId="2" hidden="1">2</definedName>
    <definedName name="solver_rel1036" localSheetId="4" hidden="1">2</definedName>
    <definedName name="solver_rel1037" localSheetId="2" hidden="1">2</definedName>
    <definedName name="solver_rel1037" localSheetId="4" hidden="1">2</definedName>
    <definedName name="solver_rel1038" localSheetId="2" hidden="1">2</definedName>
    <definedName name="solver_rel1038" localSheetId="4" hidden="1">2</definedName>
    <definedName name="solver_rel1039" localSheetId="2" hidden="1">2</definedName>
    <definedName name="solver_rel1039" localSheetId="4" hidden="1">2</definedName>
    <definedName name="solver_rel104" localSheetId="2" hidden="1">3</definedName>
    <definedName name="solver_rel104" localSheetId="4" hidden="1">3</definedName>
    <definedName name="solver_rel1040" localSheetId="2" hidden="1">2</definedName>
    <definedName name="solver_rel1040" localSheetId="4" hidden="1">2</definedName>
    <definedName name="solver_rel1041" localSheetId="2" hidden="1">2</definedName>
    <definedName name="solver_rel1041" localSheetId="4" hidden="1">2</definedName>
    <definedName name="solver_rel1042" localSheetId="2" hidden="1">2</definedName>
    <definedName name="solver_rel1042" localSheetId="4" hidden="1">2</definedName>
    <definedName name="solver_rel1043" localSheetId="2" hidden="1">2</definedName>
    <definedName name="solver_rel1043" localSheetId="4" hidden="1">2</definedName>
    <definedName name="solver_rel1044" localSheetId="2" hidden="1">2</definedName>
    <definedName name="solver_rel1044" localSheetId="4" hidden="1">2</definedName>
    <definedName name="solver_rel1045" localSheetId="2" hidden="1">2</definedName>
    <definedName name="solver_rel1045" localSheetId="4" hidden="1">2</definedName>
    <definedName name="solver_rel1046" localSheetId="2" hidden="1">2</definedName>
    <definedName name="solver_rel1046" localSheetId="4" hidden="1">2</definedName>
    <definedName name="solver_rel1047" localSheetId="2" hidden="1">2</definedName>
    <definedName name="solver_rel1047" localSheetId="4" hidden="1">2</definedName>
    <definedName name="solver_rel1048" localSheetId="2" hidden="1">2</definedName>
    <definedName name="solver_rel1048" localSheetId="4" hidden="1">2</definedName>
    <definedName name="solver_rel1049" localSheetId="2" hidden="1">2</definedName>
    <definedName name="solver_rel1049" localSheetId="4" hidden="1">2</definedName>
    <definedName name="solver_rel105" localSheetId="2" hidden="1">3</definedName>
    <definedName name="solver_rel105" localSheetId="4" hidden="1">3</definedName>
    <definedName name="solver_rel1050" localSheetId="2" hidden="1">2</definedName>
    <definedName name="solver_rel1050" localSheetId="4" hidden="1">2</definedName>
    <definedName name="solver_rel1051" localSheetId="2" hidden="1">2</definedName>
    <definedName name="solver_rel1051" localSheetId="4" hidden="1">2</definedName>
    <definedName name="solver_rel1052" localSheetId="2" hidden="1">2</definedName>
    <definedName name="solver_rel1052" localSheetId="4" hidden="1">2</definedName>
    <definedName name="solver_rel1053" localSheetId="2" hidden="1">2</definedName>
    <definedName name="solver_rel1053" localSheetId="4" hidden="1">2</definedName>
    <definedName name="solver_rel1054" localSheetId="2" hidden="1">2</definedName>
    <definedName name="solver_rel1054" localSheetId="4" hidden="1">2</definedName>
    <definedName name="solver_rel1055" localSheetId="2" hidden="1">1</definedName>
    <definedName name="solver_rel1055" localSheetId="4" hidden="1">1</definedName>
    <definedName name="solver_rel1056" localSheetId="2" hidden="1">2</definedName>
    <definedName name="solver_rel1056" localSheetId="4" hidden="1">2</definedName>
    <definedName name="solver_rel1057" localSheetId="2" hidden="1">1</definedName>
    <definedName name="solver_rel1057" localSheetId="4" hidden="1">1</definedName>
    <definedName name="solver_rel1058" localSheetId="2" hidden="1">2</definedName>
    <definedName name="solver_rel1058" localSheetId="4" hidden="1">2</definedName>
    <definedName name="solver_rel1059" localSheetId="2" hidden="1">2</definedName>
    <definedName name="solver_rel1059" localSheetId="4" hidden="1">2</definedName>
    <definedName name="solver_rel106" localSheetId="2" hidden="1">3</definedName>
    <definedName name="solver_rel106" localSheetId="4" hidden="1">3</definedName>
    <definedName name="solver_rel1060" localSheetId="2" hidden="1">2</definedName>
    <definedName name="solver_rel1060" localSheetId="4" hidden="1">2</definedName>
    <definedName name="solver_rel1061" localSheetId="2" hidden="1">2</definedName>
    <definedName name="solver_rel1061" localSheetId="4" hidden="1">2</definedName>
    <definedName name="solver_rel1062" localSheetId="2" hidden="1">2</definedName>
    <definedName name="solver_rel1062" localSheetId="4" hidden="1">2</definedName>
    <definedName name="solver_rel1063" localSheetId="2" hidden="1">3</definedName>
    <definedName name="solver_rel1063" localSheetId="4" hidden="1">3</definedName>
    <definedName name="solver_rel1064" localSheetId="2" hidden="1">3</definedName>
    <definedName name="solver_rel1064" localSheetId="4" hidden="1">3</definedName>
    <definedName name="solver_rel1065" localSheetId="2" hidden="1">1</definedName>
    <definedName name="solver_rel1065" localSheetId="4" hidden="1">1</definedName>
    <definedName name="solver_rel1066" localSheetId="2" hidden="1">1</definedName>
    <definedName name="solver_rel1066" localSheetId="4" hidden="1">1</definedName>
    <definedName name="solver_rel1067" localSheetId="2" hidden="1">1</definedName>
    <definedName name="solver_rel1067" localSheetId="4" hidden="1">1</definedName>
    <definedName name="solver_rel1068" localSheetId="2" hidden="1">1</definedName>
    <definedName name="solver_rel1068" localSheetId="4" hidden="1">1</definedName>
    <definedName name="solver_rel1069" localSheetId="2" hidden="1">1</definedName>
    <definedName name="solver_rel1069" localSheetId="4" hidden="1">1</definedName>
    <definedName name="solver_rel107" localSheetId="2" hidden="1">3</definedName>
    <definedName name="solver_rel107" localSheetId="4" hidden="1">3</definedName>
    <definedName name="solver_rel1070" localSheetId="2" hidden="1">1</definedName>
    <definedName name="solver_rel1070" localSheetId="4" hidden="1">1</definedName>
    <definedName name="solver_rel1071" localSheetId="2" hidden="1">1</definedName>
    <definedName name="solver_rel1071" localSheetId="4" hidden="1">1</definedName>
    <definedName name="solver_rel1072" localSheetId="2" hidden="1">1</definedName>
    <definedName name="solver_rel1072" localSheetId="4" hidden="1">1</definedName>
    <definedName name="solver_rel1073" localSheetId="2" hidden="1">1</definedName>
    <definedName name="solver_rel1073" localSheetId="4" hidden="1">1</definedName>
    <definedName name="solver_rel1074" localSheetId="2" hidden="1">1</definedName>
    <definedName name="solver_rel1074" localSheetId="4" hidden="1">1</definedName>
    <definedName name="solver_rel1075" localSheetId="2" hidden="1">1</definedName>
    <definedName name="solver_rel1075" localSheetId="4" hidden="1">1</definedName>
    <definedName name="solver_rel1076" localSheetId="2" hidden="1">1</definedName>
    <definedName name="solver_rel1076" localSheetId="4" hidden="1">1</definedName>
    <definedName name="solver_rel1077" localSheetId="2" hidden="1">3</definedName>
    <definedName name="solver_rel1077" localSheetId="4" hidden="1">3</definedName>
    <definedName name="solver_rel1078" localSheetId="2" hidden="1">1</definedName>
    <definedName name="solver_rel1078" localSheetId="4" hidden="1">1</definedName>
    <definedName name="solver_rel1079" localSheetId="2" hidden="1">3</definedName>
    <definedName name="solver_rel1079" localSheetId="4" hidden="1">3</definedName>
    <definedName name="solver_rel108" localSheetId="2" hidden="1">3</definedName>
    <definedName name="solver_rel108" localSheetId="4" hidden="1">3</definedName>
    <definedName name="solver_rel1080" localSheetId="2" hidden="1">1</definedName>
    <definedName name="solver_rel1080" localSheetId="4" hidden="1">1</definedName>
    <definedName name="solver_rel1081" localSheetId="2" hidden="1">3</definedName>
    <definedName name="solver_rel1081" localSheetId="4" hidden="1">3</definedName>
    <definedName name="solver_rel1082" localSheetId="2" hidden="1">3</definedName>
    <definedName name="solver_rel1082" localSheetId="4" hidden="1">3</definedName>
    <definedName name="solver_rel1083" localSheetId="2" hidden="1">3</definedName>
    <definedName name="solver_rel1083" localSheetId="4" hidden="1">3</definedName>
    <definedName name="solver_rel1084" localSheetId="2" hidden="1">3</definedName>
    <definedName name="solver_rel1084" localSheetId="4" hidden="1">3</definedName>
    <definedName name="solver_rel1085" localSheetId="2" hidden="1">3</definedName>
    <definedName name="solver_rel1085" localSheetId="4" hidden="1">3</definedName>
    <definedName name="solver_rel1086" localSheetId="2" hidden="1">3</definedName>
    <definedName name="solver_rel1086" localSheetId="4" hidden="1">3</definedName>
    <definedName name="solver_rel1087" localSheetId="2" hidden="1">3</definedName>
    <definedName name="solver_rel1087" localSheetId="4" hidden="1">3</definedName>
    <definedName name="solver_rel1088" localSheetId="2" hidden="1">3</definedName>
    <definedName name="solver_rel1088" localSheetId="4" hidden="1">3</definedName>
    <definedName name="solver_rel1089" localSheetId="2" hidden="1">3</definedName>
    <definedName name="solver_rel1089" localSheetId="4" hidden="1">3</definedName>
    <definedName name="solver_rel109" localSheetId="2" hidden="1">3</definedName>
    <definedName name="solver_rel109" localSheetId="4" hidden="1">3</definedName>
    <definedName name="solver_rel1090" localSheetId="2" hidden="1">3</definedName>
    <definedName name="solver_rel1090" localSheetId="4" hidden="1">3</definedName>
    <definedName name="solver_rel1091" localSheetId="2" hidden="1">3</definedName>
    <definedName name="solver_rel1091" localSheetId="4" hidden="1">3</definedName>
    <definedName name="solver_rel1092" localSheetId="2" hidden="1">3</definedName>
    <definedName name="solver_rel1092" localSheetId="4" hidden="1">3</definedName>
    <definedName name="solver_rel1093" localSheetId="2" hidden="1">3</definedName>
    <definedName name="solver_rel1093" localSheetId="4" hidden="1">3</definedName>
    <definedName name="solver_rel1094" localSheetId="2" hidden="1">2</definedName>
    <definedName name="solver_rel1094" localSheetId="4" hidden="1">2</definedName>
    <definedName name="solver_rel1095" localSheetId="2" hidden="1">3</definedName>
    <definedName name="solver_rel1095" localSheetId="4" hidden="1">3</definedName>
    <definedName name="solver_rel1096" localSheetId="2" hidden="1">2</definedName>
    <definedName name="solver_rel1096" localSheetId="4" hidden="1">2</definedName>
    <definedName name="solver_rel1097" localSheetId="2" hidden="1">1</definedName>
    <definedName name="solver_rel1097" localSheetId="4" hidden="1">1</definedName>
    <definedName name="solver_rel1098" localSheetId="2" hidden="1">2</definedName>
    <definedName name="solver_rel1098" localSheetId="4" hidden="1">2</definedName>
    <definedName name="solver_rel1099" localSheetId="2" hidden="1">3</definedName>
    <definedName name="solver_rel1099" localSheetId="4" hidden="1">3</definedName>
    <definedName name="solver_rel11" localSheetId="0" hidden="1">1</definedName>
    <definedName name="solver_rel11" localSheetId="2" hidden="1">1</definedName>
    <definedName name="solver_rel11" localSheetId="4" hidden="1">1</definedName>
    <definedName name="solver_rel110" localSheetId="2" hidden="1">3</definedName>
    <definedName name="solver_rel110" localSheetId="4" hidden="1">3</definedName>
    <definedName name="solver_rel1100" localSheetId="2" hidden="1">2</definedName>
    <definedName name="solver_rel1100" localSheetId="4" hidden="1">2</definedName>
    <definedName name="solver_rel1101" localSheetId="2" hidden="1">2</definedName>
    <definedName name="solver_rel1101" localSheetId="4" hidden="1">2</definedName>
    <definedName name="solver_rel1102" localSheetId="2" hidden="1">2</definedName>
    <definedName name="solver_rel1102" localSheetId="4" hidden="1">2</definedName>
    <definedName name="solver_rel1103" localSheetId="2" hidden="1">2</definedName>
    <definedName name="solver_rel1103" localSheetId="4" hidden="1">2</definedName>
    <definedName name="solver_rel1104" localSheetId="2" hidden="1">2</definedName>
    <definedName name="solver_rel1104" localSheetId="4" hidden="1">2</definedName>
    <definedName name="solver_rel1105" localSheetId="2" hidden="1">2</definedName>
    <definedName name="solver_rel1105" localSheetId="4" hidden="1">2</definedName>
    <definedName name="solver_rel1106" localSheetId="2" hidden="1">2</definedName>
    <definedName name="solver_rel1106" localSheetId="4" hidden="1">2</definedName>
    <definedName name="solver_rel1107" localSheetId="2" hidden="1">2</definedName>
    <definedName name="solver_rel1107" localSheetId="4" hidden="1">2</definedName>
    <definedName name="solver_rel1108" localSheetId="2" hidden="1">2</definedName>
    <definedName name="solver_rel1108" localSheetId="4" hidden="1">2</definedName>
    <definedName name="solver_rel1109" localSheetId="2" hidden="1">2</definedName>
    <definedName name="solver_rel1109" localSheetId="4" hidden="1">2</definedName>
    <definedName name="solver_rel111" localSheetId="2" hidden="1">3</definedName>
    <definedName name="solver_rel111" localSheetId="4" hidden="1">3</definedName>
    <definedName name="solver_rel1110" localSheetId="2" hidden="1">2</definedName>
    <definedName name="solver_rel1110" localSheetId="4" hidden="1">2</definedName>
    <definedName name="solver_rel1111" localSheetId="2" hidden="1">2</definedName>
    <definedName name="solver_rel1111" localSheetId="4" hidden="1">2</definedName>
    <definedName name="solver_rel1112" localSheetId="2" hidden="1">2</definedName>
    <definedName name="solver_rel1112" localSheetId="4" hidden="1">2</definedName>
    <definedName name="solver_rel1113" localSheetId="2" hidden="1">2</definedName>
    <definedName name="solver_rel1113" localSheetId="4" hidden="1">2</definedName>
    <definedName name="solver_rel1114" localSheetId="2" hidden="1">1</definedName>
    <definedName name="solver_rel1114" localSheetId="4" hidden="1">1</definedName>
    <definedName name="solver_rel1115" localSheetId="2" hidden="1">2</definedName>
    <definedName name="solver_rel1115" localSheetId="4" hidden="1">2</definedName>
    <definedName name="solver_rel1116" localSheetId="2" hidden="1">1</definedName>
    <definedName name="solver_rel1116" localSheetId="4" hidden="1">1</definedName>
    <definedName name="solver_rel1117" localSheetId="2" hidden="1">1</definedName>
    <definedName name="solver_rel1117" localSheetId="4" hidden="1">1</definedName>
    <definedName name="solver_rel1118" localSheetId="2" hidden="1">1</definedName>
    <definedName name="solver_rel1118" localSheetId="4" hidden="1">1</definedName>
    <definedName name="solver_rel1119" localSheetId="2" hidden="1">1</definedName>
    <definedName name="solver_rel1119" localSheetId="4" hidden="1">1</definedName>
    <definedName name="solver_rel112" localSheetId="2" hidden="1">3</definedName>
    <definedName name="solver_rel112" localSheetId="4" hidden="1">3</definedName>
    <definedName name="solver_rel1120" localSheetId="2" hidden="1">1</definedName>
    <definedName name="solver_rel1120" localSheetId="4" hidden="1">1</definedName>
    <definedName name="solver_rel1121" localSheetId="2" hidden="1">1</definedName>
    <definedName name="solver_rel1121" localSheetId="4" hidden="1">1</definedName>
    <definedName name="solver_rel1122" localSheetId="2" hidden="1">1</definedName>
    <definedName name="solver_rel1122" localSheetId="4" hidden="1">1</definedName>
    <definedName name="solver_rel1123" localSheetId="2" hidden="1">1</definedName>
    <definedName name="solver_rel1123" localSheetId="4" hidden="1">1</definedName>
    <definedName name="solver_rel1124" localSheetId="2" hidden="1">1</definedName>
    <definedName name="solver_rel1124" localSheetId="4" hidden="1">1</definedName>
    <definedName name="solver_rel1125" localSheetId="2" hidden="1">1</definedName>
    <definedName name="solver_rel1125" localSheetId="4" hidden="1">1</definedName>
    <definedName name="solver_rel1126" localSheetId="2" hidden="1">1</definedName>
    <definedName name="solver_rel1126" localSheetId="4" hidden="1">1</definedName>
    <definedName name="solver_rel1127" localSheetId="2" hidden="1">1</definedName>
    <definedName name="solver_rel1127" localSheetId="4" hidden="1">1</definedName>
    <definedName name="solver_rel1128" localSheetId="2" hidden="1">1</definedName>
    <definedName name="solver_rel1128" localSheetId="4" hidden="1">1</definedName>
    <definedName name="solver_rel1129" localSheetId="2" hidden="1">1</definedName>
    <definedName name="solver_rel1129" localSheetId="4" hidden="1">1</definedName>
    <definedName name="solver_rel113" localSheetId="2" hidden="1">3</definedName>
    <definedName name="solver_rel113" localSheetId="4" hidden="1">3</definedName>
    <definedName name="solver_rel1130" localSheetId="2" hidden="1">1</definedName>
    <definedName name="solver_rel1130" localSheetId="4" hidden="1">1</definedName>
    <definedName name="solver_rel1131" localSheetId="2" hidden="1">1</definedName>
    <definedName name="solver_rel1131" localSheetId="4" hidden="1">1</definedName>
    <definedName name="solver_rel1132" localSheetId="2" hidden="1">1</definedName>
    <definedName name="solver_rel1132" localSheetId="4" hidden="1">1</definedName>
    <definedName name="solver_rel1133" localSheetId="2" hidden="1">1</definedName>
    <definedName name="solver_rel1133" localSheetId="4" hidden="1">1</definedName>
    <definedName name="solver_rel1134" localSheetId="2" hidden="1">1</definedName>
    <definedName name="solver_rel1134" localSheetId="4" hidden="1">1</definedName>
    <definedName name="solver_rel1135" localSheetId="2" hidden="1">1</definedName>
    <definedName name="solver_rel1135" localSheetId="4" hidden="1">1</definedName>
    <definedName name="solver_rel1136" localSheetId="2" hidden="1">1</definedName>
    <definedName name="solver_rel1136" localSheetId="4" hidden="1">1</definedName>
    <definedName name="solver_rel1137" localSheetId="2" hidden="1">1</definedName>
    <definedName name="solver_rel1137" localSheetId="4" hidden="1">1</definedName>
    <definedName name="solver_rel1138" localSheetId="2" hidden="1">1</definedName>
    <definedName name="solver_rel1138" localSheetId="4" hidden="1">1</definedName>
    <definedName name="solver_rel1139" localSheetId="2" hidden="1">1</definedName>
    <definedName name="solver_rel1139" localSheetId="4" hidden="1">1</definedName>
    <definedName name="solver_rel114" localSheetId="2" hidden="1">3</definedName>
    <definedName name="solver_rel114" localSheetId="4" hidden="1">3</definedName>
    <definedName name="solver_rel1140" localSheetId="2" hidden="1">1</definedName>
    <definedName name="solver_rel1140" localSheetId="4" hidden="1">1</definedName>
    <definedName name="solver_rel1141" localSheetId="2" hidden="1">1</definedName>
    <definedName name="solver_rel1141" localSheetId="4" hidden="1">1</definedName>
    <definedName name="solver_rel1142" localSheetId="2" hidden="1">1</definedName>
    <definedName name="solver_rel1142" localSheetId="4" hidden="1">1</definedName>
    <definedName name="solver_rel1143" localSheetId="2" hidden="1">1</definedName>
    <definedName name="solver_rel1143" localSheetId="4" hidden="1">1</definedName>
    <definedName name="solver_rel1144" localSheetId="2" hidden="1">1</definedName>
    <definedName name="solver_rel1144" localSheetId="4" hidden="1">1</definedName>
    <definedName name="solver_rel1145" localSheetId="2" hidden="1">1</definedName>
    <definedName name="solver_rel1145" localSheetId="4" hidden="1">1</definedName>
    <definedName name="solver_rel1146" localSheetId="2" hidden="1">1</definedName>
    <definedName name="solver_rel1146" localSheetId="4" hidden="1">1</definedName>
    <definedName name="solver_rel1147" localSheetId="2" hidden="1">1</definedName>
    <definedName name="solver_rel1147" localSheetId="4" hidden="1">1</definedName>
    <definedName name="solver_rel1148" localSheetId="2" hidden="1">1</definedName>
    <definedName name="solver_rel1148" localSheetId="4" hidden="1">1</definedName>
    <definedName name="solver_rel1149" localSheetId="2" hidden="1">1</definedName>
    <definedName name="solver_rel1149" localSheetId="4" hidden="1">1</definedName>
    <definedName name="solver_rel115" localSheetId="2" hidden="1">3</definedName>
    <definedName name="solver_rel115" localSheetId="4" hidden="1">3</definedName>
    <definedName name="solver_rel1150" localSheetId="2" hidden="1">1</definedName>
    <definedName name="solver_rel1150" localSheetId="4" hidden="1">1</definedName>
    <definedName name="solver_rel1151" localSheetId="2" hidden="1">1</definedName>
    <definedName name="solver_rel1151" localSheetId="4" hidden="1">1</definedName>
    <definedName name="solver_rel1152" localSheetId="2" hidden="1">1</definedName>
    <definedName name="solver_rel1152" localSheetId="4" hidden="1">1</definedName>
    <definedName name="solver_rel1153" localSheetId="2" hidden="1">1</definedName>
    <definedName name="solver_rel1153" localSheetId="4" hidden="1">1</definedName>
    <definedName name="solver_rel1154" localSheetId="2" hidden="1">1</definedName>
    <definedName name="solver_rel1154" localSheetId="4" hidden="1">1</definedName>
    <definedName name="solver_rel1155" localSheetId="2" hidden="1">1</definedName>
    <definedName name="solver_rel1155" localSheetId="4" hidden="1">1</definedName>
    <definedName name="solver_rel1156" localSheetId="2" hidden="1">1</definedName>
    <definedName name="solver_rel1156" localSheetId="4" hidden="1">1</definedName>
    <definedName name="solver_rel1157" localSheetId="2" hidden="1">1</definedName>
    <definedName name="solver_rel1157" localSheetId="4" hidden="1">1</definedName>
    <definedName name="solver_rel1158" localSheetId="2" hidden="1">1</definedName>
    <definedName name="solver_rel1158" localSheetId="4" hidden="1">1</definedName>
    <definedName name="solver_rel1159" localSheetId="2" hidden="1">1</definedName>
    <definedName name="solver_rel1159" localSheetId="4" hidden="1">1</definedName>
    <definedName name="solver_rel116" localSheetId="2" hidden="1">3</definedName>
    <definedName name="solver_rel116" localSheetId="4" hidden="1">3</definedName>
    <definedName name="solver_rel1160" localSheetId="2" hidden="1">1</definedName>
    <definedName name="solver_rel1160" localSheetId="4" hidden="1">1</definedName>
    <definedName name="solver_rel1161" localSheetId="2" hidden="1">1</definedName>
    <definedName name="solver_rel1161" localSheetId="4" hidden="1">1</definedName>
    <definedName name="solver_rel1162" localSheetId="2" hidden="1">1</definedName>
    <definedName name="solver_rel1162" localSheetId="4" hidden="1">1</definedName>
    <definedName name="solver_rel1163" localSheetId="2" hidden="1">1</definedName>
    <definedName name="solver_rel1163" localSheetId="4" hidden="1">1</definedName>
    <definedName name="solver_rel1164" localSheetId="2" hidden="1">1</definedName>
    <definedName name="solver_rel1164" localSheetId="4" hidden="1">1</definedName>
    <definedName name="solver_rel1165" localSheetId="2" hidden="1">1</definedName>
    <definedName name="solver_rel1165" localSheetId="4" hidden="1">1</definedName>
    <definedName name="solver_rel1166" localSheetId="2" hidden="1">1</definedName>
    <definedName name="solver_rel1166" localSheetId="4" hidden="1">1</definedName>
    <definedName name="solver_rel1167" localSheetId="2" hidden="1">1</definedName>
    <definedName name="solver_rel1167" localSheetId="4" hidden="1">1</definedName>
    <definedName name="solver_rel1168" localSheetId="2" hidden="1">1</definedName>
    <definedName name="solver_rel1168" localSheetId="4" hidden="1">1</definedName>
    <definedName name="solver_rel1169" localSheetId="2" hidden="1">1</definedName>
    <definedName name="solver_rel1169" localSheetId="4" hidden="1">1</definedName>
    <definedName name="solver_rel117" localSheetId="2" hidden="1">3</definedName>
    <definedName name="solver_rel117" localSheetId="4" hidden="1">3</definedName>
    <definedName name="solver_rel1170" localSheetId="2" hidden="1">1</definedName>
    <definedName name="solver_rel1170" localSheetId="4" hidden="1">1</definedName>
    <definedName name="solver_rel1171" localSheetId="2" hidden="1">1</definedName>
    <definedName name="solver_rel1171" localSheetId="4" hidden="1">1</definedName>
    <definedName name="solver_rel1172" localSheetId="2" hidden="1">1</definedName>
    <definedName name="solver_rel1172" localSheetId="4" hidden="1">1</definedName>
    <definedName name="solver_rel1173" localSheetId="2" hidden="1">1</definedName>
    <definedName name="solver_rel1173" localSheetId="4" hidden="1">1</definedName>
    <definedName name="solver_rel1174" localSheetId="2" hidden="1">1</definedName>
    <definedName name="solver_rel1174" localSheetId="4" hidden="1">1</definedName>
    <definedName name="solver_rel1175" localSheetId="2" hidden="1">1</definedName>
    <definedName name="solver_rel1175" localSheetId="4" hidden="1">1</definedName>
    <definedName name="solver_rel1176" localSheetId="2" hidden="1">1</definedName>
    <definedName name="solver_rel1176" localSheetId="4" hidden="1">1</definedName>
    <definedName name="solver_rel1177" localSheetId="2" hidden="1">1</definedName>
    <definedName name="solver_rel1177" localSheetId="4" hidden="1">1</definedName>
    <definedName name="solver_rel1178" localSheetId="2" hidden="1">1</definedName>
    <definedName name="solver_rel1178" localSheetId="4" hidden="1">1</definedName>
    <definedName name="solver_rel1179" localSheetId="2" hidden="1">1</definedName>
    <definedName name="solver_rel1179" localSheetId="4" hidden="1">1</definedName>
    <definedName name="solver_rel118" localSheetId="2" hidden="1">3</definedName>
    <definedName name="solver_rel118" localSheetId="4" hidden="1">3</definedName>
    <definedName name="solver_rel1180" localSheetId="2" hidden="1">1</definedName>
    <definedName name="solver_rel1180" localSheetId="4" hidden="1">1</definedName>
    <definedName name="solver_rel1181" localSheetId="2" hidden="1">1</definedName>
    <definedName name="solver_rel1181" localSheetId="4" hidden="1">1</definedName>
    <definedName name="solver_rel1182" localSheetId="2" hidden="1">1</definedName>
    <definedName name="solver_rel1182" localSheetId="4" hidden="1">1</definedName>
    <definedName name="solver_rel1183" localSheetId="2" hidden="1">1</definedName>
    <definedName name="solver_rel1183" localSheetId="4" hidden="1">1</definedName>
    <definedName name="solver_rel1184" localSheetId="2" hidden="1">1</definedName>
    <definedName name="solver_rel1184" localSheetId="4" hidden="1">1</definedName>
    <definedName name="solver_rel1185" localSheetId="2" hidden="1">1</definedName>
    <definedName name="solver_rel1185" localSheetId="4" hidden="1">1</definedName>
    <definedName name="solver_rel1186" localSheetId="2" hidden="1">1</definedName>
    <definedName name="solver_rel1186" localSheetId="4" hidden="1">1</definedName>
    <definedName name="solver_rel1187" localSheetId="2" hidden="1">1</definedName>
    <definedName name="solver_rel1187" localSheetId="4" hidden="1">1</definedName>
    <definedName name="solver_rel1188" localSheetId="2" hidden="1">1</definedName>
    <definedName name="solver_rel1188" localSheetId="4" hidden="1">1</definedName>
    <definedName name="solver_rel1189" localSheetId="2" hidden="1">1</definedName>
    <definedName name="solver_rel1189" localSheetId="4" hidden="1">1</definedName>
    <definedName name="solver_rel119" localSheetId="2" hidden="1">3</definedName>
    <definedName name="solver_rel119" localSheetId="4" hidden="1">3</definedName>
    <definedName name="solver_rel1190" localSheetId="2" hidden="1">1</definedName>
    <definedName name="solver_rel1190" localSheetId="4" hidden="1">1</definedName>
    <definedName name="solver_rel1191" localSheetId="2" hidden="1">1</definedName>
    <definedName name="solver_rel1191" localSheetId="4" hidden="1">1</definedName>
    <definedName name="solver_rel1192" localSheetId="2" hidden="1">1</definedName>
    <definedName name="solver_rel1192" localSheetId="4" hidden="1">1</definedName>
    <definedName name="solver_rel1193" localSheetId="2" hidden="1">1</definedName>
    <definedName name="solver_rel1193" localSheetId="4" hidden="1">1</definedName>
    <definedName name="solver_rel1194" localSheetId="2" hidden="1">1</definedName>
    <definedName name="solver_rel1194" localSheetId="4" hidden="1">1</definedName>
    <definedName name="solver_rel1195" localSheetId="2" hidden="1">1</definedName>
    <definedName name="solver_rel1195" localSheetId="4" hidden="1">1</definedName>
    <definedName name="solver_rel1196" localSheetId="2" hidden="1">1</definedName>
    <definedName name="solver_rel1196" localSheetId="4" hidden="1">1</definedName>
    <definedName name="solver_rel1197" localSheetId="2" hidden="1">1</definedName>
    <definedName name="solver_rel1197" localSheetId="4" hidden="1">1</definedName>
    <definedName name="solver_rel1198" localSheetId="2" hidden="1">1</definedName>
    <definedName name="solver_rel1198" localSheetId="4" hidden="1">1</definedName>
    <definedName name="solver_rel1199" localSheetId="2" hidden="1">1</definedName>
    <definedName name="solver_rel1199" localSheetId="4" hidden="1">1</definedName>
    <definedName name="solver_rel12" localSheetId="0" hidden="1">2</definedName>
    <definedName name="solver_rel12" localSheetId="2" hidden="1">1</definedName>
    <definedName name="solver_rel12" localSheetId="4" hidden="1">1</definedName>
    <definedName name="solver_rel120" localSheetId="2" hidden="1">3</definedName>
    <definedName name="solver_rel120" localSheetId="4" hidden="1">3</definedName>
    <definedName name="solver_rel1200" localSheetId="2" hidden="1">1</definedName>
    <definedName name="solver_rel1200" localSheetId="4" hidden="1">1</definedName>
    <definedName name="solver_rel1201" localSheetId="2" hidden="1">1</definedName>
    <definedName name="solver_rel1201" localSheetId="4" hidden="1">1</definedName>
    <definedName name="solver_rel1202" localSheetId="2" hidden="1">1</definedName>
    <definedName name="solver_rel1202" localSheetId="4" hidden="1">1</definedName>
    <definedName name="solver_rel1203" localSheetId="2" hidden="1">1</definedName>
    <definedName name="solver_rel1203" localSheetId="4" hidden="1">1</definedName>
    <definedName name="solver_rel1204" localSheetId="2" hidden="1">1</definedName>
    <definedName name="solver_rel1204" localSheetId="4" hidden="1">1</definedName>
    <definedName name="solver_rel1205" localSheetId="2" hidden="1">1</definedName>
    <definedName name="solver_rel1205" localSheetId="4" hidden="1">1</definedName>
    <definedName name="solver_rel1206" localSheetId="2" hidden="1">1</definedName>
    <definedName name="solver_rel1206" localSheetId="4" hidden="1">1</definedName>
    <definedName name="solver_rel1207" localSheetId="2" hidden="1">1</definedName>
    <definedName name="solver_rel1207" localSheetId="4" hidden="1">1</definedName>
    <definedName name="solver_rel1208" localSheetId="2" hidden="1">1</definedName>
    <definedName name="solver_rel1208" localSheetId="4" hidden="1">1</definedName>
    <definedName name="solver_rel1209" localSheetId="2" hidden="1">1</definedName>
    <definedName name="solver_rel1209" localSheetId="4" hidden="1">1</definedName>
    <definedName name="solver_rel121" localSheetId="2" hidden="1">3</definedName>
    <definedName name="solver_rel121" localSheetId="4" hidden="1">3</definedName>
    <definedName name="solver_rel1210" localSheetId="2" hidden="1">1</definedName>
    <definedName name="solver_rel1210" localSheetId="4" hidden="1">1</definedName>
    <definedName name="solver_rel1211" localSheetId="2" hidden="1">1</definedName>
    <definedName name="solver_rel1211" localSheetId="4" hidden="1">1</definedName>
    <definedName name="solver_rel1212" localSheetId="2" hidden="1">1</definedName>
    <definedName name="solver_rel1212" localSheetId="4" hidden="1">1</definedName>
    <definedName name="solver_rel1213" localSheetId="2" hidden="1">1</definedName>
    <definedName name="solver_rel1213" localSheetId="4" hidden="1">1</definedName>
    <definedName name="solver_rel1214" localSheetId="2" hidden="1">1</definedName>
    <definedName name="solver_rel1214" localSheetId="4" hidden="1">1</definedName>
    <definedName name="solver_rel1215" localSheetId="2" hidden="1">1</definedName>
    <definedName name="solver_rel1215" localSheetId="4" hidden="1">1</definedName>
    <definedName name="solver_rel1216" localSheetId="2" hidden="1">1</definedName>
    <definedName name="solver_rel1216" localSheetId="4" hidden="1">1</definedName>
    <definedName name="solver_rel1217" localSheetId="2" hidden="1">1</definedName>
    <definedName name="solver_rel1217" localSheetId="4" hidden="1">1</definedName>
    <definedName name="solver_rel1218" localSheetId="2" hidden="1">1</definedName>
    <definedName name="solver_rel1218" localSheetId="4" hidden="1">1</definedName>
    <definedName name="solver_rel1219" localSheetId="2" hidden="1">1</definedName>
    <definedName name="solver_rel1219" localSheetId="4" hidden="1">1</definedName>
    <definedName name="solver_rel122" localSheetId="2" hidden="1">3</definedName>
    <definedName name="solver_rel122" localSheetId="4" hidden="1">3</definedName>
    <definedName name="solver_rel1220" localSheetId="2" hidden="1">1</definedName>
    <definedName name="solver_rel1220" localSheetId="4" hidden="1">1</definedName>
    <definedName name="solver_rel1221" localSheetId="2" hidden="1">1</definedName>
    <definedName name="solver_rel1221" localSheetId="4" hidden="1">1</definedName>
    <definedName name="solver_rel1222" localSheetId="2" hidden="1">1</definedName>
    <definedName name="solver_rel1222" localSheetId="4" hidden="1">1</definedName>
    <definedName name="solver_rel1223" localSheetId="2" hidden="1">1</definedName>
    <definedName name="solver_rel1223" localSheetId="4" hidden="1">1</definedName>
    <definedName name="solver_rel1224" localSheetId="2" hidden="1">1</definedName>
    <definedName name="solver_rel1224" localSheetId="4" hidden="1">1</definedName>
    <definedName name="solver_rel1225" localSheetId="2" hidden="1">1</definedName>
    <definedName name="solver_rel1225" localSheetId="4" hidden="1">1</definedName>
    <definedName name="solver_rel1226" localSheetId="2" hidden="1">1</definedName>
    <definedName name="solver_rel1226" localSheetId="4" hidden="1">1</definedName>
    <definedName name="solver_rel1227" localSheetId="2" hidden="1">1</definedName>
    <definedName name="solver_rel1227" localSheetId="4" hidden="1">1</definedName>
    <definedName name="solver_rel1228" localSheetId="2" hidden="1">1</definedName>
    <definedName name="solver_rel1228" localSheetId="4" hidden="1">1</definedName>
    <definedName name="solver_rel1229" localSheetId="2" hidden="1">1</definedName>
    <definedName name="solver_rel1229" localSheetId="4" hidden="1">1</definedName>
    <definedName name="solver_rel123" localSheetId="2" hidden="1">3</definedName>
    <definedName name="solver_rel123" localSheetId="4" hidden="1">3</definedName>
    <definedName name="solver_rel1230" localSheetId="2" hidden="1">1</definedName>
    <definedName name="solver_rel1230" localSheetId="4" hidden="1">1</definedName>
    <definedName name="solver_rel1231" localSheetId="2" hidden="1">1</definedName>
    <definedName name="solver_rel1231" localSheetId="4" hidden="1">1</definedName>
    <definedName name="solver_rel1232" localSheetId="2" hidden="1">1</definedName>
    <definedName name="solver_rel1232" localSheetId="4" hidden="1">1</definedName>
    <definedName name="solver_rel1233" localSheetId="2" hidden="1">1</definedName>
    <definedName name="solver_rel1233" localSheetId="4" hidden="1">1</definedName>
    <definedName name="solver_rel1234" localSheetId="2" hidden="1">1</definedName>
    <definedName name="solver_rel1234" localSheetId="4" hidden="1">1</definedName>
    <definedName name="solver_rel1235" localSheetId="2" hidden="1">1</definedName>
    <definedName name="solver_rel1235" localSheetId="4" hidden="1">1</definedName>
    <definedName name="solver_rel1236" localSheetId="2" hidden="1">1</definedName>
    <definedName name="solver_rel1236" localSheetId="4" hidden="1">1</definedName>
    <definedName name="solver_rel1237" localSheetId="2" hidden="1">1</definedName>
    <definedName name="solver_rel1237" localSheetId="4" hidden="1">1</definedName>
    <definedName name="solver_rel1238" localSheetId="2" hidden="1">1</definedName>
    <definedName name="solver_rel1238" localSheetId="4" hidden="1">1</definedName>
    <definedName name="solver_rel1239" localSheetId="2" hidden="1">1</definedName>
    <definedName name="solver_rel1239" localSheetId="4" hidden="1">1</definedName>
    <definedName name="solver_rel124" localSheetId="2" hidden="1">3</definedName>
    <definedName name="solver_rel124" localSheetId="4" hidden="1">3</definedName>
    <definedName name="solver_rel1240" localSheetId="2" hidden="1">1</definedName>
    <definedName name="solver_rel1240" localSheetId="4" hidden="1">1</definedName>
    <definedName name="solver_rel1241" localSheetId="2" hidden="1">1</definedName>
    <definedName name="solver_rel1241" localSheetId="4" hidden="1">1</definedName>
    <definedName name="solver_rel1242" localSheetId="2" hidden="1">1</definedName>
    <definedName name="solver_rel1242" localSheetId="4" hidden="1">1</definedName>
    <definedName name="solver_rel1243" localSheetId="2" hidden="1">1</definedName>
    <definedName name="solver_rel1243" localSheetId="4" hidden="1">1</definedName>
    <definedName name="solver_rel1244" localSheetId="2" hidden="1">1</definedName>
    <definedName name="solver_rel1244" localSheetId="4" hidden="1">1</definedName>
    <definedName name="solver_rel1245" localSheetId="2" hidden="1">1</definedName>
    <definedName name="solver_rel1245" localSheetId="4" hidden="1">1</definedName>
    <definedName name="solver_rel1246" localSheetId="2" hidden="1">1</definedName>
    <definedName name="solver_rel1246" localSheetId="4" hidden="1">1</definedName>
    <definedName name="solver_rel1247" localSheetId="2" hidden="1">1</definedName>
    <definedName name="solver_rel1247" localSheetId="4" hidden="1">1</definedName>
    <definedName name="solver_rel1248" localSheetId="2" hidden="1">1</definedName>
    <definedName name="solver_rel1248" localSheetId="4" hidden="1">1</definedName>
    <definedName name="solver_rel1249" localSheetId="2" hidden="1">1</definedName>
    <definedName name="solver_rel1249" localSheetId="4" hidden="1">1</definedName>
    <definedName name="solver_rel125" localSheetId="2" hidden="1">3</definedName>
    <definedName name="solver_rel125" localSheetId="4" hidden="1">3</definedName>
    <definedName name="solver_rel1250" localSheetId="2" hidden="1">1</definedName>
    <definedName name="solver_rel1250" localSheetId="4" hidden="1">1</definedName>
    <definedName name="solver_rel1251" localSheetId="2" hidden="1">1</definedName>
    <definedName name="solver_rel1251" localSheetId="4" hidden="1">1</definedName>
    <definedName name="solver_rel1252" localSheetId="2" hidden="1">1</definedName>
    <definedName name="solver_rel1252" localSheetId="4" hidden="1">1</definedName>
    <definedName name="solver_rel1253" localSheetId="2" hidden="1">1</definedName>
    <definedName name="solver_rel1253" localSheetId="4" hidden="1">1</definedName>
    <definedName name="solver_rel1254" localSheetId="2" hidden="1">1</definedName>
    <definedName name="solver_rel1254" localSheetId="4" hidden="1">1</definedName>
    <definedName name="solver_rel1255" localSheetId="2" hidden="1">1</definedName>
    <definedName name="solver_rel1255" localSheetId="4" hidden="1">1</definedName>
    <definedName name="solver_rel1256" localSheetId="2" hidden="1">1</definedName>
    <definedName name="solver_rel1256" localSheetId="4" hidden="1">1</definedName>
    <definedName name="solver_rel1257" localSheetId="2" hidden="1">1</definedName>
    <definedName name="solver_rel1257" localSheetId="4" hidden="1">1</definedName>
    <definedName name="solver_rel1258" localSheetId="2" hidden="1">1</definedName>
    <definedName name="solver_rel1258" localSheetId="4" hidden="1">1</definedName>
    <definedName name="solver_rel1259" localSheetId="2" hidden="1">1</definedName>
    <definedName name="solver_rel1259" localSheetId="4" hidden="1">1</definedName>
    <definedName name="solver_rel126" localSheetId="2" hidden="1">3</definedName>
    <definedName name="solver_rel126" localSheetId="4" hidden="1">3</definedName>
    <definedName name="solver_rel1260" localSheetId="2" hidden="1">1</definedName>
    <definedName name="solver_rel1260" localSheetId="4" hidden="1">1</definedName>
    <definedName name="solver_rel1261" localSheetId="2" hidden="1">1</definedName>
    <definedName name="solver_rel1261" localSheetId="4" hidden="1">1</definedName>
    <definedName name="solver_rel1262" localSheetId="2" hidden="1">1</definedName>
    <definedName name="solver_rel1262" localSheetId="4" hidden="1">1</definedName>
    <definedName name="solver_rel1263" localSheetId="2" hidden="1">1</definedName>
    <definedName name="solver_rel1263" localSheetId="4" hidden="1">1</definedName>
    <definedName name="solver_rel1264" localSheetId="2" hidden="1">1</definedName>
    <definedName name="solver_rel1264" localSheetId="4" hidden="1">1</definedName>
    <definedName name="solver_rel1265" localSheetId="2" hidden="1">1</definedName>
    <definedName name="solver_rel1265" localSheetId="4" hidden="1">1</definedName>
    <definedName name="solver_rel1266" localSheetId="2" hidden="1">1</definedName>
    <definedName name="solver_rel1266" localSheetId="4" hidden="1">1</definedName>
    <definedName name="solver_rel1267" localSheetId="2" hidden="1">1</definedName>
    <definedName name="solver_rel1267" localSheetId="4" hidden="1">1</definedName>
    <definedName name="solver_rel1268" localSheetId="2" hidden="1">1</definedName>
    <definedName name="solver_rel1268" localSheetId="4" hidden="1">1</definedName>
    <definedName name="solver_rel1269" localSheetId="2" hidden="1">1</definedName>
    <definedName name="solver_rel1269" localSheetId="4" hidden="1">1</definedName>
    <definedName name="solver_rel127" localSheetId="2" hidden="1">3</definedName>
    <definedName name="solver_rel127" localSheetId="4" hidden="1">3</definedName>
    <definedName name="solver_rel1270" localSheetId="2" hidden="1">1</definedName>
    <definedName name="solver_rel1270" localSheetId="4" hidden="1">1</definedName>
    <definedName name="solver_rel1271" localSheetId="2" hidden="1">1</definedName>
    <definedName name="solver_rel1271" localSheetId="4" hidden="1">1</definedName>
    <definedName name="solver_rel1272" localSheetId="2" hidden="1">1</definedName>
    <definedName name="solver_rel1272" localSheetId="4" hidden="1">1</definedName>
    <definedName name="solver_rel1273" localSheetId="2" hidden="1">1</definedName>
    <definedName name="solver_rel1273" localSheetId="4" hidden="1">1</definedName>
    <definedName name="solver_rel1274" localSheetId="2" hidden="1">1</definedName>
    <definedName name="solver_rel1274" localSheetId="4" hidden="1">1</definedName>
    <definedName name="solver_rel1275" localSheetId="2" hidden="1">1</definedName>
    <definedName name="solver_rel1275" localSheetId="4" hidden="1">1</definedName>
    <definedName name="solver_rel1276" localSheetId="2" hidden="1">1</definedName>
    <definedName name="solver_rel1276" localSheetId="4" hidden="1">1</definedName>
    <definedName name="solver_rel1277" localSheetId="2" hidden="1">1</definedName>
    <definedName name="solver_rel1277" localSheetId="4" hidden="1">1</definedName>
    <definedName name="solver_rel1278" localSheetId="2" hidden="1">1</definedName>
    <definedName name="solver_rel1278" localSheetId="4" hidden="1">1</definedName>
    <definedName name="solver_rel1279" localSheetId="2" hidden="1">1</definedName>
    <definedName name="solver_rel1279" localSheetId="4" hidden="1">1</definedName>
    <definedName name="solver_rel128" localSheetId="2" hidden="1">3</definedName>
    <definedName name="solver_rel128" localSheetId="4" hidden="1">3</definedName>
    <definedName name="solver_rel1280" localSheetId="2" hidden="1">1</definedName>
    <definedName name="solver_rel1280" localSheetId="4" hidden="1">1</definedName>
    <definedName name="solver_rel1281" localSheetId="2" hidden="1">1</definedName>
    <definedName name="solver_rel1281" localSheetId="4" hidden="1">1</definedName>
    <definedName name="solver_rel1282" localSheetId="2" hidden="1">1</definedName>
    <definedName name="solver_rel1282" localSheetId="4" hidden="1">1</definedName>
    <definedName name="solver_rel1283" localSheetId="2" hidden="1">1</definedName>
    <definedName name="solver_rel1283" localSheetId="4" hidden="1">1</definedName>
    <definedName name="solver_rel1284" localSheetId="2" hidden="1">1</definedName>
    <definedName name="solver_rel1284" localSheetId="4" hidden="1">1</definedName>
    <definedName name="solver_rel1285" localSheetId="2" hidden="1">1</definedName>
    <definedName name="solver_rel1285" localSheetId="4" hidden="1">1</definedName>
    <definedName name="solver_rel1286" localSheetId="2" hidden="1">1</definedName>
    <definedName name="solver_rel1286" localSheetId="4" hidden="1">1</definedName>
    <definedName name="solver_rel1287" localSheetId="2" hidden="1">1</definedName>
    <definedName name="solver_rel1287" localSheetId="4" hidden="1">1</definedName>
    <definedName name="solver_rel1288" localSheetId="2" hidden="1">1</definedName>
    <definedName name="solver_rel1288" localSheetId="4" hidden="1">1</definedName>
    <definedName name="solver_rel1289" localSheetId="2" hidden="1">1</definedName>
    <definedName name="solver_rel1289" localSheetId="4" hidden="1">1</definedName>
    <definedName name="solver_rel129" localSheetId="2" hidden="1">3</definedName>
    <definedName name="solver_rel129" localSheetId="4" hidden="1">3</definedName>
    <definedName name="solver_rel1290" localSheetId="2" hidden="1">1</definedName>
    <definedName name="solver_rel1290" localSheetId="4" hidden="1">1</definedName>
    <definedName name="solver_rel1291" localSheetId="2" hidden="1">1</definedName>
    <definedName name="solver_rel1291" localSheetId="4" hidden="1">1</definedName>
    <definedName name="solver_rel1292" localSheetId="2" hidden="1">1</definedName>
    <definedName name="solver_rel1292" localSheetId="4" hidden="1">1</definedName>
    <definedName name="solver_rel1293" localSheetId="2" hidden="1">1</definedName>
    <definedName name="solver_rel1293" localSheetId="4" hidden="1">1</definedName>
    <definedName name="solver_rel1294" localSheetId="2" hidden="1">1</definedName>
    <definedName name="solver_rel1294" localSheetId="4" hidden="1">1</definedName>
    <definedName name="solver_rel1295" localSheetId="2" hidden="1">1</definedName>
    <definedName name="solver_rel1295" localSheetId="4" hidden="1">1</definedName>
    <definedName name="solver_rel1296" localSheetId="2" hidden="1">1</definedName>
    <definedName name="solver_rel1296" localSheetId="4" hidden="1">1</definedName>
    <definedName name="solver_rel1297" localSheetId="2" hidden="1">1</definedName>
    <definedName name="solver_rel1297" localSheetId="4" hidden="1">1</definedName>
    <definedName name="solver_rel1298" localSheetId="2" hidden="1">1</definedName>
    <definedName name="solver_rel1298" localSheetId="4" hidden="1">1</definedName>
    <definedName name="solver_rel1299" localSheetId="2" hidden="1">1</definedName>
    <definedName name="solver_rel1299" localSheetId="4" hidden="1">1</definedName>
    <definedName name="solver_rel13" localSheetId="0" hidden="1">3</definedName>
    <definedName name="solver_rel13" localSheetId="2" hidden="1">1</definedName>
    <definedName name="solver_rel13" localSheetId="4" hidden="1">1</definedName>
    <definedName name="solver_rel130" localSheetId="2" hidden="1">3</definedName>
    <definedName name="solver_rel130" localSheetId="4" hidden="1">3</definedName>
    <definedName name="solver_rel1300" localSheetId="2" hidden="1">1</definedName>
    <definedName name="solver_rel1300" localSheetId="4" hidden="1">1</definedName>
    <definedName name="solver_rel1301" localSheetId="2" hidden="1">1</definedName>
    <definedName name="solver_rel1301" localSheetId="4" hidden="1">1</definedName>
    <definedName name="solver_rel1302" localSheetId="2" hidden="1">1</definedName>
    <definedName name="solver_rel1302" localSheetId="4" hidden="1">1</definedName>
    <definedName name="solver_rel1303" localSheetId="2" hidden="1">1</definedName>
    <definedName name="solver_rel1303" localSheetId="4" hidden="1">1</definedName>
    <definedName name="solver_rel1304" localSheetId="2" hidden="1">1</definedName>
    <definedName name="solver_rel1304" localSheetId="4" hidden="1">1</definedName>
    <definedName name="solver_rel1305" localSheetId="2" hidden="1">1</definedName>
    <definedName name="solver_rel1305" localSheetId="4" hidden="1">1</definedName>
    <definedName name="solver_rel1306" localSheetId="2" hidden="1">1</definedName>
    <definedName name="solver_rel1306" localSheetId="4" hidden="1">1</definedName>
    <definedName name="solver_rel1307" localSheetId="2" hidden="1">1</definedName>
    <definedName name="solver_rel1307" localSheetId="4" hidden="1">1</definedName>
    <definedName name="solver_rel1308" localSheetId="2" hidden="1">1</definedName>
    <definedName name="solver_rel1308" localSheetId="4" hidden="1">1</definedName>
    <definedName name="solver_rel1309" localSheetId="2" hidden="1">1</definedName>
    <definedName name="solver_rel1309" localSheetId="4" hidden="1">1</definedName>
    <definedName name="solver_rel131" localSheetId="2" hidden="1">3</definedName>
    <definedName name="solver_rel131" localSheetId="4" hidden="1">3</definedName>
    <definedName name="solver_rel1310" localSheetId="2" hidden="1">1</definedName>
    <definedName name="solver_rel1310" localSheetId="4" hidden="1">1</definedName>
    <definedName name="solver_rel1311" localSheetId="2" hidden="1">1</definedName>
    <definedName name="solver_rel1311" localSheetId="4" hidden="1">1</definedName>
    <definedName name="solver_rel1312" localSheetId="2" hidden="1">1</definedName>
    <definedName name="solver_rel1312" localSheetId="4" hidden="1">1</definedName>
    <definedName name="solver_rel1313" localSheetId="2" hidden="1">1</definedName>
    <definedName name="solver_rel1313" localSheetId="4" hidden="1">1</definedName>
    <definedName name="solver_rel1314" localSheetId="2" hidden="1">1</definedName>
    <definedName name="solver_rel1314" localSheetId="4" hidden="1">1</definedName>
    <definedName name="solver_rel1315" localSheetId="2" hidden="1">1</definedName>
    <definedName name="solver_rel1315" localSheetId="4" hidden="1">1</definedName>
    <definedName name="solver_rel1316" localSheetId="2" hidden="1">1</definedName>
    <definedName name="solver_rel1316" localSheetId="4" hidden="1">1</definedName>
    <definedName name="solver_rel1317" localSheetId="2" hidden="1">1</definedName>
    <definedName name="solver_rel1317" localSheetId="4" hidden="1">1</definedName>
    <definedName name="solver_rel1318" localSheetId="2" hidden="1">1</definedName>
    <definedName name="solver_rel1318" localSheetId="4" hidden="1">1</definedName>
    <definedName name="solver_rel1319" localSheetId="2" hidden="1">1</definedName>
    <definedName name="solver_rel1319" localSheetId="4" hidden="1">1</definedName>
    <definedName name="solver_rel132" localSheetId="2" hidden="1">3</definedName>
    <definedName name="solver_rel132" localSheetId="4" hidden="1">3</definedName>
    <definedName name="solver_rel1320" localSheetId="2" hidden="1">1</definedName>
    <definedName name="solver_rel1320" localSheetId="4" hidden="1">1</definedName>
    <definedName name="solver_rel1321" localSheetId="2" hidden="1">1</definedName>
    <definedName name="solver_rel1321" localSheetId="4" hidden="1">1</definedName>
    <definedName name="solver_rel1322" localSheetId="2" hidden="1">1</definedName>
    <definedName name="solver_rel1322" localSheetId="4" hidden="1">1</definedName>
    <definedName name="solver_rel1323" localSheetId="2" hidden="1">1</definedName>
    <definedName name="solver_rel1323" localSheetId="4" hidden="1">1</definedName>
    <definedName name="solver_rel1324" localSheetId="2" hidden="1">1</definedName>
    <definedName name="solver_rel1324" localSheetId="4" hidden="1">1</definedName>
    <definedName name="solver_rel1325" localSheetId="2" hidden="1">1</definedName>
    <definedName name="solver_rel1325" localSheetId="4" hidden="1">1</definedName>
    <definedName name="solver_rel1326" localSheetId="2" hidden="1">1</definedName>
    <definedName name="solver_rel1326" localSheetId="4" hidden="1">1</definedName>
    <definedName name="solver_rel1327" localSheetId="2" hidden="1">1</definedName>
    <definedName name="solver_rel1327" localSheetId="4" hidden="1">1</definedName>
    <definedName name="solver_rel1328" localSheetId="2" hidden="1">1</definedName>
    <definedName name="solver_rel1328" localSheetId="4" hidden="1">1</definedName>
    <definedName name="solver_rel1329" localSheetId="2" hidden="1">1</definedName>
    <definedName name="solver_rel1329" localSheetId="4" hidden="1">1</definedName>
    <definedName name="solver_rel133" localSheetId="2" hidden="1">3</definedName>
    <definedName name="solver_rel133" localSheetId="4" hidden="1">3</definedName>
    <definedName name="solver_rel1330" localSheetId="2" hidden="1">1</definedName>
    <definedName name="solver_rel1330" localSheetId="4" hidden="1">1</definedName>
    <definedName name="solver_rel1331" localSheetId="2" hidden="1">1</definedName>
    <definedName name="solver_rel1331" localSheetId="4" hidden="1">1</definedName>
    <definedName name="solver_rel1332" localSheetId="2" hidden="1">1</definedName>
    <definedName name="solver_rel1332" localSheetId="4" hidden="1">1</definedName>
    <definedName name="solver_rel1333" localSheetId="2" hidden="1">3</definedName>
    <definedName name="solver_rel1333" localSheetId="4" hidden="1">3</definedName>
    <definedName name="solver_rel1334" localSheetId="2" hidden="1">3</definedName>
    <definedName name="solver_rel1334" localSheetId="4" hidden="1">3</definedName>
    <definedName name="solver_rel1335" localSheetId="2" hidden="1">1</definedName>
    <definedName name="solver_rel1335" localSheetId="4" hidden="1">1</definedName>
    <definedName name="solver_rel1336" localSheetId="2" hidden="1">3</definedName>
    <definedName name="solver_rel1336" localSheetId="4" hidden="1">3</definedName>
    <definedName name="solver_rel1337" localSheetId="2" hidden="1">1</definedName>
    <definedName name="solver_rel1337" localSheetId="4" hidden="1">1</definedName>
    <definedName name="solver_rel1338" localSheetId="2" hidden="1">3</definedName>
    <definedName name="solver_rel1338" localSheetId="4" hidden="1">3</definedName>
    <definedName name="solver_rel1339" localSheetId="2" hidden="1">3</definedName>
    <definedName name="solver_rel1339" localSheetId="4" hidden="1">3</definedName>
    <definedName name="solver_rel134" localSheetId="2" hidden="1">3</definedName>
    <definedName name="solver_rel134" localSheetId="4" hidden="1">3</definedName>
    <definedName name="solver_rel1340" localSheetId="2" hidden="1">3</definedName>
    <definedName name="solver_rel1340" localSheetId="4" hidden="1">3</definedName>
    <definedName name="solver_rel1341" localSheetId="2" hidden="1">3</definedName>
    <definedName name="solver_rel1341" localSheetId="4" hidden="1">3</definedName>
    <definedName name="solver_rel1342" localSheetId="2" hidden="1">3</definedName>
    <definedName name="solver_rel1342" localSheetId="4" hidden="1">3</definedName>
    <definedName name="solver_rel1343" localSheetId="2" hidden="1">3</definedName>
    <definedName name="solver_rel1343" localSheetId="4" hidden="1">3</definedName>
    <definedName name="solver_rel1344" localSheetId="2" hidden="1">1</definedName>
    <definedName name="solver_rel1344" localSheetId="4" hidden="1">1</definedName>
    <definedName name="solver_rel1345" localSheetId="2" hidden="1">3</definedName>
    <definedName name="solver_rel1345" localSheetId="4" hidden="1">3</definedName>
    <definedName name="solver_rel1346" localSheetId="2" hidden="1">3</definedName>
    <definedName name="solver_rel1346" localSheetId="4" hidden="1">3</definedName>
    <definedName name="solver_rel1347" localSheetId="2" hidden="1">3</definedName>
    <definedName name="solver_rel1347" localSheetId="4" hidden="1">3</definedName>
    <definedName name="solver_rel1348" localSheetId="2" hidden="1">3</definedName>
    <definedName name="solver_rel1348" localSheetId="4" hidden="1">3</definedName>
    <definedName name="solver_rel1349" localSheetId="2" hidden="1">1</definedName>
    <definedName name="solver_rel1349" localSheetId="4" hidden="1">1</definedName>
    <definedName name="solver_rel135" localSheetId="2" hidden="1">3</definedName>
    <definedName name="solver_rel135" localSheetId="4" hidden="1">3</definedName>
    <definedName name="solver_rel1350" localSheetId="2" hidden="1">3</definedName>
    <definedName name="solver_rel1350" localSheetId="4" hidden="1">3</definedName>
    <definedName name="solver_rel1351" localSheetId="2" hidden="1">3</definedName>
    <definedName name="solver_rel1351" localSheetId="4" hidden="1">3</definedName>
    <definedName name="solver_rel1352" localSheetId="2" hidden="1">3</definedName>
    <definedName name="solver_rel1352" localSheetId="4" hidden="1">3</definedName>
    <definedName name="solver_rel1353" localSheetId="2" hidden="1">3</definedName>
    <definedName name="solver_rel1353" localSheetId="4" hidden="1">3</definedName>
    <definedName name="solver_rel1354" localSheetId="2" hidden="1">3</definedName>
    <definedName name="solver_rel1354" localSheetId="4" hidden="1">3</definedName>
    <definedName name="solver_rel1355" localSheetId="2" hidden="1">3</definedName>
    <definedName name="solver_rel1355" localSheetId="4" hidden="1">3</definedName>
    <definedName name="solver_rel1356" localSheetId="2" hidden="1">3</definedName>
    <definedName name="solver_rel1356" localSheetId="4" hidden="1">3</definedName>
    <definedName name="solver_rel1357" localSheetId="2" hidden="1">3</definedName>
    <definedName name="solver_rel1357" localSheetId="4" hidden="1">3</definedName>
    <definedName name="solver_rel1358" localSheetId="2" hidden="1">3</definedName>
    <definedName name="solver_rel1358" localSheetId="4" hidden="1">3</definedName>
    <definedName name="solver_rel1359" localSheetId="2" hidden="1">3</definedName>
    <definedName name="solver_rel1359" localSheetId="4" hidden="1">3</definedName>
    <definedName name="solver_rel136" localSheetId="2" hidden="1">3</definedName>
    <definedName name="solver_rel136" localSheetId="4" hidden="1">3</definedName>
    <definedName name="solver_rel1360" localSheetId="2" hidden="1">3</definedName>
    <definedName name="solver_rel1360" localSheetId="4" hidden="1">3</definedName>
    <definedName name="solver_rel1361" localSheetId="2" hidden="1">3</definedName>
    <definedName name="solver_rel1361" localSheetId="4" hidden="1">3</definedName>
    <definedName name="solver_rel1362" localSheetId="2" hidden="1">3</definedName>
    <definedName name="solver_rel1362" localSheetId="4" hidden="1">3</definedName>
    <definedName name="solver_rel1363" localSheetId="2" hidden="1">3</definedName>
    <definedName name="solver_rel1363" localSheetId="4" hidden="1">3</definedName>
    <definedName name="solver_rel1364" localSheetId="2" hidden="1">3</definedName>
    <definedName name="solver_rel1364" localSheetId="4" hidden="1">3</definedName>
    <definedName name="solver_rel1365" localSheetId="2" hidden="1">3</definedName>
    <definedName name="solver_rel1365" localSheetId="4" hidden="1">3</definedName>
    <definedName name="solver_rel1366" localSheetId="2" hidden="1">3</definedName>
    <definedName name="solver_rel1366" localSheetId="4" hidden="1">3</definedName>
    <definedName name="solver_rel1367" localSheetId="2" hidden="1">3</definedName>
    <definedName name="solver_rel1367" localSheetId="4" hidden="1">3</definedName>
    <definedName name="solver_rel1368" localSheetId="2" hidden="1">3</definedName>
    <definedName name="solver_rel1368" localSheetId="4" hidden="1">3</definedName>
    <definedName name="solver_rel1369" localSheetId="2" hidden="1">3</definedName>
    <definedName name="solver_rel1369" localSheetId="4" hidden="1">3</definedName>
    <definedName name="solver_rel137" localSheetId="2" hidden="1">3</definedName>
    <definedName name="solver_rel137" localSheetId="4" hidden="1">3</definedName>
    <definedName name="solver_rel1370" localSheetId="2" hidden="1">3</definedName>
    <definedName name="solver_rel1370" localSheetId="4" hidden="1">3</definedName>
    <definedName name="solver_rel1371" localSheetId="2" hidden="1">3</definedName>
    <definedName name="solver_rel1371" localSheetId="4" hidden="1">3</definedName>
    <definedName name="solver_rel1372" localSheetId="2" hidden="1">3</definedName>
    <definedName name="solver_rel1372" localSheetId="4" hidden="1">3</definedName>
    <definedName name="solver_rel1373" localSheetId="2" hidden="1">3</definedName>
    <definedName name="solver_rel1373" localSheetId="4" hidden="1">3</definedName>
    <definedName name="solver_rel1374" localSheetId="2" hidden="1">3</definedName>
    <definedName name="solver_rel1374" localSheetId="4" hidden="1">3</definedName>
    <definedName name="solver_rel1375" localSheetId="2" hidden="1">3</definedName>
    <definedName name="solver_rel1375" localSheetId="4" hidden="1">3</definedName>
    <definedName name="solver_rel1376" localSheetId="2" hidden="1">3</definedName>
    <definedName name="solver_rel1376" localSheetId="4" hidden="1">3</definedName>
    <definedName name="solver_rel1377" localSheetId="2" hidden="1">3</definedName>
    <definedName name="solver_rel1377" localSheetId="4" hidden="1">3</definedName>
    <definedName name="solver_rel1378" localSheetId="2" hidden="1">3</definedName>
    <definedName name="solver_rel1378" localSheetId="4" hidden="1">3</definedName>
    <definedName name="solver_rel1379" localSheetId="2" hidden="1">3</definedName>
    <definedName name="solver_rel1379" localSheetId="4" hidden="1">3</definedName>
    <definedName name="solver_rel138" localSheetId="2" hidden="1">3</definedName>
    <definedName name="solver_rel138" localSheetId="4" hidden="1">3</definedName>
    <definedName name="solver_rel1380" localSheetId="2" hidden="1">3</definedName>
    <definedName name="solver_rel1380" localSheetId="4" hidden="1">3</definedName>
    <definedName name="solver_rel1381" localSheetId="2" hidden="1">3</definedName>
    <definedName name="solver_rel1381" localSheetId="4" hidden="1">3</definedName>
    <definedName name="solver_rel1382" localSheetId="2" hidden="1">3</definedName>
    <definedName name="solver_rel1382" localSheetId="4" hidden="1">3</definedName>
    <definedName name="solver_rel1383" localSheetId="2" hidden="1">3</definedName>
    <definedName name="solver_rel1383" localSheetId="4" hidden="1">3</definedName>
    <definedName name="solver_rel1384" localSheetId="2" hidden="1">3</definedName>
    <definedName name="solver_rel1384" localSheetId="4" hidden="1">3</definedName>
    <definedName name="solver_rel1385" localSheetId="2" hidden="1">3</definedName>
    <definedName name="solver_rel1385" localSheetId="4" hidden="1">3</definedName>
    <definedName name="solver_rel1386" localSheetId="2" hidden="1">3</definedName>
    <definedName name="solver_rel1386" localSheetId="4" hidden="1">3</definedName>
    <definedName name="solver_rel1387" localSheetId="2" hidden="1">3</definedName>
    <definedName name="solver_rel1387" localSheetId="4" hidden="1">3</definedName>
    <definedName name="solver_rel1388" localSheetId="2" hidden="1">3</definedName>
    <definedName name="solver_rel1388" localSheetId="4" hidden="1">3</definedName>
    <definedName name="solver_rel1389" localSheetId="2" hidden="1">3</definedName>
    <definedName name="solver_rel1389" localSheetId="4" hidden="1">3</definedName>
    <definedName name="solver_rel139" localSheetId="2" hidden="1">3</definedName>
    <definedName name="solver_rel139" localSheetId="4" hidden="1">3</definedName>
    <definedName name="solver_rel1390" localSheetId="2" hidden="1">3</definedName>
    <definedName name="solver_rel1390" localSheetId="4" hidden="1">3</definedName>
    <definedName name="solver_rel1391" localSheetId="2" hidden="1">3</definedName>
    <definedName name="solver_rel1391" localSheetId="4" hidden="1">3</definedName>
    <definedName name="solver_rel1392" localSheetId="2" hidden="1">3</definedName>
    <definedName name="solver_rel1392" localSheetId="4" hidden="1">3</definedName>
    <definedName name="solver_rel1393" localSheetId="2" hidden="1">3</definedName>
    <definedName name="solver_rel1393" localSheetId="4" hidden="1">3</definedName>
    <definedName name="solver_rel1394" localSheetId="2" hidden="1">3</definedName>
    <definedName name="solver_rel1394" localSheetId="4" hidden="1">3</definedName>
    <definedName name="solver_rel1395" localSheetId="2" hidden="1">3</definedName>
    <definedName name="solver_rel1395" localSheetId="4" hidden="1">3</definedName>
    <definedName name="solver_rel1396" localSheetId="2" hidden="1">3</definedName>
    <definedName name="solver_rel1396" localSheetId="4" hidden="1">3</definedName>
    <definedName name="solver_rel1397" localSheetId="2" hidden="1">3</definedName>
    <definedName name="solver_rel1397" localSheetId="4" hidden="1">3</definedName>
    <definedName name="solver_rel1398" localSheetId="2" hidden="1">3</definedName>
    <definedName name="solver_rel1398" localSheetId="4" hidden="1">3</definedName>
    <definedName name="solver_rel1399" localSheetId="2" hidden="1">3</definedName>
    <definedName name="solver_rel1399" localSheetId="4" hidden="1">3</definedName>
    <definedName name="solver_rel14" localSheetId="0" hidden="1">3</definedName>
    <definedName name="solver_rel14" localSheetId="2" hidden="1">3</definedName>
    <definedName name="solver_rel14" localSheetId="4" hidden="1">3</definedName>
    <definedName name="solver_rel140" localSheetId="2" hidden="1">3</definedName>
    <definedName name="solver_rel140" localSheetId="4" hidden="1">3</definedName>
    <definedName name="solver_rel1400" localSheetId="2" hidden="1">3</definedName>
    <definedName name="solver_rel1400" localSheetId="4" hidden="1">3</definedName>
    <definedName name="solver_rel1401" localSheetId="2" hidden="1">3</definedName>
    <definedName name="solver_rel1401" localSheetId="4" hidden="1">3</definedName>
    <definedName name="solver_rel1402" localSheetId="2" hidden="1">3</definedName>
    <definedName name="solver_rel1402" localSheetId="4" hidden="1">3</definedName>
    <definedName name="solver_rel1403" localSheetId="2" hidden="1">3</definedName>
    <definedName name="solver_rel1403" localSheetId="4" hidden="1">3</definedName>
    <definedName name="solver_rel1404" localSheetId="2" hidden="1">3</definedName>
    <definedName name="solver_rel1404" localSheetId="4" hidden="1">3</definedName>
    <definedName name="solver_rel1405" localSheetId="2" hidden="1">3</definedName>
    <definedName name="solver_rel1405" localSheetId="4" hidden="1">3</definedName>
    <definedName name="solver_rel1406" localSheetId="2" hidden="1">3</definedName>
    <definedName name="solver_rel1406" localSheetId="4" hidden="1">3</definedName>
    <definedName name="solver_rel1407" localSheetId="2" hidden="1">3</definedName>
    <definedName name="solver_rel1407" localSheetId="4" hidden="1">3</definedName>
    <definedName name="solver_rel1408" localSheetId="2" hidden="1">3</definedName>
    <definedName name="solver_rel1408" localSheetId="4" hidden="1">3</definedName>
    <definedName name="solver_rel1409" localSheetId="2" hidden="1">3</definedName>
    <definedName name="solver_rel1409" localSheetId="4" hidden="1">3</definedName>
    <definedName name="solver_rel141" localSheetId="2" hidden="1">3</definedName>
    <definedName name="solver_rel141" localSheetId="4" hidden="1">3</definedName>
    <definedName name="solver_rel1410" localSheetId="2" hidden="1">3</definedName>
    <definedName name="solver_rel1410" localSheetId="4" hidden="1">3</definedName>
    <definedName name="solver_rel1411" localSheetId="2" hidden="1">3</definedName>
    <definedName name="solver_rel1411" localSheetId="4" hidden="1">3</definedName>
    <definedName name="solver_rel1412" localSheetId="2" hidden="1">3</definedName>
    <definedName name="solver_rel1412" localSheetId="4" hidden="1">3</definedName>
    <definedName name="solver_rel1413" localSheetId="2" hidden="1">3</definedName>
    <definedName name="solver_rel1413" localSheetId="4" hidden="1">3</definedName>
    <definedName name="solver_rel1414" localSheetId="2" hidden="1">3</definedName>
    <definedName name="solver_rel1414" localSheetId="4" hidden="1">3</definedName>
    <definedName name="solver_rel1415" localSheetId="2" hidden="1">3</definedName>
    <definedName name="solver_rel1415" localSheetId="4" hidden="1">3</definedName>
    <definedName name="solver_rel1416" localSheetId="2" hidden="1">3</definedName>
    <definedName name="solver_rel1416" localSheetId="4" hidden="1">3</definedName>
    <definedName name="solver_rel1417" localSheetId="2" hidden="1">3</definedName>
    <definedName name="solver_rel1417" localSheetId="4" hidden="1">3</definedName>
    <definedName name="solver_rel1418" localSheetId="2" hidden="1">3</definedName>
    <definedName name="solver_rel1418" localSheetId="4" hidden="1">3</definedName>
    <definedName name="solver_rel1419" localSheetId="2" hidden="1">3</definedName>
    <definedName name="solver_rel1419" localSheetId="4" hidden="1">3</definedName>
    <definedName name="solver_rel142" localSheetId="2" hidden="1">3</definedName>
    <definedName name="solver_rel142" localSheetId="4" hidden="1">3</definedName>
    <definedName name="solver_rel1420" localSheetId="2" hidden="1">3</definedName>
    <definedName name="solver_rel1420" localSheetId="4" hidden="1">3</definedName>
    <definedName name="solver_rel1421" localSheetId="2" hidden="1">3</definedName>
    <definedName name="solver_rel1421" localSheetId="4" hidden="1">3</definedName>
    <definedName name="solver_rel1422" localSheetId="2" hidden="1">3</definedName>
    <definedName name="solver_rel1422" localSheetId="4" hidden="1">3</definedName>
    <definedName name="solver_rel1423" localSheetId="2" hidden="1">3</definedName>
    <definedName name="solver_rel1423" localSheetId="4" hidden="1">3</definedName>
    <definedName name="solver_rel1424" localSheetId="2" hidden="1">3</definedName>
    <definedName name="solver_rel1424" localSheetId="4" hidden="1">3</definedName>
    <definedName name="solver_rel1425" localSheetId="2" hidden="1">3</definedName>
    <definedName name="solver_rel1425" localSheetId="4" hidden="1">3</definedName>
    <definedName name="solver_rel1426" localSheetId="2" hidden="1">3</definedName>
    <definedName name="solver_rel1426" localSheetId="4" hidden="1">3</definedName>
    <definedName name="solver_rel1427" localSheetId="2" hidden="1">3</definedName>
    <definedName name="solver_rel1427" localSheetId="4" hidden="1">3</definedName>
    <definedName name="solver_rel1428" localSheetId="2" hidden="1">3</definedName>
    <definedName name="solver_rel1428" localSheetId="4" hidden="1">3</definedName>
    <definedName name="solver_rel1429" localSheetId="2" hidden="1">3</definedName>
    <definedName name="solver_rel1429" localSheetId="4" hidden="1">3</definedName>
    <definedName name="solver_rel143" localSheetId="2" hidden="1">3</definedName>
    <definedName name="solver_rel143" localSheetId="4" hidden="1">3</definedName>
    <definedName name="solver_rel1430" localSheetId="2" hidden="1">3</definedName>
    <definedName name="solver_rel1430" localSheetId="4" hidden="1">3</definedName>
    <definedName name="solver_rel1431" localSheetId="2" hidden="1">3</definedName>
    <definedName name="solver_rel1431" localSheetId="4" hidden="1">3</definedName>
    <definedName name="solver_rel1432" localSheetId="2" hidden="1">3</definedName>
    <definedName name="solver_rel1432" localSheetId="4" hidden="1">3</definedName>
    <definedName name="solver_rel1433" localSheetId="2" hidden="1">3</definedName>
    <definedName name="solver_rel1433" localSheetId="4" hidden="1">3</definedName>
    <definedName name="solver_rel1434" localSheetId="2" hidden="1">3</definedName>
    <definedName name="solver_rel1434" localSheetId="4" hidden="1">3</definedName>
    <definedName name="solver_rel1435" localSheetId="2" hidden="1">3</definedName>
    <definedName name="solver_rel1435" localSheetId="4" hidden="1">3</definedName>
    <definedName name="solver_rel1436" localSheetId="2" hidden="1">3</definedName>
    <definedName name="solver_rel1436" localSheetId="4" hidden="1">3</definedName>
    <definedName name="solver_rel1437" localSheetId="2" hidden="1">3</definedName>
    <definedName name="solver_rel1437" localSheetId="4" hidden="1">3</definedName>
    <definedName name="solver_rel1438" localSheetId="2" hidden="1">3</definedName>
    <definedName name="solver_rel1438" localSheetId="4" hidden="1">3</definedName>
    <definedName name="solver_rel1439" localSheetId="2" hidden="1">3</definedName>
    <definedName name="solver_rel1439" localSheetId="4" hidden="1">3</definedName>
    <definedName name="solver_rel144" localSheetId="2" hidden="1">3</definedName>
    <definedName name="solver_rel144" localSheetId="4" hidden="1">3</definedName>
    <definedName name="solver_rel1440" localSheetId="2" hidden="1">3</definedName>
    <definedName name="solver_rel1440" localSheetId="4" hidden="1">3</definedName>
    <definedName name="solver_rel1441" localSheetId="2" hidden="1">3</definedName>
    <definedName name="solver_rel1441" localSheetId="4" hidden="1">3</definedName>
    <definedName name="solver_rel1442" localSheetId="2" hidden="1">3</definedName>
    <definedName name="solver_rel1442" localSheetId="4" hidden="1">3</definedName>
    <definedName name="solver_rel1443" localSheetId="2" hidden="1">3</definedName>
    <definedName name="solver_rel1443" localSheetId="4" hidden="1">3</definedName>
    <definedName name="solver_rel1444" localSheetId="2" hidden="1">3</definedName>
    <definedName name="solver_rel1444" localSheetId="4" hidden="1">3</definedName>
    <definedName name="solver_rel1445" localSheetId="2" hidden="1">3</definedName>
    <definedName name="solver_rel1445" localSheetId="4" hidden="1">3</definedName>
    <definedName name="solver_rel1446" localSheetId="2" hidden="1">3</definedName>
    <definedName name="solver_rel1446" localSheetId="4" hidden="1">3</definedName>
    <definedName name="solver_rel1447" localSheetId="2" hidden="1">3</definedName>
    <definedName name="solver_rel1447" localSheetId="4" hidden="1">3</definedName>
    <definedName name="solver_rel1448" localSheetId="2" hidden="1">3</definedName>
    <definedName name="solver_rel1448" localSheetId="4" hidden="1">3</definedName>
    <definedName name="solver_rel1449" localSheetId="2" hidden="1">3</definedName>
    <definedName name="solver_rel1449" localSheetId="4" hidden="1">3</definedName>
    <definedName name="solver_rel145" localSheetId="2" hidden="1">3</definedName>
    <definedName name="solver_rel145" localSheetId="4" hidden="1">3</definedName>
    <definedName name="solver_rel1450" localSheetId="2" hidden="1">3</definedName>
    <definedName name="solver_rel1450" localSheetId="4" hidden="1">3</definedName>
    <definedName name="solver_rel1451" localSheetId="2" hidden="1">3</definedName>
    <definedName name="solver_rel1451" localSheetId="4" hidden="1">3</definedName>
    <definedName name="solver_rel1452" localSheetId="2" hidden="1">3</definedName>
    <definedName name="solver_rel1452" localSheetId="4" hidden="1">3</definedName>
    <definedName name="solver_rel1453" localSheetId="2" hidden="1">3</definedName>
    <definedName name="solver_rel1453" localSheetId="4" hidden="1">3</definedName>
    <definedName name="solver_rel1454" localSheetId="2" hidden="1">3</definedName>
    <definedName name="solver_rel1454" localSheetId="4" hidden="1">3</definedName>
    <definedName name="solver_rel1455" localSheetId="2" hidden="1">3</definedName>
    <definedName name="solver_rel1455" localSheetId="4" hidden="1">3</definedName>
    <definedName name="solver_rel1456" localSheetId="2" hidden="1">3</definedName>
    <definedName name="solver_rel1456" localSheetId="4" hidden="1">3</definedName>
    <definedName name="solver_rel1457" localSheetId="2" hidden="1">3</definedName>
    <definedName name="solver_rel1457" localSheetId="4" hidden="1">3</definedName>
    <definedName name="solver_rel1458" localSheetId="2" hidden="1">3</definedName>
    <definedName name="solver_rel1458" localSheetId="4" hidden="1">3</definedName>
    <definedName name="solver_rel1459" localSheetId="2" hidden="1">3</definedName>
    <definedName name="solver_rel1459" localSheetId="4" hidden="1">3</definedName>
    <definedName name="solver_rel146" localSheetId="2" hidden="1">3</definedName>
    <definedName name="solver_rel146" localSheetId="4" hidden="1">3</definedName>
    <definedName name="solver_rel1460" localSheetId="2" hidden="1">3</definedName>
    <definedName name="solver_rel1460" localSheetId="4" hidden="1">3</definedName>
    <definedName name="solver_rel1461" localSheetId="2" hidden="1">3</definedName>
    <definedName name="solver_rel1461" localSheetId="4" hidden="1">3</definedName>
    <definedName name="solver_rel1462" localSheetId="2" hidden="1">3</definedName>
    <definedName name="solver_rel1462" localSheetId="4" hidden="1">3</definedName>
    <definedName name="solver_rel1463" localSheetId="2" hidden="1">3</definedName>
    <definedName name="solver_rel1463" localSheetId="4" hidden="1">3</definedName>
    <definedName name="solver_rel1464" localSheetId="2" hidden="1">3</definedName>
    <definedName name="solver_rel1464" localSheetId="4" hidden="1">3</definedName>
    <definedName name="solver_rel1465" localSheetId="2" hidden="1">3</definedName>
    <definedName name="solver_rel1465" localSheetId="4" hidden="1">3</definedName>
    <definedName name="solver_rel1466" localSheetId="2" hidden="1">3</definedName>
    <definedName name="solver_rel1466" localSheetId="4" hidden="1">3</definedName>
    <definedName name="solver_rel1467" localSheetId="2" hidden="1">3</definedName>
    <definedName name="solver_rel1467" localSheetId="4" hidden="1">3</definedName>
    <definedName name="solver_rel1468" localSheetId="2" hidden="1">3</definedName>
    <definedName name="solver_rel1468" localSheetId="4" hidden="1">3</definedName>
    <definedName name="solver_rel1469" localSheetId="2" hidden="1">3</definedName>
    <definedName name="solver_rel1469" localSheetId="4" hidden="1">3</definedName>
    <definedName name="solver_rel147" localSheetId="2" hidden="1">3</definedName>
    <definedName name="solver_rel147" localSheetId="4" hidden="1">3</definedName>
    <definedName name="solver_rel1470" localSheetId="2" hidden="1">3</definedName>
    <definedName name="solver_rel1470" localSheetId="4" hidden="1">3</definedName>
    <definedName name="solver_rel1471" localSheetId="2" hidden="1">3</definedName>
    <definedName name="solver_rel1471" localSheetId="4" hidden="1">3</definedName>
    <definedName name="solver_rel1472" localSheetId="2" hidden="1">3</definedName>
    <definedName name="solver_rel1472" localSheetId="4" hidden="1">3</definedName>
    <definedName name="solver_rel1473" localSheetId="2" hidden="1">3</definedName>
    <definedName name="solver_rel1473" localSheetId="4" hidden="1">3</definedName>
    <definedName name="solver_rel1474" localSheetId="2" hidden="1">3</definedName>
    <definedName name="solver_rel1474" localSheetId="4" hidden="1">3</definedName>
    <definedName name="solver_rel1475" localSheetId="2" hidden="1">3</definedName>
    <definedName name="solver_rel1475" localSheetId="4" hidden="1">3</definedName>
    <definedName name="solver_rel1476" localSheetId="2" hidden="1">3</definedName>
    <definedName name="solver_rel1476" localSheetId="4" hidden="1">3</definedName>
    <definedName name="solver_rel1477" localSheetId="2" hidden="1">3</definedName>
    <definedName name="solver_rel1477" localSheetId="4" hidden="1">3</definedName>
    <definedName name="solver_rel1478" localSheetId="2" hidden="1">3</definedName>
    <definedName name="solver_rel1478" localSheetId="4" hidden="1">3</definedName>
    <definedName name="solver_rel1479" localSheetId="2" hidden="1">3</definedName>
    <definedName name="solver_rel1479" localSheetId="4" hidden="1">3</definedName>
    <definedName name="solver_rel148" localSheetId="2" hidden="1">3</definedName>
    <definedName name="solver_rel148" localSheetId="4" hidden="1">3</definedName>
    <definedName name="solver_rel1480" localSheetId="2" hidden="1">3</definedName>
    <definedName name="solver_rel1480" localSheetId="4" hidden="1">3</definedName>
    <definedName name="solver_rel1481" localSheetId="2" hidden="1">3</definedName>
    <definedName name="solver_rel1481" localSheetId="4" hidden="1">3</definedName>
    <definedName name="solver_rel1482" localSheetId="2" hidden="1">3</definedName>
    <definedName name="solver_rel1482" localSheetId="4" hidden="1">3</definedName>
    <definedName name="solver_rel1483" localSheetId="2" hidden="1">3</definedName>
    <definedName name="solver_rel1483" localSheetId="4" hidden="1">3</definedName>
    <definedName name="solver_rel1484" localSheetId="2" hidden="1">3</definedName>
    <definedName name="solver_rel1484" localSheetId="4" hidden="1">3</definedName>
    <definedName name="solver_rel1485" localSheetId="2" hidden="1">3</definedName>
    <definedName name="solver_rel1485" localSheetId="4" hidden="1">3</definedName>
    <definedName name="solver_rel1486" localSheetId="2" hidden="1">3</definedName>
    <definedName name="solver_rel1486" localSheetId="4" hidden="1">3</definedName>
    <definedName name="solver_rel1487" localSheetId="2" hidden="1">3</definedName>
    <definedName name="solver_rel1487" localSheetId="4" hidden="1">3</definedName>
    <definedName name="solver_rel1488" localSheetId="2" hidden="1">3</definedName>
    <definedName name="solver_rel1488" localSheetId="4" hidden="1">3</definedName>
    <definedName name="solver_rel1489" localSheetId="2" hidden="1">3</definedName>
    <definedName name="solver_rel1489" localSheetId="4" hidden="1">3</definedName>
    <definedName name="solver_rel149" localSheetId="2" hidden="1">3</definedName>
    <definedName name="solver_rel149" localSheetId="4" hidden="1">3</definedName>
    <definedName name="solver_rel1490" localSheetId="2" hidden="1">3</definedName>
    <definedName name="solver_rel1490" localSheetId="4" hidden="1">3</definedName>
    <definedName name="solver_rel1491" localSheetId="2" hidden="1">3</definedName>
    <definedName name="solver_rel1491" localSheetId="4" hidden="1">3</definedName>
    <definedName name="solver_rel1492" localSheetId="2" hidden="1">3</definedName>
    <definedName name="solver_rel1492" localSheetId="4" hidden="1">3</definedName>
    <definedName name="solver_rel1493" localSheetId="2" hidden="1">3</definedName>
    <definedName name="solver_rel1493" localSheetId="4" hidden="1">3</definedName>
    <definedName name="solver_rel1494" localSheetId="2" hidden="1">3</definedName>
    <definedName name="solver_rel1494" localSheetId="4" hidden="1">3</definedName>
    <definedName name="solver_rel1495" localSheetId="2" hidden="1">3</definedName>
    <definedName name="solver_rel1495" localSheetId="4" hidden="1">3</definedName>
    <definedName name="solver_rel1496" localSheetId="2" hidden="1">3</definedName>
    <definedName name="solver_rel1496" localSheetId="4" hidden="1">3</definedName>
    <definedName name="solver_rel1497" localSheetId="2" hidden="1">3</definedName>
    <definedName name="solver_rel1497" localSheetId="4" hidden="1">3</definedName>
    <definedName name="solver_rel1498" localSheetId="2" hidden="1">3</definedName>
    <definedName name="solver_rel1498" localSheetId="4" hidden="1">3</definedName>
    <definedName name="solver_rel1499" localSheetId="2" hidden="1">3</definedName>
    <definedName name="solver_rel1499" localSheetId="4" hidden="1">3</definedName>
    <definedName name="solver_rel15" localSheetId="0" hidden="1">1</definedName>
    <definedName name="solver_rel15" localSheetId="2" hidden="1">3</definedName>
    <definedName name="solver_rel15" localSheetId="4" hidden="1">3</definedName>
    <definedName name="solver_rel150" localSheetId="2" hidden="1">3</definedName>
    <definedName name="solver_rel150" localSheetId="4" hidden="1">3</definedName>
    <definedName name="solver_rel1500" localSheetId="2" hidden="1">3</definedName>
    <definedName name="solver_rel1500" localSheetId="4" hidden="1">3</definedName>
    <definedName name="solver_rel1501" localSheetId="2" hidden="1">3</definedName>
    <definedName name="solver_rel1501" localSheetId="4" hidden="1">3</definedName>
    <definedName name="solver_rel1502" localSheetId="2" hidden="1">3</definedName>
    <definedName name="solver_rel1502" localSheetId="4" hidden="1">3</definedName>
    <definedName name="solver_rel1503" localSheetId="2" hidden="1">3</definedName>
    <definedName name="solver_rel1503" localSheetId="4" hidden="1">3</definedName>
    <definedName name="solver_rel1504" localSheetId="2" hidden="1">3</definedName>
    <definedName name="solver_rel1504" localSheetId="4" hidden="1">3</definedName>
    <definedName name="solver_rel1505" localSheetId="2" hidden="1">3</definedName>
    <definedName name="solver_rel1505" localSheetId="4" hidden="1">3</definedName>
    <definedName name="solver_rel1506" localSheetId="2" hidden="1">3</definedName>
    <definedName name="solver_rel1506" localSheetId="4" hidden="1">3</definedName>
    <definedName name="solver_rel1507" localSheetId="2" hidden="1">3</definedName>
    <definedName name="solver_rel1507" localSheetId="4" hidden="1">3</definedName>
    <definedName name="solver_rel1508" localSheetId="2" hidden="1">3</definedName>
    <definedName name="solver_rel1508" localSheetId="4" hidden="1">3</definedName>
    <definedName name="solver_rel1509" localSheetId="2" hidden="1">3</definedName>
    <definedName name="solver_rel1509" localSheetId="4" hidden="1">3</definedName>
    <definedName name="solver_rel151" localSheetId="2" hidden="1">3</definedName>
    <definedName name="solver_rel151" localSheetId="4" hidden="1">3</definedName>
    <definedName name="solver_rel1510" localSheetId="2" hidden="1">3</definedName>
    <definedName name="solver_rel1510" localSheetId="4" hidden="1">3</definedName>
    <definedName name="solver_rel1511" localSheetId="2" hidden="1">3</definedName>
    <definedName name="solver_rel1511" localSheetId="4" hidden="1">3</definedName>
    <definedName name="solver_rel1512" localSheetId="2" hidden="1">3</definedName>
    <definedName name="solver_rel1512" localSheetId="4" hidden="1">3</definedName>
    <definedName name="solver_rel1513" localSheetId="2" hidden="1">3</definedName>
    <definedName name="solver_rel1513" localSheetId="4" hidden="1">3</definedName>
    <definedName name="solver_rel1514" localSheetId="2" hidden="1">3</definedName>
    <definedName name="solver_rel1514" localSheetId="4" hidden="1">3</definedName>
    <definedName name="solver_rel1515" localSheetId="2" hidden="1">3</definedName>
    <definedName name="solver_rel1515" localSheetId="4" hidden="1">3</definedName>
    <definedName name="solver_rel1516" localSheetId="2" hidden="1">3</definedName>
    <definedName name="solver_rel1516" localSheetId="4" hidden="1">3</definedName>
    <definedName name="solver_rel1517" localSheetId="2" hidden="1">3</definedName>
    <definedName name="solver_rel1517" localSheetId="4" hidden="1">3</definedName>
    <definedName name="solver_rel1518" localSheetId="2" hidden="1">3</definedName>
    <definedName name="solver_rel1518" localSheetId="4" hidden="1">3</definedName>
    <definedName name="solver_rel1519" localSheetId="2" hidden="1">3</definedName>
    <definedName name="solver_rel1519" localSheetId="4" hidden="1">3</definedName>
    <definedName name="solver_rel152" localSheetId="2" hidden="1">3</definedName>
    <definedName name="solver_rel152" localSheetId="4" hidden="1">3</definedName>
    <definedName name="solver_rel1520" localSheetId="2" hidden="1">3</definedName>
    <definedName name="solver_rel1520" localSheetId="4" hidden="1">3</definedName>
    <definedName name="solver_rel1521" localSheetId="2" hidden="1">3</definedName>
    <definedName name="solver_rel1521" localSheetId="4" hidden="1">3</definedName>
    <definedName name="solver_rel1522" localSheetId="2" hidden="1">3</definedName>
    <definedName name="solver_rel1522" localSheetId="4" hidden="1">3</definedName>
    <definedName name="solver_rel1523" localSheetId="2" hidden="1">3</definedName>
    <definedName name="solver_rel1523" localSheetId="4" hidden="1">3</definedName>
    <definedName name="solver_rel1524" localSheetId="2" hidden="1">3</definedName>
    <definedName name="solver_rel1524" localSheetId="4" hidden="1">3</definedName>
    <definedName name="solver_rel1525" localSheetId="2" hidden="1">3</definedName>
    <definedName name="solver_rel1525" localSheetId="4" hidden="1">3</definedName>
    <definedName name="solver_rel1526" localSheetId="2" hidden="1">3</definedName>
    <definedName name="solver_rel1526" localSheetId="4" hidden="1">3</definedName>
    <definedName name="solver_rel1527" localSheetId="2" hidden="1">3</definedName>
    <definedName name="solver_rel1527" localSheetId="4" hidden="1">3</definedName>
    <definedName name="solver_rel1528" localSheetId="2" hidden="1">3</definedName>
    <definedName name="solver_rel1528" localSheetId="4" hidden="1">3</definedName>
    <definedName name="solver_rel1529" localSheetId="2" hidden="1">3</definedName>
    <definedName name="solver_rel1529" localSheetId="4" hidden="1">3</definedName>
    <definedName name="solver_rel153" localSheetId="2" hidden="1">3</definedName>
    <definedName name="solver_rel153" localSheetId="4" hidden="1">3</definedName>
    <definedName name="solver_rel1530" localSheetId="2" hidden="1">3</definedName>
    <definedName name="solver_rel1530" localSheetId="4" hidden="1">3</definedName>
    <definedName name="solver_rel1531" localSheetId="2" hidden="1">3</definedName>
    <definedName name="solver_rel1531" localSheetId="4" hidden="1">3</definedName>
    <definedName name="solver_rel1532" localSheetId="2" hidden="1">3</definedName>
    <definedName name="solver_rel1532" localSheetId="4" hidden="1">3</definedName>
    <definedName name="solver_rel1533" localSheetId="2" hidden="1">3</definedName>
    <definedName name="solver_rel1533" localSheetId="4" hidden="1">3</definedName>
    <definedName name="solver_rel1534" localSheetId="2" hidden="1">3</definedName>
    <definedName name="solver_rel1534" localSheetId="4" hidden="1">3</definedName>
    <definedName name="solver_rel1535" localSheetId="2" hidden="1">3</definedName>
    <definedName name="solver_rel1535" localSheetId="4" hidden="1">3</definedName>
    <definedName name="solver_rel1536" localSheetId="2" hidden="1">3</definedName>
    <definedName name="solver_rel1536" localSheetId="4" hidden="1">3</definedName>
    <definedName name="solver_rel1537" localSheetId="2" hidden="1">3</definedName>
    <definedName name="solver_rel1537" localSheetId="4" hidden="1">3</definedName>
    <definedName name="solver_rel1538" localSheetId="2" hidden="1">3</definedName>
    <definedName name="solver_rel1538" localSheetId="4" hidden="1">3</definedName>
    <definedName name="solver_rel1539" localSheetId="2" hidden="1">3</definedName>
    <definedName name="solver_rel1539" localSheetId="4" hidden="1">3</definedName>
    <definedName name="solver_rel154" localSheetId="2" hidden="1">3</definedName>
    <definedName name="solver_rel154" localSheetId="4" hidden="1">3</definedName>
    <definedName name="solver_rel1540" localSheetId="2" hidden="1">3</definedName>
    <definedName name="solver_rel1540" localSheetId="4" hidden="1">3</definedName>
    <definedName name="solver_rel1541" localSheetId="2" hidden="1">3</definedName>
    <definedName name="solver_rel1541" localSheetId="4" hidden="1">3</definedName>
    <definedName name="solver_rel1542" localSheetId="2" hidden="1">3</definedName>
    <definedName name="solver_rel1542" localSheetId="4" hidden="1">3</definedName>
    <definedName name="solver_rel1543" localSheetId="2" hidden="1">3</definedName>
    <definedName name="solver_rel1543" localSheetId="4" hidden="1">3</definedName>
    <definedName name="solver_rel1544" localSheetId="2" hidden="1">3</definedName>
    <definedName name="solver_rel1544" localSheetId="4" hidden="1">3</definedName>
    <definedName name="solver_rel1545" localSheetId="2" hidden="1">3</definedName>
    <definedName name="solver_rel1545" localSheetId="4" hidden="1">3</definedName>
    <definedName name="solver_rel1546" localSheetId="2" hidden="1">3</definedName>
    <definedName name="solver_rel1546" localSheetId="4" hidden="1">3</definedName>
    <definedName name="solver_rel1547" localSheetId="2" hidden="1">3</definedName>
    <definedName name="solver_rel1547" localSheetId="4" hidden="1">3</definedName>
    <definedName name="solver_rel1548" localSheetId="2" hidden="1">3</definedName>
    <definedName name="solver_rel1548" localSheetId="4" hidden="1">3</definedName>
    <definedName name="solver_rel1549" localSheetId="2" hidden="1">3</definedName>
    <definedName name="solver_rel1549" localSheetId="4" hidden="1">3</definedName>
    <definedName name="solver_rel155" localSheetId="2" hidden="1">3</definedName>
    <definedName name="solver_rel155" localSheetId="4" hidden="1">3</definedName>
    <definedName name="solver_rel1550" localSheetId="2" hidden="1">3</definedName>
    <definedName name="solver_rel1550" localSheetId="4" hidden="1">3</definedName>
    <definedName name="solver_rel1551" localSheetId="2" hidden="1">3</definedName>
    <definedName name="solver_rel1551" localSheetId="4" hidden="1">3</definedName>
    <definedName name="solver_rel1552" localSheetId="2" hidden="1">3</definedName>
    <definedName name="solver_rel1552" localSheetId="4" hidden="1">3</definedName>
    <definedName name="solver_rel1553" localSheetId="2" hidden="1">3</definedName>
    <definedName name="solver_rel1553" localSheetId="4" hidden="1">3</definedName>
    <definedName name="solver_rel1554" localSheetId="2" hidden="1">2</definedName>
    <definedName name="solver_rel1554" localSheetId="4" hidden="1">2</definedName>
    <definedName name="solver_rel1555" localSheetId="2" hidden="1">3</definedName>
    <definedName name="solver_rel1555" localSheetId="4" hidden="1">3</definedName>
    <definedName name="solver_rel1556" localSheetId="2" hidden="1">2</definedName>
    <definedName name="solver_rel1556" localSheetId="4" hidden="1">2</definedName>
    <definedName name="solver_rel1557" localSheetId="2" hidden="1">3</definedName>
    <definedName name="solver_rel1557" localSheetId="4" hidden="1">3</definedName>
    <definedName name="solver_rel1558" localSheetId="2" hidden="1">2</definedName>
    <definedName name="solver_rel1558" localSheetId="4" hidden="1">2</definedName>
    <definedName name="solver_rel1559" localSheetId="2" hidden="1">3</definedName>
    <definedName name="solver_rel1559" localSheetId="4" hidden="1">3</definedName>
    <definedName name="solver_rel156" localSheetId="2" hidden="1">3</definedName>
    <definedName name="solver_rel156" localSheetId="4" hidden="1">3</definedName>
    <definedName name="solver_rel1560" localSheetId="2" hidden="1">2</definedName>
    <definedName name="solver_rel1560" localSheetId="4" hidden="1">2</definedName>
    <definedName name="solver_rel1561" localSheetId="2" hidden="1">3</definedName>
    <definedName name="solver_rel1561" localSheetId="4" hidden="1">3</definedName>
    <definedName name="solver_rel1562" localSheetId="2" hidden="1">2</definedName>
    <definedName name="solver_rel1562" localSheetId="4" hidden="1">2</definedName>
    <definedName name="solver_rel1563" localSheetId="2" hidden="1">2</definedName>
    <definedName name="solver_rel1563" localSheetId="4" hidden="1">2</definedName>
    <definedName name="solver_rel1564" localSheetId="2" hidden="1">2</definedName>
    <definedName name="solver_rel1564" localSheetId="4" hidden="1">2</definedName>
    <definedName name="solver_rel1565" localSheetId="2" hidden="1">2</definedName>
    <definedName name="solver_rel1565" localSheetId="4" hidden="1">2</definedName>
    <definedName name="solver_rel1566" localSheetId="2" hidden="1">2</definedName>
    <definedName name="solver_rel1566" localSheetId="4" hidden="1">2</definedName>
    <definedName name="solver_rel1567" localSheetId="2" hidden="1">2</definedName>
    <definedName name="solver_rel1567" localSheetId="4" hidden="1">2</definedName>
    <definedName name="solver_rel1568" localSheetId="2" hidden="1">2</definedName>
    <definedName name="solver_rel1568" localSheetId="4" hidden="1">2</definedName>
    <definedName name="solver_rel1569" localSheetId="2" hidden="1">2</definedName>
    <definedName name="solver_rel1569" localSheetId="4" hidden="1">2</definedName>
    <definedName name="solver_rel157" localSheetId="2" hidden="1">3</definedName>
    <definedName name="solver_rel157" localSheetId="4" hidden="1">3</definedName>
    <definedName name="solver_rel1570" localSheetId="2" hidden="1">2</definedName>
    <definedName name="solver_rel1570" localSheetId="4" hidden="1">2</definedName>
    <definedName name="solver_rel1571" localSheetId="2" hidden="1">3</definedName>
    <definedName name="solver_rel1571" localSheetId="4" hidden="1">3</definedName>
    <definedName name="solver_rel1572" localSheetId="2" hidden="1">2</definedName>
    <definedName name="solver_rel1572" localSheetId="4" hidden="1">2</definedName>
    <definedName name="solver_rel1573" localSheetId="2" hidden="1">2</definedName>
    <definedName name="solver_rel1573" localSheetId="4" hidden="1">2</definedName>
    <definedName name="solver_rel1574" localSheetId="2" hidden="1">2</definedName>
    <definedName name="solver_rel1574" localSheetId="4" hidden="1">2</definedName>
    <definedName name="solver_rel1575" localSheetId="2" hidden="1">2</definedName>
    <definedName name="solver_rel1575" localSheetId="4" hidden="1">2</definedName>
    <definedName name="solver_rel1576" localSheetId="2" hidden="1">2</definedName>
    <definedName name="solver_rel1576" localSheetId="4" hidden="1">2</definedName>
    <definedName name="solver_rel1577" localSheetId="2" hidden="1">2</definedName>
    <definedName name="solver_rel1577" localSheetId="4" hidden="1">2</definedName>
    <definedName name="solver_rel1578" localSheetId="2" hidden="1">2</definedName>
    <definedName name="solver_rel1578" localSheetId="4" hidden="1">2</definedName>
    <definedName name="solver_rel1579" localSheetId="2" hidden="1">2</definedName>
    <definedName name="solver_rel1579" localSheetId="4" hidden="1">2</definedName>
    <definedName name="solver_rel158" localSheetId="2" hidden="1">3</definedName>
    <definedName name="solver_rel158" localSheetId="4" hidden="1">3</definedName>
    <definedName name="solver_rel1580" localSheetId="2" hidden="1">2</definedName>
    <definedName name="solver_rel1580" localSheetId="4" hidden="1">2</definedName>
    <definedName name="solver_rel1581" localSheetId="2" hidden="1">2</definedName>
    <definedName name="solver_rel1581" localSheetId="4" hidden="1">2</definedName>
    <definedName name="solver_rel1582" localSheetId="2" hidden="1">2</definedName>
    <definedName name="solver_rel1582" localSheetId="4" hidden="1">2</definedName>
    <definedName name="solver_rel1583" localSheetId="2" hidden="1">2</definedName>
    <definedName name="solver_rel1583" localSheetId="4" hidden="1">2</definedName>
    <definedName name="solver_rel1584" localSheetId="2" hidden="1">2</definedName>
    <definedName name="solver_rel1584" localSheetId="4" hidden="1">2</definedName>
    <definedName name="solver_rel1585" localSheetId="2" hidden="1">2</definedName>
    <definedName name="solver_rel1585" localSheetId="4" hidden="1">2</definedName>
    <definedName name="solver_rel1586" localSheetId="2" hidden="1">2</definedName>
    <definedName name="solver_rel1586" localSheetId="4" hidden="1">2</definedName>
    <definedName name="solver_rel1587" localSheetId="2" hidden="1">2</definedName>
    <definedName name="solver_rel1587" localSheetId="4" hidden="1">2</definedName>
    <definedName name="solver_rel1588" localSheetId="2" hidden="1">2</definedName>
    <definedName name="solver_rel1588" localSheetId="4" hidden="1">2</definedName>
    <definedName name="solver_rel1589" localSheetId="2" hidden="1">2</definedName>
    <definedName name="solver_rel1589" localSheetId="4" hidden="1">2</definedName>
    <definedName name="solver_rel159" localSheetId="2" hidden="1">3</definedName>
    <definedName name="solver_rel159" localSheetId="4" hidden="1">3</definedName>
    <definedName name="solver_rel1590" localSheetId="2" hidden="1">2</definedName>
    <definedName name="solver_rel1590" localSheetId="4" hidden="1">2</definedName>
    <definedName name="solver_rel1591" localSheetId="2" hidden="1">2</definedName>
    <definedName name="solver_rel1591" localSheetId="4" hidden="1">2</definedName>
    <definedName name="solver_rel1592" localSheetId="2" hidden="1">2</definedName>
    <definedName name="solver_rel1592" localSheetId="4" hidden="1">2</definedName>
    <definedName name="solver_rel1593" localSheetId="2" hidden="1">2</definedName>
    <definedName name="solver_rel1593" localSheetId="4" hidden="1">2</definedName>
    <definedName name="solver_rel1594" localSheetId="2" hidden="1">2</definedName>
    <definedName name="solver_rel1594" localSheetId="4" hidden="1">2</definedName>
    <definedName name="solver_rel1595" localSheetId="2" hidden="1">2</definedName>
    <definedName name="solver_rel1595" localSheetId="4" hidden="1">2</definedName>
    <definedName name="solver_rel1596" localSheetId="2" hidden="1">2</definedName>
    <definedName name="solver_rel1596" localSheetId="4" hidden="1">2</definedName>
    <definedName name="solver_rel1597" localSheetId="2" hidden="1">2</definedName>
    <definedName name="solver_rel1597" localSheetId="4" hidden="1">2</definedName>
    <definedName name="solver_rel1598" localSheetId="2" hidden="1">2</definedName>
    <definedName name="solver_rel1598" localSheetId="4" hidden="1">2</definedName>
    <definedName name="solver_rel1599" localSheetId="2" hidden="1">2</definedName>
    <definedName name="solver_rel1599" localSheetId="4" hidden="1">2</definedName>
    <definedName name="solver_rel16" localSheetId="0" hidden="1">1</definedName>
    <definedName name="solver_rel16" localSheetId="2" hidden="1">2</definedName>
    <definedName name="solver_rel16" localSheetId="4" hidden="1">2</definedName>
    <definedName name="solver_rel160" localSheetId="2" hidden="1">3</definedName>
    <definedName name="solver_rel160" localSheetId="4" hidden="1">3</definedName>
    <definedName name="solver_rel1600" localSheetId="2" hidden="1">2</definedName>
    <definedName name="solver_rel1600" localSheetId="4" hidden="1">2</definedName>
    <definedName name="solver_rel1601" localSheetId="2" hidden="1">2</definedName>
    <definedName name="solver_rel1601" localSheetId="4" hidden="1">2</definedName>
    <definedName name="solver_rel1602" localSheetId="2" hidden="1">2</definedName>
    <definedName name="solver_rel1602" localSheetId="4" hidden="1">2</definedName>
    <definedName name="solver_rel1603" localSheetId="2" hidden="1">2</definedName>
    <definedName name="solver_rel1603" localSheetId="4" hidden="1">2</definedName>
    <definedName name="solver_rel1604" localSheetId="2" hidden="1">2</definedName>
    <definedName name="solver_rel1604" localSheetId="4" hidden="1">2</definedName>
    <definedName name="solver_rel1605" localSheetId="2" hidden="1">2</definedName>
    <definedName name="solver_rel1605" localSheetId="4" hidden="1">2</definedName>
    <definedName name="solver_rel1606" localSheetId="2" hidden="1">2</definedName>
    <definedName name="solver_rel1606" localSheetId="4" hidden="1">2</definedName>
    <definedName name="solver_rel1607" localSheetId="2" hidden="1">2</definedName>
    <definedName name="solver_rel1607" localSheetId="4" hidden="1">2</definedName>
    <definedName name="solver_rel1608" localSheetId="2" hidden="1">2</definedName>
    <definedName name="solver_rel1608" localSheetId="4" hidden="1">2</definedName>
    <definedName name="solver_rel1609" localSheetId="2" hidden="1">2</definedName>
    <definedName name="solver_rel1609" localSheetId="4" hidden="1">2</definedName>
    <definedName name="solver_rel161" localSheetId="2" hidden="1">3</definedName>
    <definedName name="solver_rel161" localSheetId="4" hidden="1">3</definedName>
    <definedName name="solver_rel1610" localSheetId="2" hidden="1">2</definedName>
    <definedName name="solver_rel1610" localSheetId="4" hidden="1">2</definedName>
    <definedName name="solver_rel1611" localSheetId="2" hidden="1">2</definedName>
    <definedName name="solver_rel1611" localSheetId="4" hidden="1">2</definedName>
    <definedName name="solver_rel1612" localSheetId="2" hidden="1">2</definedName>
    <definedName name="solver_rel1612" localSheetId="4" hidden="1">2</definedName>
    <definedName name="solver_rel1613" localSheetId="2" hidden="1">2</definedName>
    <definedName name="solver_rel1613" localSheetId="4" hidden="1">2</definedName>
    <definedName name="solver_rel1614" localSheetId="2" hidden="1">2</definedName>
    <definedName name="solver_rel1614" localSheetId="4" hidden="1">2</definedName>
    <definedName name="solver_rel1615" localSheetId="2" hidden="1">2</definedName>
    <definedName name="solver_rel1615" localSheetId="4" hidden="1">2</definedName>
    <definedName name="solver_rel1616" localSheetId="2" hidden="1">2</definedName>
    <definedName name="solver_rel1616" localSheetId="4" hidden="1">2</definedName>
    <definedName name="solver_rel1617" localSheetId="2" hidden="1">2</definedName>
    <definedName name="solver_rel1617" localSheetId="4" hidden="1">2</definedName>
    <definedName name="solver_rel1618" localSheetId="2" hidden="1">2</definedName>
    <definedName name="solver_rel1618" localSheetId="4" hidden="1">2</definedName>
    <definedName name="solver_rel1619" localSheetId="2" hidden="1">2</definedName>
    <definedName name="solver_rel1619" localSheetId="4" hidden="1">2</definedName>
    <definedName name="solver_rel162" localSheetId="2" hidden="1">3</definedName>
    <definedName name="solver_rel162" localSheetId="4" hidden="1">3</definedName>
    <definedName name="solver_rel1620" localSheetId="2" hidden="1">2</definedName>
    <definedName name="solver_rel1620" localSheetId="4" hidden="1">2</definedName>
    <definedName name="solver_rel1621" localSheetId="2" hidden="1">2</definedName>
    <definedName name="solver_rel1621" localSheetId="4" hidden="1">2</definedName>
    <definedName name="solver_rel1622" localSheetId="2" hidden="1">2</definedName>
    <definedName name="solver_rel1622" localSheetId="4" hidden="1">2</definedName>
    <definedName name="solver_rel1623" localSheetId="2" hidden="1">2</definedName>
    <definedName name="solver_rel1623" localSheetId="4" hidden="1">2</definedName>
    <definedName name="solver_rel1624" localSheetId="2" hidden="1">2</definedName>
    <definedName name="solver_rel1624" localSheetId="4" hidden="1">2</definedName>
    <definedName name="solver_rel1625" localSheetId="2" hidden="1">2</definedName>
    <definedName name="solver_rel1625" localSheetId="4" hidden="1">2</definedName>
    <definedName name="solver_rel1626" localSheetId="2" hidden="1">2</definedName>
    <definedName name="solver_rel1626" localSheetId="4" hidden="1">2</definedName>
    <definedName name="solver_rel1627" localSheetId="2" hidden="1">2</definedName>
    <definedName name="solver_rel1627" localSheetId="4" hidden="1">2</definedName>
    <definedName name="solver_rel1628" localSheetId="2" hidden="1">2</definedName>
    <definedName name="solver_rel1628" localSheetId="4" hidden="1">2</definedName>
    <definedName name="solver_rel1629" localSheetId="2" hidden="1">2</definedName>
    <definedName name="solver_rel1629" localSheetId="4" hidden="1">2</definedName>
    <definedName name="solver_rel163" localSheetId="2" hidden="1">3</definedName>
    <definedName name="solver_rel163" localSheetId="4" hidden="1">3</definedName>
    <definedName name="solver_rel1630" localSheetId="2" hidden="1">2</definedName>
    <definedName name="solver_rel1630" localSheetId="4" hidden="1">2</definedName>
    <definedName name="solver_rel1631" localSheetId="2" hidden="1">2</definedName>
    <definedName name="solver_rel1631" localSheetId="4" hidden="1">2</definedName>
    <definedName name="solver_rel1632" localSheetId="2" hidden="1">2</definedName>
    <definedName name="solver_rel1632" localSheetId="4" hidden="1">2</definedName>
    <definedName name="solver_rel1633" localSheetId="2" hidden="1">2</definedName>
    <definedName name="solver_rel1633" localSheetId="4" hidden="1">2</definedName>
    <definedName name="solver_rel1634" localSheetId="2" hidden="1">2</definedName>
    <definedName name="solver_rel1634" localSheetId="4" hidden="1">2</definedName>
    <definedName name="solver_rel1635" localSheetId="2" hidden="1">2</definedName>
    <definedName name="solver_rel1635" localSheetId="4" hidden="1">2</definedName>
    <definedName name="solver_rel1636" localSheetId="2" hidden="1">2</definedName>
    <definedName name="solver_rel1636" localSheetId="4" hidden="1">2</definedName>
    <definedName name="solver_rel1637" localSheetId="2" hidden="1">2</definedName>
    <definedName name="solver_rel1637" localSheetId="4" hidden="1">2</definedName>
    <definedName name="solver_rel1638" localSheetId="2" hidden="1">2</definedName>
    <definedName name="solver_rel1638" localSheetId="4" hidden="1">2</definedName>
    <definedName name="solver_rel1639" localSheetId="2" hidden="1">2</definedName>
    <definedName name="solver_rel1639" localSheetId="4" hidden="1">2</definedName>
    <definedName name="solver_rel164" localSheetId="2" hidden="1">3</definedName>
    <definedName name="solver_rel164" localSheetId="4" hidden="1">3</definedName>
    <definedName name="solver_rel1640" localSheetId="2" hidden="1">2</definedName>
    <definedName name="solver_rel1640" localSheetId="4" hidden="1">2</definedName>
    <definedName name="solver_rel1641" localSheetId="2" hidden="1">2</definedName>
    <definedName name="solver_rel1641" localSheetId="4" hidden="1">2</definedName>
    <definedName name="solver_rel1642" localSheetId="2" hidden="1">2</definedName>
    <definedName name="solver_rel1642" localSheetId="4" hidden="1">2</definedName>
    <definedName name="solver_rel1643" localSheetId="2" hidden="1">2</definedName>
    <definedName name="solver_rel1643" localSheetId="4" hidden="1">2</definedName>
    <definedName name="solver_rel1644" localSheetId="2" hidden="1">2</definedName>
    <definedName name="solver_rel1644" localSheetId="4" hidden="1">2</definedName>
    <definedName name="solver_rel1645" localSheetId="2" hidden="1">2</definedName>
    <definedName name="solver_rel1645" localSheetId="4" hidden="1">2</definedName>
    <definedName name="solver_rel1646" localSheetId="2" hidden="1">2</definedName>
    <definedName name="solver_rel1646" localSheetId="4" hidden="1">2</definedName>
    <definedName name="solver_rel1647" localSheetId="2" hidden="1">2</definedName>
    <definedName name="solver_rel1647" localSheetId="4" hidden="1">2</definedName>
    <definedName name="solver_rel1648" localSheetId="2" hidden="1">2</definedName>
    <definedName name="solver_rel1648" localSheetId="4" hidden="1">2</definedName>
    <definedName name="solver_rel1649" localSheetId="2" hidden="1">2</definedName>
    <definedName name="solver_rel1649" localSheetId="4" hidden="1">2</definedName>
    <definedName name="solver_rel165" localSheetId="2" hidden="1">3</definedName>
    <definedName name="solver_rel165" localSheetId="4" hidden="1">3</definedName>
    <definedName name="solver_rel1650" localSheetId="2" hidden="1">2</definedName>
    <definedName name="solver_rel1650" localSheetId="4" hidden="1">2</definedName>
    <definedName name="solver_rel1651" localSheetId="2" hidden="1">2</definedName>
    <definedName name="solver_rel1651" localSheetId="4" hidden="1">2</definedName>
    <definedName name="solver_rel1652" localSheetId="2" hidden="1">2</definedName>
    <definedName name="solver_rel1652" localSheetId="4" hidden="1">2</definedName>
    <definedName name="solver_rel1653" localSheetId="2" hidden="1">2</definedName>
    <definedName name="solver_rel1653" localSheetId="4" hidden="1">2</definedName>
    <definedName name="solver_rel1654" localSheetId="2" hidden="1">2</definedName>
    <definedName name="solver_rel1654" localSheetId="4" hidden="1">2</definedName>
    <definedName name="solver_rel1655" localSheetId="2" hidden="1">2</definedName>
    <definedName name="solver_rel1655" localSheetId="4" hidden="1">2</definedName>
    <definedName name="solver_rel1656" localSheetId="2" hidden="1">2</definedName>
    <definedName name="solver_rel1656" localSheetId="4" hidden="1">2</definedName>
    <definedName name="solver_rel1657" localSheetId="2" hidden="1">2</definedName>
    <definedName name="solver_rel1657" localSheetId="4" hidden="1">2</definedName>
    <definedName name="solver_rel1658" localSheetId="2" hidden="1">2</definedName>
    <definedName name="solver_rel1658" localSheetId="4" hidden="1">2</definedName>
    <definedName name="solver_rel1659" localSheetId="2" hidden="1">2</definedName>
    <definedName name="solver_rel1659" localSheetId="4" hidden="1">2</definedName>
    <definedName name="solver_rel166" localSheetId="2" hidden="1">3</definedName>
    <definedName name="solver_rel166" localSheetId="4" hidden="1">3</definedName>
    <definedName name="solver_rel1660" localSheetId="2" hidden="1">2</definedName>
    <definedName name="solver_rel1660" localSheetId="4" hidden="1">2</definedName>
    <definedName name="solver_rel1661" localSheetId="2" hidden="1">2</definedName>
    <definedName name="solver_rel1661" localSheetId="4" hidden="1">2</definedName>
    <definedName name="solver_rel1662" localSheetId="2" hidden="1">2</definedName>
    <definedName name="solver_rel1662" localSheetId="4" hidden="1">2</definedName>
    <definedName name="solver_rel1663" localSheetId="2" hidden="1">2</definedName>
    <definedName name="solver_rel1663" localSheetId="4" hidden="1">2</definedName>
    <definedName name="solver_rel1664" localSheetId="2" hidden="1">2</definedName>
    <definedName name="solver_rel1664" localSheetId="4" hidden="1">2</definedName>
    <definedName name="solver_rel1665" localSheetId="2" hidden="1">2</definedName>
    <definedName name="solver_rel1665" localSheetId="4" hidden="1">2</definedName>
    <definedName name="solver_rel1666" localSheetId="2" hidden="1">2</definedName>
    <definedName name="solver_rel1666" localSheetId="4" hidden="1">2</definedName>
    <definedName name="solver_rel1667" localSheetId="2" hidden="1">2</definedName>
    <definedName name="solver_rel1667" localSheetId="4" hidden="1">2</definedName>
    <definedName name="solver_rel1668" localSheetId="2" hidden="1">2</definedName>
    <definedName name="solver_rel1668" localSheetId="4" hidden="1">2</definedName>
    <definedName name="solver_rel1669" localSheetId="2" hidden="1">2</definedName>
    <definedName name="solver_rel1669" localSheetId="4" hidden="1">2</definedName>
    <definedName name="solver_rel167" localSheetId="2" hidden="1">3</definedName>
    <definedName name="solver_rel167" localSheetId="4" hidden="1">3</definedName>
    <definedName name="solver_rel1670" localSheetId="2" hidden="1">2</definedName>
    <definedName name="solver_rel1670" localSheetId="4" hidden="1">2</definedName>
    <definedName name="solver_rel1671" localSheetId="2" hidden="1">2</definedName>
    <definedName name="solver_rel1671" localSheetId="4" hidden="1">2</definedName>
    <definedName name="solver_rel1672" localSheetId="2" hidden="1">2</definedName>
    <definedName name="solver_rel1672" localSheetId="4" hidden="1">2</definedName>
    <definedName name="solver_rel1673" localSheetId="2" hidden="1">2</definedName>
    <definedName name="solver_rel1673" localSheetId="4" hidden="1">2</definedName>
    <definedName name="solver_rel1674" localSheetId="2" hidden="1">2</definedName>
    <definedName name="solver_rel1674" localSheetId="4" hidden="1">2</definedName>
    <definedName name="solver_rel1675" localSheetId="2" hidden="1">2</definedName>
    <definedName name="solver_rel1675" localSheetId="4" hidden="1">2</definedName>
    <definedName name="solver_rel1676" localSheetId="2" hidden="1">2</definedName>
    <definedName name="solver_rel1676" localSheetId="4" hidden="1">2</definedName>
    <definedName name="solver_rel1677" localSheetId="2" hidden="1">2</definedName>
    <definedName name="solver_rel1677" localSheetId="4" hidden="1">2</definedName>
    <definedName name="solver_rel1678" localSheetId="2" hidden="1">2</definedName>
    <definedName name="solver_rel1678" localSheetId="4" hidden="1">2</definedName>
    <definedName name="solver_rel1679" localSheetId="2" hidden="1">2</definedName>
    <definedName name="solver_rel1679" localSheetId="4" hidden="1">2</definedName>
    <definedName name="solver_rel168" localSheetId="2" hidden="1">3</definedName>
    <definedName name="solver_rel168" localSheetId="4" hidden="1">3</definedName>
    <definedName name="solver_rel1680" localSheetId="2" hidden="1">2</definedName>
    <definedName name="solver_rel1680" localSheetId="4" hidden="1">2</definedName>
    <definedName name="solver_rel1681" localSheetId="2" hidden="1">2</definedName>
    <definedName name="solver_rel1681" localSheetId="4" hidden="1">2</definedName>
    <definedName name="solver_rel1682" localSheetId="2" hidden="1">2</definedName>
    <definedName name="solver_rel1682" localSheetId="4" hidden="1">2</definedName>
    <definedName name="solver_rel1683" localSheetId="2" hidden="1">2</definedName>
    <definedName name="solver_rel1683" localSheetId="4" hidden="1">2</definedName>
    <definedName name="solver_rel1684" localSheetId="2" hidden="1">2</definedName>
    <definedName name="solver_rel1684" localSheetId="4" hidden="1">2</definedName>
    <definedName name="solver_rel1685" localSheetId="2" hidden="1">2</definedName>
    <definedName name="solver_rel1685" localSheetId="4" hidden="1">2</definedName>
    <definedName name="solver_rel1686" localSheetId="2" hidden="1">2</definedName>
    <definedName name="solver_rel1686" localSheetId="4" hidden="1">2</definedName>
    <definedName name="solver_rel1687" localSheetId="2" hidden="1">2</definedName>
    <definedName name="solver_rel1687" localSheetId="4" hidden="1">2</definedName>
    <definedName name="solver_rel1688" localSheetId="2" hidden="1">2</definedName>
    <definedName name="solver_rel1688" localSheetId="4" hidden="1">2</definedName>
    <definedName name="solver_rel1689" localSheetId="2" hidden="1">2</definedName>
    <definedName name="solver_rel1689" localSheetId="4" hidden="1">2</definedName>
    <definedName name="solver_rel169" localSheetId="2" hidden="1">3</definedName>
    <definedName name="solver_rel169" localSheetId="4" hidden="1">3</definedName>
    <definedName name="solver_rel1690" localSheetId="2" hidden="1">2</definedName>
    <definedName name="solver_rel1690" localSheetId="4" hidden="1">2</definedName>
    <definedName name="solver_rel1691" localSheetId="2" hidden="1">2</definedName>
    <definedName name="solver_rel1691" localSheetId="4" hidden="1">2</definedName>
    <definedName name="solver_rel1692" localSheetId="2" hidden="1">2</definedName>
    <definedName name="solver_rel1692" localSheetId="4" hidden="1">2</definedName>
    <definedName name="solver_rel1693" localSheetId="2" hidden="1">2</definedName>
    <definedName name="solver_rel1693" localSheetId="4" hidden="1">2</definedName>
    <definedName name="solver_rel1694" localSheetId="2" hidden="1">2</definedName>
    <definedName name="solver_rel1694" localSheetId="4" hidden="1">2</definedName>
    <definedName name="solver_rel1695" localSheetId="2" hidden="1">2</definedName>
    <definedName name="solver_rel1695" localSheetId="4" hidden="1">2</definedName>
    <definedName name="solver_rel1696" localSheetId="2" hidden="1">2</definedName>
    <definedName name="solver_rel1696" localSheetId="4" hidden="1">2</definedName>
    <definedName name="solver_rel1697" localSheetId="2" hidden="1">2</definedName>
    <definedName name="solver_rel1697" localSheetId="4" hidden="1">2</definedName>
    <definedName name="solver_rel1698" localSheetId="2" hidden="1">2</definedName>
    <definedName name="solver_rel1698" localSheetId="4" hidden="1">2</definedName>
    <definedName name="solver_rel1699" localSheetId="2" hidden="1">2</definedName>
    <definedName name="solver_rel1699" localSheetId="4" hidden="1">2</definedName>
    <definedName name="solver_rel17" localSheetId="0" hidden="1">3</definedName>
    <definedName name="solver_rel17" localSheetId="2" hidden="1">2</definedName>
    <definedName name="solver_rel17" localSheetId="4" hidden="1">2</definedName>
    <definedName name="solver_rel170" localSheetId="2" hidden="1">3</definedName>
    <definedName name="solver_rel170" localSheetId="4" hidden="1">3</definedName>
    <definedName name="solver_rel1700" localSheetId="2" hidden="1">2</definedName>
    <definedName name="solver_rel1700" localSheetId="4" hidden="1">2</definedName>
    <definedName name="solver_rel1701" localSheetId="2" hidden="1">2</definedName>
    <definedName name="solver_rel1701" localSheetId="4" hidden="1">2</definedName>
    <definedName name="solver_rel1702" localSheetId="2" hidden="1">2</definedName>
    <definedName name="solver_rel1702" localSheetId="4" hidden="1">2</definedName>
    <definedName name="solver_rel1703" localSheetId="2" hidden="1">2</definedName>
    <definedName name="solver_rel1703" localSheetId="4" hidden="1">2</definedName>
    <definedName name="solver_rel1704" localSheetId="2" hidden="1">2</definedName>
    <definedName name="solver_rel1704" localSheetId="4" hidden="1">2</definedName>
    <definedName name="solver_rel1705" localSheetId="2" hidden="1">2</definedName>
    <definedName name="solver_rel1705" localSheetId="4" hidden="1">2</definedName>
    <definedName name="solver_rel1706" localSheetId="2" hidden="1">2</definedName>
    <definedName name="solver_rel1706" localSheetId="4" hidden="1">2</definedName>
    <definedName name="solver_rel1707" localSheetId="2" hidden="1">2</definedName>
    <definedName name="solver_rel1707" localSheetId="4" hidden="1">2</definedName>
    <definedName name="solver_rel1708" localSheetId="2" hidden="1">2</definedName>
    <definedName name="solver_rel1708" localSheetId="4" hidden="1">2</definedName>
    <definedName name="solver_rel1709" localSheetId="2" hidden="1">2</definedName>
    <definedName name="solver_rel1709" localSheetId="4" hidden="1">2</definedName>
    <definedName name="solver_rel171" localSheetId="2" hidden="1">3</definedName>
    <definedName name="solver_rel171" localSheetId="4" hidden="1">3</definedName>
    <definedName name="solver_rel1710" localSheetId="2" hidden="1">2</definedName>
    <definedName name="solver_rel1710" localSheetId="4" hidden="1">2</definedName>
    <definedName name="solver_rel1711" localSheetId="2" hidden="1">2</definedName>
    <definedName name="solver_rel1711" localSheetId="4" hidden="1">2</definedName>
    <definedName name="solver_rel1712" localSheetId="2" hidden="1">2</definedName>
    <definedName name="solver_rel1712" localSheetId="4" hidden="1">2</definedName>
    <definedName name="solver_rel1713" localSheetId="2" hidden="1">2</definedName>
    <definedName name="solver_rel1713" localSheetId="4" hidden="1">2</definedName>
    <definedName name="solver_rel1714" localSheetId="2" hidden="1">2</definedName>
    <definedName name="solver_rel1714" localSheetId="4" hidden="1">2</definedName>
    <definedName name="solver_rel1715" localSheetId="2" hidden="1">2</definedName>
    <definedName name="solver_rel1715" localSheetId="4" hidden="1">2</definedName>
    <definedName name="solver_rel1716" localSheetId="2" hidden="1">2</definedName>
    <definedName name="solver_rel1716" localSheetId="4" hidden="1">2</definedName>
    <definedName name="solver_rel1717" localSheetId="2" hidden="1">2</definedName>
    <definedName name="solver_rel1717" localSheetId="4" hidden="1">2</definedName>
    <definedName name="solver_rel1718" localSheetId="2" hidden="1">2</definedName>
    <definedName name="solver_rel1718" localSheetId="4" hidden="1">2</definedName>
    <definedName name="solver_rel1719" localSheetId="2" hidden="1">2</definedName>
    <definedName name="solver_rel1719" localSheetId="4" hidden="1">2</definedName>
    <definedName name="solver_rel172" localSheetId="2" hidden="1">3</definedName>
    <definedName name="solver_rel172" localSheetId="4" hidden="1">3</definedName>
    <definedName name="solver_rel1720" localSheetId="2" hidden="1">2</definedName>
    <definedName name="solver_rel1720" localSheetId="4" hidden="1">2</definedName>
    <definedName name="solver_rel1721" localSheetId="2" hidden="1">2</definedName>
    <definedName name="solver_rel1721" localSheetId="4" hidden="1">2</definedName>
    <definedName name="solver_rel1722" localSheetId="2" hidden="1">2</definedName>
    <definedName name="solver_rel1722" localSheetId="4" hidden="1">2</definedName>
    <definedName name="solver_rel1723" localSheetId="2" hidden="1">2</definedName>
    <definedName name="solver_rel1723" localSheetId="4" hidden="1">2</definedName>
    <definedName name="solver_rel1724" localSheetId="2" hidden="1">2</definedName>
    <definedName name="solver_rel1724" localSheetId="4" hidden="1">2</definedName>
    <definedName name="solver_rel1725" localSheetId="2" hidden="1">2</definedName>
    <definedName name="solver_rel1725" localSheetId="4" hidden="1">2</definedName>
    <definedName name="solver_rel1726" localSheetId="2" hidden="1">2</definedName>
    <definedName name="solver_rel1726" localSheetId="4" hidden="1">2</definedName>
    <definedName name="solver_rel1727" localSheetId="2" hidden="1">2</definedName>
    <definedName name="solver_rel1727" localSheetId="4" hidden="1">2</definedName>
    <definedName name="solver_rel1728" localSheetId="2" hidden="1">2</definedName>
    <definedName name="solver_rel1728" localSheetId="4" hidden="1">2</definedName>
    <definedName name="solver_rel1729" localSheetId="2" hidden="1">2</definedName>
    <definedName name="solver_rel1729" localSheetId="4" hidden="1">2</definedName>
    <definedName name="solver_rel173" localSheetId="2" hidden="1">3</definedName>
    <definedName name="solver_rel173" localSheetId="4" hidden="1">3</definedName>
    <definedName name="solver_rel1730" localSheetId="2" hidden="1">2</definedName>
    <definedName name="solver_rel1730" localSheetId="4" hidden="1">2</definedName>
    <definedName name="solver_rel1731" localSheetId="2" hidden="1">2</definedName>
    <definedName name="solver_rel1731" localSheetId="4" hidden="1">2</definedName>
    <definedName name="solver_rel1732" localSheetId="2" hidden="1">2</definedName>
    <definedName name="solver_rel1732" localSheetId="4" hidden="1">2</definedName>
    <definedName name="solver_rel1733" localSheetId="2" hidden="1">2</definedName>
    <definedName name="solver_rel1733" localSheetId="4" hidden="1">2</definedName>
    <definedName name="solver_rel1734" localSheetId="2" hidden="1">2</definedName>
    <definedName name="solver_rel1734" localSheetId="4" hidden="1">2</definedName>
    <definedName name="solver_rel1735" localSheetId="2" hidden="1">2</definedName>
    <definedName name="solver_rel1735" localSheetId="4" hidden="1">2</definedName>
    <definedName name="solver_rel1736" localSheetId="2" hidden="1">2</definedName>
    <definedName name="solver_rel1736" localSheetId="4" hidden="1">2</definedName>
    <definedName name="solver_rel1737" localSheetId="2" hidden="1">2</definedName>
    <definedName name="solver_rel1737" localSheetId="4" hidden="1">2</definedName>
    <definedName name="solver_rel1738" localSheetId="2" hidden="1">2</definedName>
    <definedName name="solver_rel1738" localSheetId="4" hidden="1">2</definedName>
    <definedName name="solver_rel1739" localSheetId="2" hidden="1">2</definedName>
    <definedName name="solver_rel1739" localSheetId="4" hidden="1">2</definedName>
    <definedName name="solver_rel174" localSheetId="2" hidden="1">3</definedName>
    <definedName name="solver_rel174" localSheetId="4" hidden="1">3</definedName>
    <definedName name="solver_rel1740" localSheetId="2" hidden="1">2</definedName>
    <definedName name="solver_rel1740" localSheetId="4" hidden="1">2</definedName>
    <definedName name="solver_rel1741" localSheetId="2" hidden="1">2</definedName>
    <definedName name="solver_rel1741" localSheetId="4" hidden="1">2</definedName>
    <definedName name="solver_rel1742" localSheetId="2" hidden="1">2</definedName>
    <definedName name="solver_rel1742" localSheetId="4" hidden="1">2</definedName>
    <definedName name="solver_rel1743" localSheetId="2" hidden="1">2</definedName>
    <definedName name="solver_rel1743" localSheetId="4" hidden="1">2</definedName>
    <definedName name="solver_rel1744" localSheetId="2" hidden="1">2</definedName>
    <definedName name="solver_rel1744" localSheetId="4" hidden="1">2</definedName>
    <definedName name="solver_rel1745" localSheetId="2" hidden="1">2</definedName>
    <definedName name="solver_rel1745" localSheetId="4" hidden="1">2</definedName>
    <definedName name="solver_rel1746" localSheetId="2" hidden="1">2</definedName>
    <definedName name="solver_rel1746" localSheetId="4" hidden="1">2</definedName>
    <definedName name="solver_rel1747" localSheetId="2" hidden="1">2</definedName>
    <definedName name="solver_rel1747" localSheetId="4" hidden="1">2</definedName>
    <definedName name="solver_rel1748" localSheetId="2" hidden="1">2</definedName>
    <definedName name="solver_rel1748" localSheetId="4" hidden="1">2</definedName>
    <definedName name="solver_rel1749" localSheetId="2" hidden="1">2</definedName>
    <definedName name="solver_rel1749" localSheetId="4" hidden="1">2</definedName>
    <definedName name="solver_rel175" localSheetId="2" hidden="1">3</definedName>
    <definedName name="solver_rel175" localSheetId="4" hidden="1">3</definedName>
    <definedName name="solver_rel1750" localSheetId="2" hidden="1">2</definedName>
    <definedName name="solver_rel1750" localSheetId="4" hidden="1">2</definedName>
    <definedName name="solver_rel1751" localSheetId="2" hidden="1">2</definedName>
    <definedName name="solver_rel1751" localSheetId="4" hidden="1">2</definedName>
    <definedName name="solver_rel1752" localSheetId="2" hidden="1">2</definedName>
    <definedName name="solver_rel1752" localSheetId="4" hidden="1">2</definedName>
    <definedName name="solver_rel1753" localSheetId="2" hidden="1">2</definedName>
    <definedName name="solver_rel1753" localSheetId="4" hidden="1">2</definedName>
    <definedName name="solver_rel1754" localSheetId="2" hidden="1">2</definedName>
    <definedName name="solver_rel1754" localSheetId="4" hidden="1">2</definedName>
    <definedName name="solver_rel1755" localSheetId="2" hidden="1">2</definedName>
    <definedName name="solver_rel1755" localSheetId="4" hidden="1">2</definedName>
    <definedName name="solver_rel1756" localSheetId="2" hidden="1">2</definedName>
    <definedName name="solver_rel1756" localSheetId="4" hidden="1">2</definedName>
    <definedName name="solver_rel1757" localSheetId="2" hidden="1">2</definedName>
    <definedName name="solver_rel1757" localSheetId="4" hidden="1">2</definedName>
    <definedName name="solver_rel1758" localSheetId="2" hidden="1">2</definedName>
    <definedName name="solver_rel1758" localSheetId="4" hidden="1">2</definedName>
    <definedName name="solver_rel1759" localSheetId="2" hidden="1">2</definedName>
    <definedName name="solver_rel1759" localSheetId="4" hidden="1">2</definedName>
    <definedName name="solver_rel176" localSheetId="2" hidden="1">3</definedName>
    <definedName name="solver_rel176" localSheetId="4" hidden="1">3</definedName>
    <definedName name="solver_rel1760" localSheetId="2" hidden="1">2</definedName>
    <definedName name="solver_rel1760" localSheetId="4" hidden="1">2</definedName>
    <definedName name="solver_rel1761" localSheetId="2" hidden="1">2</definedName>
    <definedName name="solver_rel1761" localSheetId="4" hidden="1">2</definedName>
    <definedName name="solver_rel1762" localSheetId="2" hidden="1">2</definedName>
    <definedName name="solver_rel1762" localSheetId="4" hidden="1">2</definedName>
    <definedName name="solver_rel1763" localSheetId="2" hidden="1">2</definedName>
    <definedName name="solver_rel1763" localSheetId="4" hidden="1">2</definedName>
    <definedName name="solver_rel1764" localSheetId="2" hidden="1">2</definedName>
    <definedName name="solver_rel1764" localSheetId="4" hidden="1">2</definedName>
    <definedName name="solver_rel1765" localSheetId="2" hidden="1">2</definedName>
    <definedName name="solver_rel1765" localSheetId="4" hidden="1">2</definedName>
    <definedName name="solver_rel1766" localSheetId="2" hidden="1">2</definedName>
    <definedName name="solver_rel1766" localSheetId="4" hidden="1">2</definedName>
    <definedName name="solver_rel1767" localSheetId="2" hidden="1">2</definedName>
    <definedName name="solver_rel1767" localSheetId="4" hidden="1">2</definedName>
    <definedName name="solver_rel1768" localSheetId="2" hidden="1">2</definedName>
    <definedName name="solver_rel1768" localSheetId="4" hidden="1">2</definedName>
    <definedName name="solver_rel1769" localSheetId="2" hidden="1">2</definedName>
    <definedName name="solver_rel1769" localSheetId="4" hidden="1">2</definedName>
    <definedName name="solver_rel177" localSheetId="2" hidden="1">3</definedName>
    <definedName name="solver_rel177" localSheetId="4" hidden="1">3</definedName>
    <definedName name="solver_rel1770" localSheetId="2" hidden="1">2</definedName>
    <definedName name="solver_rel1770" localSheetId="4" hidden="1">2</definedName>
    <definedName name="solver_rel1771" localSheetId="2" hidden="1">2</definedName>
    <definedName name="solver_rel1771" localSheetId="4" hidden="1">2</definedName>
    <definedName name="solver_rel1772" localSheetId="2" hidden="1">2</definedName>
    <definedName name="solver_rel1772" localSheetId="4" hidden="1">2</definedName>
    <definedName name="solver_rel1773" localSheetId="2" hidden="1">2</definedName>
    <definedName name="solver_rel1773" localSheetId="4" hidden="1">2</definedName>
    <definedName name="solver_rel1774" localSheetId="2" hidden="1">2</definedName>
    <definedName name="solver_rel1774" localSheetId="4" hidden="1">2</definedName>
    <definedName name="solver_rel1775" localSheetId="2" hidden="1">2</definedName>
    <definedName name="solver_rel1775" localSheetId="4" hidden="1">2</definedName>
    <definedName name="solver_rel1776" localSheetId="2" hidden="1">1</definedName>
    <definedName name="solver_rel1776" localSheetId="4" hidden="1">1</definedName>
    <definedName name="solver_rel1777" localSheetId="2" hidden="1">2</definedName>
    <definedName name="solver_rel1777" localSheetId="4" hidden="1">2</definedName>
    <definedName name="solver_rel1778" localSheetId="2" hidden="1">1</definedName>
    <definedName name="solver_rel1778" localSheetId="4" hidden="1">1</definedName>
    <definedName name="solver_rel1779" localSheetId="2" hidden="1">2</definedName>
    <definedName name="solver_rel1779" localSheetId="4" hidden="1">2</definedName>
    <definedName name="solver_rel178" localSheetId="2" hidden="1">3</definedName>
    <definedName name="solver_rel178" localSheetId="4" hidden="1">3</definedName>
    <definedName name="solver_rel1780" localSheetId="2" hidden="1">1</definedName>
    <definedName name="solver_rel1780" localSheetId="4" hidden="1">1</definedName>
    <definedName name="solver_rel1781" localSheetId="2" hidden="1">2</definedName>
    <definedName name="solver_rel1781" localSheetId="4" hidden="1">2</definedName>
    <definedName name="solver_rel1782" localSheetId="2" hidden="1">1</definedName>
    <definedName name="solver_rel1782" localSheetId="4" hidden="1">1</definedName>
    <definedName name="solver_rel1783" localSheetId="2" hidden="1">2</definedName>
    <definedName name="solver_rel1783" localSheetId="4" hidden="1">2</definedName>
    <definedName name="solver_rel1784" localSheetId="2" hidden="1">1</definedName>
    <definedName name="solver_rel1784" localSheetId="4" hidden="1">1</definedName>
    <definedName name="solver_rel1785" localSheetId="2" hidden="1">2</definedName>
    <definedName name="solver_rel1785" localSheetId="4" hidden="1">2</definedName>
    <definedName name="solver_rel1786" localSheetId="2" hidden="1">1</definedName>
    <definedName name="solver_rel1786" localSheetId="4" hidden="1">1</definedName>
    <definedName name="solver_rel1787" localSheetId="2" hidden="1">1</definedName>
    <definedName name="solver_rel1787" localSheetId="4" hidden="1">1</definedName>
    <definedName name="solver_rel1788" localSheetId="2" hidden="1">1</definedName>
    <definedName name="solver_rel1788" localSheetId="4" hidden="1">1</definedName>
    <definedName name="solver_rel1789" localSheetId="2" hidden="1">1</definedName>
    <definedName name="solver_rel1789" localSheetId="4" hidden="1">1</definedName>
    <definedName name="solver_rel179" localSheetId="2" hidden="1">3</definedName>
    <definedName name="solver_rel179" localSheetId="4" hidden="1">3</definedName>
    <definedName name="solver_rel1790" localSheetId="2" hidden="1">1</definedName>
    <definedName name="solver_rel1790" localSheetId="4" hidden="1">1</definedName>
    <definedName name="solver_rel1791" localSheetId="2" hidden="1">1</definedName>
    <definedName name="solver_rel1791" localSheetId="4" hidden="1">1</definedName>
    <definedName name="solver_rel1792" localSheetId="2" hidden="1">1</definedName>
    <definedName name="solver_rel1792" localSheetId="4" hidden="1">1</definedName>
    <definedName name="solver_rel1793" localSheetId="2" hidden="1">1</definedName>
    <definedName name="solver_rel1793" localSheetId="4" hidden="1">1</definedName>
    <definedName name="solver_rel1794" localSheetId="2" hidden="1">1</definedName>
    <definedName name="solver_rel1794" localSheetId="4" hidden="1">1</definedName>
    <definedName name="solver_rel1795" localSheetId="2" hidden="1">1</definedName>
    <definedName name="solver_rel1795" localSheetId="4" hidden="1">1</definedName>
    <definedName name="solver_rel1796" localSheetId="2" hidden="1">1</definedName>
    <definedName name="solver_rel1796" localSheetId="4" hidden="1">1</definedName>
    <definedName name="solver_rel1797" localSheetId="2" hidden="1">1</definedName>
    <definedName name="solver_rel1797" localSheetId="4" hidden="1">1</definedName>
    <definedName name="solver_rel1798" localSheetId="2" hidden="1">1</definedName>
    <definedName name="solver_rel1798" localSheetId="4" hidden="1">1</definedName>
    <definedName name="solver_rel1799" localSheetId="2" hidden="1">1</definedName>
    <definedName name="solver_rel1799" localSheetId="4" hidden="1">1</definedName>
    <definedName name="solver_rel18" localSheetId="0" hidden="1">3</definedName>
    <definedName name="solver_rel18" localSheetId="2" hidden="1">1</definedName>
    <definedName name="solver_rel18" localSheetId="4" hidden="1">1</definedName>
    <definedName name="solver_rel180" localSheetId="2" hidden="1">3</definedName>
    <definedName name="solver_rel180" localSheetId="4" hidden="1">3</definedName>
    <definedName name="solver_rel1800" localSheetId="2" hidden="1">1</definedName>
    <definedName name="solver_rel1800" localSheetId="4" hidden="1">1</definedName>
    <definedName name="solver_rel1801" localSheetId="2" hidden="1">1</definedName>
    <definedName name="solver_rel1801" localSheetId="4" hidden="1">1</definedName>
    <definedName name="solver_rel1802" localSheetId="2" hidden="1">1</definedName>
    <definedName name="solver_rel1802" localSheetId="4" hidden="1">1</definedName>
    <definedName name="solver_rel1803" localSheetId="2" hidden="1">1</definedName>
    <definedName name="solver_rel1803" localSheetId="4" hidden="1">1</definedName>
    <definedName name="solver_rel1804" localSheetId="2" hidden="1">1</definedName>
    <definedName name="solver_rel1804" localSheetId="4" hidden="1">1</definedName>
    <definedName name="solver_rel1805" localSheetId="2" hidden="1">1</definedName>
    <definedName name="solver_rel1805" localSheetId="4" hidden="1">1</definedName>
    <definedName name="solver_rel1806" localSheetId="2" hidden="1">1</definedName>
    <definedName name="solver_rel1806" localSheetId="4" hidden="1">1</definedName>
    <definedName name="solver_rel1807" localSheetId="2" hidden="1">1</definedName>
    <definedName name="solver_rel1807" localSheetId="4" hidden="1">1</definedName>
    <definedName name="solver_rel1808" localSheetId="2" hidden="1">1</definedName>
    <definedName name="solver_rel1808" localSheetId="4" hidden="1">1</definedName>
    <definedName name="solver_rel1809" localSheetId="2" hidden="1">1</definedName>
    <definedName name="solver_rel1809" localSheetId="4" hidden="1">1</definedName>
    <definedName name="solver_rel181" localSheetId="2" hidden="1">3</definedName>
    <definedName name="solver_rel181" localSheetId="4" hidden="1">3</definedName>
    <definedName name="solver_rel1810" localSheetId="2" hidden="1">1</definedName>
    <definedName name="solver_rel1810" localSheetId="4" hidden="1">1</definedName>
    <definedName name="solver_rel1811" localSheetId="2" hidden="1">1</definedName>
    <definedName name="solver_rel1811" localSheetId="4" hidden="1">1</definedName>
    <definedName name="solver_rel1812" localSheetId="2" hidden="1">1</definedName>
    <definedName name="solver_rel1812" localSheetId="4" hidden="1">1</definedName>
    <definedName name="solver_rel1813" localSheetId="2" hidden="1">1</definedName>
    <definedName name="solver_rel1813" localSheetId="4" hidden="1">1</definedName>
    <definedName name="solver_rel1814" localSheetId="2" hidden="1">1</definedName>
    <definedName name="solver_rel1814" localSheetId="4" hidden="1">1</definedName>
    <definedName name="solver_rel1815" localSheetId="2" hidden="1">1</definedName>
    <definedName name="solver_rel1815" localSheetId="4" hidden="1">1</definedName>
    <definedName name="solver_rel1816" localSheetId="2" hidden="1">1</definedName>
    <definedName name="solver_rel1816" localSheetId="4" hidden="1">1</definedName>
    <definedName name="solver_rel1817" localSheetId="2" hidden="1">1</definedName>
    <definedName name="solver_rel1817" localSheetId="4" hidden="1">1</definedName>
    <definedName name="solver_rel1818" localSheetId="2" hidden="1">1</definedName>
    <definedName name="solver_rel1818" localSheetId="4" hidden="1">1</definedName>
    <definedName name="solver_rel1819" localSheetId="2" hidden="1">1</definedName>
    <definedName name="solver_rel1819" localSheetId="4" hidden="1">1</definedName>
    <definedName name="solver_rel182" localSheetId="2" hidden="1">3</definedName>
    <definedName name="solver_rel182" localSheetId="4" hidden="1">3</definedName>
    <definedName name="solver_rel1820" localSheetId="2" hidden="1">1</definedName>
    <definedName name="solver_rel1820" localSheetId="4" hidden="1">1</definedName>
    <definedName name="solver_rel1821" localSheetId="2" hidden="1">1</definedName>
    <definedName name="solver_rel1821" localSheetId="4" hidden="1">1</definedName>
    <definedName name="solver_rel1822" localSheetId="2" hidden="1">1</definedName>
    <definedName name="solver_rel1822" localSheetId="4" hidden="1">1</definedName>
    <definedName name="solver_rel1823" localSheetId="2" hidden="1">1</definedName>
    <definedName name="solver_rel1823" localSheetId="4" hidden="1">1</definedName>
    <definedName name="solver_rel1824" localSheetId="2" hidden="1">1</definedName>
    <definedName name="solver_rel1824" localSheetId="4" hidden="1">1</definedName>
    <definedName name="solver_rel1825" localSheetId="2" hidden="1">1</definedName>
    <definedName name="solver_rel1825" localSheetId="4" hidden="1">1</definedName>
    <definedName name="solver_rel1826" localSheetId="2" hidden="1">1</definedName>
    <definedName name="solver_rel1826" localSheetId="4" hidden="1">1</definedName>
    <definedName name="solver_rel1827" localSheetId="2" hidden="1">1</definedName>
    <definedName name="solver_rel1827" localSheetId="4" hidden="1">1</definedName>
    <definedName name="solver_rel1828" localSheetId="2" hidden="1">1</definedName>
    <definedName name="solver_rel1828" localSheetId="4" hidden="1">1</definedName>
    <definedName name="solver_rel1829" localSheetId="2" hidden="1">1</definedName>
    <definedName name="solver_rel1829" localSheetId="4" hidden="1">1</definedName>
    <definedName name="solver_rel183" localSheetId="2" hidden="1">3</definedName>
    <definedName name="solver_rel183" localSheetId="4" hidden="1">3</definedName>
    <definedName name="solver_rel1830" localSheetId="2" hidden="1">1</definedName>
    <definedName name="solver_rel1830" localSheetId="4" hidden="1">1</definedName>
    <definedName name="solver_rel1831" localSheetId="2" hidden="1">1</definedName>
    <definedName name="solver_rel1831" localSheetId="4" hidden="1">1</definedName>
    <definedName name="solver_rel1832" localSheetId="2" hidden="1">1</definedName>
    <definedName name="solver_rel1832" localSheetId="4" hidden="1">1</definedName>
    <definedName name="solver_rel1833" localSheetId="2" hidden="1">1</definedName>
    <definedName name="solver_rel1833" localSheetId="4" hidden="1">1</definedName>
    <definedName name="solver_rel1834" localSheetId="2" hidden="1">1</definedName>
    <definedName name="solver_rel1834" localSheetId="4" hidden="1">1</definedName>
    <definedName name="solver_rel1835" localSheetId="2" hidden="1">1</definedName>
    <definedName name="solver_rel1835" localSheetId="4" hidden="1">1</definedName>
    <definedName name="solver_rel1836" localSheetId="2" hidden="1">1</definedName>
    <definedName name="solver_rel1836" localSheetId="4" hidden="1">1</definedName>
    <definedName name="solver_rel1837" localSheetId="2" hidden="1">1</definedName>
    <definedName name="solver_rel1837" localSheetId="4" hidden="1">1</definedName>
    <definedName name="solver_rel1838" localSheetId="2" hidden="1">1</definedName>
    <definedName name="solver_rel1838" localSheetId="4" hidden="1">1</definedName>
    <definedName name="solver_rel1839" localSheetId="2" hidden="1">1</definedName>
    <definedName name="solver_rel1839" localSheetId="4" hidden="1">1</definedName>
    <definedName name="solver_rel184" localSheetId="2" hidden="1">3</definedName>
    <definedName name="solver_rel184" localSheetId="4" hidden="1">3</definedName>
    <definedName name="solver_rel1840" localSheetId="2" hidden="1">1</definedName>
    <definedName name="solver_rel1840" localSheetId="4" hidden="1">1</definedName>
    <definedName name="solver_rel1841" localSheetId="2" hidden="1">1</definedName>
    <definedName name="solver_rel1841" localSheetId="4" hidden="1">1</definedName>
    <definedName name="solver_rel1842" localSheetId="2" hidden="1">1</definedName>
    <definedName name="solver_rel1842" localSheetId="4" hidden="1">1</definedName>
    <definedName name="solver_rel1843" localSheetId="2" hidden="1">1</definedName>
    <definedName name="solver_rel1843" localSheetId="4" hidden="1">1</definedName>
    <definedName name="solver_rel1844" localSheetId="2" hidden="1">1</definedName>
    <definedName name="solver_rel1844" localSheetId="4" hidden="1">1</definedName>
    <definedName name="solver_rel1845" localSheetId="2" hidden="1">1</definedName>
    <definedName name="solver_rel1845" localSheetId="4" hidden="1">1</definedName>
    <definedName name="solver_rel1846" localSheetId="2" hidden="1">1</definedName>
    <definedName name="solver_rel1846" localSheetId="4" hidden="1">1</definedName>
    <definedName name="solver_rel1847" localSheetId="2" hidden="1">1</definedName>
    <definedName name="solver_rel1847" localSheetId="4" hidden="1">1</definedName>
    <definedName name="solver_rel1848" localSheetId="2" hidden="1">1</definedName>
    <definedName name="solver_rel1848" localSheetId="4" hidden="1">1</definedName>
    <definedName name="solver_rel1849" localSheetId="2" hidden="1">1</definedName>
    <definedName name="solver_rel1849" localSheetId="4" hidden="1">1</definedName>
    <definedName name="solver_rel185" localSheetId="2" hidden="1">3</definedName>
    <definedName name="solver_rel185" localSheetId="4" hidden="1">3</definedName>
    <definedName name="solver_rel1850" localSheetId="2" hidden="1">1</definedName>
    <definedName name="solver_rel1850" localSheetId="4" hidden="1">1</definedName>
    <definedName name="solver_rel1851" localSheetId="2" hidden="1">1</definedName>
    <definedName name="solver_rel1851" localSheetId="4" hidden="1">1</definedName>
    <definedName name="solver_rel1852" localSheetId="2" hidden="1">1</definedName>
    <definedName name="solver_rel1852" localSheetId="4" hidden="1">1</definedName>
    <definedName name="solver_rel1853" localSheetId="2" hidden="1">1</definedName>
    <definedName name="solver_rel1853" localSheetId="4" hidden="1">1</definedName>
    <definedName name="solver_rel1854" localSheetId="2" hidden="1">1</definedName>
    <definedName name="solver_rel1854" localSheetId="4" hidden="1">1</definedName>
    <definedName name="solver_rel1855" localSheetId="2" hidden="1">1</definedName>
    <definedName name="solver_rel1855" localSheetId="4" hidden="1">1</definedName>
    <definedName name="solver_rel1856" localSheetId="2" hidden="1">1</definedName>
    <definedName name="solver_rel1856" localSheetId="4" hidden="1">1</definedName>
    <definedName name="solver_rel1857" localSheetId="2" hidden="1">1</definedName>
    <definedName name="solver_rel1857" localSheetId="4" hidden="1">1</definedName>
    <definedName name="solver_rel1858" localSheetId="2" hidden="1">1</definedName>
    <definedName name="solver_rel1858" localSheetId="4" hidden="1">1</definedName>
    <definedName name="solver_rel1859" localSheetId="2" hidden="1">1</definedName>
    <definedName name="solver_rel1859" localSheetId="4" hidden="1">1</definedName>
    <definedName name="solver_rel186" localSheetId="2" hidden="1">3</definedName>
    <definedName name="solver_rel186" localSheetId="4" hidden="1">3</definedName>
    <definedName name="solver_rel1860" localSheetId="2" hidden="1">1</definedName>
    <definedName name="solver_rel1860" localSheetId="4" hidden="1">1</definedName>
    <definedName name="solver_rel1861" localSheetId="2" hidden="1">1</definedName>
    <definedName name="solver_rel1861" localSheetId="4" hidden="1">1</definedName>
    <definedName name="solver_rel1862" localSheetId="2" hidden="1">1</definedName>
    <definedName name="solver_rel1862" localSheetId="4" hidden="1">1</definedName>
    <definedName name="solver_rel1863" localSheetId="2" hidden="1">1</definedName>
    <definedName name="solver_rel1863" localSheetId="4" hidden="1">1</definedName>
    <definedName name="solver_rel1864" localSheetId="2" hidden="1">1</definedName>
    <definedName name="solver_rel1864" localSheetId="4" hidden="1">1</definedName>
    <definedName name="solver_rel1865" localSheetId="2" hidden="1">1</definedName>
    <definedName name="solver_rel1865" localSheetId="4" hidden="1">1</definedName>
    <definedName name="solver_rel1866" localSheetId="2" hidden="1">1</definedName>
    <definedName name="solver_rel1866" localSheetId="4" hidden="1">1</definedName>
    <definedName name="solver_rel1867" localSheetId="2" hidden="1">1</definedName>
    <definedName name="solver_rel1867" localSheetId="4" hidden="1">1</definedName>
    <definedName name="solver_rel1868" localSheetId="2" hidden="1">1</definedName>
    <definedName name="solver_rel1868" localSheetId="4" hidden="1">1</definedName>
    <definedName name="solver_rel1869" localSheetId="2" hidden="1">1</definedName>
    <definedName name="solver_rel1869" localSheetId="4" hidden="1">1</definedName>
    <definedName name="solver_rel187" localSheetId="2" hidden="1">3</definedName>
    <definedName name="solver_rel187" localSheetId="4" hidden="1">3</definedName>
    <definedName name="solver_rel1870" localSheetId="2" hidden="1">1</definedName>
    <definedName name="solver_rel1870" localSheetId="4" hidden="1">1</definedName>
    <definedName name="solver_rel1871" localSheetId="2" hidden="1">1</definedName>
    <definedName name="solver_rel1871" localSheetId="4" hidden="1">1</definedName>
    <definedName name="solver_rel1872" localSheetId="2" hidden="1">1</definedName>
    <definedName name="solver_rel1872" localSheetId="4" hidden="1">1</definedName>
    <definedName name="solver_rel1873" localSheetId="2" hidden="1">1</definedName>
    <definedName name="solver_rel1873" localSheetId="4" hidden="1">1</definedName>
    <definedName name="solver_rel1874" localSheetId="2" hidden="1">1</definedName>
    <definedName name="solver_rel1874" localSheetId="4" hidden="1">1</definedName>
    <definedName name="solver_rel1875" localSheetId="2" hidden="1">1</definedName>
    <definedName name="solver_rel1875" localSheetId="4" hidden="1">1</definedName>
    <definedName name="solver_rel1876" localSheetId="2" hidden="1">1</definedName>
    <definedName name="solver_rel1876" localSheetId="4" hidden="1">1</definedName>
    <definedName name="solver_rel1877" localSheetId="2" hidden="1">1</definedName>
    <definedName name="solver_rel1877" localSheetId="4" hidden="1">1</definedName>
    <definedName name="solver_rel1878" localSheetId="2" hidden="1">1</definedName>
    <definedName name="solver_rel1878" localSheetId="4" hidden="1">1</definedName>
    <definedName name="solver_rel1879" localSheetId="2" hidden="1">1</definedName>
    <definedName name="solver_rel1879" localSheetId="4" hidden="1">1</definedName>
    <definedName name="solver_rel188" localSheetId="2" hidden="1">3</definedName>
    <definedName name="solver_rel188" localSheetId="4" hidden="1">3</definedName>
    <definedName name="solver_rel1880" localSheetId="2" hidden="1">1</definedName>
    <definedName name="solver_rel1880" localSheetId="4" hidden="1">1</definedName>
    <definedName name="solver_rel1881" localSheetId="2" hidden="1">1</definedName>
    <definedName name="solver_rel1881" localSheetId="4" hidden="1">1</definedName>
    <definedName name="solver_rel1882" localSheetId="2" hidden="1">1</definedName>
    <definedName name="solver_rel1882" localSheetId="4" hidden="1">1</definedName>
    <definedName name="solver_rel1883" localSheetId="2" hidden="1">1</definedName>
    <definedName name="solver_rel1883" localSheetId="4" hidden="1">1</definedName>
    <definedName name="solver_rel1884" localSheetId="2" hidden="1">1</definedName>
    <definedName name="solver_rel1884" localSheetId="4" hidden="1">1</definedName>
    <definedName name="solver_rel1885" localSheetId="2" hidden="1">1</definedName>
    <definedName name="solver_rel1885" localSheetId="4" hidden="1">1</definedName>
    <definedName name="solver_rel1886" localSheetId="2" hidden="1">1</definedName>
    <definedName name="solver_rel1886" localSheetId="4" hidden="1">1</definedName>
    <definedName name="solver_rel1887" localSheetId="2" hidden="1">1</definedName>
    <definedName name="solver_rel1887" localSheetId="4" hidden="1">1</definedName>
    <definedName name="solver_rel1888" localSheetId="2" hidden="1">1</definedName>
    <definedName name="solver_rel1888" localSheetId="4" hidden="1">1</definedName>
    <definedName name="solver_rel1889" localSheetId="2" hidden="1">1</definedName>
    <definedName name="solver_rel1889" localSheetId="4" hidden="1">1</definedName>
    <definedName name="solver_rel189" localSheetId="2" hidden="1">3</definedName>
    <definedName name="solver_rel189" localSheetId="4" hidden="1">3</definedName>
    <definedName name="solver_rel1890" localSheetId="2" hidden="1">1</definedName>
    <definedName name="solver_rel1890" localSheetId="4" hidden="1">1</definedName>
    <definedName name="solver_rel1891" localSheetId="2" hidden="1">1</definedName>
    <definedName name="solver_rel1891" localSheetId="4" hidden="1">1</definedName>
    <definedName name="solver_rel1892" localSheetId="2" hidden="1">1</definedName>
    <definedName name="solver_rel1892" localSheetId="4" hidden="1">1</definedName>
    <definedName name="solver_rel1893" localSheetId="2" hidden="1">1</definedName>
    <definedName name="solver_rel1893" localSheetId="4" hidden="1">1</definedName>
    <definedName name="solver_rel1894" localSheetId="2" hidden="1">1</definedName>
    <definedName name="solver_rel1894" localSheetId="4" hidden="1">1</definedName>
    <definedName name="solver_rel1895" localSheetId="2" hidden="1">1</definedName>
    <definedName name="solver_rel1895" localSheetId="4" hidden="1">1</definedName>
    <definedName name="solver_rel1896" localSheetId="2" hidden="1">1</definedName>
    <definedName name="solver_rel1896" localSheetId="4" hidden="1">1</definedName>
    <definedName name="solver_rel1897" localSheetId="2" hidden="1">1</definedName>
    <definedName name="solver_rel1897" localSheetId="4" hidden="1">1</definedName>
    <definedName name="solver_rel1898" localSheetId="2" hidden="1">1</definedName>
    <definedName name="solver_rel1898" localSheetId="4" hidden="1">1</definedName>
    <definedName name="solver_rel1899" localSheetId="2" hidden="1">1</definedName>
    <definedName name="solver_rel1899" localSheetId="4" hidden="1">1</definedName>
    <definedName name="solver_rel19" localSheetId="0" hidden="1">2</definedName>
    <definedName name="solver_rel19" localSheetId="2" hidden="1">3</definedName>
    <definedName name="solver_rel19" localSheetId="4" hidden="1">3</definedName>
    <definedName name="solver_rel190" localSheetId="2" hidden="1">3</definedName>
    <definedName name="solver_rel190" localSheetId="4" hidden="1">3</definedName>
    <definedName name="solver_rel1900" localSheetId="2" hidden="1">1</definedName>
    <definedName name="solver_rel1900" localSheetId="4" hidden="1">1</definedName>
    <definedName name="solver_rel1901" localSheetId="2" hidden="1">1</definedName>
    <definedName name="solver_rel1901" localSheetId="4" hidden="1">1</definedName>
    <definedName name="solver_rel1902" localSheetId="2" hidden="1">1</definedName>
    <definedName name="solver_rel1902" localSheetId="4" hidden="1">1</definedName>
    <definedName name="solver_rel1903" localSheetId="2" hidden="1">1</definedName>
    <definedName name="solver_rel1903" localSheetId="4" hidden="1">1</definedName>
    <definedName name="solver_rel1904" localSheetId="2" hidden="1">1</definedName>
    <definedName name="solver_rel1904" localSheetId="4" hidden="1">1</definedName>
    <definedName name="solver_rel1905" localSheetId="2" hidden="1">1</definedName>
    <definedName name="solver_rel1905" localSheetId="4" hidden="1">1</definedName>
    <definedName name="solver_rel1906" localSheetId="2" hidden="1">1</definedName>
    <definedName name="solver_rel1906" localSheetId="4" hidden="1">1</definedName>
    <definedName name="solver_rel1907" localSheetId="2" hidden="1">1</definedName>
    <definedName name="solver_rel1907" localSheetId="4" hidden="1">1</definedName>
    <definedName name="solver_rel1908" localSheetId="2" hidden="1">1</definedName>
    <definedName name="solver_rel1908" localSheetId="4" hidden="1">1</definedName>
    <definedName name="solver_rel1909" localSheetId="2" hidden="1">1</definedName>
    <definedName name="solver_rel1909" localSheetId="4" hidden="1">1</definedName>
    <definedName name="solver_rel191" localSheetId="2" hidden="1">3</definedName>
    <definedName name="solver_rel191" localSheetId="4" hidden="1">3</definedName>
    <definedName name="solver_rel1910" localSheetId="2" hidden="1">1</definedName>
    <definedName name="solver_rel1910" localSheetId="4" hidden="1">1</definedName>
    <definedName name="solver_rel1911" localSheetId="2" hidden="1">1</definedName>
    <definedName name="solver_rel1911" localSheetId="4" hidden="1">1</definedName>
    <definedName name="solver_rel1912" localSheetId="2" hidden="1">1</definedName>
    <definedName name="solver_rel1912" localSheetId="4" hidden="1">1</definedName>
    <definedName name="solver_rel1913" localSheetId="2" hidden="1">1</definedName>
    <definedName name="solver_rel1913" localSheetId="4" hidden="1">1</definedName>
    <definedName name="solver_rel1914" localSheetId="2" hidden="1">1</definedName>
    <definedName name="solver_rel1914" localSheetId="4" hidden="1">1</definedName>
    <definedName name="solver_rel1915" localSheetId="2" hidden="1">1</definedName>
    <definedName name="solver_rel1915" localSheetId="4" hidden="1">1</definedName>
    <definedName name="solver_rel1916" localSheetId="2" hidden="1">1</definedName>
    <definedName name="solver_rel1916" localSheetId="4" hidden="1">1</definedName>
    <definedName name="solver_rel1917" localSheetId="2" hidden="1">1</definedName>
    <definedName name="solver_rel1917" localSheetId="4" hidden="1">1</definedName>
    <definedName name="solver_rel1918" localSheetId="2" hidden="1">1</definedName>
    <definedName name="solver_rel1918" localSheetId="4" hidden="1">1</definedName>
    <definedName name="solver_rel1919" localSheetId="2" hidden="1">1</definedName>
    <definedName name="solver_rel1919" localSheetId="4" hidden="1">1</definedName>
    <definedName name="solver_rel192" localSheetId="2" hidden="1">3</definedName>
    <definedName name="solver_rel192" localSheetId="4" hidden="1">3</definedName>
    <definedName name="solver_rel1920" localSheetId="2" hidden="1">1</definedName>
    <definedName name="solver_rel1920" localSheetId="4" hidden="1">1</definedName>
    <definedName name="solver_rel1921" localSheetId="2" hidden="1">1</definedName>
    <definedName name="solver_rel1921" localSheetId="4" hidden="1">1</definedName>
    <definedName name="solver_rel1922" localSheetId="2" hidden="1">1</definedName>
    <definedName name="solver_rel1922" localSheetId="4" hidden="1">1</definedName>
    <definedName name="solver_rel1923" localSheetId="2" hidden="1">1</definedName>
    <definedName name="solver_rel1923" localSheetId="4" hidden="1">1</definedName>
    <definedName name="solver_rel1924" localSheetId="2" hidden="1">1</definedName>
    <definedName name="solver_rel1924" localSheetId="4" hidden="1">1</definedName>
    <definedName name="solver_rel1925" localSheetId="2" hidden="1">1</definedName>
    <definedName name="solver_rel1925" localSheetId="4" hidden="1">1</definedName>
    <definedName name="solver_rel1926" localSheetId="2" hidden="1">1</definedName>
    <definedName name="solver_rel1926" localSheetId="4" hidden="1">1</definedName>
    <definedName name="solver_rel1927" localSheetId="2" hidden="1">1</definedName>
    <definedName name="solver_rel1927" localSheetId="4" hidden="1">1</definedName>
    <definedName name="solver_rel1928" localSheetId="2" hidden="1">1</definedName>
    <definedName name="solver_rel1928" localSheetId="4" hidden="1">1</definedName>
    <definedName name="solver_rel1929" localSheetId="2" hidden="1">1</definedName>
    <definedName name="solver_rel1929" localSheetId="4" hidden="1">1</definedName>
    <definedName name="solver_rel193" localSheetId="2" hidden="1">3</definedName>
    <definedName name="solver_rel193" localSheetId="4" hidden="1">3</definedName>
    <definedName name="solver_rel1930" localSheetId="2" hidden="1">1</definedName>
    <definedName name="solver_rel1930" localSheetId="4" hidden="1">1</definedName>
    <definedName name="solver_rel1931" localSheetId="2" hidden="1">1</definedName>
    <definedName name="solver_rel1931" localSheetId="4" hidden="1">1</definedName>
    <definedName name="solver_rel1932" localSheetId="2" hidden="1">1</definedName>
    <definedName name="solver_rel1932" localSheetId="4" hidden="1">1</definedName>
    <definedName name="solver_rel1933" localSheetId="2" hidden="1">1</definedName>
    <definedName name="solver_rel1933" localSheetId="4" hidden="1">1</definedName>
    <definedName name="solver_rel1934" localSheetId="2" hidden="1">1</definedName>
    <definedName name="solver_rel1934" localSheetId="4" hidden="1">1</definedName>
    <definedName name="solver_rel1935" localSheetId="2" hidden="1">1</definedName>
    <definedName name="solver_rel1935" localSheetId="4" hidden="1">1</definedName>
    <definedName name="solver_rel1936" localSheetId="2" hidden="1">1</definedName>
    <definedName name="solver_rel1936" localSheetId="4" hidden="1">1</definedName>
    <definedName name="solver_rel1937" localSheetId="2" hidden="1">1</definedName>
    <definedName name="solver_rel1937" localSheetId="4" hidden="1">1</definedName>
    <definedName name="solver_rel1938" localSheetId="2" hidden="1">1</definedName>
    <definedName name="solver_rel1938" localSheetId="4" hidden="1">1</definedName>
    <definedName name="solver_rel1939" localSheetId="2" hidden="1">1</definedName>
    <definedName name="solver_rel1939" localSheetId="4" hidden="1">1</definedName>
    <definedName name="solver_rel194" localSheetId="2" hidden="1">3</definedName>
    <definedName name="solver_rel194" localSheetId="4" hidden="1">3</definedName>
    <definedName name="solver_rel1940" localSheetId="2" hidden="1">1</definedName>
    <definedName name="solver_rel1940" localSheetId="4" hidden="1">1</definedName>
    <definedName name="solver_rel1941" localSheetId="2" hidden="1">1</definedName>
    <definedName name="solver_rel1941" localSheetId="4" hidden="1">1</definedName>
    <definedName name="solver_rel1942" localSheetId="2" hidden="1">1</definedName>
    <definedName name="solver_rel1942" localSheetId="4" hidden="1">1</definedName>
    <definedName name="solver_rel1943" localSheetId="2" hidden="1">1</definedName>
    <definedName name="solver_rel1943" localSheetId="4" hidden="1">1</definedName>
    <definedName name="solver_rel1944" localSheetId="2" hidden="1">1</definedName>
    <definedName name="solver_rel1944" localSheetId="4" hidden="1">1</definedName>
    <definedName name="solver_rel1945" localSheetId="2" hidden="1">1</definedName>
    <definedName name="solver_rel1945" localSheetId="4" hidden="1">1</definedName>
    <definedName name="solver_rel1946" localSheetId="2" hidden="1">1</definedName>
    <definedName name="solver_rel1946" localSheetId="4" hidden="1">1</definedName>
    <definedName name="solver_rel1947" localSheetId="2" hidden="1">1</definedName>
    <definedName name="solver_rel1947" localSheetId="4" hidden="1">1</definedName>
    <definedName name="solver_rel1948" localSheetId="2" hidden="1">1</definedName>
    <definedName name="solver_rel1948" localSheetId="4" hidden="1">1</definedName>
    <definedName name="solver_rel1949" localSheetId="2" hidden="1">1</definedName>
    <definedName name="solver_rel1949" localSheetId="4" hidden="1">1</definedName>
    <definedName name="solver_rel195" localSheetId="2" hidden="1">3</definedName>
    <definedName name="solver_rel195" localSheetId="4" hidden="1">3</definedName>
    <definedName name="solver_rel1950" localSheetId="2" hidden="1">1</definedName>
    <definedName name="solver_rel1950" localSheetId="4" hidden="1">1</definedName>
    <definedName name="solver_rel1951" localSheetId="2" hidden="1">1</definedName>
    <definedName name="solver_rel1951" localSheetId="4" hidden="1">1</definedName>
    <definedName name="solver_rel1952" localSheetId="2" hidden="1">1</definedName>
    <definedName name="solver_rel1952" localSheetId="4" hidden="1">1</definedName>
    <definedName name="solver_rel1953" localSheetId="2" hidden="1">1</definedName>
    <definedName name="solver_rel1953" localSheetId="4" hidden="1">1</definedName>
    <definedName name="solver_rel1954" localSheetId="2" hidden="1">1</definedName>
    <definedName name="solver_rel1954" localSheetId="4" hidden="1">1</definedName>
    <definedName name="solver_rel1955" localSheetId="2" hidden="1">1</definedName>
    <definedName name="solver_rel1955" localSheetId="4" hidden="1">1</definedName>
    <definedName name="solver_rel1956" localSheetId="2" hidden="1">1</definedName>
    <definedName name="solver_rel1956" localSheetId="4" hidden="1">1</definedName>
    <definedName name="solver_rel1957" localSheetId="2" hidden="1">1</definedName>
    <definedName name="solver_rel1957" localSheetId="4" hidden="1">1</definedName>
    <definedName name="solver_rel1958" localSheetId="2" hidden="1">1</definedName>
    <definedName name="solver_rel1958" localSheetId="4" hidden="1">1</definedName>
    <definedName name="solver_rel1959" localSheetId="2" hidden="1">1</definedName>
    <definedName name="solver_rel1959" localSheetId="4" hidden="1">1</definedName>
    <definedName name="solver_rel196" localSheetId="2" hidden="1">3</definedName>
    <definedName name="solver_rel196" localSheetId="4" hidden="1">3</definedName>
    <definedName name="solver_rel1960" localSheetId="2" hidden="1">1</definedName>
    <definedName name="solver_rel1960" localSheetId="4" hidden="1">1</definedName>
    <definedName name="solver_rel1961" localSheetId="2" hidden="1">1</definedName>
    <definedName name="solver_rel1961" localSheetId="4" hidden="1">1</definedName>
    <definedName name="solver_rel1962" localSheetId="2" hidden="1">1</definedName>
    <definedName name="solver_rel1962" localSheetId="4" hidden="1">1</definedName>
    <definedName name="solver_rel1963" localSheetId="2" hidden="1">1</definedName>
    <definedName name="solver_rel1963" localSheetId="4" hidden="1">1</definedName>
    <definedName name="solver_rel1964" localSheetId="2" hidden="1">1</definedName>
    <definedName name="solver_rel1964" localSheetId="4" hidden="1">1</definedName>
    <definedName name="solver_rel1965" localSheetId="2" hidden="1">1</definedName>
    <definedName name="solver_rel1965" localSheetId="4" hidden="1">1</definedName>
    <definedName name="solver_rel1966" localSheetId="2" hidden="1">1</definedName>
    <definedName name="solver_rel1966" localSheetId="4" hidden="1">1</definedName>
    <definedName name="solver_rel1967" localSheetId="2" hidden="1">1</definedName>
    <definedName name="solver_rel1967" localSheetId="4" hidden="1">1</definedName>
    <definedName name="solver_rel1968" localSheetId="2" hidden="1">1</definedName>
    <definedName name="solver_rel1968" localSheetId="4" hidden="1">1</definedName>
    <definedName name="solver_rel1969" localSheetId="2" hidden="1">1</definedName>
    <definedName name="solver_rel1969" localSheetId="4" hidden="1">1</definedName>
    <definedName name="solver_rel197" localSheetId="2" hidden="1">3</definedName>
    <definedName name="solver_rel197" localSheetId="4" hidden="1">3</definedName>
    <definedName name="solver_rel1970" localSheetId="2" hidden="1">1</definedName>
    <definedName name="solver_rel1970" localSheetId="4" hidden="1">1</definedName>
    <definedName name="solver_rel1971" localSheetId="2" hidden="1">1</definedName>
    <definedName name="solver_rel1971" localSheetId="4" hidden="1">1</definedName>
    <definedName name="solver_rel1972" localSheetId="2" hidden="1">1</definedName>
    <definedName name="solver_rel1972" localSheetId="4" hidden="1">1</definedName>
    <definedName name="solver_rel1973" localSheetId="2" hidden="1">1</definedName>
    <definedName name="solver_rel1973" localSheetId="4" hidden="1">1</definedName>
    <definedName name="solver_rel1974" localSheetId="2" hidden="1">1</definedName>
    <definedName name="solver_rel1974" localSheetId="4" hidden="1">1</definedName>
    <definedName name="solver_rel1975" localSheetId="2" hidden="1">1</definedName>
    <definedName name="solver_rel1975" localSheetId="4" hidden="1">1</definedName>
    <definedName name="solver_rel1976" localSheetId="2" hidden="1">1</definedName>
    <definedName name="solver_rel1976" localSheetId="4" hidden="1">1</definedName>
    <definedName name="solver_rel1977" localSheetId="2" hidden="1">1</definedName>
    <definedName name="solver_rel1977" localSheetId="4" hidden="1">1</definedName>
    <definedName name="solver_rel1978" localSheetId="2" hidden="1">1</definedName>
    <definedName name="solver_rel1978" localSheetId="4" hidden="1">1</definedName>
    <definedName name="solver_rel1979" localSheetId="2" hidden="1">1</definedName>
    <definedName name="solver_rel1979" localSheetId="4" hidden="1">1</definedName>
    <definedName name="solver_rel198" localSheetId="2" hidden="1">3</definedName>
    <definedName name="solver_rel198" localSheetId="4" hidden="1">3</definedName>
    <definedName name="solver_rel1980" localSheetId="2" hidden="1">1</definedName>
    <definedName name="solver_rel1980" localSheetId="4" hidden="1">1</definedName>
    <definedName name="solver_rel1981" localSheetId="2" hidden="1">1</definedName>
    <definedName name="solver_rel1981" localSheetId="4" hidden="1">1</definedName>
    <definedName name="solver_rel1982" localSheetId="2" hidden="1">1</definedName>
    <definedName name="solver_rel1982" localSheetId="4" hidden="1">1</definedName>
    <definedName name="solver_rel1983" localSheetId="2" hidden="1">1</definedName>
    <definedName name="solver_rel1983" localSheetId="4" hidden="1">1</definedName>
    <definedName name="solver_rel1984" localSheetId="2" hidden="1">1</definedName>
    <definedName name="solver_rel1984" localSheetId="4" hidden="1">1</definedName>
    <definedName name="solver_rel1985" localSheetId="2" hidden="1">1</definedName>
    <definedName name="solver_rel1985" localSheetId="4" hidden="1">1</definedName>
    <definedName name="solver_rel1986" localSheetId="2" hidden="1">1</definedName>
    <definedName name="solver_rel1986" localSheetId="4" hidden="1">1</definedName>
    <definedName name="solver_rel1987" localSheetId="2" hidden="1">1</definedName>
    <definedName name="solver_rel1987" localSheetId="4" hidden="1">1</definedName>
    <definedName name="solver_rel1988" localSheetId="2" hidden="1">1</definedName>
    <definedName name="solver_rel1988" localSheetId="4" hidden="1">1</definedName>
    <definedName name="solver_rel1989" localSheetId="2" hidden="1">1</definedName>
    <definedName name="solver_rel1989" localSheetId="4" hidden="1">1</definedName>
    <definedName name="solver_rel199" localSheetId="2" hidden="1">3</definedName>
    <definedName name="solver_rel199" localSheetId="4" hidden="1">3</definedName>
    <definedName name="solver_rel1990" localSheetId="2" hidden="1">1</definedName>
    <definedName name="solver_rel1990" localSheetId="4" hidden="1">1</definedName>
    <definedName name="solver_rel1991" localSheetId="2" hidden="1">1</definedName>
    <definedName name="solver_rel1991" localSheetId="4" hidden="1">1</definedName>
    <definedName name="solver_rel1992" localSheetId="2" hidden="1">1</definedName>
    <definedName name="solver_rel1992" localSheetId="4" hidden="1">1</definedName>
    <definedName name="solver_rel1993" localSheetId="2" hidden="1">1</definedName>
    <definedName name="solver_rel1993" localSheetId="4" hidden="1">1</definedName>
    <definedName name="solver_rel1994" localSheetId="2" hidden="1">1</definedName>
    <definedName name="solver_rel1994" localSheetId="4" hidden="1">1</definedName>
    <definedName name="solver_rel1995" localSheetId="2" hidden="1">1</definedName>
    <definedName name="solver_rel1995" localSheetId="4" hidden="1">1</definedName>
    <definedName name="solver_rel1996" localSheetId="2" hidden="1">1</definedName>
    <definedName name="solver_rel1996" localSheetId="4" hidden="1">1</definedName>
    <definedName name="solver_rel1997" localSheetId="2" hidden="1">1</definedName>
    <definedName name="solver_rel1997" localSheetId="4" hidden="1">1</definedName>
    <definedName name="solver_rel1998" localSheetId="2" hidden="1">1</definedName>
    <definedName name="solver_rel1998" localSheetId="4" hidden="1">1</definedName>
    <definedName name="solver_rel1999" localSheetId="2" hidden="1">1</definedName>
    <definedName name="solver_rel1999" localSheetId="4" hidden="1">1</definedName>
    <definedName name="solver_rel2" localSheetId="0" hidden="1">3</definedName>
    <definedName name="solver_rel2" localSheetId="2" hidden="1">3</definedName>
    <definedName name="solver_rel2" localSheetId="4" hidden="1">3</definedName>
    <definedName name="solver_rel20" localSheetId="0" hidden="1">2</definedName>
    <definedName name="solver_rel20" localSheetId="2" hidden="1">3</definedName>
    <definedName name="solver_rel20" localSheetId="4" hidden="1">3</definedName>
    <definedName name="solver_rel200" localSheetId="2" hidden="1">3</definedName>
    <definedName name="solver_rel200" localSheetId="4" hidden="1">3</definedName>
    <definedName name="solver_rel2000" localSheetId="2" hidden="1">1</definedName>
    <definedName name="solver_rel2000" localSheetId="4" hidden="1">1</definedName>
    <definedName name="solver_rel2001" localSheetId="2" hidden="1">1</definedName>
    <definedName name="solver_rel2001" localSheetId="4" hidden="1">1</definedName>
    <definedName name="solver_rel2002" localSheetId="2" hidden="1">1</definedName>
    <definedName name="solver_rel2002" localSheetId="4" hidden="1">1</definedName>
    <definedName name="solver_rel201" localSheetId="2" hidden="1">3</definedName>
    <definedName name="solver_rel201" localSheetId="4" hidden="1">3</definedName>
    <definedName name="solver_rel202" localSheetId="2" hidden="1">3</definedName>
    <definedName name="solver_rel202" localSheetId="4" hidden="1">3</definedName>
    <definedName name="solver_rel203" localSheetId="2" hidden="1">3</definedName>
    <definedName name="solver_rel203" localSheetId="4" hidden="1">3</definedName>
    <definedName name="solver_rel204" localSheetId="2" hidden="1">3</definedName>
    <definedName name="solver_rel204" localSheetId="4" hidden="1">3</definedName>
    <definedName name="solver_rel205" localSheetId="2" hidden="1">3</definedName>
    <definedName name="solver_rel205" localSheetId="4" hidden="1">3</definedName>
    <definedName name="solver_rel206" localSheetId="2" hidden="1">3</definedName>
    <definedName name="solver_rel206" localSheetId="4" hidden="1">3</definedName>
    <definedName name="solver_rel207" localSheetId="2" hidden="1">3</definedName>
    <definedName name="solver_rel207" localSheetId="4" hidden="1">3</definedName>
    <definedName name="solver_rel208" localSheetId="2" hidden="1">3</definedName>
    <definedName name="solver_rel208" localSheetId="4" hidden="1">3</definedName>
    <definedName name="solver_rel209" localSheetId="2" hidden="1">3</definedName>
    <definedName name="solver_rel209" localSheetId="4" hidden="1">3</definedName>
    <definedName name="solver_rel21" localSheetId="0" hidden="1">2</definedName>
    <definedName name="solver_rel21" localSheetId="2" hidden="1">1</definedName>
    <definedName name="solver_rel21" localSheetId="4" hidden="1">1</definedName>
    <definedName name="solver_rel210" localSheetId="2" hidden="1">3</definedName>
    <definedName name="solver_rel210" localSheetId="4" hidden="1">3</definedName>
    <definedName name="solver_rel211" localSheetId="2" hidden="1">3</definedName>
    <definedName name="solver_rel211" localSheetId="4" hidden="1">3</definedName>
    <definedName name="solver_rel212" localSheetId="2" hidden="1">3</definedName>
    <definedName name="solver_rel212" localSheetId="4" hidden="1">3</definedName>
    <definedName name="solver_rel213" localSheetId="2" hidden="1">3</definedName>
    <definedName name="solver_rel213" localSheetId="4" hidden="1">3</definedName>
    <definedName name="solver_rel214" localSheetId="2" hidden="1">3</definedName>
    <definedName name="solver_rel214" localSheetId="4" hidden="1">3</definedName>
    <definedName name="solver_rel215" localSheetId="2" hidden="1">3</definedName>
    <definedName name="solver_rel215" localSheetId="4" hidden="1">3</definedName>
    <definedName name="solver_rel216" localSheetId="2" hidden="1">3</definedName>
    <definedName name="solver_rel216" localSheetId="4" hidden="1">3</definedName>
    <definedName name="solver_rel217" localSheetId="2" hidden="1">3</definedName>
    <definedName name="solver_rel217" localSheetId="4" hidden="1">3</definedName>
    <definedName name="solver_rel218" localSheetId="2" hidden="1">3</definedName>
    <definedName name="solver_rel218" localSheetId="4" hidden="1">3</definedName>
    <definedName name="solver_rel219" localSheetId="2" hidden="1">3</definedName>
    <definedName name="solver_rel219" localSheetId="4" hidden="1">3</definedName>
    <definedName name="solver_rel22" localSheetId="0" hidden="1">1</definedName>
    <definedName name="solver_rel22" localSheetId="2" hidden="1">1</definedName>
    <definedName name="solver_rel22" localSheetId="4" hidden="1">1</definedName>
    <definedName name="solver_rel220" localSheetId="2" hidden="1">3</definedName>
    <definedName name="solver_rel220" localSheetId="4" hidden="1">3</definedName>
    <definedName name="solver_rel221" localSheetId="2" hidden="1">3</definedName>
    <definedName name="solver_rel221" localSheetId="4" hidden="1">3</definedName>
    <definedName name="solver_rel222" localSheetId="2" hidden="1">3</definedName>
    <definedName name="solver_rel222" localSheetId="4" hidden="1">3</definedName>
    <definedName name="solver_rel223" localSheetId="2" hidden="1">3</definedName>
    <definedName name="solver_rel223" localSheetId="4" hidden="1">3</definedName>
    <definedName name="solver_rel224" localSheetId="2" hidden="1">2</definedName>
    <definedName name="solver_rel224" localSheetId="4" hidden="1">2</definedName>
    <definedName name="solver_rel225" localSheetId="2" hidden="1">3</definedName>
    <definedName name="solver_rel225" localSheetId="4" hidden="1">3</definedName>
    <definedName name="solver_rel226" localSheetId="2" hidden="1">3</definedName>
    <definedName name="solver_rel226" localSheetId="4" hidden="1">3</definedName>
    <definedName name="solver_rel227" localSheetId="2" hidden="1">3</definedName>
    <definedName name="solver_rel227" localSheetId="4" hidden="1">3</definedName>
    <definedName name="solver_rel228" localSheetId="2" hidden="1">3</definedName>
    <definedName name="solver_rel228" localSheetId="4" hidden="1">3</definedName>
    <definedName name="solver_rel229" localSheetId="2" hidden="1">3</definedName>
    <definedName name="solver_rel229" localSheetId="4" hidden="1">3</definedName>
    <definedName name="solver_rel23" localSheetId="0" hidden="1">2</definedName>
    <definedName name="solver_rel23" localSheetId="2" hidden="1">3</definedName>
    <definedName name="solver_rel23" localSheetId="4" hidden="1">3</definedName>
    <definedName name="solver_rel230" localSheetId="2" hidden="1">3</definedName>
    <definedName name="solver_rel230" localSheetId="4" hidden="1">3</definedName>
    <definedName name="solver_rel231" localSheetId="2" hidden="1">3</definedName>
    <definedName name="solver_rel231" localSheetId="4" hidden="1">3</definedName>
    <definedName name="solver_rel232" localSheetId="2" hidden="1">3</definedName>
    <definedName name="solver_rel232" localSheetId="4" hidden="1">3</definedName>
    <definedName name="solver_rel233" localSheetId="2" hidden="1">3</definedName>
    <definedName name="solver_rel233" localSheetId="4" hidden="1">3</definedName>
    <definedName name="solver_rel234" localSheetId="2" hidden="1">3</definedName>
    <definedName name="solver_rel234" localSheetId="4" hidden="1">3</definedName>
    <definedName name="solver_rel235" localSheetId="2" hidden="1">3</definedName>
    <definedName name="solver_rel235" localSheetId="4" hidden="1">3</definedName>
    <definedName name="solver_rel236" localSheetId="2" hidden="1">3</definedName>
    <definedName name="solver_rel236" localSheetId="4" hidden="1">3</definedName>
    <definedName name="solver_rel237" localSheetId="2" hidden="1">3</definedName>
    <definedName name="solver_rel237" localSheetId="4" hidden="1">3</definedName>
    <definedName name="solver_rel238" localSheetId="2" hidden="1">3</definedName>
    <definedName name="solver_rel238" localSheetId="4" hidden="1">3</definedName>
    <definedName name="solver_rel239" localSheetId="2" hidden="1">3</definedName>
    <definedName name="solver_rel239" localSheetId="4" hidden="1">3</definedName>
    <definedName name="solver_rel24" localSheetId="0" hidden="1">3</definedName>
    <definedName name="solver_rel24" localSheetId="2" hidden="1">3</definedName>
    <definedName name="solver_rel24" localSheetId="4" hidden="1">3</definedName>
    <definedName name="solver_rel240" localSheetId="2" hidden="1">3</definedName>
    <definedName name="solver_rel240" localSheetId="4" hidden="1">3</definedName>
    <definedName name="solver_rel241" localSheetId="2" hidden="1">3</definedName>
    <definedName name="solver_rel241" localSheetId="4" hidden="1">3</definedName>
    <definedName name="solver_rel242" localSheetId="2" hidden="1">3</definedName>
    <definedName name="solver_rel242" localSheetId="4" hidden="1">3</definedName>
    <definedName name="solver_rel243" localSheetId="2" hidden="1">3</definedName>
    <definedName name="solver_rel243" localSheetId="4" hidden="1">3</definedName>
    <definedName name="solver_rel244" localSheetId="2" hidden="1">3</definedName>
    <definedName name="solver_rel244" localSheetId="4" hidden="1">3</definedName>
    <definedName name="solver_rel245" localSheetId="2" hidden="1">3</definedName>
    <definedName name="solver_rel245" localSheetId="4" hidden="1">3</definedName>
    <definedName name="solver_rel246" localSheetId="2" hidden="1">3</definedName>
    <definedName name="solver_rel246" localSheetId="4" hidden="1">3</definedName>
    <definedName name="solver_rel247" localSheetId="2" hidden="1">3</definedName>
    <definedName name="solver_rel247" localSheetId="4" hidden="1">3</definedName>
    <definedName name="solver_rel248" localSheetId="2" hidden="1">3</definedName>
    <definedName name="solver_rel248" localSheetId="4" hidden="1">3</definedName>
    <definedName name="solver_rel249" localSheetId="2" hidden="1">3</definedName>
    <definedName name="solver_rel249" localSheetId="4" hidden="1">3</definedName>
    <definedName name="solver_rel25" localSheetId="0" hidden="1">3</definedName>
    <definedName name="solver_rel25" localSheetId="2" hidden="1">2</definedName>
    <definedName name="solver_rel25" localSheetId="4" hidden="1">2</definedName>
    <definedName name="solver_rel250" localSheetId="2" hidden="1">3</definedName>
    <definedName name="solver_rel250" localSheetId="4" hidden="1">3</definedName>
    <definedName name="solver_rel251" localSheetId="2" hidden="1">3</definedName>
    <definedName name="solver_rel251" localSheetId="4" hidden="1">3</definedName>
    <definedName name="solver_rel252" localSheetId="2" hidden="1">3</definedName>
    <definedName name="solver_rel252" localSheetId="4" hidden="1">3</definedName>
    <definedName name="solver_rel253" localSheetId="2" hidden="1">3</definedName>
    <definedName name="solver_rel253" localSheetId="4" hidden="1">3</definedName>
    <definedName name="solver_rel254" localSheetId="2" hidden="1">3</definedName>
    <definedName name="solver_rel254" localSheetId="4" hidden="1">3</definedName>
    <definedName name="solver_rel255" localSheetId="2" hidden="1">3</definedName>
    <definedName name="solver_rel255" localSheetId="4" hidden="1">3</definedName>
    <definedName name="solver_rel256" localSheetId="2" hidden="1">3</definedName>
    <definedName name="solver_rel256" localSheetId="4" hidden="1">3</definedName>
    <definedName name="solver_rel257" localSheetId="2" hidden="1">3</definedName>
    <definedName name="solver_rel257" localSheetId="4" hidden="1">3</definedName>
    <definedName name="solver_rel258" localSheetId="2" hidden="1">3</definedName>
    <definedName name="solver_rel258" localSheetId="4" hidden="1">3</definedName>
    <definedName name="solver_rel259" localSheetId="2" hidden="1">3</definedName>
    <definedName name="solver_rel259" localSheetId="4" hidden="1">3</definedName>
    <definedName name="solver_rel26" localSheetId="0" hidden="1">1</definedName>
    <definedName name="solver_rel26" localSheetId="2" hidden="1">2</definedName>
    <definedName name="solver_rel26" localSheetId="4" hidden="1">2</definedName>
    <definedName name="solver_rel260" localSheetId="2" hidden="1">3</definedName>
    <definedName name="solver_rel260" localSheetId="4" hidden="1">3</definedName>
    <definedName name="solver_rel261" localSheetId="2" hidden="1">3</definedName>
    <definedName name="solver_rel261" localSheetId="4" hidden="1">3</definedName>
    <definedName name="solver_rel262" localSheetId="2" hidden="1">3</definedName>
    <definedName name="solver_rel262" localSheetId="4" hidden="1">3</definedName>
    <definedName name="solver_rel263" localSheetId="2" hidden="1">3</definedName>
    <definedName name="solver_rel263" localSheetId="4" hidden="1">3</definedName>
    <definedName name="solver_rel264" localSheetId="2" hidden="1">3</definedName>
    <definedName name="solver_rel264" localSheetId="4" hidden="1">3</definedName>
    <definedName name="solver_rel265" localSheetId="2" hidden="1">3</definedName>
    <definedName name="solver_rel265" localSheetId="4" hidden="1">3</definedName>
    <definedName name="solver_rel266" localSheetId="2" hidden="1">3</definedName>
    <definedName name="solver_rel266" localSheetId="4" hidden="1">3</definedName>
    <definedName name="solver_rel267" localSheetId="2" hidden="1">3</definedName>
    <definedName name="solver_rel267" localSheetId="4" hidden="1">3</definedName>
    <definedName name="solver_rel268" localSheetId="2" hidden="1">3</definedName>
    <definedName name="solver_rel268" localSheetId="4" hidden="1">3</definedName>
    <definedName name="solver_rel269" localSheetId="2" hidden="1">3</definedName>
    <definedName name="solver_rel269" localSheetId="4" hidden="1">3</definedName>
    <definedName name="solver_rel27" localSheetId="0" hidden="1">1</definedName>
    <definedName name="solver_rel27" localSheetId="2" hidden="1">1</definedName>
    <definedName name="solver_rel27" localSheetId="4" hidden="1">1</definedName>
    <definedName name="solver_rel270" localSheetId="2" hidden="1">3</definedName>
    <definedName name="solver_rel270" localSheetId="4" hidden="1">3</definedName>
    <definedName name="solver_rel271" localSheetId="2" hidden="1">3</definedName>
    <definedName name="solver_rel271" localSheetId="4" hidden="1">3</definedName>
    <definedName name="solver_rel272" localSheetId="2" hidden="1">3</definedName>
    <definedName name="solver_rel272" localSheetId="4" hidden="1">3</definedName>
    <definedName name="solver_rel273" localSheetId="2" hidden="1">3</definedName>
    <definedName name="solver_rel273" localSheetId="4" hidden="1">3</definedName>
    <definedName name="solver_rel274" localSheetId="2" hidden="1">3</definedName>
    <definedName name="solver_rel274" localSheetId="4" hidden="1">3</definedName>
    <definedName name="solver_rel275" localSheetId="2" hidden="1">3</definedName>
    <definedName name="solver_rel275" localSheetId="4" hidden="1">3</definedName>
    <definedName name="solver_rel276" localSheetId="2" hidden="1">3</definedName>
    <definedName name="solver_rel276" localSheetId="4" hidden="1">3</definedName>
    <definedName name="solver_rel277" localSheetId="2" hidden="1">3</definedName>
    <definedName name="solver_rel277" localSheetId="4" hidden="1">3</definedName>
    <definedName name="solver_rel278" localSheetId="2" hidden="1">3</definedName>
    <definedName name="solver_rel278" localSheetId="4" hidden="1">3</definedName>
    <definedName name="solver_rel279" localSheetId="2" hidden="1">3</definedName>
    <definedName name="solver_rel279" localSheetId="4" hidden="1">3</definedName>
    <definedName name="solver_rel28" localSheetId="0" hidden="1">3</definedName>
    <definedName name="solver_rel28" localSheetId="2" hidden="1">3</definedName>
    <definedName name="solver_rel28" localSheetId="4" hidden="1">3</definedName>
    <definedName name="solver_rel280" localSheetId="2" hidden="1">3</definedName>
    <definedName name="solver_rel280" localSheetId="4" hidden="1">3</definedName>
    <definedName name="solver_rel281" localSheetId="2" hidden="1">3</definedName>
    <definedName name="solver_rel281" localSheetId="4" hidden="1">3</definedName>
    <definedName name="solver_rel282" localSheetId="2" hidden="1">3</definedName>
    <definedName name="solver_rel282" localSheetId="4" hidden="1">3</definedName>
    <definedName name="solver_rel283" localSheetId="2" hidden="1">3</definedName>
    <definedName name="solver_rel283" localSheetId="4" hidden="1">3</definedName>
    <definedName name="solver_rel284" localSheetId="2" hidden="1">3</definedName>
    <definedName name="solver_rel284" localSheetId="4" hidden="1">3</definedName>
    <definedName name="solver_rel285" localSheetId="2" hidden="1">3</definedName>
    <definedName name="solver_rel285" localSheetId="4" hidden="1">3</definedName>
    <definedName name="solver_rel286" localSheetId="2" hidden="1">3</definedName>
    <definedName name="solver_rel286" localSheetId="4" hidden="1">3</definedName>
    <definedName name="solver_rel287" localSheetId="2" hidden="1">3</definedName>
    <definedName name="solver_rel287" localSheetId="4" hidden="1">3</definedName>
    <definedName name="solver_rel288" localSheetId="2" hidden="1">3</definedName>
    <definedName name="solver_rel288" localSheetId="4" hidden="1">3</definedName>
    <definedName name="solver_rel289" localSheetId="2" hidden="1">3</definedName>
    <definedName name="solver_rel289" localSheetId="4" hidden="1">3</definedName>
    <definedName name="solver_rel29" localSheetId="0" hidden="1">3</definedName>
    <definedName name="solver_rel29" localSheetId="2" hidden="1">3</definedName>
    <definedName name="solver_rel29" localSheetId="4" hidden="1">3</definedName>
    <definedName name="solver_rel290" localSheetId="2" hidden="1">3</definedName>
    <definedName name="solver_rel290" localSheetId="4" hidden="1">3</definedName>
    <definedName name="solver_rel291" localSheetId="2" hidden="1">3</definedName>
    <definedName name="solver_rel291" localSheetId="4" hidden="1">3</definedName>
    <definedName name="solver_rel292" localSheetId="2" hidden="1">3</definedName>
    <definedName name="solver_rel292" localSheetId="4" hidden="1">3</definedName>
    <definedName name="solver_rel293" localSheetId="2" hidden="1">3</definedName>
    <definedName name="solver_rel293" localSheetId="4" hidden="1">3</definedName>
    <definedName name="solver_rel294" localSheetId="2" hidden="1">3</definedName>
    <definedName name="solver_rel294" localSheetId="4" hidden="1">3</definedName>
    <definedName name="solver_rel295" localSheetId="2" hidden="1">3</definedName>
    <definedName name="solver_rel295" localSheetId="4" hidden="1">3</definedName>
    <definedName name="solver_rel296" localSheetId="2" hidden="1">3</definedName>
    <definedName name="solver_rel296" localSheetId="4" hidden="1">3</definedName>
    <definedName name="solver_rel297" localSheetId="2" hidden="1">3</definedName>
    <definedName name="solver_rel297" localSheetId="4" hidden="1">3</definedName>
    <definedName name="solver_rel298" localSheetId="2" hidden="1">3</definedName>
    <definedName name="solver_rel298" localSheetId="4" hidden="1">3</definedName>
    <definedName name="solver_rel299" localSheetId="2" hidden="1">3</definedName>
    <definedName name="solver_rel299" localSheetId="4" hidden="1">3</definedName>
    <definedName name="solver_rel3" localSheetId="0" hidden="1">3</definedName>
    <definedName name="solver_rel3" localSheetId="2" hidden="1">3</definedName>
    <definedName name="solver_rel3" localSheetId="4" hidden="1">3</definedName>
    <definedName name="solver_rel30" localSheetId="0" hidden="1">2</definedName>
    <definedName name="solver_rel30" localSheetId="2" hidden="1">3</definedName>
    <definedName name="solver_rel30" localSheetId="4" hidden="1">3</definedName>
    <definedName name="solver_rel300" localSheetId="2" hidden="1">3</definedName>
    <definedName name="solver_rel300" localSheetId="4" hidden="1">3</definedName>
    <definedName name="solver_rel301" localSheetId="2" hidden="1">3</definedName>
    <definedName name="solver_rel301" localSheetId="4" hidden="1">3</definedName>
    <definedName name="solver_rel302" localSheetId="2" hidden="1">3</definedName>
    <definedName name="solver_rel302" localSheetId="4" hidden="1">3</definedName>
    <definedName name="solver_rel303" localSheetId="2" hidden="1">3</definedName>
    <definedName name="solver_rel303" localSheetId="4" hidden="1">3</definedName>
    <definedName name="solver_rel304" localSheetId="2" hidden="1">3</definedName>
    <definedName name="solver_rel304" localSheetId="4" hidden="1">3</definedName>
    <definedName name="solver_rel305" localSheetId="2" hidden="1">3</definedName>
    <definedName name="solver_rel305" localSheetId="4" hidden="1">3</definedName>
    <definedName name="solver_rel306" localSheetId="2" hidden="1">3</definedName>
    <definedName name="solver_rel306" localSheetId="4" hidden="1">3</definedName>
    <definedName name="solver_rel307" localSheetId="2" hidden="1">3</definedName>
    <definedName name="solver_rel307" localSheetId="4" hidden="1">3</definedName>
    <definedName name="solver_rel308" localSheetId="2" hidden="1">3</definedName>
    <definedName name="solver_rel308" localSheetId="4" hidden="1">3</definedName>
    <definedName name="solver_rel309" localSheetId="2" hidden="1">3</definedName>
    <definedName name="solver_rel309" localSheetId="4" hidden="1">3</definedName>
    <definedName name="solver_rel31" localSheetId="0" hidden="1">2</definedName>
    <definedName name="solver_rel31" localSheetId="2" hidden="1">3</definedName>
    <definedName name="solver_rel31" localSheetId="4" hidden="1">3</definedName>
    <definedName name="solver_rel310" localSheetId="2" hidden="1">3</definedName>
    <definedName name="solver_rel310" localSheetId="4" hidden="1">3</definedName>
    <definedName name="solver_rel311" localSheetId="2" hidden="1">3</definedName>
    <definedName name="solver_rel311" localSheetId="4" hidden="1">3</definedName>
    <definedName name="solver_rel312" localSheetId="2" hidden="1">3</definedName>
    <definedName name="solver_rel312" localSheetId="4" hidden="1">3</definedName>
    <definedName name="solver_rel313" localSheetId="2" hidden="1">3</definedName>
    <definedName name="solver_rel313" localSheetId="4" hidden="1">3</definedName>
    <definedName name="solver_rel314" localSheetId="2" hidden="1">3</definedName>
    <definedName name="solver_rel314" localSheetId="4" hidden="1">3</definedName>
    <definedName name="solver_rel315" localSheetId="2" hidden="1">3</definedName>
    <definedName name="solver_rel315" localSheetId="4" hidden="1">3</definedName>
    <definedName name="solver_rel316" localSheetId="2" hidden="1">3</definedName>
    <definedName name="solver_rel316" localSheetId="4" hidden="1">3</definedName>
    <definedName name="solver_rel317" localSheetId="2" hidden="1">3</definedName>
    <definedName name="solver_rel317" localSheetId="4" hidden="1">3</definedName>
    <definedName name="solver_rel318" localSheetId="2" hidden="1">3</definedName>
    <definedName name="solver_rel318" localSheetId="4" hidden="1">3</definedName>
    <definedName name="solver_rel319" localSheetId="2" hidden="1">3</definedName>
    <definedName name="solver_rel319" localSheetId="4" hidden="1">3</definedName>
    <definedName name="solver_rel32" localSheetId="0" hidden="1">2</definedName>
    <definedName name="solver_rel32" localSheetId="2" hidden="1">3</definedName>
    <definedName name="solver_rel32" localSheetId="4" hidden="1">3</definedName>
    <definedName name="solver_rel320" localSheetId="2" hidden="1">3</definedName>
    <definedName name="solver_rel320" localSheetId="4" hidden="1">3</definedName>
    <definedName name="solver_rel321" localSheetId="2" hidden="1">3</definedName>
    <definedName name="solver_rel321" localSheetId="4" hidden="1">3</definedName>
    <definedName name="solver_rel322" localSheetId="2" hidden="1">3</definedName>
    <definedName name="solver_rel322" localSheetId="4" hidden="1">3</definedName>
    <definedName name="solver_rel323" localSheetId="2" hidden="1">3</definedName>
    <definedName name="solver_rel323" localSheetId="4" hidden="1">3</definedName>
    <definedName name="solver_rel324" localSheetId="2" hidden="1">3</definedName>
    <definedName name="solver_rel324" localSheetId="4" hidden="1">3</definedName>
    <definedName name="solver_rel325" localSheetId="2" hidden="1">3</definedName>
    <definedName name="solver_rel325" localSheetId="4" hidden="1">3</definedName>
    <definedName name="solver_rel326" localSheetId="2" hidden="1">3</definedName>
    <definedName name="solver_rel326" localSheetId="4" hidden="1">3</definedName>
    <definedName name="solver_rel327" localSheetId="2" hidden="1">3</definedName>
    <definedName name="solver_rel327" localSheetId="4" hidden="1">3</definedName>
    <definedName name="solver_rel328" localSheetId="2" hidden="1">3</definedName>
    <definedName name="solver_rel328" localSheetId="4" hidden="1">3</definedName>
    <definedName name="solver_rel329" localSheetId="2" hidden="1">3</definedName>
    <definedName name="solver_rel329" localSheetId="4" hidden="1">3</definedName>
    <definedName name="solver_rel33" localSheetId="0" hidden="1">1</definedName>
    <definedName name="solver_rel33" localSheetId="2" hidden="1">3</definedName>
    <definedName name="solver_rel33" localSheetId="4" hidden="1">3</definedName>
    <definedName name="solver_rel330" localSheetId="2" hidden="1">3</definedName>
    <definedName name="solver_rel330" localSheetId="4" hidden="1">3</definedName>
    <definedName name="solver_rel331" localSheetId="2" hidden="1">3</definedName>
    <definedName name="solver_rel331" localSheetId="4" hidden="1">3</definedName>
    <definedName name="solver_rel332" localSheetId="2" hidden="1">3</definedName>
    <definedName name="solver_rel332" localSheetId="4" hidden="1">3</definedName>
    <definedName name="solver_rel333" localSheetId="2" hidden="1">3</definedName>
    <definedName name="solver_rel333" localSheetId="4" hidden="1">3</definedName>
    <definedName name="solver_rel334" localSheetId="2" hidden="1">3</definedName>
    <definedName name="solver_rel334" localSheetId="4" hidden="1">3</definedName>
    <definedName name="solver_rel335" localSheetId="2" hidden="1">3</definedName>
    <definedName name="solver_rel335" localSheetId="4" hidden="1">3</definedName>
    <definedName name="solver_rel336" localSheetId="2" hidden="1">3</definedName>
    <definedName name="solver_rel336" localSheetId="4" hidden="1">3</definedName>
    <definedName name="solver_rel337" localSheetId="2" hidden="1">3</definedName>
    <definedName name="solver_rel337" localSheetId="4" hidden="1">3</definedName>
    <definedName name="solver_rel338" localSheetId="2" hidden="1">3</definedName>
    <definedName name="solver_rel338" localSheetId="4" hidden="1">3</definedName>
    <definedName name="solver_rel339" localSheetId="2" hidden="1">3</definedName>
    <definedName name="solver_rel339" localSheetId="4" hidden="1">3</definedName>
    <definedName name="solver_rel34" localSheetId="0" hidden="1">2</definedName>
    <definedName name="solver_rel34" localSheetId="2" hidden="1">3</definedName>
    <definedName name="solver_rel34" localSheetId="4" hidden="1">3</definedName>
    <definedName name="solver_rel340" localSheetId="2" hidden="1">3</definedName>
    <definedName name="solver_rel340" localSheetId="4" hidden="1">3</definedName>
    <definedName name="solver_rel341" localSheetId="2" hidden="1">3</definedName>
    <definedName name="solver_rel341" localSheetId="4" hidden="1">3</definedName>
    <definedName name="solver_rel342" localSheetId="2" hidden="1">3</definedName>
    <definedName name="solver_rel342" localSheetId="4" hidden="1">3</definedName>
    <definedName name="solver_rel343" localSheetId="2" hidden="1">3</definedName>
    <definedName name="solver_rel343" localSheetId="4" hidden="1">3</definedName>
    <definedName name="solver_rel344" localSheetId="2" hidden="1">3</definedName>
    <definedName name="solver_rel344" localSheetId="4" hidden="1">3</definedName>
    <definedName name="solver_rel345" localSheetId="2" hidden="1">3</definedName>
    <definedName name="solver_rel345" localSheetId="4" hidden="1">3</definedName>
    <definedName name="solver_rel346" localSheetId="2" hidden="1">3</definedName>
    <definedName name="solver_rel346" localSheetId="4" hidden="1">3</definedName>
    <definedName name="solver_rel347" localSheetId="2" hidden="1">3</definedName>
    <definedName name="solver_rel347" localSheetId="4" hidden="1">3</definedName>
    <definedName name="solver_rel348" localSheetId="2" hidden="1">3</definedName>
    <definedName name="solver_rel348" localSheetId="4" hidden="1">3</definedName>
    <definedName name="solver_rel349" localSheetId="2" hidden="1">3</definedName>
    <definedName name="solver_rel349" localSheetId="4" hidden="1">3</definedName>
    <definedName name="solver_rel35" localSheetId="0" hidden="1">3</definedName>
    <definedName name="solver_rel35" localSheetId="2" hidden="1">3</definedName>
    <definedName name="solver_rel35" localSheetId="4" hidden="1">3</definedName>
    <definedName name="solver_rel350" localSheetId="2" hidden="1">3</definedName>
    <definedName name="solver_rel350" localSheetId="4" hidden="1">3</definedName>
    <definedName name="solver_rel351" localSheetId="2" hidden="1">3</definedName>
    <definedName name="solver_rel351" localSheetId="4" hidden="1">3</definedName>
    <definedName name="solver_rel352" localSheetId="2" hidden="1">3</definedName>
    <definedName name="solver_rel352" localSheetId="4" hidden="1">3</definedName>
    <definedName name="solver_rel353" localSheetId="2" hidden="1">3</definedName>
    <definedName name="solver_rel353" localSheetId="4" hidden="1">3</definedName>
    <definedName name="solver_rel354" localSheetId="2" hidden="1">3</definedName>
    <definedName name="solver_rel354" localSheetId="4" hidden="1">3</definedName>
    <definedName name="solver_rel355" localSheetId="2" hidden="1">3</definedName>
    <definedName name="solver_rel355" localSheetId="4" hidden="1">3</definedName>
    <definedName name="solver_rel356" localSheetId="2" hidden="1">3</definedName>
    <definedName name="solver_rel356" localSheetId="4" hidden="1">3</definedName>
    <definedName name="solver_rel357" localSheetId="2" hidden="1">3</definedName>
    <definedName name="solver_rel357" localSheetId="4" hidden="1">3</definedName>
    <definedName name="solver_rel358" localSheetId="2" hidden="1">3</definedName>
    <definedName name="solver_rel358" localSheetId="4" hidden="1">3</definedName>
    <definedName name="solver_rel359" localSheetId="2" hidden="1">3</definedName>
    <definedName name="solver_rel359" localSheetId="4" hidden="1">3</definedName>
    <definedName name="solver_rel36" localSheetId="0" hidden="1">3</definedName>
    <definedName name="solver_rel36" localSheetId="2" hidden="1">3</definedName>
    <definedName name="solver_rel36" localSheetId="4" hidden="1">3</definedName>
    <definedName name="solver_rel360" localSheetId="2" hidden="1">3</definedName>
    <definedName name="solver_rel360" localSheetId="4" hidden="1">3</definedName>
    <definedName name="solver_rel361" localSheetId="2" hidden="1">3</definedName>
    <definedName name="solver_rel361" localSheetId="4" hidden="1">3</definedName>
    <definedName name="solver_rel362" localSheetId="2" hidden="1">3</definedName>
    <definedName name="solver_rel362" localSheetId="4" hidden="1">3</definedName>
    <definedName name="solver_rel363" localSheetId="2" hidden="1">3</definedName>
    <definedName name="solver_rel363" localSheetId="4" hidden="1">3</definedName>
    <definedName name="solver_rel364" localSheetId="2" hidden="1">3</definedName>
    <definedName name="solver_rel364" localSheetId="4" hidden="1">3</definedName>
    <definedName name="solver_rel365" localSheetId="2" hidden="1">3</definedName>
    <definedName name="solver_rel365" localSheetId="4" hidden="1">3</definedName>
    <definedName name="solver_rel366" localSheetId="2" hidden="1">3</definedName>
    <definedName name="solver_rel366" localSheetId="4" hidden="1">3</definedName>
    <definedName name="solver_rel367" localSheetId="2" hidden="1">3</definedName>
    <definedName name="solver_rel367" localSheetId="4" hidden="1">3</definedName>
    <definedName name="solver_rel368" localSheetId="2" hidden="1">3</definedName>
    <definedName name="solver_rel368" localSheetId="4" hidden="1">3</definedName>
    <definedName name="solver_rel369" localSheetId="2" hidden="1">3</definedName>
    <definedName name="solver_rel369" localSheetId="4" hidden="1">3</definedName>
    <definedName name="solver_rel37" localSheetId="0" hidden="1">1</definedName>
    <definedName name="solver_rel37" localSheetId="2" hidden="1">3</definedName>
    <definedName name="solver_rel37" localSheetId="4" hidden="1">3</definedName>
    <definedName name="solver_rel370" localSheetId="2" hidden="1">3</definedName>
    <definedName name="solver_rel370" localSheetId="4" hidden="1">3</definedName>
    <definedName name="solver_rel371" localSheetId="2" hidden="1">3</definedName>
    <definedName name="solver_rel371" localSheetId="4" hidden="1">3</definedName>
    <definedName name="solver_rel372" localSheetId="2" hidden="1">3</definedName>
    <definedName name="solver_rel372" localSheetId="4" hidden="1">3</definedName>
    <definedName name="solver_rel373" localSheetId="2" hidden="1">3</definedName>
    <definedName name="solver_rel373" localSheetId="4" hidden="1">3</definedName>
    <definedName name="solver_rel374" localSheetId="2" hidden="1">3</definedName>
    <definedName name="solver_rel374" localSheetId="4" hidden="1">3</definedName>
    <definedName name="solver_rel375" localSheetId="2" hidden="1">3</definedName>
    <definedName name="solver_rel375" localSheetId="4" hidden="1">3</definedName>
    <definedName name="solver_rel376" localSheetId="2" hidden="1">3</definedName>
    <definedName name="solver_rel376" localSheetId="4" hidden="1">3</definedName>
    <definedName name="solver_rel377" localSheetId="2" hidden="1">3</definedName>
    <definedName name="solver_rel377" localSheetId="4" hidden="1">3</definedName>
    <definedName name="solver_rel378" localSheetId="2" hidden="1">3</definedName>
    <definedName name="solver_rel378" localSheetId="4" hidden="1">3</definedName>
    <definedName name="solver_rel379" localSheetId="2" hidden="1">3</definedName>
    <definedName name="solver_rel379" localSheetId="4" hidden="1">3</definedName>
    <definedName name="solver_rel38" localSheetId="0" hidden="1">1</definedName>
    <definedName name="solver_rel38" localSheetId="2" hidden="1">3</definedName>
    <definedName name="solver_rel38" localSheetId="4" hidden="1">3</definedName>
    <definedName name="solver_rel380" localSheetId="2" hidden="1">3</definedName>
    <definedName name="solver_rel380" localSheetId="4" hidden="1">3</definedName>
    <definedName name="solver_rel381" localSheetId="2" hidden="1">3</definedName>
    <definedName name="solver_rel381" localSheetId="4" hidden="1">3</definedName>
    <definedName name="solver_rel382" localSheetId="2" hidden="1">3</definedName>
    <definedName name="solver_rel382" localSheetId="4" hidden="1">3</definedName>
    <definedName name="solver_rel383" localSheetId="2" hidden="1">3</definedName>
    <definedName name="solver_rel383" localSheetId="4" hidden="1">3</definedName>
    <definedName name="solver_rel384" localSheetId="2" hidden="1">3</definedName>
    <definedName name="solver_rel384" localSheetId="4" hidden="1">3</definedName>
    <definedName name="solver_rel385" localSheetId="2" hidden="1">3</definedName>
    <definedName name="solver_rel385" localSheetId="4" hidden="1">3</definedName>
    <definedName name="solver_rel386" localSheetId="2" hidden="1">3</definedName>
    <definedName name="solver_rel386" localSheetId="4" hidden="1">3</definedName>
    <definedName name="solver_rel387" localSheetId="2" hidden="1">3</definedName>
    <definedName name="solver_rel387" localSheetId="4" hidden="1">3</definedName>
    <definedName name="solver_rel388" localSheetId="2" hidden="1">3</definedName>
    <definedName name="solver_rel388" localSheetId="4" hidden="1">3</definedName>
    <definedName name="solver_rel389" localSheetId="2" hidden="1">3</definedName>
    <definedName name="solver_rel389" localSheetId="4" hidden="1">3</definedName>
    <definedName name="solver_rel39" localSheetId="0" hidden="1">3</definedName>
    <definedName name="solver_rel39" localSheetId="2" hidden="1">3</definedName>
    <definedName name="solver_rel39" localSheetId="4" hidden="1">3</definedName>
    <definedName name="solver_rel390" localSheetId="2" hidden="1">3</definedName>
    <definedName name="solver_rel390" localSheetId="4" hidden="1">3</definedName>
    <definedName name="solver_rel391" localSheetId="2" hidden="1">3</definedName>
    <definedName name="solver_rel391" localSheetId="4" hidden="1">3</definedName>
    <definedName name="solver_rel392" localSheetId="2" hidden="1">3</definedName>
    <definedName name="solver_rel392" localSheetId="4" hidden="1">3</definedName>
    <definedName name="solver_rel393" localSheetId="2" hidden="1">3</definedName>
    <definedName name="solver_rel393" localSheetId="4" hidden="1">3</definedName>
    <definedName name="solver_rel394" localSheetId="2" hidden="1">3</definedName>
    <definedName name="solver_rel394" localSheetId="4" hidden="1">3</definedName>
    <definedName name="solver_rel395" localSheetId="2" hidden="1">3</definedName>
    <definedName name="solver_rel395" localSheetId="4" hidden="1">3</definedName>
    <definedName name="solver_rel396" localSheetId="2" hidden="1">3</definedName>
    <definedName name="solver_rel396" localSheetId="4" hidden="1">3</definedName>
    <definedName name="solver_rel397" localSheetId="2" hidden="1">3</definedName>
    <definedName name="solver_rel397" localSheetId="4" hidden="1">3</definedName>
    <definedName name="solver_rel398" localSheetId="2" hidden="1">3</definedName>
    <definedName name="solver_rel398" localSheetId="4" hidden="1">3</definedName>
    <definedName name="solver_rel399" localSheetId="2" hidden="1">3</definedName>
    <definedName name="solver_rel399" localSheetId="4" hidden="1">3</definedName>
    <definedName name="solver_rel4" localSheetId="0" hidden="1">1</definedName>
    <definedName name="solver_rel4" localSheetId="2" hidden="1">1</definedName>
    <definedName name="solver_rel4" localSheetId="4" hidden="1">1</definedName>
    <definedName name="solver_rel40" localSheetId="0" hidden="1">3</definedName>
    <definedName name="solver_rel40" localSheetId="2" hidden="1">3</definedName>
    <definedName name="solver_rel40" localSheetId="4" hidden="1">3</definedName>
    <definedName name="solver_rel400" localSheetId="2" hidden="1">3</definedName>
    <definedName name="solver_rel400" localSheetId="4" hidden="1">3</definedName>
    <definedName name="solver_rel401" localSheetId="2" hidden="1">3</definedName>
    <definedName name="solver_rel401" localSheetId="4" hidden="1">3</definedName>
    <definedName name="solver_rel402" localSheetId="2" hidden="1">3</definedName>
    <definedName name="solver_rel402" localSheetId="4" hidden="1">3</definedName>
    <definedName name="solver_rel403" localSheetId="2" hidden="1">3</definedName>
    <definedName name="solver_rel403" localSheetId="4" hidden="1">3</definedName>
    <definedName name="solver_rel404" localSheetId="2" hidden="1">3</definedName>
    <definedName name="solver_rel404" localSheetId="4" hidden="1">3</definedName>
    <definedName name="solver_rel405" localSheetId="2" hidden="1">3</definedName>
    <definedName name="solver_rel405" localSheetId="4" hidden="1">3</definedName>
    <definedName name="solver_rel406" localSheetId="2" hidden="1">3</definedName>
    <definedName name="solver_rel406" localSheetId="4" hidden="1">3</definedName>
    <definedName name="solver_rel407" localSheetId="2" hidden="1">3</definedName>
    <definedName name="solver_rel407" localSheetId="4" hidden="1">3</definedName>
    <definedName name="solver_rel408" localSheetId="2" hidden="1">3</definedName>
    <definedName name="solver_rel408" localSheetId="4" hidden="1">3</definedName>
    <definedName name="solver_rel409" localSheetId="2" hidden="1">3</definedName>
    <definedName name="solver_rel409" localSheetId="4" hidden="1">3</definedName>
    <definedName name="solver_rel41" localSheetId="0" hidden="1">2</definedName>
    <definedName name="solver_rel41" localSheetId="2" hidden="1">3</definedName>
    <definedName name="solver_rel41" localSheetId="4" hidden="1">3</definedName>
    <definedName name="solver_rel410" localSheetId="2" hidden="1">3</definedName>
    <definedName name="solver_rel410" localSheetId="4" hidden="1">3</definedName>
    <definedName name="solver_rel411" localSheetId="2" hidden="1">3</definedName>
    <definedName name="solver_rel411" localSheetId="4" hidden="1">3</definedName>
    <definedName name="solver_rel412" localSheetId="2" hidden="1">3</definedName>
    <definedName name="solver_rel412" localSheetId="4" hidden="1">3</definedName>
    <definedName name="solver_rel413" localSheetId="2" hidden="1">3</definedName>
    <definedName name="solver_rel413" localSheetId="4" hidden="1">3</definedName>
    <definedName name="solver_rel414" localSheetId="2" hidden="1">3</definedName>
    <definedName name="solver_rel414" localSheetId="4" hidden="1">3</definedName>
    <definedName name="solver_rel415" localSheetId="2" hidden="1">3</definedName>
    <definedName name="solver_rel415" localSheetId="4" hidden="1">3</definedName>
    <definedName name="solver_rel416" localSheetId="2" hidden="1">3</definedName>
    <definedName name="solver_rel416" localSheetId="4" hidden="1">3</definedName>
    <definedName name="solver_rel417" localSheetId="2" hidden="1">3</definedName>
    <definedName name="solver_rel417" localSheetId="4" hidden="1">3</definedName>
    <definedName name="solver_rel418" localSheetId="2" hidden="1">3</definedName>
    <definedName name="solver_rel418" localSheetId="4" hidden="1">3</definedName>
    <definedName name="solver_rel419" localSheetId="2" hidden="1">3</definedName>
    <definedName name="solver_rel419" localSheetId="4" hidden="1">3</definedName>
    <definedName name="solver_rel42" localSheetId="0" hidden="1">2</definedName>
    <definedName name="solver_rel42" localSheetId="2" hidden="1">3</definedName>
    <definedName name="solver_rel42" localSheetId="4" hidden="1">3</definedName>
    <definedName name="solver_rel420" localSheetId="2" hidden="1">3</definedName>
    <definedName name="solver_rel420" localSheetId="4" hidden="1">3</definedName>
    <definedName name="solver_rel421" localSheetId="2" hidden="1">3</definedName>
    <definedName name="solver_rel421" localSheetId="4" hidden="1">3</definedName>
    <definedName name="solver_rel422" localSheetId="2" hidden="1">3</definedName>
    <definedName name="solver_rel422" localSheetId="4" hidden="1">3</definedName>
    <definedName name="solver_rel423" localSheetId="2" hidden="1">3</definedName>
    <definedName name="solver_rel423" localSheetId="4" hidden="1">3</definedName>
    <definedName name="solver_rel424" localSheetId="2" hidden="1">3</definedName>
    <definedName name="solver_rel424" localSheetId="4" hidden="1">3</definedName>
    <definedName name="solver_rel425" localSheetId="2" hidden="1">3</definedName>
    <definedName name="solver_rel425" localSheetId="4" hidden="1">3</definedName>
    <definedName name="solver_rel426" localSheetId="2" hidden="1">3</definedName>
    <definedName name="solver_rel426" localSheetId="4" hidden="1">3</definedName>
    <definedName name="solver_rel427" localSheetId="2" hidden="1">3</definedName>
    <definedName name="solver_rel427" localSheetId="4" hidden="1">3</definedName>
    <definedName name="solver_rel428" localSheetId="2" hidden="1">3</definedName>
    <definedName name="solver_rel428" localSheetId="4" hidden="1">3</definedName>
    <definedName name="solver_rel429" localSheetId="2" hidden="1">3</definedName>
    <definedName name="solver_rel429" localSheetId="4" hidden="1">3</definedName>
    <definedName name="solver_rel43" localSheetId="0" hidden="1">2</definedName>
    <definedName name="solver_rel43" localSheetId="2" hidden="1">3</definedName>
    <definedName name="solver_rel43" localSheetId="4" hidden="1">3</definedName>
    <definedName name="solver_rel430" localSheetId="2" hidden="1">3</definedName>
    <definedName name="solver_rel430" localSheetId="4" hidden="1">3</definedName>
    <definedName name="solver_rel431" localSheetId="2" hidden="1">3</definedName>
    <definedName name="solver_rel431" localSheetId="4" hidden="1">3</definedName>
    <definedName name="solver_rel432" localSheetId="2" hidden="1">3</definedName>
    <definedName name="solver_rel432" localSheetId="4" hidden="1">3</definedName>
    <definedName name="solver_rel433" localSheetId="2" hidden="1">3</definedName>
    <definedName name="solver_rel433" localSheetId="4" hidden="1">3</definedName>
    <definedName name="solver_rel434" localSheetId="2" hidden="1">3</definedName>
    <definedName name="solver_rel434" localSheetId="4" hidden="1">3</definedName>
    <definedName name="solver_rel435" localSheetId="2" hidden="1">3</definedName>
    <definedName name="solver_rel435" localSheetId="4" hidden="1">3</definedName>
    <definedName name="solver_rel436" localSheetId="2" hidden="1">3</definedName>
    <definedName name="solver_rel436" localSheetId="4" hidden="1">3</definedName>
    <definedName name="solver_rel437" localSheetId="2" hidden="1">3</definedName>
    <definedName name="solver_rel437" localSheetId="4" hidden="1">3</definedName>
    <definedName name="solver_rel438" localSheetId="2" hidden="1">3</definedName>
    <definedName name="solver_rel438" localSheetId="4" hidden="1">3</definedName>
    <definedName name="solver_rel439" localSheetId="2" hidden="1">3</definedName>
    <definedName name="solver_rel439" localSheetId="4" hidden="1">3</definedName>
    <definedName name="solver_rel44" localSheetId="0" hidden="1">1</definedName>
    <definedName name="solver_rel44" localSheetId="2" hidden="1">3</definedName>
    <definedName name="solver_rel44" localSheetId="4" hidden="1">3</definedName>
    <definedName name="solver_rel440" localSheetId="2" hidden="1">3</definedName>
    <definedName name="solver_rel440" localSheetId="4" hidden="1">3</definedName>
    <definedName name="solver_rel441" localSheetId="2" hidden="1">3</definedName>
    <definedName name="solver_rel441" localSheetId="4" hidden="1">3</definedName>
    <definedName name="solver_rel442" localSheetId="2" hidden="1">3</definedName>
    <definedName name="solver_rel442" localSheetId="4" hidden="1">3</definedName>
    <definedName name="solver_rel443" localSheetId="2" hidden="1">3</definedName>
    <definedName name="solver_rel443" localSheetId="4" hidden="1">3</definedName>
    <definedName name="solver_rel444" localSheetId="2" hidden="1">3</definedName>
    <definedName name="solver_rel444" localSheetId="4" hidden="1">3</definedName>
    <definedName name="solver_rel445" localSheetId="2" hidden="1">1</definedName>
    <definedName name="solver_rel445" localSheetId="4" hidden="1">1</definedName>
    <definedName name="solver_rel446" localSheetId="2" hidden="1">1</definedName>
    <definedName name="solver_rel446" localSheetId="4" hidden="1">1</definedName>
    <definedName name="solver_rel447" localSheetId="2" hidden="1">1</definedName>
    <definedName name="solver_rel447" localSheetId="4" hidden="1">1</definedName>
    <definedName name="solver_rel448" localSheetId="2" hidden="1">1</definedName>
    <definedName name="solver_rel448" localSheetId="4" hidden="1">1</definedName>
    <definedName name="solver_rel449" localSheetId="2" hidden="1">1</definedName>
    <definedName name="solver_rel449" localSheetId="4" hidden="1">1</definedName>
    <definedName name="solver_rel45" localSheetId="2" hidden="1">3</definedName>
    <definedName name="solver_rel45" localSheetId="4" hidden="1">3</definedName>
    <definedName name="solver_rel450" localSheetId="2" hidden="1">1</definedName>
    <definedName name="solver_rel450" localSheetId="4" hidden="1">1</definedName>
    <definedName name="solver_rel451" localSheetId="2" hidden="1">1</definedName>
    <definedName name="solver_rel451" localSheetId="4" hidden="1">1</definedName>
    <definedName name="solver_rel452" localSheetId="2" hidden="1">3</definedName>
    <definedName name="solver_rel452" localSheetId="4" hidden="1">3</definedName>
    <definedName name="solver_rel453" localSheetId="2" hidden="1">1</definedName>
    <definedName name="solver_rel453" localSheetId="4" hidden="1">1</definedName>
    <definedName name="solver_rel454" localSheetId="2" hidden="1">1</definedName>
    <definedName name="solver_rel454" localSheetId="4" hidden="1">1</definedName>
    <definedName name="solver_rel455" localSheetId="2" hidden="1">1</definedName>
    <definedName name="solver_rel455" localSheetId="4" hidden="1">1</definedName>
    <definedName name="solver_rel456" localSheetId="2" hidden="1">1</definedName>
    <definedName name="solver_rel456" localSheetId="4" hidden="1">1</definedName>
    <definedName name="solver_rel457" localSheetId="2" hidden="1">1</definedName>
    <definedName name="solver_rel457" localSheetId="4" hidden="1">1</definedName>
    <definedName name="solver_rel458" localSheetId="2" hidden="1">3</definedName>
    <definedName name="solver_rel458" localSheetId="4" hidden="1">3</definedName>
    <definedName name="solver_rel459" localSheetId="2" hidden="1">1</definedName>
    <definedName name="solver_rel459" localSheetId="4" hidden="1">1</definedName>
    <definedName name="solver_rel46" localSheetId="2" hidden="1">3</definedName>
    <definedName name="solver_rel46" localSheetId="4" hidden="1">3</definedName>
    <definedName name="solver_rel460" localSheetId="2" hidden="1">1</definedName>
    <definedName name="solver_rel460" localSheetId="4" hidden="1">1</definedName>
    <definedName name="solver_rel461" localSheetId="2" hidden="1">1</definedName>
    <definedName name="solver_rel461" localSheetId="4" hidden="1">1</definedName>
    <definedName name="solver_rel462" localSheetId="2" hidden="1">1</definedName>
    <definedName name="solver_rel462" localSheetId="4" hidden="1">1</definedName>
    <definedName name="solver_rel463" localSheetId="2" hidden="1">1</definedName>
    <definedName name="solver_rel463" localSheetId="4" hidden="1">1</definedName>
    <definedName name="solver_rel464" localSheetId="2" hidden="1">1</definedName>
    <definedName name="solver_rel464" localSheetId="4" hidden="1">1</definedName>
    <definedName name="solver_rel465" localSheetId="2" hidden="1">1</definedName>
    <definedName name="solver_rel465" localSheetId="4" hidden="1">1</definedName>
    <definedName name="solver_rel466" localSheetId="2" hidden="1">1</definedName>
    <definedName name="solver_rel466" localSheetId="4" hidden="1">1</definedName>
    <definedName name="solver_rel467" localSheetId="2" hidden="1">1</definedName>
    <definedName name="solver_rel467" localSheetId="4" hidden="1">1</definedName>
    <definedName name="solver_rel468" localSheetId="2" hidden="1">1</definedName>
    <definedName name="solver_rel468" localSheetId="4" hidden="1">1</definedName>
    <definedName name="solver_rel469" localSheetId="2" hidden="1">1</definedName>
    <definedName name="solver_rel469" localSheetId="4" hidden="1">1</definedName>
    <definedName name="solver_rel47" localSheetId="2" hidden="1">3</definedName>
    <definedName name="solver_rel47" localSheetId="4" hidden="1">3</definedName>
    <definedName name="solver_rel470" localSheetId="2" hidden="1">1</definedName>
    <definedName name="solver_rel470" localSheetId="4" hidden="1">1</definedName>
    <definedName name="solver_rel471" localSheetId="2" hidden="1">1</definedName>
    <definedName name="solver_rel471" localSheetId="4" hidden="1">1</definedName>
    <definedName name="solver_rel472" localSheetId="2" hidden="1">1</definedName>
    <definedName name="solver_rel472" localSheetId="4" hidden="1">1</definedName>
    <definedName name="solver_rel473" localSheetId="2" hidden="1">1</definedName>
    <definedName name="solver_rel473" localSheetId="4" hidden="1">1</definedName>
    <definedName name="solver_rel474" localSheetId="2" hidden="1">1</definedName>
    <definedName name="solver_rel474" localSheetId="4" hidden="1">1</definedName>
    <definedName name="solver_rel475" localSheetId="2" hidden="1">1</definedName>
    <definedName name="solver_rel475" localSheetId="4" hidden="1">1</definedName>
    <definedName name="solver_rel476" localSheetId="2" hidden="1">1</definedName>
    <definedName name="solver_rel476" localSheetId="4" hidden="1">1</definedName>
    <definedName name="solver_rel477" localSheetId="2" hidden="1">1</definedName>
    <definedName name="solver_rel477" localSheetId="4" hidden="1">1</definedName>
    <definedName name="solver_rel478" localSheetId="2" hidden="1">1</definedName>
    <definedName name="solver_rel478" localSheetId="4" hidden="1">1</definedName>
    <definedName name="solver_rel479" localSheetId="2" hidden="1">1</definedName>
    <definedName name="solver_rel479" localSheetId="4" hidden="1">1</definedName>
    <definedName name="solver_rel48" localSheetId="2" hidden="1">3</definedName>
    <definedName name="solver_rel48" localSheetId="4" hidden="1">3</definedName>
    <definedName name="solver_rel480" localSheetId="2" hidden="1">1</definedName>
    <definedName name="solver_rel480" localSheetId="4" hidden="1">1</definedName>
    <definedName name="solver_rel481" localSheetId="2" hidden="1">1</definedName>
    <definedName name="solver_rel481" localSheetId="4" hidden="1">1</definedName>
    <definedName name="solver_rel482" localSheetId="2" hidden="1">1</definedName>
    <definedName name="solver_rel482" localSheetId="4" hidden="1">1</definedName>
    <definedName name="solver_rel483" localSheetId="2" hidden="1">1</definedName>
    <definedName name="solver_rel483" localSheetId="4" hidden="1">1</definedName>
    <definedName name="solver_rel484" localSheetId="2" hidden="1">1</definedName>
    <definedName name="solver_rel484" localSheetId="4" hidden="1">1</definedName>
    <definedName name="solver_rel485" localSheetId="2" hidden="1">1</definedName>
    <definedName name="solver_rel485" localSheetId="4" hidden="1">1</definedName>
    <definedName name="solver_rel486" localSheetId="2" hidden="1">1</definedName>
    <definedName name="solver_rel486" localSheetId="4" hidden="1">1</definedName>
    <definedName name="solver_rel487" localSheetId="2" hidden="1">1</definedName>
    <definedName name="solver_rel487" localSheetId="4" hidden="1">1</definedName>
    <definedName name="solver_rel488" localSheetId="2" hidden="1">1</definedName>
    <definedName name="solver_rel488" localSheetId="4" hidden="1">1</definedName>
    <definedName name="solver_rel489" localSheetId="2" hidden="1">1</definedName>
    <definedName name="solver_rel489" localSheetId="4" hidden="1">1</definedName>
    <definedName name="solver_rel49" localSheetId="2" hidden="1">3</definedName>
    <definedName name="solver_rel49" localSheetId="4" hidden="1">3</definedName>
    <definedName name="solver_rel490" localSheetId="2" hidden="1">1</definedName>
    <definedName name="solver_rel490" localSheetId="4" hidden="1">1</definedName>
    <definedName name="solver_rel491" localSheetId="2" hidden="1">1</definedName>
    <definedName name="solver_rel491" localSheetId="4" hidden="1">1</definedName>
    <definedName name="solver_rel492" localSheetId="2" hidden="1">1</definedName>
    <definedName name="solver_rel492" localSheetId="4" hidden="1">1</definedName>
    <definedName name="solver_rel493" localSheetId="2" hidden="1">1</definedName>
    <definedName name="solver_rel493" localSheetId="4" hidden="1">1</definedName>
    <definedName name="solver_rel494" localSheetId="2" hidden="1">1</definedName>
    <definedName name="solver_rel494" localSheetId="4" hidden="1">1</definedName>
    <definedName name="solver_rel495" localSheetId="2" hidden="1">1</definedName>
    <definedName name="solver_rel495" localSheetId="4" hidden="1">1</definedName>
    <definedName name="solver_rel496" localSheetId="2" hidden="1">1</definedName>
    <definedName name="solver_rel496" localSheetId="4" hidden="1">1</definedName>
    <definedName name="solver_rel497" localSheetId="2" hidden="1">1</definedName>
    <definedName name="solver_rel497" localSheetId="4" hidden="1">1</definedName>
    <definedName name="solver_rel498" localSheetId="2" hidden="1">1</definedName>
    <definedName name="solver_rel498" localSheetId="4" hidden="1">1</definedName>
    <definedName name="solver_rel499" localSheetId="2" hidden="1">1</definedName>
    <definedName name="solver_rel499" localSheetId="4" hidden="1">1</definedName>
    <definedName name="solver_rel5" localSheetId="0" hidden="1">1</definedName>
    <definedName name="solver_rel5" localSheetId="2" hidden="1">1</definedName>
    <definedName name="solver_rel5" localSheetId="4" hidden="1">1</definedName>
    <definedName name="solver_rel50" localSheetId="2" hidden="1">3</definedName>
    <definedName name="solver_rel50" localSheetId="4" hidden="1">3</definedName>
    <definedName name="solver_rel500" localSheetId="2" hidden="1">1</definedName>
    <definedName name="solver_rel500" localSheetId="4" hidden="1">1</definedName>
    <definedName name="solver_rel501" localSheetId="2" hidden="1">1</definedName>
    <definedName name="solver_rel501" localSheetId="4" hidden="1">1</definedName>
    <definedName name="solver_rel502" localSheetId="2" hidden="1">1</definedName>
    <definedName name="solver_rel502" localSheetId="4" hidden="1">1</definedName>
    <definedName name="solver_rel503" localSheetId="2" hidden="1">1</definedName>
    <definedName name="solver_rel503" localSheetId="4" hidden="1">1</definedName>
    <definedName name="solver_rel504" localSheetId="2" hidden="1">1</definedName>
    <definedName name="solver_rel504" localSheetId="4" hidden="1">1</definedName>
    <definedName name="solver_rel505" localSheetId="2" hidden="1">1</definedName>
    <definedName name="solver_rel505" localSheetId="4" hidden="1">1</definedName>
    <definedName name="solver_rel506" localSheetId="2" hidden="1">1</definedName>
    <definedName name="solver_rel506" localSheetId="4" hidden="1">1</definedName>
    <definedName name="solver_rel507" localSheetId="2" hidden="1">1</definedName>
    <definedName name="solver_rel507" localSheetId="4" hidden="1">1</definedName>
    <definedName name="solver_rel508" localSheetId="2" hidden="1">1</definedName>
    <definedName name="solver_rel508" localSheetId="4" hidden="1">1</definedName>
    <definedName name="solver_rel509" localSheetId="2" hidden="1">1</definedName>
    <definedName name="solver_rel509" localSheetId="4" hidden="1">1</definedName>
    <definedName name="solver_rel51" localSheetId="2" hidden="1">3</definedName>
    <definedName name="solver_rel51" localSheetId="4" hidden="1">3</definedName>
    <definedName name="solver_rel510" localSheetId="2" hidden="1">1</definedName>
    <definedName name="solver_rel510" localSheetId="4" hidden="1">1</definedName>
    <definedName name="solver_rel511" localSheetId="2" hidden="1">1</definedName>
    <definedName name="solver_rel511" localSheetId="4" hidden="1">1</definedName>
    <definedName name="solver_rel512" localSheetId="2" hidden="1">1</definedName>
    <definedName name="solver_rel512" localSheetId="4" hidden="1">1</definedName>
    <definedName name="solver_rel513" localSheetId="2" hidden="1">1</definedName>
    <definedName name="solver_rel513" localSheetId="4" hidden="1">1</definedName>
    <definedName name="solver_rel514" localSheetId="2" hidden="1">1</definedName>
    <definedName name="solver_rel514" localSheetId="4" hidden="1">1</definedName>
    <definedName name="solver_rel515" localSheetId="2" hidden="1">1</definedName>
    <definedName name="solver_rel515" localSheetId="4" hidden="1">1</definedName>
    <definedName name="solver_rel516" localSheetId="2" hidden="1">1</definedName>
    <definedName name="solver_rel516" localSheetId="4" hidden="1">1</definedName>
    <definedName name="solver_rel517" localSheetId="2" hidden="1">1</definedName>
    <definedName name="solver_rel517" localSheetId="4" hidden="1">1</definedName>
    <definedName name="solver_rel518" localSheetId="2" hidden="1">1</definedName>
    <definedName name="solver_rel518" localSheetId="4" hidden="1">1</definedName>
    <definedName name="solver_rel519" localSheetId="2" hidden="1">1</definedName>
    <definedName name="solver_rel519" localSheetId="4" hidden="1">1</definedName>
    <definedName name="solver_rel52" localSheetId="2" hidden="1">3</definedName>
    <definedName name="solver_rel52" localSheetId="4" hidden="1">3</definedName>
    <definedName name="solver_rel520" localSheetId="2" hidden="1">1</definedName>
    <definedName name="solver_rel520" localSheetId="4" hidden="1">1</definedName>
    <definedName name="solver_rel521" localSheetId="2" hidden="1">1</definedName>
    <definedName name="solver_rel521" localSheetId="4" hidden="1">1</definedName>
    <definedName name="solver_rel522" localSheetId="2" hidden="1">1</definedName>
    <definedName name="solver_rel522" localSheetId="4" hidden="1">1</definedName>
    <definedName name="solver_rel523" localSheetId="2" hidden="1">1</definedName>
    <definedName name="solver_rel523" localSheetId="4" hidden="1">1</definedName>
    <definedName name="solver_rel524" localSheetId="2" hidden="1">1</definedName>
    <definedName name="solver_rel524" localSheetId="4" hidden="1">1</definedName>
    <definedName name="solver_rel525" localSheetId="2" hidden="1">1</definedName>
    <definedName name="solver_rel525" localSheetId="4" hidden="1">1</definedName>
    <definedName name="solver_rel526" localSheetId="2" hidden="1">1</definedName>
    <definedName name="solver_rel526" localSheetId="4" hidden="1">1</definedName>
    <definedName name="solver_rel527" localSheetId="2" hidden="1">1</definedName>
    <definedName name="solver_rel527" localSheetId="4" hidden="1">1</definedName>
    <definedName name="solver_rel528" localSheetId="2" hidden="1">1</definedName>
    <definedName name="solver_rel528" localSheetId="4" hidden="1">1</definedName>
    <definedName name="solver_rel529" localSheetId="2" hidden="1">1</definedName>
    <definedName name="solver_rel529" localSheetId="4" hidden="1">1</definedName>
    <definedName name="solver_rel53" localSheetId="2" hidden="1">3</definedName>
    <definedName name="solver_rel53" localSheetId="4" hidden="1">3</definedName>
    <definedName name="solver_rel530" localSheetId="2" hidden="1">1</definedName>
    <definedName name="solver_rel530" localSheetId="4" hidden="1">1</definedName>
    <definedName name="solver_rel531" localSheetId="2" hidden="1">1</definedName>
    <definedName name="solver_rel531" localSheetId="4" hidden="1">1</definedName>
    <definedName name="solver_rel532" localSheetId="2" hidden="1">1</definedName>
    <definedName name="solver_rel532" localSheetId="4" hidden="1">1</definedName>
    <definedName name="solver_rel533" localSheetId="2" hidden="1">1</definedName>
    <definedName name="solver_rel533" localSheetId="4" hidden="1">1</definedName>
    <definedName name="solver_rel534" localSheetId="2" hidden="1">1</definedName>
    <definedName name="solver_rel534" localSheetId="4" hidden="1">1</definedName>
    <definedName name="solver_rel535" localSheetId="2" hidden="1">1</definedName>
    <definedName name="solver_rel535" localSheetId="4" hidden="1">1</definedName>
    <definedName name="solver_rel536" localSheetId="2" hidden="1">1</definedName>
    <definedName name="solver_rel536" localSheetId="4" hidden="1">1</definedName>
    <definedName name="solver_rel537" localSheetId="2" hidden="1">1</definedName>
    <definedName name="solver_rel537" localSheetId="4" hidden="1">1</definedName>
    <definedName name="solver_rel538" localSheetId="2" hidden="1">1</definedName>
    <definedName name="solver_rel538" localSheetId="4" hidden="1">1</definedName>
    <definedName name="solver_rel539" localSheetId="2" hidden="1">1</definedName>
    <definedName name="solver_rel539" localSheetId="4" hidden="1">1</definedName>
    <definedName name="solver_rel54" localSheetId="2" hidden="1">3</definedName>
    <definedName name="solver_rel54" localSheetId="4" hidden="1">3</definedName>
    <definedName name="solver_rel540" localSheetId="2" hidden="1">1</definedName>
    <definedName name="solver_rel540" localSheetId="4" hidden="1">1</definedName>
    <definedName name="solver_rel541" localSheetId="2" hidden="1">1</definedName>
    <definedName name="solver_rel541" localSheetId="4" hidden="1">1</definedName>
    <definedName name="solver_rel542" localSheetId="2" hidden="1">1</definedName>
    <definedName name="solver_rel542" localSheetId="4" hidden="1">1</definedName>
    <definedName name="solver_rel543" localSheetId="2" hidden="1">1</definedName>
    <definedName name="solver_rel543" localSheetId="4" hidden="1">1</definedName>
    <definedName name="solver_rel544" localSheetId="2" hidden="1">1</definedName>
    <definedName name="solver_rel544" localSheetId="4" hidden="1">1</definedName>
    <definedName name="solver_rel545" localSheetId="2" hidden="1">1</definedName>
    <definedName name="solver_rel545" localSheetId="4" hidden="1">1</definedName>
    <definedName name="solver_rel546" localSheetId="2" hidden="1">1</definedName>
    <definedName name="solver_rel546" localSheetId="4" hidden="1">1</definedName>
    <definedName name="solver_rel547" localSheetId="2" hidden="1">1</definedName>
    <definedName name="solver_rel547" localSheetId="4" hidden="1">1</definedName>
    <definedName name="solver_rel548" localSheetId="2" hidden="1">1</definedName>
    <definedName name="solver_rel548" localSheetId="4" hidden="1">1</definedName>
    <definedName name="solver_rel549" localSheetId="2" hidden="1">1</definedName>
    <definedName name="solver_rel549" localSheetId="4" hidden="1">1</definedName>
    <definedName name="solver_rel55" localSheetId="2" hidden="1">3</definedName>
    <definedName name="solver_rel55" localSheetId="4" hidden="1">3</definedName>
    <definedName name="solver_rel550" localSheetId="2" hidden="1">1</definedName>
    <definedName name="solver_rel550" localSheetId="4" hidden="1">1</definedName>
    <definedName name="solver_rel551" localSheetId="2" hidden="1">1</definedName>
    <definedName name="solver_rel551" localSheetId="4" hidden="1">1</definedName>
    <definedName name="solver_rel552" localSheetId="2" hidden="1">1</definedName>
    <definedName name="solver_rel552" localSheetId="4" hidden="1">1</definedName>
    <definedName name="solver_rel553" localSheetId="2" hidden="1">1</definedName>
    <definedName name="solver_rel553" localSheetId="4" hidden="1">1</definedName>
    <definedName name="solver_rel554" localSheetId="2" hidden="1">1</definedName>
    <definedName name="solver_rel554" localSheetId="4" hidden="1">1</definedName>
    <definedName name="solver_rel555" localSheetId="2" hidden="1">1</definedName>
    <definedName name="solver_rel555" localSheetId="4" hidden="1">1</definedName>
    <definedName name="solver_rel556" localSheetId="2" hidden="1">1</definedName>
    <definedName name="solver_rel556" localSheetId="4" hidden="1">1</definedName>
    <definedName name="solver_rel557" localSheetId="2" hidden="1">1</definedName>
    <definedName name="solver_rel557" localSheetId="4" hidden="1">1</definedName>
    <definedName name="solver_rel558" localSheetId="2" hidden="1">1</definedName>
    <definedName name="solver_rel558" localSheetId="4" hidden="1">1</definedName>
    <definedName name="solver_rel559" localSheetId="2" hidden="1">1</definedName>
    <definedName name="solver_rel559" localSheetId="4" hidden="1">1</definedName>
    <definedName name="solver_rel56" localSheetId="2" hidden="1">3</definedName>
    <definedName name="solver_rel56" localSheetId="4" hidden="1">3</definedName>
    <definedName name="solver_rel560" localSheetId="2" hidden="1">1</definedName>
    <definedName name="solver_rel560" localSheetId="4" hidden="1">1</definedName>
    <definedName name="solver_rel561" localSheetId="2" hidden="1">1</definedName>
    <definedName name="solver_rel561" localSheetId="4" hidden="1">1</definedName>
    <definedName name="solver_rel562" localSheetId="2" hidden="1">1</definedName>
    <definedName name="solver_rel562" localSheetId="4" hidden="1">1</definedName>
    <definedName name="solver_rel563" localSheetId="2" hidden="1">1</definedName>
    <definedName name="solver_rel563" localSheetId="4" hidden="1">1</definedName>
    <definedName name="solver_rel564" localSheetId="2" hidden="1">1</definedName>
    <definedName name="solver_rel564" localSheetId="4" hidden="1">1</definedName>
    <definedName name="solver_rel565" localSheetId="2" hidden="1">1</definedName>
    <definedName name="solver_rel565" localSheetId="4" hidden="1">1</definedName>
    <definedName name="solver_rel566" localSheetId="2" hidden="1">1</definedName>
    <definedName name="solver_rel566" localSheetId="4" hidden="1">1</definedName>
    <definedName name="solver_rel567" localSheetId="2" hidden="1">1</definedName>
    <definedName name="solver_rel567" localSheetId="4" hidden="1">1</definedName>
    <definedName name="solver_rel568" localSheetId="2" hidden="1">1</definedName>
    <definedName name="solver_rel568" localSheetId="4" hidden="1">1</definedName>
    <definedName name="solver_rel569" localSheetId="2" hidden="1">1</definedName>
    <definedName name="solver_rel569" localSheetId="4" hidden="1">1</definedName>
    <definedName name="solver_rel57" localSheetId="2" hidden="1">3</definedName>
    <definedName name="solver_rel57" localSheetId="4" hidden="1">3</definedName>
    <definedName name="solver_rel570" localSheetId="2" hidden="1">1</definedName>
    <definedName name="solver_rel570" localSheetId="4" hidden="1">1</definedName>
    <definedName name="solver_rel571" localSheetId="2" hidden="1">1</definedName>
    <definedName name="solver_rel571" localSheetId="4" hidden="1">1</definedName>
    <definedName name="solver_rel572" localSheetId="2" hidden="1">1</definedName>
    <definedName name="solver_rel572" localSheetId="4" hidden="1">1</definedName>
    <definedName name="solver_rel573" localSheetId="2" hidden="1">1</definedName>
    <definedName name="solver_rel573" localSheetId="4" hidden="1">1</definedName>
    <definedName name="solver_rel574" localSheetId="2" hidden="1">1</definedName>
    <definedName name="solver_rel574" localSheetId="4" hidden="1">1</definedName>
    <definedName name="solver_rel575" localSheetId="2" hidden="1">1</definedName>
    <definedName name="solver_rel575" localSheetId="4" hidden="1">1</definedName>
    <definedName name="solver_rel576" localSheetId="2" hidden="1">1</definedName>
    <definedName name="solver_rel576" localSheetId="4" hidden="1">1</definedName>
    <definedName name="solver_rel577" localSheetId="2" hidden="1">1</definedName>
    <definedName name="solver_rel577" localSheetId="4" hidden="1">1</definedName>
    <definedName name="solver_rel578" localSheetId="2" hidden="1">1</definedName>
    <definedName name="solver_rel578" localSheetId="4" hidden="1">1</definedName>
    <definedName name="solver_rel579" localSheetId="2" hidden="1">1</definedName>
    <definedName name="solver_rel579" localSheetId="4" hidden="1">1</definedName>
    <definedName name="solver_rel58" localSheetId="2" hidden="1">3</definedName>
    <definedName name="solver_rel58" localSheetId="4" hidden="1">3</definedName>
    <definedName name="solver_rel580" localSheetId="2" hidden="1">1</definedName>
    <definedName name="solver_rel580" localSheetId="4" hidden="1">1</definedName>
    <definedName name="solver_rel581" localSheetId="2" hidden="1">1</definedName>
    <definedName name="solver_rel581" localSheetId="4" hidden="1">1</definedName>
    <definedName name="solver_rel582" localSheetId="2" hidden="1">1</definedName>
    <definedName name="solver_rel582" localSheetId="4" hidden="1">1</definedName>
    <definedName name="solver_rel583" localSheetId="2" hidden="1">1</definedName>
    <definedName name="solver_rel583" localSheetId="4" hidden="1">1</definedName>
    <definedName name="solver_rel584" localSheetId="2" hidden="1">1</definedName>
    <definedName name="solver_rel584" localSheetId="4" hidden="1">1</definedName>
    <definedName name="solver_rel585" localSheetId="2" hidden="1">1</definedName>
    <definedName name="solver_rel585" localSheetId="4" hidden="1">1</definedName>
    <definedName name="solver_rel586" localSheetId="2" hidden="1">1</definedName>
    <definedName name="solver_rel586" localSheetId="4" hidden="1">1</definedName>
    <definedName name="solver_rel587" localSheetId="2" hidden="1">1</definedName>
    <definedName name="solver_rel587" localSheetId="4" hidden="1">1</definedName>
    <definedName name="solver_rel588" localSheetId="2" hidden="1">1</definedName>
    <definedName name="solver_rel588" localSheetId="4" hidden="1">1</definedName>
    <definedName name="solver_rel589" localSheetId="2" hidden="1">1</definedName>
    <definedName name="solver_rel589" localSheetId="4" hidden="1">1</definedName>
    <definedName name="solver_rel59" localSheetId="2" hidden="1">3</definedName>
    <definedName name="solver_rel59" localSheetId="4" hidden="1">3</definedName>
    <definedName name="solver_rel590" localSheetId="2" hidden="1">1</definedName>
    <definedName name="solver_rel590" localSheetId="4" hidden="1">1</definedName>
    <definedName name="solver_rel591" localSheetId="2" hidden="1">1</definedName>
    <definedName name="solver_rel591" localSheetId="4" hidden="1">1</definedName>
    <definedName name="solver_rel592" localSheetId="2" hidden="1">1</definedName>
    <definedName name="solver_rel592" localSheetId="4" hidden="1">1</definedName>
    <definedName name="solver_rel593" localSheetId="2" hidden="1">1</definedName>
    <definedName name="solver_rel593" localSheetId="4" hidden="1">1</definedName>
    <definedName name="solver_rel594" localSheetId="2" hidden="1">1</definedName>
    <definedName name="solver_rel594" localSheetId="4" hidden="1">1</definedName>
    <definedName name="solver_rel595" localSheetId="2" hidden="1">1</definedName>
    <definedName name="solver_rel595" localSheetId="4" hidden="1">1</definedName>
    <definedName name="solver_rel596" localSheetId="2" hidden="1">1</definedName>
    <definedName name="solver_rel596" localSheetId="4" hidden="1">1</definedName>
    <definedName name="solver_rel597" localSheetId="2" hidden="1">1</definedName>
    <definedName name="solver_rel597" localSheetId="4" hidden="1">1</definedName>
    <definedName name="solver_rel598" localSheetId="2" hidden="1">1</definedName>
    <definedName name="solver_rel598" localSheetId="4" hidden="1">1</definedName>
    <definedName name="solver_rel599" localSheetId="2" hidden="1">1</definedName>
    <definedName name="solver_rel599" localSheetId="4" hidden="1">1</definedName>
    <definedName name="solver_rel6" localSheetId="0" hidden="1">3</definedName>
    <definedName name="solver_rel6" localSheetId="2" hidden="1">3</definedName>
    <definedName name="solver_rel6" localSheetId="4" hidden="1">3</definedName>
    <definedName name="solver_rel60" localSheetId="2" hidden="1">3</definedName>
    <definedName name="solver_rel60" localSheetId="4" hidden="1">3</definedName>
    <definedName name="solver_rel600" localSheetId="2" hidden="1">1</definedName>
    <definedName name="solver_rel600" localSheetId="4" hidden="1">1</definedName>
    <definedName name="solver_rel601" localSheetId="2" hidden="1">1</definedName>
    <definedName name="solver_rel601" localSheetId="4" hidden="1">1</definedName>
    <definedName name="solver_rel602" localSheetId="2" hidden="1">1</definedName>
    <definedName name="solver_rel602" localSheetId="4" hidden="1">1</definedName>
    <definedName name="solver_rel603" localSheetId="2" hidden="1">1</definedName>
    <definedName name="solver_rel603" localSheetId="4" hidden="1">1</definedName>
    <definedName name="solver_rel604" localSheetId="2" hidden="1">1</definedName>
    <definedName name="solver_rel604" localSheetId="4" hidden="1">1</definedName>
    <definedName name="solver_rel605" localSheetId="2" hidden="1">1</definedName>
    <definedName name="solver_rel605" localSheetId="4" hidden="1">1</definedName>
    <definedName name="solver_rel606" localSheetId="2" hidden="1">1</definedName>
    <definedName name="solver_rel606" localSheetId="4" hidden="1">1</definedName>
    <definedName name="solver_rel607" localSheetId="2" hidden="1">1</definedName>
    <definedName name="solver_rel607" localSheetId="4" hidden="1">1</definedName>
    <definedName name="solver_rel608" localSheetId="2" hidden="1">1</definedName>
    <definedName name="solver_rel608" localSheetId="4" hidden="1">1</definedName>
    <definedName name="solver_rel609" localSheetId="2" hidden="1">1</definedName>
    <definedName name="solver_rel609" localSheetId="4" hidden="1">1</definedName>
    <definedName name="solver_rel61" localSheetId="2" hidden="1">3</definedName>
    <definedName name="solver_rel61" localSheetId="4" hidden="1">3</definedName>
    <definedName name="solver_rel610" localSheetId="2" hidden="1">1</definedName>
    <definedName name="solver_rel610" localSheetId="4" hidden="1">1</definedName>
    <definedName name="solver_rel611" localSheetId="2" hidden="1">1</definedName>
    <definedName name="solver_rel611" localSheetId="4" hidden="1">1</definedName>
    <definedName name="solver_rel612" localSheetId="2" hidden="1">1</definedName>
    <definedName name="solver_rel612" localSheetId="4" hidden="1">1</definedName>
    <definedName name="solver_rel613" localSheetId="2" hidden="1">1</definedName>
    <definedName name="solver_rel613" localSheetId="4" hidden="1">1</definedName>
    <definedName name="solver_rel614" localSheetId="2" hidden="1">1</definedName>
    <definedName name="solver_rel614" localSheetId="4" hidden="1">1</definedName>
    <definedName name="solver_rel615" localSheetId="2" hidden="1">1</definedName>
    <definedName name="solver_rel615" localSheetId="4" hidden="1">1</definedName>
    <definedName name="solver_rel616" localSheetId="2" hidden="1">1</definedName>
    <definedName name="solver_rel616" localSheetId="4" hidden="1">1</definedName>
    <definedName name="solver_rel617" localSheetId="2" hidden="1">1</definedName>
    <definedName name="solver_rel617" localSheetId="4" hidden="1">1</definedName>
    <definedName name="solver_rel618" localSheetId="2" hidden="1">1</definedName>
    <definedName name="solver_rel618" localSheetId="4" hidden="1">1</definedName>
    <definedName name="solver_rel619" localSheetId="2" hidden="1">1</definedName>
    <definedName name="solver_rel619" localSheetId="4" hidden="1">1</definedName>
    <definedName name="solver_rel62" localSheetId="2" hidden="1">3</definedName>
    <definedName name="solver_rel62" localSheetId="4" hidden="1">3</definedName>
    <definedName name="solver_rel620" localSheetId="2" hidden="1">1</definedName>
    <definedName name="solver_rel620" localSheetId="4" hidden="1">1</definedName>
    <definedName name="solver_rel621" localSheetId="2" hidden="1">1</definedName>
    <definedName name="solver_rel621" localSheetId="4" hidden="1">1</definedName>
    <definedName name="solver_rel622" localSheetId="2" hidden="1">1</definedName>
    <definedName name="solver_rel622" localSheetId="4" hidden="1">1</definedName>
    <definedName name="solver_rel623" localSheetId="2" hidden="1">1</definedName>
    <definedName name="solver_rel623" localSheetId="4" hidden="1">1</definedName>
    <definedName name="solver_rel624" localSheetId="2" hidden="1">1</definedName>
    <definedName name="solver_rel624" localSheetId="4" hidden="1">1</definedName>
    <definedName name="solver_rel625" localSheetId="2" hidden="1">1</definedName>
    <definedName name="solver_rel625" localSheetId="4" hidden="1">1</definedName>
    <definedName name="solver_rel626" localSheetId="2" hidden="1">1</definedName>
    <definedName name="solver_rel626" localSheetId="4" hidden="1">1</definedName>
    <definedName name="solver_rel627" localSheetId="2" hidden="1">1</definedName>
    <definedName name="solver_rel627" localSheetId="4" hidden="1">1</definedName>
    <definedName name="solver_rel628" localSheetId="2" hidden="1">1</definedName>
    <definedName name="solver_rel628" localSheetId="4" hidden="1">1</definedName>
    <definedName name="solver_rel629" localSheetId="2" hidden="1">1</definedName>
    <definedName name="solver_rel629" localSheetId="4" hidden="1">1</definedName>
    <definedName name="solver_rel63" localSheetId="2" hidden="1">3</definedName>
    <definedName name="solver_rel63" localSheetId="4" hidden="1">3</definedName>
    <definedName name="solver_rel630" localSheetId="2" hidden="1">1</definedName>
    <definedName name="solver_rel630" localSheetId="4" hidden="1">1</definedName>
    <definedName name="solver_rel631" localSheetId="2" hidden="1">1</definedName>
    <definedName name="solver_rel631" localSheetId="4" hidden="1">1</definedName>
    <definedName name="solver_rel632" localSheetId="2" hidden="1">1</definedName>
    <definedName name="solver_rel632" localSheetId="4" hidden="1">1</definedName>
    <definedName name="solver_rel633" localSheetId="2" hidden="1">1</definedName>
    <definedName name="solver_rel633" localSheetId="4" hidden="1">1</definedName>
    <definedName name="solver_rel634" localSheetId="2" hidden="1">1</definedName>
    <definedName name="solver_rel634" localSheetId="4" hidden="1">1</definedName>
    <definedName name="solver_rel635" localSheetId="2" hidden="1">1</definedName>
    <definedName name="solver_rel635" localSheetId="4" hidden="1">1</definedName>
    <definedName name="solver_rel636" localSheetId="2" hidden="1">1</definedName>
    <definedName name="solver_rel636" localSheetId="4" hidden="1">1</definedName>
    <definedName name="solver_rel637" localSheetId="2" hidden="1">1</definedName>
    <definedName name="solver_rel637" localSheetId="4" hidden="1">1</definedName>
    <definedName name="solver_rel638" localSheetId="2" hidden="1">1</definedName>
    <definedName name="solver_rel638" localSheetId="4" hidden="1">1</definedName>
    <definedName name="solver_rel639" localSheetId="2" hidden="1">1</definedName>
    <definedName name="solver_rel639" localSheetId="4" hidden="1">1</definedName>
    <definedName name="solver_rel64" localSheetId="2" hidden="1">3</definedName>
    <definedName name="solver_rel64" localSheetId="4" hidden="1">3</definedName>
    <definedName name="solver_rel640" localSheetId="2" hidden="1">1</definedName>
    <definedName name="solver_rel640" localSheetId="4" hidden="1">1</definedName>
    <definedName name="solver_rel641" localSheetId="2" hidden="1">1</definedName>
    <definedName name="solver_rel641" localSheetId="4" hidden="1">1</definedName>
    <definedName name="solver_rel642" localSheetId="2" hidden="1">1</definedName>
    <definedName name="solver_rel642" localSheetId="4" hidden="1">1</definedName>
    <definedName name="solver_rel643" localSheetId="2" hidden="1">1</definedName>
    <definedName name="solver_rel643" localSheetId="4" hidden="1">1</definedName>
    <definedName name="solver_rel644" localSheetId="2" hidden="1">1</definedName>
    <definedName name="solver_rel644" localSheetId="4" hidden="1">1</definedName>
    <definedName name="solver_rel645" localSheetId="2" hidden="1">1</definedName>
    <definedName name="solver_rel645" localSheetId="4" hidden="1">1</definedName>
    <definedName name="solver_rel646" localSheetId="2" hidden="1">1</definedName>
    <definedName name="solver_rel646" localSheetId="4" hidden="1">1</definedName>
    <definedName name="solver_rel647" localSheetId="2" hidden="1">3</definedName>
    <definedName name="solver_rel647" localSheetId="4" hidden="1">3</definedName>
    <definedName name="solver_rel648" localSheetId="2" hidden="1">3</definedName>
    <definedName name="solver_rel648" localSheetId="4" hidden="1">3</definedName>
    <definedName name="solver_rel649" localSheetId="2" hidden="1">3</definedName>
    <definedName name="solver_rel649" localSheetId="4" hidden="1">3</definedName>
    <definedName name="solver_rel65" localSheetId="2" hidden="1">3</definedName>
    <definedName name="solver_rel65" localSheetId="4" hidden="1">3</definedName>
    <definedName name="solver_rel650" localSheetId="2" hidden="1">3</definedName>
    <definedName name="solver_rel650" localSheetId="4" hidden="1">3</definedName>
    <definedName name="solver_rel651" localSheetId="2" hidden="1">1</definedName>
    <definedName name="solver_rel651" localSheetId="4" hidden="1">1</definedName>
    <definedName name="solver_rel652" localSheetId="2" hidden="1">3</definedName>
    <definedName name="solver_rel652" localSheetId="4" hidden="1">3</definedName>
    <definedName name="solver_rel653" localSheetId="2" hidden="1">3</definedName>
    <definedName name="solver_rel653" localSheetId="4" hidden="1">3</definedName>
    <definedName name="solver_rel654" localSheetId="2" hidden="1">1</definedName>
    <definedName name="solver_rel654" localSheetId="4" hidden="1">1</definedName>
    <definedName name="solver_rel655" localSheetId="2" hidden="1">3</definedName>
    <definedName name="solver_rel655" localSheetId="4" hidden="1">3</definedName>
    <definedName name="solver_rel656" localSheetId="2" hidden="1">3</definedName>
    <definedName name="solver_rel656" localSheetId="4" hidden="1">3</definedName>
    <definedName name="solver_rel657" localSheetId="2" hidden="1">3</definedName>
    <definedName name="solver_rel657" localSheetId="4" hidden="1">3</definedName>
    <definedName name="solver_rel658" localSheetId="2" hidden="1">1</definedName>
    <definedName name="solver_rel658" localSheetId="4" hidden="1">1</definedName>
    <definedName name="solver_rel659" localSheetId="2" hidden="1">3</definedName>
    <definedName name="solver_rel659" localSheetId="4" hidden="1">3</definedName>
    <definedName name="solver_rel66" localSheetId="2" hidden="1">3</definedName>
    <definedName name="solver_rel66" localSheetId="4" hidden="1">3</definedName>
    <definedName name="solver_rel660" localSheetId="2" hidden="1">3</definedName>
    <definedName name="solver_rel660" localSheetId="4" hidden="1">3</definedName>
    <definedName name="solver_rel661" localSheetId="2" hidden="1">3</definedName>
    <definedName name="solver_rel661" localSheetId="4" hidden="1">3</definedName>
    <definedName name="solver_rel662" localSheetId="2" hidden="1">3</definedName>
    <definedName name="solver_rel662" localSheetId="4" hidden="1">3</definedName>
    <definedName name="solver_rel663" localSheetId="2" hidden="1">3</definedName>
    <definedName name="solver_rel663" localSheetId="4" hidden="1">3</definedName>
    <definedName name="solver_rel664" localSheetId="2" hidden="1">3</definedName>
    <definedName name="solver_rel664" localSheetId="4" hidden="1">3</definedName>
    <definedName name="solver_rel665" localSheetId="2" hidden="1">3</definedName>
    <definedName name="solver_rel665" localSheetId="4" hidden="1">3</definedName>
    <definedName name="solver_rel666" localSheetId="2" hidden="1">3</definedName>
    <definedName name="solver_rel666" localSheetId="4" hidden="1">3</definedName>
    <definedName name="solver_rel667" localSheetId="2" hidden="1">3</definedName>
    <definedName name="solver_rel667" localSheetId="4" hidden="1">3</definedName>
    <definedName name="solver_rel668" localSheetId="2" hidden="1">3</definedName>
    <definedName name="solver_rel668" localSheetId="4" hidden="1">3</definedName>
    <definedName name="solver_rel669" localSheetId="2" hidden="1">3</definedName>
    <definedName name="solver_rel669" localSheetId="4" hidden="1">3</definedName>
    <definedName name="solver_rel67" localSheetId="2" hidden="1">3</definedName>
    <definedName name="solver_rel67" localSheetId="4" hidden="1">3</definedName>
    <definedName name="solver_rel670" localSheetId="2" hidden="1">3</definedName>
    <definedName name="solver_rel670" localSheetId="4" hidden="1">3</definedName>
    <definedName name="solver_rel671" localSheetId="2" hidden="1">1</definedName>
    <definedName name="solver_rel671" localSheetId="4" hidden="1">1</definedName>
    <definedName name="solver_rel672" localSheetId="2" hidden="1">3</definedName>
    <definedName name="solver_rel672" localSheetId="4" hidden="1">3</definedName>
    <definedName name="solver_rel673" localSheetId="2" hidden="1">3</definedName>
    <definedName name="solver_rel673" localSheetId="4" hidden="1">3</definedName>
    <definedName name="solver_rel674" localSheetId="2" hidden="1">3</definedName>
    <definedName name="solver_rel674" localSheetId="4" hidden="1">3</definedName>
    <definedName name="solver_rel675" localSheetId="2" hidden="1">3</definedName>
    <definedName name="solver_rel675" localSheetId="4" hidden="1">3</definedName>
    <definedName name="solver_rel676" localSheetId="2" hidden="1">3</definedName>
    <definedName name="solver_rel676" localSheetId="4" hidden="1">3</definedName>
    <definedName name="solver_rel677" localSheetId="2" hidden="1">3</definedName>
    <definedName name="solver_rel677" localSheetId="4" hidden="1">3</definedName>
    <definedName name="solver_rel678" localSheetId="2" hidden="1">3</definedName>
    <definedName name="solver_rel678" localSheetId="4" hidden="1">3</definedName>
    <definedName name="solver_rel679" localSheetId="2" hidden="1">3</definedName>
    <definedName name="solver_rel679" localSheetId="4" hidden="1">3</definedName>
    <definedName name="solver_rel68" localSheetId="2" hidden="1">3</definedName>
    <definedName name="solver_rel68" localSheetId="4" hidden="1">3</definedName>
    <definedName name="solver_rel680" localSheetId="2" hidden="1">3</definedName>
    <definedName name="solver_rel680" localSheetId="4" hidden="1">3</definedName>
    <definedName name="solver_rel681" localSheetId="2" hidden="1">1</definedName>
    <definedName name="solver_rel681" localSheetId="4" hidden="1">1</definedName>
    <definedName name="solver_rel682" localSheetId="2" hidden="1">3</definedName>
    <definedName name="solver_rel682" localSheetId="4" hidden="1">3</definedName>
    <definedName name="solver_rel683" localSheetId="2" hidden="1">3</definedName>
    <definedName name="solver_rel683" localSheetId="4" hidden="1">3</definedName>
    <definedName name="solver_rel684" localSheetId="2" hidden="1">3</definedName>
    <definedName name="solver_rel684" localSheetId="4" hidden="1">3</definedName>
    <definedName name="solver_rel685" localSheetId="2" hidden="1">3</definedName>
    <definedName name="solver_rel685" localSheetId="4" hidden="1">3</definedName>
    <definedName name="solver_rel686" localSheetId="2" hidden="1">3</definedName>
    <definedName name="solver_rel686" localSheetId="4" hidden="1">3</definedName>
    <definedName name="solver_rel687" localSheetId="2" hidden="1">3</definedName>
    <definedName name="solver_rel687" localSheetId="4" hidden="1">3</definedName>
    <definedName name="solver_rel688" localSheetId="2" hidden="1">3</definedName>
    <definedName name="solver_rel688" localSheetId="4" hidden="1">3</definedName>
    <definedName name="solver_rel689" localSheetId="2" hidden="1">3</definedName>
    <definedName name="solver_rel689" localSheetId="4" hidden="1">3</definedName>
    <definedName name="solver_rel69" localSheetId="2" hidden="1">3</definedName>
    <definedName name="solver_rel69" localSheetId="4" hidden="1">3</definedName>
    <definedName name="solver_rel690" localSheetId="2" hidden="1">3</definedName>
    <definedName name="solver_rel690" localSheetId="4" hidden="1">3</definedName>
    <definedName name="solver_rel691" localSheetId="2" hidden="1">3</definedName>
    <definedName name="solver_rel691" localSheetId="4" hidden="1">3</definedName>
    <definedName name="solver_rel692" localSheetId="2" hidden="1">3</definedName>
    <definedName name="solver_rel692" localSheetId="4" hidden="1">3</definedName>
    <definedName name="solver_rel693" localSheetId="2" hidden="1">3</definedName>
    <definedName name="solver_rel693" localSheetId="4" hidden="1">3</definedName>
    <definedName name="solver_rel694" localSheetId="2" hidden="1">3</definedName>
    <definedName name="solver_rel694" localSheetId="4" hidden="1">3</definedName>
    <definedName name="solver_rel695" localSheetId="2" hidden="1">3</definedName>
    <definedName name="solver_rel695" localSheetId="4" hidden="1">3</definedName>
    <definedName name="solver_rel696" localSheetId="2" hidden="1">3</definedName>
    <definedName name="solver_rel696" localSheetId="4" hidden="1">3</definedName>
    <definedName name="solver_rel697" localSheetId="2" hidden="1">3</definedName>
    <definedName name="solver_rel697" localSheetId="4" hidden="1">3</definedName>
    <definedName name="solver_rel698" localSheetId="2" hidden="1">3</definedName>
    <definedName name="solver_rel698" localSheetId="4" hidden="1">3</definedName>
    <definedName name="solver_rel699" localSheetId="2" hidden="1">3</definedName>
    <definedName name="solver_rel699" localSheetId="4" hidden="1">3</definedName>
    <definedName name="solver_rel7" localSheetId="0" hidden="1">3</definedName>
    <definedName name="solver_rel7" localSheetId="2" hidden="1">3</definedName>
    <definedName name="solver_rel7" localSheetId="4" hidden="1">3</definedName>
    <definedName name="solver_rel70" localSheetId="2" hidden="1">3</definedName>
    <definedName name="solver_rel70" localSheetId="4" hidden="1">3</definedName>
    <definedName name="solver_rel700" localSheetId="2" hidden="1">3</definedName>
    <definedName name="solver_rel700" localSheetId="4" hidden="1">3</definedName>
    <definedName name="solver_rel701" localSheetId="2" hidden="1">3</definedName>
    <definedName name="solver_rel701" localSheetId="4" hidden="1">3</definedName>
    <definedName name="solver_rel702" localSheetId="2" hidden="1">3</definedName>
    <definedName name="solver_rel702" localSheetId="4" hidden="1">3</definedName>
    <definedName name="solver_rel703" localSheetId="2" hidden="1">3</definedName>
    <definedName name="solver_rel703" localSheetId="4" hidden="1">3</definedName>
    <definedName name="solver_rel704" localSheetId="2" hidden="1">3</definedName>
    <definedName name="solver_rel704" localSheetId="4" hidden="1">3</definedName>
    <definedName name="solver_rel705" localSheetId="2" hidden="1">3</definedName>
    <definedName name="solver_rel705" localSheetId="4" hidden="1">3</definedName>
    <definedName name="solver_rel706" localSheetId="2" hidden="1">3</definedName>
    <definedName name="solver_rel706" localSheetId="4" hidden="1">3</definedName>
    <definedName name="solver_rel707" localSheetId="2" hidden="1">3</definedName>
    <definedName name="solver_rel707" localSheetId="4" hidden="1">3</definedName>
    <definedName name="solver_rel708" localSheetId="2" hidden="1">3</definedName>
    <definedName name="solver_rel708" localSheetId="4" hidden="1">3</definedName>
    <definedName name="solver_rel709" localSheetId="2" hidden="1">3</definedName>
    <definedName name="solver_rel709" localSheetId="4" hidden="1">3</definedName>
    <definedName name="solver_rel71" localSheetId="2" hidden="1">3</definedName>
    <definedName name="solver_rel71" localSheetId="4" hidden="1">3</definedName>
    <definedName name="solver_rel710" localSheetId="2" hidden="1">3</definedName>
    <definedName name="solver_rel710" localSheetId="4" hidden="1">3</definedName>
    <definedName name="solver_rel711" localSheetId="2" hidden="1">3</definedName>
    <definedName name="solver_rel711" localSheetId="4" hidden="1">3</definedName>
    <definedName name="solver_rel712" localSheetId="2" hidden="1">3</definedName>
    <definedName name="solver_rel712" localSheetId="4" hidden="1">3</definedName>
    <definedName name="solver_rel713" localSheetId="2" hidden="1">3</definedName>
    <definedName name="solver_rel713" localSheetId="4" hidden="1">3</definedName>
    <definedName name="solver_rel714" localSheetId="2" hidden="1">3</definedName>
    <definedName name="solver_rel714" localSheetId="4" hidden="1">3</definedName>
    <definedName name="solver_rel715" localSheetId="2" hidden="1">3</definedName>
    <definedName name="solver_rel715" localSheetId="4" hidden="1">3</definedName>
    <definedName name="solver_rel716" localSheetId="2" hidden="1">3</definedName>
    <definedName name="solver_rel716" localSheetId="4" hidden="1">3</definedName>
    <definedName name="solver_rel717" localSheetId="2" hidden="1">3</definedName>
    <definedName name="solver_rel717" localSheetId="4" hidden="1">3</definedName>
    <definedName name="solver_rel718" localSheetId="2" hidden="1">3</definedName>
    <definedName name="solver_rel718" localSheetId="4" hidden="1">3</definedName>
    <definedName name="solver_rel719" localSheetId="2" hidden="1">3</definedName>
    <definedName name="solver_rel719" localSheetId="4" hidden="1">3</definedName>
    <definedName name="solver_rel72" localSheetId="2" hidden="1">3</definedName>
    <definedName name="solver_rel72" localSheetId="4" hidden="1">3</definedName>
    <definedName name="solver_rel720" localSheetId="2" hidden="1">3</definedName>
    <definedName name="solver_rel720" localSheetId="4" hidden="1">3</definedName>
    <definedName name="solver_rel721" localSheetId="2" hidden="1">3</definedName>
    <definedName name="solver_rel721" localSheetId="4" hidden="1">3</definedName>
    <definedName name="solver_rel722" localSheetId="2" hidden="1">3</definedName>
    <definedName name="solver_rel722" localSheetId="4" hidden="1">3</definedName>
    <definedName name="solver_rel723" localSheetId="2" hidden="1">3</definedName>
    <definedName name="solver_rel723" localSheetId="4" hidden="1">3</definedName>
    <definedName name="solver_rel724" localSheetId="2" hidden="1">3</definedName>
    <definedName name="solver_rel724" localSheetId="4" hidden="1">3</definedName>
    <definedName name="solver_rel725" localSheetId="2" hidden="1">3</definedName>
    <definedName name="solver_rel725" localSheetId="4" hidden="1">3</definedName>
    <definedName name="solver_rel726" localSheetId="2" hidden="1">3</definedName>
    <definedName name="solver_rel726" localSheetId="4" hidden="1">3</definedName>
    <definedName name="solver_rel727" localSheetId="2" hidden="1">3</definedName>
    <definedName name="solver_rel727" localSheetId="4" hidden="1">3</definedName>
    <definedName name="solver_rel728" localSheetId="2" hidden="1">3</definedName>
    <definedName name="solver_rel728" localSheetId="4" hidden="1">3</definedName>
    <definedName name="solver_rel729" localSheetId="2" hidden="1">3</definedName>
    <definedName name="solver_rel729" localSheetId="4" hidden="1">3</definedName>
    <definedName name="solver_rel73" localSheetId="2" hidden="1">3</definedName>
    <definedName name="solver_rel73" localSheetId="4" hidden="1">3</definedName>
    <definedName name="solver_rel730" localSheetId="2" hidden="1">3</definedName>
    <definedName name="solver_rel730" localSheetId="4" hidden="1">3</definedName>
    <definedName name="solver_rel731" localSheetId="2" hidden="1">3</definedName>
    <definedName name="solver_rel731" localSheetId="4" hidden="1">3</definedName>
    <definedName name="solver_rel732" localSheetId="2" hidden="1">3</definedName>
    <definedName name="solver_rel732" localSheetId="4" hidden="1">3</definedName>
    <definedName name="solver_rel733" localSheetId="2" hidden="1">3</definedName>
    <definedName name="solver_rel733" localSheetId="4" hidden="1">3</definedName>
    <definedName name="solver_rel734" localSheetId="2" hidden="1">3</definedName>
    <definedName name="solver_rel734" localSheetId="4" hidden="1">3</definedName>
    <definedName name="solver_rel735" localSheetId="2" hidden="1">3</definedName>
    <definedName name="solver_rel735" localSheetId="4" hidden="1">3</definedName>
    <definedName name="solver_rel736" localSheetId="2" hidden="1">3</definedName>
    <definedName name="solver_rel736" localSheetId="4" hidden="1">3</definedName>
    <definedName name="solver_rel737" localSheetId="2" hidden="1">3</definedName>
    <definedName name="solver_rel737" localSheetId="4" hidden="1">3</definedName>
    <definedName name="solver_rel738" localSheetId="2" hidden="1">3</definedName>
    <definedName name="solver_rel738" localSheetId="4" hidden="1">3</definedName>
    <definedName name="solver_rel739" localSheetId="2" hidden="1">3</definedName>
    <definedName name="solver_rel739" localSheetId="4" hidden="1">3</definedName>
    <definedName name="solver_rel74" localSheetId="2" hidden="1">3</definedName>
    <definedName name="solver_rel74" localSheetId="4" hidden="1">3</definedName>
    <definedName name="solver_rel740" localSheetId="2" hidden="1">3</definedName>
    <definedName name="solver_rel740" localSheetId="4" hidden="1">3</definedName>
    <definedName name="solver_rel741" localSheetId="2" hidden="1">3</definedName>
    <definedName name="solver_rel741" localSheetId="4" hidden="1">3</definedName>
    <definedName name="solver_rel742" localSheetId="2" hidden="1">3</definedName>
    <definedName name="solver_rel742" localSheetId="4" hidden="1">3</definedName>
    <definedName name="solver_rel743" localSheetId="2" hidden="1">3</definedName>
    <definedName name="solver_rel743" localSheetId="4" hidden="1">3</definedName>
    <definedName name="solver_rel744" localSheetId="2" hidden="1">3</definedName>
    <definedName name="solver_rel744" localSheetId="4" hidden="1">3</definedName>
    <definedName name="solver_rel745" localSheetId="2" hidden="1">3</definedName>
    <definedName name="solver_rel745" localSheetId="4" hidden="1">3</definedName>
    <definedName name="solver_rel746" localSheetId="2" hidden="1">3</definedName>
    <definedName name="solver_rel746" localSheetId="4" hidden="1">3</definedName>
    <definedName name="solver_rel747" localSheetId="2" hidden="1">3</definedName>
    <definedName name="solver_rel747" localSheetId="4" hidden="1">3</definedName>
    <definedName name="solver_rel748" localSheetId="2" hidden="1">3</definedName>
    <definedName name="solver_rel748" localSheetId="4" hidden="1">3</definedName>
    <definedName name="solver_rel749" localSheetId="2" hidden="1">3</definedName>
    <definedName name="solver_rel749" localSheetId="4" hidden="1">3</definedName>
    <definedName name="solver_rel75" localSheetId="2" hidden="1">3</definedName>
    <definedName name="solver_rel75" localSheetId="4" hidden="1">3</definedName>
    <definedName name="solver_rel750" localSheetId="2" hidden="1">3</definedName>
    <definedName name="solver_rel750" localSheetId="4" hidden="1">3</definedName>
    <definedName name="solver_rel751" localSheetId="2" hidden="1">3</definedName>
    <definedName name="solver_rel751" localSheetId="4" hidden="1">3</definedName>
    <definedName name="solver_rel752" localSheetId="2" hidden="1">3</definedName>
    <definedName name="solver_rel752" localSheetId="4" hidden="1">3</definedName>
    <definedName name="solver_rel753" localSheetId="2" hidden="1">3</definedName>
    <definedName name="solver_rel753" localSheetId="4" hidden="1">3</definedName>
    <definedName name="solver_rel754" localSheetId="2" hidden="1">3</definedName>
    <definedName name="solver_rel754" localSheetId="4" hidden="1">3</definedName>
    <definedName name="solver_rel755" localSheetId="2" hidden="1">3</definedName>
    <definedName name="solver_rel755" localSheetId="4" hidden="1">3</definedName>
    <definedName name="solver_rel756" localSheetId="2" hidden="1">3</definedName>
    <definedName name="solver_rel756" localSheetId="4" hidden="1">3</definedName>
    <definedName name="solver_rel757" localSheetId="2" hidden="1">3</definedName>
    <definedName name="solver_rel757" localSheetId="4" hidden="1">3</definedName>
    <definedName name="solver_rel758" localSheetId="2" hidden="1">3</definedName>
    <definedName name="solver_rel758" localSheetId="4" hidden="1">3</definedName>
    <definedName name="solver_rel759" localSheetId="2" hidden="1">3</definedName>
    <definedName name="solver_rel759" localSheetId="4" hidden="1">3</definedName>
    <definedName name="solver_rel76" localSheetId="2" hidden="1">3</definedName>
    <definedName name="solver_rel76" localSheetId="4" hidden="1">3</definedName>
    <definedName name="solver_rel760" localSheetId="2" hidden="1">3</definedName>
    <definedName name="solver_rel760" localSheetId="4" hidden="1">3</definedName>
    <definedName name="solver_rel761" localSheetId="2" hidden="1">3</definedName>
    <definedName name="solver_rel761" localSheetId="4" hidden="1">3</definedName>
    <definedName name="solver_rel762" localSheetId="2" hidden="1">3</definedName>
    <definedName name="solver_rel762" localSheetId="4" hidden="1">3</definedName>
    <definedName name="solver_rel763" localSheetId="2" hidden="1">3</definedName>
    <definedName name="solver_rel763" localSheetId="4" hidden="1">3</definedName>
    <definedName name="solver_rel764" localSheetId="2" hidden="1">3</definedName>
    <definedName name="solver_rel764" localSheetId="4" hidden="1">3</definedName>
    <definedName name="solver_rel765" localSheetId="2" hidden="1">3</definedName>
    <definedName name="solver_rel765" localSheetId="4" hidden="1">3</definedName>
    <definedName name="solver_rel766" localSheetId="2" hidden="1">3</definedName>
    <definedName name="solver_rel766" localSheetId="4" hidden="1">3</definedName>
    <definedName name="solver_rel767" localSheetId="2" hidden="1">3</definedName>
    <definedName name="solver_rel767" localSheetId="4" hidden="1">3</definedName>
    <definedName name="solver_rel768" localSheetId="2" hidden="1">3</definedName>
    <definedName name="solver_rel768" localSheetId="4" hidden="1">3</definedName>
    <definedName name="solver_rel769" localSheetId="2" hidden="1">3</definedName>
    <definedName name="solver_rel769" localSheetId="4" hidden="1">3</definedName>
    <definedName name="solver_rel77" localSheetId="2" hidden="1">3</definedName>
    <definedName name="solver_rel77" localSheetId="4" hidden="1">3</definedName>
    <definedName name="solver_rel770" localSheetId="2" hidden="1">3</definedName>
    <definedName name="solver_rel770" localSheetId="4" hidden="1">3</definedName>
    <definedName name="solver_rel771" localSheetId="2" hidden="1">3</definedName>
    <definedName name="solver_rel771" localSheetId="4" hidden="1">3</definedName>
    <definedName name="solver_rel772" localSheetId="2" hidden="1">3</definedName>
    <definedName name="solver_rel772" localSheetId="4" hidden="1">3</definedName>
    <definedName name="solver_rel773" localSheetId="2" hidden="1">3</definedName>
    <definedName name="solver_rel773" localSheetId="4" hidden="1">3</definedName>
    <definedName name="solver_rel774" localSheetId="2" hidden="1">3</definedName>
    <definedName name="solver_rel774" localSheetId="4" hidden="1">3</definedName>
    <definedName name="solver_rel775" localSheetId="2" hidden="1">3</definedName>
    <definedName name="solver_rel775" localSheetId="4" hidden="1">3</definedName>
    <definedName name="solver_rel776" localSheetId="2" hidden="1">3</definedName>
    <definedName name="solver_rel776" localSheetId="4" hidden="1">3</definedName>
    <definedName name="solver_rel777" localSheetId="2" hidden="1">3</definedName>
    <definedName name="solver_rel777" localSheetId="4" hidden="1">3</definedName>
    <definedName name="solver_rel778" localSheetId="2" hidden="1">3</definedName>
    <definedName name="solver_rel778" localSheetId="4" hidden="1">3</definedName>
    <definedName name="solver_rel779" localSheetId="2" hidden="1">3</definedName>
    <definedName name="solver_rel779" localSheetId="4" hidden="1">3</definedName>
    <definedName name="solver_rel78" localSheetId="2" hidden="1">3</definedName>
    <definedName name="solver_rel78" localSheetId="4" hidden="1">3</definedName>
    <definedName name="solver_rel780" localSheetId="2" hidden="1">3</definedName>
    <definedName name="solver_rel780" localSheetId="4" hidden="1">3</definedName>
    <definedName name="solver_rel781" localSheetId="2" hidden="1">3</definedName>
    <definedName name="solver_rel781" localSheetId="4" hidden="1">3</definedName>
    <definedName name="solver_rel782" localSheetId="2" hidden="1">3</definedName>
    <definedName name="solver_rel782" localSheetId="4" hidden="1">3</definedName>
    <definedName name="solver_rel783" localSheetId="2" hidden="1">3</definedName>
    <definedName name="solver_rel783" localSheetId="4" hidden="1">3</definedName>
    <definedName name="solver_rel784" localSheetId="2" hidden="1">3</definedName>
    <definedName name="solver_rel784" localSheetId="4" hidden="1">3</definedName>
    <definedName name="solver_rel785" localSheetId="2" hidden="1">3</definedName>
    <definedName name="solver_rel785" localSheetId="4" hidden="1">3</definedName>
    <definedName name="solver_rel786" localSheetId="2" hidden="1">3</definedName>
    <definedName name="solver_rel786" localSheetId="4" hidden="1">3</definedName>
    <definedName name="solver_rel787" localSheetId="2" hidden="1">3</definedName>
    <definedName name="solver_rel787" localSheetId="4" hidden="1">3</definedName>
    <definedName name="solver_rel788" localSheetId="2" hidden="1">3</definedName>
    <definedName name="solver_rel788" localSheetId="4" hidden="1">3</definedName>
    <definedName name="solver_rel789" localSheetId="2" hidden="1">3</definedName>
    <definedName name="solver_rel789" localSheetId="4" hidden="1">3</definedName>
    <definedName name="solver_rel79" localSheetId="2" hidden="1">3</definedName>
    <definedName name="solver_rel79" localSheetId="4" hidden="1">3</definedName>
    <definedName name="solver_rel790" localSheetId="2" hidden="1">3</definedName>
    <definedName name="solver_rel790" localSheetId="4" hidden="1">3</definedName>
    <definedName name="solver_rel791" localSheetId="2" hidden="1">3</definedName>
    <definedName name="solver_rel791" localSheetId="4" hidden="1">3</definedName>
    <definedName name="solver_rel792" localSheetId="2" hidden="1">3</definedName>
    <definedName name="solver_rel792" localSheetId="4" hidden="1">3</definedName>
    <definedName name="solver_rel793" localSheetId="2" hidden="1">3</definedName>
    <definedName name="solver_rel793" localSheetId="4" hidden="1">3</definedName>
    <definedName name="solver_rel794" localSheetId="2" hidden="1">3</definedName>
    <definedName name="solver_rel794" localSheetId="4" hidden="1">3</definedName>
    <definedName name="solver_rel795" localSheetId="2" hidden="1">3</definedName>
    <definedName name="solver_rel795" localSheetId="4" hidden="1">3</definedName>
    <definedName name="solver_rel796" localSheetId="2" hidden="1">3</definedName>
    <definedName name="solver_rel796" localSheetId="4" hidden="1">3</definedName>
    <definedName name="solver_rel797" localSheetId="2" hidden="1">3</definedName>
    <definedName name="solver_rel797" localSheetId="4" hidden="1">3</definedName>
    <definedName name="solver_rel798" localSheetId="2" hidden="1">3</definedName>
    <definedName name="solver_rel798" localSheetId="4" hidden="1">3</definedName>
    <definedName name="solver_rel799" localSheetId="2" hidden="1">3</definedName>
    <definedName name="solver_rel799" localSheetId="4" hidden="1">3</definedName>
    <definedName name="solver_rel8" localSheetId="0" hidden="1">2</definedName>
    <definedName name="solver_rel8" localSheetId="2" hidden="1">2</definedName>
    <definedName name="solver_rel8" localSheetId="4" hidden="1">2</definedName>
    <definedName name="solver_rel80" localSheetId="2" hidden="1">3</definedName>
    <definedName name="solver_rel80" localSheetId="4" hidden="1">3</definedName>
    <definedName name="solver_rel800" localSheetId="2" hidden="1">3</definedName>
    <definedName name="solver_rel800" localSheetId="4" hidden="1">3</definedName>
    <definedName name="solver_rel801" localSheetId="2" hidden="1">3</definedName>
    <definedName name="solver_rel801" localSheetId="4" hidden="1">3</definedName>
    <definedName name="solver_rel802" localSheetId="2" hidden="1">3</definedName>
    <definedName name="solver_rel802" localSheetId="4" hidden="1">3</definedName>
    <definedName name="solver_rel803" localSheetId="2" hidden="1">3</definedName>
    <definedName name="solver_rel803" localSheetId="4" hidden="1">3</definedName>
    <definedName name="solver_rel804" localSheetId="2" hidden="1">3</definedName>
    <definedName name="solver_rel804" localSheetId="4" hidden="1">3</definedName>
    <definedName name="solver_rel805" localSheetId="2" hidden="1">3</definedName>
    <definedName name="solver_rel805" localSheetId="4" hidden="1">3</definedName>
    <definedName name="solver_rel806" localSheetId="2" hidden="1">3</definedName>
    <definedName name="solver_rel806" localSheetId="4" hidden="1">3</definedName>
    <definedName name="solver_rel807" localSheetId="2" hidden="1">3</definedName>
    <definedName name="solver_rel807" localSheetId="4" hidden="1">3</definedName>
    <definedName name="solver_rel808" localSheetId="2" hidden="1">3</definedName>
    <definedName name="solver_rel808" localSheetId="4" hidden="1">3</definedName>
    <definedName name="solver_rel809" localSheetId="2" hidden="1">3</definedName>
    <definedName name="solver_rel809" localSheetId="4" hidden="1">3</definedName>
    <definedName name="solver_rel81" localSheetId="2" hidden="1">3</definedName>
    <definedName name="solver_rel81" localSheetId="4" hidden="1">3</definedName>
    <definedName name="solver_rel810" localSheetId="2" hidden="1">3</definedName>
    <definedName name="solver_rel810" localSheetId="4" hidden="1">3</definedName>
    <definedName name="solver_rel811" localSheetId="2" hidden="1">3</definedName>
    <definedName name="solver_rel811" localSheetId="4" hidden="1">3</definedName>
    <definedName name="solver_rel812" localSheetId="2" hidden="1">3</definedName>
    <definedName name="solver_rel812" localSheetId="4" hidden="1">3</definedName>
    <definedName name="solver_rel813" localSheetId="2" hidden="1">3</definedName>
    <definedName name="solver_rel813" localSheetId="4" hidden="1">3</definedName>
    <definedName name="solver_rel814" localSheetId="2" hidden="1">3</definedName>
    <definedName name="solver_rel814" localSheetId="4" hidden="1">3</definedName>
    <definedName name="solver_rel815" localSheetId="2" hidden="1">3</definedName>
    <definedName name="solver_rel815" localSheetId="4" hidden="1">3</definedName>
    <definedName name="solver_rel816" localSheetId="2" hidden="1">3</definedName>
    <definedName name="solver_rel816" localSheetId="4" hidden="1">3</definedName>
    <definedName name="solver_rel817" localSheetId="2" hidden="1">3</definedName>
    <definedName name="solver_rel817" localSheetId="4" hidden="1">3</definedName>
    <definedName name="solver_rel818" localSheetId="2" hidden="1">3</definedName>
    <definedName name="solver_rel818" localSheetId="4" hidden="1">3</definedName>
    <definedName name="solver_rel819" localSheetId="2" hidden="1">3</definedName>
    <definedName name="solver_rel819" localSheetId="4" hidden="1">3</definedName>
    <definedName name="solver_rel82" localSheetId="2" hidden="1">3</definedName>
    <definedName name="solver_rel82" localSheetId="4" hidden="1">3</definedName>
    <definedName name="solver_rel820" localSheetId="2" hidden="1">3</definedName>
    <definedName name="solver_rel820" localSheetId="4" hidden="1">3</definedName>
    <definedName name="solver_rel821" localSheetId="2" hidden="1">3</definedName>
    <definedName name="solver_rel821" localSheetId="4" hidden="1">3</definedName>
    <definedName name="solver_rel822" localSheetId="2" hidden="1">3</definedName>
    <definedName name="solver_rel822" localSheetId="4" hidden="1">3</definedName>
    <definedName name="solver_rel823" localSheetId="2" hidden="1">3</definedName>
    <definedName name="solver_rel823" localSheetId="4" hidden="1">3</definedName>
    <definedName name="solver_rel824" localSheetId="2" hidden="1">3</definedName>
    <definedName name="solver_rel824" localSheetId="4" hidden="1">3</definedName>
    <definedName name="solver_rel825" localSheetId="2" hidden="1">3</definedName>
    <definedName name="solver_rel825" localSheetId="4" hidden="1">3</definedName>
    <definedName name="solver_rel826" localSheetId="2" hidden="1">3</definedName>
    <definedName name="solver_rel826" localSheetId="4" hidden="1">3</definedName>
    <definedName name="solver_rel827" localSheetId="2" hidden="1">3</definedName>
    <definedName name="solver_rel827" localSheetId="4" hidden="1">3</definedName>
    <definedName name="solver_rel828" localSheetId="2" hidden="1">3</definedName>
    <definedName name="solver_rel828" localSheetId="4" hidden="1">3</definedName>
    <definedName name="solver_rel829" localSheetId="2" hidden="1">3</definedName>
    <definedName name="solver_rel829" localSheetId="4" hidden="1">3</definedName>
    <definedName name="solver_rel83" localSheetId="2" hidden="1">3</definedName>
    <definedName name="solver_rel83" localSheetId="4" hidden="1">3</definedName>
    <definedName name="solver_rel830" localSheetId="2" hidden="1">3</definedName>
    <definedName name="solver_rel830" localSheetId="4" hidden="1">3</definedName>
    <definedName name="solver_rel831" localSheetId="2" hidden="1">3</definedName>
    <definedName name="solver_rel831" localSheetId="4" hidden="1">3</definedName>
    <definedName name="solver_rel832" localSheetId="2" hidden="1">3</definedName>
    <definedName name="solver_rel832" localSheetId="4" hidden="1">3</definedName>
    <definedName name="solver_rel833" localSheetId="2" hidden="1">3</definedName>
    <definedName name="solver_rel833" localSheetId="4" hidden="1">3</definedName>
    <definedName name="solver_rel834" localSheetId="2" hidden="1">3</definedName>
    <definedName name="solver_rel834" localSheetId="4" hidden="1">3</definedName>
    <definedName name="solver_rel835" localSheetId="2" hidden="1">3</definedName>
    <definedName name="solver_rel835" localSheetId="4" hidden="1">3</definedName>
    <definedName name="solver_rel836" localSheetId="2" hidden="1">3</definedName>
    <definedName name="solver_rel836" localSheetId="4" hidden="1">3</definedName>
    <definedName name="solver_rel837" localSheetId="2" hidden="1">3</definedName>
    <definedName name="solver_rel837" localSheetId="4" hidden="1">3</definedName>
    <definedName name="solver_rel838" localSheetId="2" hidden="1">3</definedName>
    <definedName name="solver_rel838" localSheetId="4" hidden="1">3</definedName>
    <definedName name="solver_rel839" localSheetId="2" hidden="1">3</definedName>
    <definedName name="solver_rel839" localSheetId="4" hidden="1">3</definedName>
    <definedName name="solver_rel84" localSheetId="2" hidden="1">3</definedName>
    <definedName name="solver_rel84" localSheetId="4" hidden="1">3</definedName>
    <definedName name="solver_rel840" localSheetId="2" hidden="1">3</definedName>
    <definedName name="solver_rel840" localSheetId="4" hidden="1">3</definedName>
    <definedName name="solver_rel841" localSheetId="2" hidden="1">3</definedName>
    <definedName name="solver_rel841" localSheetId="4" hidden="1">3</definedName>
    <definedName name="solver_rel842" localSheetId="2" hidden="1">3</definedName>
    <definedName name="solver_rel842" localSheetId="4" hidden="1">3</definedName>
    <definedName name="solver_rel843" localSheetId="2" hidden="1">3</definedName>
    <definedName name="solver_rel843" localSheetId="4" hidden="1">3</definedName>
    <definedName name="solver_rel844" localSheetId="2" hidden="1">3</definedName>
    <definedName name="solver_rel844" localSheetId="4" hidden="1">3</definedName>
    <definedName name="solver_rel845" localSheetId="2" hidden="1">3</definedName>
    <definedName name="solver_rel845" localSheetId="4" hidden="1">3</definedName>
    <definedName name="solver_rel846" localSheetId="2" hidden="1">3</definedName>
    <definedName name="solver_rel846" localSheetId="4" hidden="1">3</definedName>
    <definedName name="solver_rel847" localSheetId="2" hidden="1">3</definedName>
    <definedName name="solver_rel847" localSheetId="4" hidden="1">3</definedName>
    <definedName name="solver_rel848" localSheetId="2" hidden="1">3</definedName>
    <definedName name="solver_rel848" localSheetId="4" hidden="1">3</definedName>
    <definedName name="solver_rel849" localSheetId="2" hidden="1">2</definedName>
    <definedName name="solver_rel849" localSheetId="4" hidden="1">2</definedName>
    <definedName name="solver_rel85" localSheetId="2" hidden="1">3</definedName>
    <definedName name="solver_rel85" localSheetId="4" hidden="1">3</definedName>
    <definedName name="solver_rel850" localSheetId="2" hidden="1">2</definedName>
    <definedName name="solver_rel850" localSheetId="4" hidden="1">2</definedName>
    <definedName name="solver_rel851" localSheetId="2" hidden="1">2</definedName>
    <definedName name="solver_rel851" localSheetId="4" hidden="1">2</definedName>
    <definedName name="solver_rel852" localSheetId="2" hidden="1">3</definedName>
    <definedName name="solver_rel852" localSheetId="4" hidden="1">3</definedName>
    <definedName name="solver_rel853" localSheetId="2" hidden="1">2</definedName>
    <definedName name="solver_rel853" localSheetId="4" hidden="1">2</definedName>
    <definedName name="solver_rel854" localSheetId="2" hidden="1">3</definedName>
    <definedName name="solver_rel854" localSheetId="4" hidden="1">3</definedName>
    <definedName name="solver_rel855" localSheetId="2" hidden="1">2</definedName>
    <definedName name="solver_rel855" localSheetId="4" hidden="1">2</definedName>
    <definedName name="solver_rel856" localSheetId="2" hidden="1">2</definedName>
    <definedName name="solver_rel856" localSheetId="4" hidden="1">2</definedName>
    <definedName name="solver_rel857" localSheetId="2" hidden="1">3</definedName>
    <definedName name="solver_rel857" localSheetId="4" hidden="1">3</definedName>
    <definedName name="solver_rel858" localSheetId="2" hidden="1">2</definedName>
    <definedName name="solver_rel858" localSheetId="4" hidden="1">2</definedName>
    <definedName name="solver_rel859" localSheetId="2" hidden="1">3</definedName>
    <definedName name="solver_rel859" localSheetId="4" hidden="1">3</definedName>
    <definedName name="solver_rel86" localSheetId="2" hidden="1">3</definedName>
    <definedName name="solver_rel86" localSheetId="4" hidden="1">3</definedName>
    <definedName name="solver_rel860" localSheetId="2" hidden="1">2</definedName>
    <definedName name="solver_rel860" localSheetId="4" hidden="1">2</definedName>
    <definedName name="solver_rel861" localSheetId="2" hidden="1">3</definedName>
    <definedName name="solver_rel861" localSheetId="4" hidden="1">3</definedName>
    <definedName name="solver_rel862" localSheetId="2" hidden="1">2</definedName>
    <definedName name="solver_rel862" localSheetId="4" hidden="1">2</definedName>
    <definedName name="solver_rel863" localSheetId="2" hidden="1">3</definedName>
    <definedName name="solver_rel863" localSheetId="4" hidden="1">3</definedName>
    <definedName name="solver_rel864" localSheetId="2" hidden="1">2</definedName>
    <definedName name="solver_rel864" localSheetId="4" hidden="1">2</definedName>
    <definedName name="solver_rel865" localSheetId="2" hidden="1">3</definedName>
    <definedName name="solver_rel865" localSheetId="4" hidden="1">3</definedName>
    <definedName name="solver_rel866" localSheetId="2" hidden="1">2</definedName>
    <definedName name="solver_rel866" localSheetId="4" hidden="1">2</definedName>
    <definedName name="solver_rel867" localSheetId="2" hidden="1">2</definedName>
    <definedName name="solver_rel867" localSheetId="4" hidden="1">2</definedName>
    <definedName name="solver_rel868" localSheetId="2" hidden="1">2</definedName>
    <definedName name="solver_rel868" localSheetId="4" hidden="1">2</definedName>
    <definedName name="solver_rel869" localSheetId="2" hidden="1">2</definedName>
    <definedName name="solver_rel869" localSheetId="4" hidden="1">2</definedName>
    <definedName name="solver_rel87" localSheetId="2" hidden="1">3</definedName>
    <definedName name="solver_rel87" localSheetId="4" hidden="1">3</definedName>
    <definedName name="solver_rel870" localSheetId="2" hidden="1">2</definedName>
    <definedName name="solver_rel870" localSheetId="4" hidden="1">2</definedName>
    <definedName name="solver_rel871" localSheetId="2" hidden="1">2</definedName>
    <definedName name="solver_rel871" localSheetId="4" hidden="1">2</definedName>
    <definedName name="solver_rel872" localSheetId="2" hidden="1">2</definedName>
    <definedName name="solver_rel872" localSheetId="4" hidden="1">2</definedName>
    <definedName name="solver_rel873" localSheetId="2" hidden="1">2</definedName>
    <definedName name="solver_rel873" localSheetId="4" hidden="1">2</definedName>
    <definedName name="solver_rel874" localSheetId="2" hidden="1">2</definedName>
    <definedName name="solver_rel874" localSheetId="4" hidden="1">2</definedName>
    <definedName name="solver_rel875" localSheetId="2" hidden="1">2</definedName>
    <definedName name="solver_rel875" localSheetId="4" hidden="1">2</definedName>
    <definedName name="solver_rel876" localSheetId="2" hidden="1">2</definedName>
    <definedName name="solver_rel876" localSheetId="4" hidden="1">2</definedName>
    <definedName name="solver_rel877" localSheetId="2" hidden="1">2</definedName>
    <definedName name="solver_rel877" localSheetId="4" hidden="1">2</definedName>
    <definedName name="solver_rel878" localSheetId="2" hidden="1">2</definedName>
    <definedName name="solver_rel878" localSheetId="4" hidden="1">2</definedName>
    <definedName name="solver_rel879" localSheetId="2" hidden="1">2</definedName>
    <definedName name="solver_rel879" localSheetId="4" hidden="1">2</definedName>
    <definedName name="solver_rel88" localSheetId="2" hidden="1">3</definedName>
    <definedName name="solver_rel88" localSheetId="4" hidden="1">3</definedName>
    <definedName name="solver_rel880" localSheetId="2" hidden="1">2</definedName>
    <definedName name="solver_rel880" localSheetId="4" hidden="1">2</definedName>
    <definedName name="solver_rel881" localSheetId="2" hidden="1">2</definedName>
    <definedName name="solver_rel881" localSheetId="4" hidden="1">2</definedName>
    <definedName name="solver_rel882" localSheetId="2" hidden="1">2</definedName>
    <definedName name="solver_rel882" localSheetId="4" hidden="1">2</definedName>
    <definedName name="solver_rel883" localSheetId="2" hidden="1">2</definedName>
    <definedName name="solver_rel883" localSheetId="4" hidden="1">2</definedName>
    <definedName name="solver_rel884" localSheetId="2" hidden="1">2</definedName>
    <definedName name="solver_rel884" localSheetId="4" hidden="1">2</definedName>
    <definedName name="solver_rel885" localSheetId="2" hidden="1">2</definedName>
    <definedName name="solver_rel885" localSheetId="4" hidden="1">2</definedName>
    <definedName name="solver_rel886" localSheetId="2" hidden="1">2</definedName>
    <definedName name="solver_rel886" localSheetId="4" hidden="1">2</definedName>
    <definedName name="solver_rel887" localSheetId="2" hidden="1">2</definedName>
    <definedName name="solver_rel887" localSheetId="4" hidden="1">2</definedName>
    <definedName name="solver_rel888" localSheetId="2" hidden="1">2</definedName>
    <definedName name="solver_rel888" localSheetId="4" hidden="1">2</definedName>
    <definedName name="solver_rel889" localSheetId="2" hidden="1">2</definedName>
    <definedName name="solver_rel889" localSheetId="4" hidden="1">2</definedName>
    <definedName name="solver_rel89" localSheetId="2" hidden="1">3</definedName>
    <definedName name="solver_rel89" localSheetId="4" hidden="1">3</definedName>
    <definedName name="solver_rel890" localSheetId="2" hidden="1">2</definedName>
    <definedName name="solver_rel890" localSheetId="4" hidden="1">2</definedName>
    <definedName name="solver_rel891" localSheetId="2" hidden="1">2</definedName>
    <definedName name="solver_rel891" localSheetId="4" hidden="1">2</definedName>
    <definedName name="solver_rel892" localSheetId="2" hidden="1">2</definedName>
    <definedName name="solver_rel892" localSheetId="4" hidden="1">2</definedName>
    <definedName name="solver_rel893" localSheetId="2" hidden="1">2</definedName>
    <definedName name="solver_rel893" localSheetId="4" hidden="1">2</definedName>
    <definedName name="solver_rel894" localSheetId="2" hidden="1">2</definedName>
    <definedName name="solver_rel894" localSheetId="4" hidden="1">2</definedName>
    <definedName name="solver_rel895" localSheetId="2" hidden="1">2</definedName>
    <definedName name="solver_rel895" localSheetId="4" hidden="1">2</definedName>
    <definedName name="solver_rel896" localSheetId="2" hidden="1">2</definedName>
    <definedName name="solver_rel896" localSheetId="4" hidden="1">2</definedName>
    <definedName name="solver_rel897" localSheetId="2" hidden="1">2</definedName>
    <definedName name="solver_rel897" localSheetId="4" hidden="1">2</definedName>
    <definedName name="solver_rel898" localSheetId="2" hidden="1">2</definedName>
    <definedName name="solver_rel898" localSheetId="4" hidden="1">2</definedName>
    <definedName name="solver_rel899" localSheetId="2" hidden="1">2</definedName>
    <definedName name="solver_rel899" localSheetId="4" hidden="1">2</definedName>
    <definedName name="solver_rel9" localSheetId="0" hidden="1">2</definedName>
    <definedName name="solver_rel9" localSheetId="2" hidden="1">2</definedName>
    <definedName name="solver_rel9" localSheetId="4" hidden="1">2</definedName>
    <definedName name="solver_rel90" localSheetId="2" hidden="1">3</definedName>
    <definedName name="solver_rel90" localSheetId="4" hidden="1">3</definedName>
    <definedName name="solver_rel900" localSheetId="2" hidden="1">2</definedName>
    <definedName name="solver_rel900" localSheetId="4" hidden="1">2</definedName>
    <definedName name="solver_rel901" localSheetId="2" hidden="1">2</definedName>
    <definedName name="solver_rel901" localSheetId="4" hidden="1">2</definedName>
    <definedName name="solver_rel902" localSheetId="2" hidden="1">2</definedName>
    <definedName name="solver_rel902" localSheetId="4" hidden="1">2</definedName>
    <definedName name="solver_rel903" localSheetId="2" hidden="1">2</definedName>
    <definedName name="solver_rel903" localSheetId="4" hidden="1">2</definedName>
    <definedName name="solver_rel904" localSheetId="2" hidden="1">2</definedName>
    <definedName name="solver_rel904" localSheetId="4" hidden="1">2</definedName>
    <definedName name="solver_rel905" localSheetId="2" hidden="1">2</definedName>
    <definedName name="solver_rel905" localSheetId="4" hidden="1">2</definedName>
    <definedName name="solver_rel906" localSheetId="2" hidden="1">2</definedName>
    <definedName name="solver_rel906" localSheetId="4" hidden="1">2</definedName>
    <definedName name="solver_rel907" localSheetId="2" hidden="1">2</definedName>
    <definedName name="solver_rel907" localSheetId="4" hidden="1">2</definedName>
    <definedName name="solver_rel908" localSheetId="2" hidden="1">2</definedName>
    <definedName name="solver_rel908" localSheetId="4" hidden="1">2</definedName>
    <definedName name="solver_rel909" localSheetId="2" hidden="1">2</definedName>
    <definedName name="solver_rel909" localSheetId="4" hidden="1">2</definedName>
    <definedName name="solver_rel91" localSheetId="2" hidden="1">3</definedName>
    <definedName name="solver_rel91" localSheetId="4" hidden="1">3</definedName>
    <definedName name="solver_rel910" localSheetId="2" hidden="1">2</definedName>
    <definedName name="solver_rel910" localSheetId="4" hidden="1">2</definedName>
    <definedName name="solver_rel911" localSheetId="2" hidden="1">2</definedName>
    <definedName name="solver_rel911" localSheetId="4" hidden="1">2</definedName>
    <definedName name="solver_rel912" localSheetId="2" hidden="1">2</definedName>
    <definedName name="solver_rel912" localSheetId="4" hidden="1">2</definedName>
    <definedName name="solver_rel913" localSheetId="2" hidden="1">2</definedName>
    <definedName name="solver_rel913" localSheetId="4" hidden="1">2</definedName>
    <definedName name="solver_rel914" localSheetId="2" hidden="1">2</definedName>
    <definedName name="solver_rel914" localSheetId="4" hidden="1">2</definedName>
    <definedName name="solver_rel915" localSheetId="2" hidden="1">2</definedName>
    <definedName name="solver_rel915" localSheetId="4" hidden="1">2</definedName>
    <definedName name="solver_rel916" localSheetId="2" hidden="1">2</definedName>
    <definedName name="solver_rel916" localSheetId="4" hidden="1">2</definedName>
    <definedName name="solver_rel917" localSheetId="2" hidden="1">2</definedName>
    <definedName name="solver_rel917" localSheetId="4" hidden="1">2</definedName>
    <definedName name="solver_rel918" localSheetId="2" hidden="1">2</definedName>
    <definedName name="solver_rel918" localSheetId="4" hidden="1">2</definedName>
    <definedName name="solver_rel919" localSheetId="2" hidden="1">2</definedName>
    <definedName name="solver_rel919" localSheetId="4" hidden="1">2</definedName>
    <definedName name="solver_rel92" localSheetId="2" hidden="1">3</definedName>
    <definedName name="solver_rel92" localSheetId="4" hidden="1">3</definedName>
    <definedName name="solver_rel920" localSheetId="2" hidden="1">2</definedName>
    <definedName name="solver_rel920" localSheetId="4" hidden="1">2</definedName>
    <definedName name="solver_rel921" localSheetId="2" hidden="1">2</definedName>
    <definedName name="solver_rel921" localSheetId="4" hidden="1">2</definedName>
    <definedName name="solver_rel922" localSheetId="2" hidden="1">2</definedName>
    <definedName name="solver_rel922" localSheetId="4" hidden="1">2</definedName>
    <definedName name="solver_rel923" localSheetId="2" hidden="1">2</definedName>
    <definedName name="solver_rel923" localSheetId="4" hidden="1">2</definedName>
    <definedName name="solver_rel924" localSheetId="2" hidden="1">2</definedName>
    <definedName name="solver_rel924" localSheetId="4" hidden="1">2</definedName>
    <definedName name="solver_rel925" localSheetId="2" hidden="1">2</definedName>
    <definedName name="solver_rel925" localSheetId="4" hidden="1">2</definedName>
    <definedName name="solver_rel926" localSheetId="2" hidden="1">2</definedName>
    <definedName name="solver_rel926" localSheetId="4" hidden="1">2</definedName>
    <definedName name="solver_rel927" localSheetId="2" hidden="1">2</definedName>
    <definedName name="solver_rel927" localSheetId="4" hidden="1">2</definedName>
    <definedName name="solver_rel928" localSheetId="2" hidden="1">2</definedName>
    <definedName name="solver_rel928" localSheetId="4" hidden="1">2</definedName>
    <definedName name="solver_rel929" localSheetId="2" hidden="1">2</definedName>
    <definedName name="solver_rel929" localSheetId="4" hidden="1">2</definedName>
    <definedName name="solver_rel93" localSheetId="2" hidden="1">3</definedName>
    <definedName name="solver_rel93" localSheetId="4" hidden="1">3</definedName>
    <definedName name="solver_rel930" localSheetId="2" hidden="1">2</definedName>
    <definedName name="solver_rel930" localSheetId="4" hidden="1">2</definedName>
    <definedName name="solver_rel931" localSheetId="2" hidden="1">2</definedName>
    <definedName name="solver_rel931" localSheetId="4" hidden="1">2</definedName>
    <definedName name="solver_rel932" localSheetId="2" hidden="1">2</definedName>
    <definedName name="solver_rel932" localSheetId="4" hidden="1">2</definedName>
    <definedName name="solver_rel933" localSheetId="2" hidden="1">2</definedName>
    <definedName name="solver_rel933" localSheetId="4" hidden="1">2</definedName>
    <definedName name="solver_rel934" localSheetId="2" hidden="1">2</definedName>
    <definedName name="solver_rel934" localSheetId="4" hidden="1">2</definedName>
    <definedName name="solver_rel935" localSheetId="2" hidden="1">2</definedName>
    <definedName name="solver_rel935" localSheetId="4" hidden="1">2</definedName>
    <definedName name="solver_rel936" localSheetId="2" hidden="1">2</definedName>
    <definedName name="solver_rel936" localSheetId="4" hidden="1">2</definedName>
    <definedName name="solver_rel937" localSheetId="2" hidden="1">2</definedName>
    <definedName name="solver_rel937" localSheetId="4" hidden="1">2</definedName>
    <definedName name="solver_rel938" localSheetId="2" hidden="1">2</definedName>
    <definedName name="solver_rel938" localSheetId="4" hidden="1">2</definedName>
    <definedName name="solver_rel939" localSheetId="2" hidden="1">2</definedName>
    <definedName name="solver_rel939" localSheetId="4" hidden="1">2</definedName>
    <definedName name="solver_rel94" localSheetId="2" hidden="1">3</definedName>
    <definedName name="solver_rel94" localSheetId="4" hidden="1">3</definedName>
    <definedName name="solver_rel940" localSheetId="2" hidden="1">2</definedName>
    <definedName name="solver_rel940" localSheetId="4" hidden="1">2</definedName>
    <definedName name="solver_rel941" localSheetId="2" hidden="1">2</definedName>
    <definedName name="solver_rel941" localSheetId="4" hidden="1">2</definedName>
    <definedName name="solver_rel942" localSheetId="2" hidden="1">2</definedName>
    <definedName name="solver_rel942" localSheetId="4" hidden="1">2</definedName>
    <definedName name="solver_rel943" localSheetId="2" hidden="1">2</definedName>
    <definedName name="solver_rel943" localSheetId="4" hidden="1">2</definedName>
    <definedName name="solver_rel944" localSheetId="2" hidden="1">2</definedName>
    <definedName name="solver_rel944" localSheetId="4" hidden="1">2</definedName>
    <definedName name="solver_rel945" localSheetId="2" hidden="1">2</definedName>
    <definedName name="solver_rel945" localSheetId="4" hidden="1">2</definedName>
    <definedName name="solver_rel946" localSheetId="2" hidden="1">2</definedName>
    <definedName name="solver_rel946" localSheetId="4" hidden="1">2</definedName>
    <definedName name="solver_rel947" localSheetId="2" hidden="1">2</definedName>
    <definedName name="solver_rel947" localSheetId="4" hidden="1">2</definedName>
    <definedName name="solver_rel948" localSheetId="2" hidden="1">2</definedName>
    <definedName name="solver_rel948" localSheetId="4" hidden="1">2</definedName>
    <definedName name="solver_rel949" localSheetId="2" hidden="1">2</definedName>
    <definedName name="solver_rel949" localSheetId="4" hidden="1">2</definedName>
    <definedName name="solver_rel95" localSheetId="2" hidden="1">3</definedName>
    <definedName name="solver_rel95" localSheetId="4" hidden="1">3</definedName>
    <definedName name="solver_rel950" localSheetId="2" hidden="1">2</definedName>
    <definedName name="solver_rel950" localSheetId="4" hidden="1">2</definedName>
    <definedName name="solver_rel951" localSheetId="2" hidden="1">2</definedName>
    <definedName name="solver_rel951" localSheetId="4" hidden="1">2</definedName>
    <definedName name="solver_rel952" localSheetId="2" hidden="1">2</definedName>
    <definedName name="solver_rel952" localSheetId="4" hidden="1">2</definedName>
    <definedName name="solver_rel953" localSheetId="2" hidden="1">2</definedName>
    <definedName name="solver_rel953" localSheetId="4" hidden="1">2</definedName>
    <definedName name="solver_rel954" localSheetId="2" hidden="1">2</definedName>
    <definedName name="solver_rel954" localSheetId="4" hidden="1">2</definedName>
    <definedName name="solver_rel955" localSheetId="2" hidden="1">2</definedName>
    <definedName name="solver_rel955" localSheetId="4" hidden="1">2</definedName>
    <definedName name="solver_rel956" localSheetId="2" hidden="1">2</definedName>
    <definedName name="solver_rel956" localSheetId="4" hidden="1">2</definedName>
    <definedName name="solver_rel957" localSheetId="2" hidden="1">2</definedName>
    <definedName name="solver_rel957" localSheetId="4" hidden="1">2</definedName>
    <definedName name="solver_rel958" localSheetId="2" hidden="1">2</definedName>
    <definedName name="solver_rel958" localSheetId="4" hidden="1">2</definedName>
    <definedName name="solver_rel959" localSheetId="2" hidden="1">2</definedName>
    <definedName name="solver_rel959" localSheetId="4" hidden="1">2</definedName>
    <definedName name="solver_rel96" localSheetId="2" hidden="1">3</definedName>
    <definedName name="solver_rel96" localSheetId="4" hidden="1">3</definedName>
    <definedName name="solver_rel960" localSheetId="2" hidden="1">2</definedName>
    <definedName name="solver_rel960" localSheetId="4" hidden="1">2</definedName>
    <definedName name="solver_rel961" localSheetId="2" hidden="1">2</definedName>
    <definedName name="solver_rel961" localSheetId="4" hidden="1">2</definedName>
    <definedName name="solver_rel962" localSheetId="2" hidden="1">2</definedName>
    <definedName name="solver_rel962" localSheetId="4" hidden="1">2</definedName>
    <definedName name="solver_rel963" localSheetId="2" hidden="1">2</definedName>
    <definedName name="solver_rel963" localSheetId="4" hidden="1">2</definedName>
    <definedName name="solver_rel964" localSheetId="2" hidden="1">2</definedName>
    <definedName name="solver_rel964" localSheetId="4" hidden="1">2</definedName>
    <definedName name="solver_rel965" localSheetId="2" hidden="1">2</definedName>
    <definedName name="solver_rel965" localSheetId="4" hidden="1">2</definedName>
    <definedName name="solver_rel966" localSheetId="2" hidden="1">2</definedName>
    <definedName name="solver_rel966" localSheetId="4" hidden="1">2</definedName>
    <definedName name="solver_rel967" localSheetId="2" hidden="1">2</definedName>
    <definedName name="solver_rel967" localSheetId="4" hidden="1">2</definedName>
    <definedName name="solver_rel968" localSheetId="2" hidden="1">2</definedName>
    <definedName name="solver_rel968" localSheetId="4" hidden="1">2</definedName>
    <definedName name="solver_rel969" localSheetId="2" hidden="1">2</definedName>
    <definedName name="solver_rel969" localSheetId="4" hidden="1">2</definedName>
    <definedName name="solver_rel97" localSheetId="2" hidden="1">3</definedName>
    <definedName name="solver_rel97" localSheetId="4" hidden="1">3</definedName>
    <definedName name="solver_rel970" localSheetId="2" hidden="1">2</definedName>
    <definedName name="solver_rel970" localSheetId="4" hidden="1">2</definedName>
    <definedName name="solver_rel971" localSheetId="2" hidden="1">2</definedName>
    <definedName name="solver_rel971" localSheetId="4" hidden="1">2</definedName>
    <definedName name="solver_rel972" localSheetId="2" hidden="1">2</definedName>
    <definedName name="solver_rel972" localSheetId="4" hidden="1">2</definedName>
    <definedName name="solver_rel973" localSheetId="2" hidden="1">2</definedName>
    <definedName name="solver_rel973" localSheetId="4" hidden="1">2</definedName>
    <definedName name="solver_rel974" localSheetId="2" hidden="1">2</definedName>
    <definedName name="solver_rel974" localSheetId="4" hidden="1">2</definedName>
    <definedName name="solver_rel975" localSheetId="2" hidden="1">2</definedName>
    <definedName name="solver_rel975" localSheetId="4" hidden="1">2</definedName>
    <definedName name="solver_rel976" localSheetId="2" hidden="1">2</definedName>
    <definedName name="solver_rel976" localSheetId="4" hidden="1">2</definedName>
    <definedName name="solver_rel977" localSheetId="2" hidden="1">2</definedName>
    <definedName name="solver_rel977" localSheetId="4" hidden="1">2</definedName>
    <definedName name="solver_rel978" localSheetId="2" hidden="1">2</definedName>
    <definedName name="solver_rel978" localSheetId="4" hidden="1">2</definedName>
    <definedName name="solver_rel979" localSheetId="2" hidden="1">2</definedName>
    <definedName name="solver_rel979" localSheetId="4" hidden="1">2</definedName>
    <definedName name="solver_rel98" localSheetId="2" hidden="1">3</definedName>
    <definedName name="solver_rel98" localSheetId="4" hidden="1">3</definedName>
    <definedName name="solver_rel980" localSheetId="2" hidden="1">2</definedName>
    <definedName name="solver_rel980" localSheetId="4" hidden="1">2</definedName>
    <definedName name="solver_rel981" localSheetId="2" hidden="1">2</definedName>
    <definedName name="solver_rel981" localSheetId="4" hidden="1">2</definedName>
    <definedName name="solver_rel982" localSheetId="2" hidden="1">2</definedName>
    <definedName name="solver_rel982" localSheetId="4" hidden="1">2</definedName>
    <definedName name="solver_rel983" localSheetId="2" hidden="1">2</definedName>
    <definedName name="solver_rel983" localSheetId="4" hidden="1">2</definedName>
    <definedName name="solver_rel984" localSheetId="2" hidden="1">2</definedName>
    <definedName name="solver_rel984" localSheetId="4" hidden="1">2</definedName>
    <definedName name="solver_rel985" localSheetId="2" hidden="1">2</definedName>
    <definedName name="solver_rel985" localSheetId="4" hidden="1">2</definedName>
    <definedName name="solver_rel986" localSheetId="2" hidden="1">2</definedName>
    <definedName name="solver_rel986" localSheetId="4" hidden="1">2</definedName>
    <definedName name="solver_rel987" localSheetId="2" hidden="1">2</definedName>
    <definedName name="solver_rel987" localSheetId="4" hidden="1">2</definedName>
    <definedName name="solver_rel988" localSheetId="2" hidden="1">2</definedName>
    <definedName name="solver_rel988" localSheetId="4" hidden="1">2</definedName>
    <definedName name="solver_rel989" localSheetId="2" hidden="1">2</definedName>
    <definedName name="solver_rel989" localSheetId="4" hidden="1">2</definedName>
    <definedName name="solver_rel99" localSheetId="2" hidden="1">3</definedName>
    <definedName name="solver_rel99" localSheetId="4" hidden="1">3</definedName>
    <definedName name="solver_rel990" localSheetId="2" hidden="1">2</definedName>
    <definedName name="solver_rel990" localSheetId="4" hidden="1">2</definedName>
    <definedName name="solver_rel991" localSheetId="2" hidden="1">2</definedName>
    <definedName name="solver_rel991" localSheetId="4" hidden="1">2</definedName>
    <definedName name="solver_rel992" localSheetId="2" hidden="1">2</definedName>
    <definedName name="solver_rel992" localSheetId="4" hidden="1">2</definedName>
    <definedName name="solver_rel993" localSheetId="2" hidden="1">2</definedName>
    <definedName name="solver_rel993" localSheetId="4" hidden="1">2</definedName>
    <definedName name="solver_rel994" localSheetId="2" hidden="1">2</definedName>
    <definedName name="solver_rel994" localSheetId="4" hidden="1">2</definedName>
    <definedName name="solver_rel995" localSheetId="2" hidden="1">2</definedName>
    <definedName name="solver_rel995" localSheetId="4" hidden="1">2</definedName>
    <definedName name="solver_rel996" localSheetId="2" hidden="1">2</definedName>
    <definedName name="solver_rel996" localSheetId="4" hidden="1">2</definedName>
    <definedName name="solver_rel997" localSheetId="2" hidden="1">2</definedName>
    <definedName name="solver_rel997" localSheetId="4" hidden="1">2</definedName>
    <definedName name="solver_rel998" localSheetId="2" hidden="1">2</definedName>
    <definedName name="solver_rel998" localSheetId="4" hidden="1">2</definedName>
    <definedName name="solver_rel999" localSheetId="2" hidden="1">2</definedName>
    <definedName name="solver_rel999" localSheetId="4" hidden="1">2</definedName>
    <definedName name="solver_rhs1" localSheetId="0" hidden="1">1</definedName>
    <definedName name="solver_rhs1" localSheetId="2" hidden="1">0</definedName>
    <definedName name="solver_rhs1" localSheetId="4" hidden="1">'Run VRS'!$AD$105</definedName>
    <definedName name="solver_rhs10" localSheetId="0" hidden="1">1</definedName>
    <definedName name="solver_rhs10" localSheetId="2" hidden="1">'Run CRS'!$AD$105</definedName>
    <definedName name="solver_rhs10" localSheetId="4" hidden="1">'Run VRS'!$AD$105</definedName>
    <definedName name="solver_rhs100" localSheetId="2" hidden="1">1E-100</definedName>
    <definedName name="solver_rhs100" localSheetId="4" hidden="1">1E-100</definedName>
    <definedName name="solver_rhs1000" localSheetId="2" hidden="1">'Run CRS'!$B$107:$C$107</definedName>
    <definedName name="solver_rhs1000" localSheetId="4" hidden="1">'Run VRS'!$B$107:$C$107</definedName>
    <definedName name="solver_rhs1001" localSheetId="2" hidden="1">'Run CRS'!$B$107:$C$107</definedName>
    <definedName name="solver_rhs1001" localSheetId="4" hidden="1">'Run VRS'!$B$107:$C$107</definedName>
    <definedName name="solver_rhs1002" localSheetId="2" hidden="1">'Run CRS'!$B$107:$C$107</definedName>
    <definedName name="solver_rhs1002" localSheetId="4" hidden="1">'Run VRS'!$B$107:$C$107</definedName>
    <definedName name="solver_rhs1003" localSheetId="2" hidden="1">'Run CRS'!$B$107:$C$107</definedName>
    <definedName name="solver_rhs1003" localSheetId="4" hidden="1">'Run VRS'!$B$107:$C$107</definedName>
    <definedName name="solver_rhs1004" localSheetId="2" hidden="1">'Run CRS'!$B$107:$C$107</definedName>
    <definedName name="solver_rhs1004" localSheetId="4" hidden="1">'Run VRS'!$B$107:$C$107</definedName>
    <definedName name="solver_rhs1005" localSheetId="2" hidden="1">'Run CRS'!$B$107:$C$107</definedName>
    <definedName name="solver_rhs1005" localSheetId="4" hidden="1">'Run VRS'!$B$107:$C$107</definedName>
    <definedName name="solver_rhs1006" localSheetId="2" hidden="1">'Run CRS'!$B$107:$C$107</definedName>
    <definedName name="solver_rhs1006" localSheetId="4" hidden="1">'Run VRS'!$B$107:$C$107</definedName>
    <definedName name="solver_rhs1007" localSheetId="2" hidden="1">'Run CRS'!$B$107:$C$107</definedName>
    <definedName name="solver_rhs1007" localSheetId="4" hidden="1">'Run VRS'!$B$107:$C$107</definedName>
    <definedName name="solver_rhs1008" localSheetId="2" hidden="1">'Run CRS'!$B$107:$C$107</definedName>
    <definedName name="solver_rhs1008" localSheetId="4" hidden="1">'Run VRS'!$B$107:$C$107</definedName>
    <definedName name="solver_rhs1009" localSheetId="2" hidden="1">'Run CRS'!$B$107:$C$107</definedName>
    <definedName name="solver_rhs1009" localSheetId="4" hidden="1">'Run VRS'!$B$107:$C$107</definedName>
    <definedName name="solver_rhs101" localSheetId="2" hidden="1">1E-100</definedName>
    <definedName name="solver_rhs101" localSheetId="4" hidden="1">1E-100</definedName>
    <definedName name="solver_rhs1010" localSheetId="2" hidden="1">'Run CRS'!$B$107:$C$107</definedName>
    <definedName name="solver_rhs1010" localSheetId="4" hidden="1">'Run VRS'!$B$107:$C$107</definedName>
    <definedName name="solver_rhs1011" localSheetId="2" hidden="1">'Run CRS'!$B$107:$C$107</definedName>
    <definedName name="solver_rhs1011" localSheetId="4" hidden="1">'Run VRS'!$B$107:$C$107</definedName>
    <definedName name="solver_rhs1012" localSheetId="2" hidden="1">'Run CRS'!$B$107:$C$107</definedName>
    <definedName name="solver_rhs1012" localSheetId="4" hidden="1">'Run VRS'!$B$107:$C$107</definedName>
    <definedName name="solver_rhs1013" localSheetId="2" hidden="1">'Run CRS'!$B$107:$C$107</definedName>
    <definedName name="solver_rhs1013" localSheetId="4" hidden="1">'Run VRS'!$B$107:$C$107</definedName>
    <definedName name="solver_rhs1014" localSheetId="2" hidden="1">'Run CRS'!$B$107:$C$107</definedName>
    <definedName name="solver_rhs1014" localSheetId="4" hidden="1">'Run VRS'!$B$107:$C$107</definedName>
    <definedName name="solver_rhs1015" localSheetId="2" hidden="1">'Run CRS'!$B$107:$C$107</definedName>
    <definedName name="solver_rhs1015" localSheetId="4" hidden="1">'Run VRS'!$B$107:$C$107</definedName>
    <definedName name="solver_rhs1016" localSheetId="2" hidden="1">'Run CRS'!$B$107:$C$107</definedName>
    <definedName name="solver_rhs1016" localSheetId="4" hidden="1">'Run VRS'!$B$107:$C$107</definedName>
    <definedName name="solver_rhs1017" localSheetId="2" hidden="1">'Run CRS'!$B$107:$C$107</definedName>
    <definedName name="solver_rhs1017" localSheetId="4" hidden="1">'Run VRS'!$B$107:$C$107</definedName>
    <definedName name="solver_rhs1018" localSheetId="2" hidden="1">'Run CRS'!$B$107:$C$107</definedName>
    <definedName name="solver_rhs1018" localSheetId="4" hidden="1">'Run VRS'!$B$107:$C$107</definedName>
    <definedName name="solver_rhs1019" localSheetId="2" hidden="1">'Run CRS'!$B$107:$C$107</definedName>
    <definedName name="solver_rhs1019" localSheetId="4" hidden="1">'Run VRS'!$B$107:$C$107</definedName>
    <definedName name="solver_rhs102" localSheetId="2" hidden="1">1E-100</definedName>
    <definedName name="solver_rhs102" localSheetId="4" hidden="1">1E-100</definedName>
    <definedName name="solver_rhs1020" localSheetId="2" hidden="1">'Run CRS'!$B$107:$C$107</definedName>
    <definedName name="solver_rhs1020" localSheetId="4" hidden="1">'Run VRS'!$B$107:$C$107</definedName>
    <definedName name="solver_rhs1021" localSheetId="2" hidden="1">'Run CRS'!$B$107:$C$107</definedName>
    <definedName name="solver_rhs1021" localSheetId="4" hidden="1">'Run VRS'!$B$107:$C$107</definedName>
    <definedName name="solver_rhs1022" localSheetId="2" hidden="1">'Run CRS'!$B$107:$C$107</definedName>
    <definedName name="solver_rhs1022" localSheetId="4" hidden="1">'Run VRS'!$B$107:$C$107</definedName>
    <definedName name="solver_rhs1023" localSheetId="2" hidden="1">'Run CRS'!$B$107:$C$107</definedName>
    <definedName name="solver_rhs1023" localSheetId="4" hidden="1">'Run VRS'!$B$107:$C$107</definedName>
    <definedName name="solver_rhs1024" localSheetId="2" hidden="1">'Run CRS'!$B$107:$C$107</definedName>
    <definedName name="solver_rhs1024" localSheetId="4" hidden="1">'Run VRS'!$B$107:$C$107</definedName>
    <definedName name="solver_rhs1025" localSheetId="2" hidden="1">'Run CRS'!$B$107:$C$107</definedName>
    <definedName name="solver_rhs1025" localSheetId="4" hidden="1">'Run VRS'!$B$107:$C$107</definedName>
    <definedName name="solver_rhs1026" localSheetId="2" hidden="1">'Run CRS'!$B$107:$C$107</definedName>
    <definedName name="solver_rhs1026" localSheetId="4" hidden="1">'Run VRS'!$B$107:$C$107</definedName>
    <definedName name="solver_rhs1027" localSheetId="2" hidden="1">'Run CRS'!$B$107:$C$107</definedName>
    <definedName name="solver_rhs1027" localSheetId="4" hidden="1">'Run VRS'!$B$107:$C$107</definedName>
    <definedName name="solver_rhs1028" localSheetId="2" hidden="1">'Run CRS'!$B$107:$C$107</definedName>
    <definedName name="solver_rhs1028" localSheetId="4" hidden="1">'Run VRS'!$B$107:$C$107</definedName>
    <definedName name="solver_rhs1029" localSheetId="2" hidden="1">'Run CRS'!$B$107:$C$107</definedName>
    <definedName name="solver_rhs1029" localSheetId="4" hidden="1">'Run VRS'!$B$107:$C$107</definedName>
    <definedName name="solver_rhs103" localSheetId="2" hidden="1">1E-100</definedName>
    <definedName name="solver_rhs103" localSheetId="4" hidden="1">1E-100</definedName>
    <definedName name="solver_rhs1030" localSheetId="2" hidden="1">'Run CRS'!$B$107:$C$107</definedName>
    <definedName name="solver_rhs1030" localSheetId="4" hidden="1">'Run VRS'!$B$107:$C$107</definedName>
    <definedName name="solver_rhs1031" localSheetId="2" hidden="1">'Run CRS'!$B$107:$C$107</definedName>
    <definedName name="solver_rhs1031" localSheetId="4" hidden="1">'Run VRS'!$B$107:$C$107</definedName>
    <definedName name="solver_rhs1032" localSheetId="2" hidden="1">'Run CRS'!$B$107:$C$107</definedName>
    <definedName name="solver_rhs1032" localSheetId="4" hidden="1">'Run VRS'!$B$107:$C$107</definedName>
    <definedName name="solver_rhs1033" localSheetId="2" hidden="1">'Run CRS'!$B$107:$C$107</definedName>
    <definedName name="solver_rhs1033" localSheetId="4" hidden="1">'Run VRS'!$B$107:$C$107</definedName>
    <definedName name="solver_rhs1034" localSheetId="2" hidden="1">'Run CRS'!$B$107:$C$107</definedName>
    <definedName name="solver_rhs1034" localSheetId="4" hidden="1">'Run VRS'!$B$107:$C$107</definedName>
    <definedName name="solver_rhs1035" localSheetId="2" hidden="1">'Run CRS'!$B$107:$C$107</definedName>
    <definedName name="solver_rhs1035" localSheetId="4" hidden="1">'Run VRS'!$B$107:$C$107</definedName>
    <definedName name="solver_rhs1036" localSheetId="2" hidden="1">'Run CRS'!$B$107:$C$107</definedName>
    <definedName name="solver_rhs1036" localSheetId="4" hidden="1">'Run VRS'!$B$107:$C$107</definedName>
    <definedName name="solver_rhs1037" localSheetId="2" hidden="1">'Run CRS'!$B$107:$C$107</definedName>
    <definedName name="solver_rhs1037" localSheetId="4" hidden="1">'Run VRS'!$B$107:$C$107</definedName>
    <definedName name="solver_rhs1038" localSheetId="2" hidden="1">'Run CRS'!$B$107:$C$107</definedName>
    <definedName name="solver_rhs1038" localSheetId="4" hidden="1">'Run VRS'!$B$107:$C$107</definedName>
    <definedName name="solver_rhs1039" localSheetId="2" hidden="1">'Run CRS'!$B$107:$C$107</definedName>
    <definedName name="solver_rhs1039" localSheetId="4" hidden="1">'Run VRS'!$B$107:$C$107</definedName>
    <definedName name="solver_rhs104" localSheetId="2" hidden="1">1E-100</definedName>
    <definedName name="solver_rhs104" localSheetId="4" hidden="1">1E-100</definedName>
    <definedName name="solver_rhs1040" localSheetId="2" hidden="1">'Run CRS'!$B$107:$C$107</definedName>
    <definedName name="solver_rhs1040" localSheetId="4" hidden="1">'Run VRS'!$B$107:$C$107</definedName>
    <definedName name="solver_rhs1041" localSheetId="2" hidden="1">'Run CRS'!$B$107:$C$107</definedName>
    <definedName name="solver_rhs1041" localSheetId="4" hidden="1">'Run VRS'!$B$107:$C$107</definedName>
    <definedName name="solver_rhs1042" localSheetId="2" hidden="1">'Run CRS'!$B$107:$C$107</definedName>
    <definedName name="solver_rhs1042" localSheetId="4" hidden="1">'Run VRS'!$B$107:$C$107</definedName>
    <definedName name="solver_rhs1043" localSheetId="2" hidden="1">'Run CRS'!$B$107:$C$107</definedName>
    <definedName name="solver_rhs1043" localSheetId="4" hidden="1">'Run VRS'!$B$107:$C$107</definedName>
    <definedName name="solver_rhs1044" localSheetId="2" hidden="1">'Run CRS'!$B$107:$C$107</definedName>
    <definedName name="solver_rhs1044" localSheetId="4" hidden="1">'Run VRS'!$B$107:$C$107</definedName>
    <definedName name="solver_rhs1045" localSheetId="2" hidden="1">'Run CRS'!$B$107:$C$107</definedName>
    <definedName name="solver_rhs1045" localSheetId="4" hidden="1">'Run VRS'!$B$107:$C$107</definedName>
    <definedName name="solver_rhs1046" localSheetId="2" hidden="1">'Run CRS'!$B$107:$C$107</definedName>
    <definedName name="solver_rhs1046" localSheetId="4" hidden="1">'Run VRS'!$B$107:$C$107</definedName>
    <definedName name="solver_rhs1047" localSheetId="2" hidden="1">'Run CRS'!$B$107:$C$107</definedName>
    <definedName name="solver_rhs1047" localSheetId="4" hidden="1">'Run VRS'!$B$107:$C$107</definedName>
    <definedName name="solver_rhs1048" localSheetId="2" hidden="1">'Run CRS'!$B$107:$C$107</definedName>
    <definedName name="solver_rhs1048" localSheetId="4" hidden="1">'Run VRS'!$B$107:$C$107</definedName>
    <definedName name="solver_rhs1049" localSheetId="2" hidden="1">'Run CRS'!$B$107:$C$107</definedName>
    <definedName name="solver_rhs1049" localSheetId="4" hidden="1">'Run VRS'!$B$107:$C$107</definedName>
    <definedName name="solver_rhs105" localSheetId="2" hidden="1">1E-100</definedName>
    <definedName name="solver_rhs105" localSheetId="4" hidden="1">1E-100</definedName>
    <definedName name="solver_rhs1050" localSheetId="2" hidden="1">'Run CRS'!$B$107:$C$107</definedName>
    <definedName name="solver_rhs1050" localSheetId="4" hidden="1">'Run VRS'!$B$107:$C$107</definedName>
    <definedName name="solver_rhs1051" localSheetId="2" hidden="1">'Run CRS'!$B$107:$C$107</definedName>
    <definedName name="solver_rhs1051" localSheetId="4" hidden="1">'Run VRS'!$B$107:$C$107</definedName>
    <definedName name="solver_rhs1052" localSheetId="2" hidden="1">'Run CRS'!$B$107:$C$107</definedName>
    <definedName name="solver_rhs1052" localSheetId="4" hidden="1">'Run VRS'!$B$107:$C$107</definedName>
    <definedName name="solver_rhs1053" localSheetId="2" hidden="1">'Run CRS'!$B$107:$C$107</definedName>
    <definedName name="solver_rhs1053" localSheetId="4" hidden="1">'Run VRS'!$B$107:$C$107</definedName>
    <definedName name="solver_rhs1054" localSheetId="2" hidden="1">'Run CRS'!$B$107:$C$107</definedName>
    <definedName name="solver_rhs1054" localSheetId="4" hidden="1">'Run VRS'!$B$107:$C$107</definedName>
    <definedName name="solver_rhs1055" localSheetId="2" hidden="1">'Run CRS'!$C$114</definedName>
    <definedName name="solver_rhs1055" localSheetId="4" hidden="1">'Run VRS'!$C$114</definedName>
    <definedName name="solver_rhs1056" localSheetId="2" hidden="1">'Run CRS'!$B$107:$C$107</definedName>
    <definedName name="solver_rhs1056" localSheetId="4" hidden="1">'Run VRS'!$B$107:$C$107</definedName>
    <definedName name="solver_rhs1057" localSheetId="2" hidden="1">'Run CRS'!$C$114</definedName>
    <definedName name="solver_rhs1057" localSheetId="4" hidden="1">'Run VRS'!$C$114</definedName>
    <definedName name="solver_rhs1058" localSheetId="2" hidden="1">'Run CRS'!$B$107:$C$107</definedName>
    <definedName name="solver_rhs1058" localSheetId="4" hidden="1">'Run VRS'!$B$107:$C$107</definedName>
    <definedName name="solver_rhs1059" localSheetId="2" hidden="1">'Run CRS'!$B$107:$C$107</definedName>
    <definedName name="solver_rhs1059" localSheetId="4" hidden="1">'Run VRS'!$B$107:$C$107</definedName>
    <definedName name="solver_rhs106" localSheetId="2" hidden="1">1E-100</definedName>
    <definedName name="solver_rhs106" localSheetId="4" hidden="1">1E-100</definedName>
    <definedName name="solver_rhs1060" localSheetId="2" hidden="1">'Run CRS'!$B$107:$C$107</definedName>
    <definedName name="solver_rhs1060" localSheetId="4" hidden="1">'Run VRS'!$B$107:$C$107</definedName>
    <definedName name="solver_rhs1061" localSheetId="2" hidden="1">'Run CRS'!$B$107:$C$107</definedName>
    <definedName name="solver_rhs1061" localSheetId="4" hidden="1">'Run VRS'!$B$107:$C$107</definedName>
    <definedName name="solver_rhs1062" localSheetId="2" hidden="1">'Run CRS'!$B$107:$C$107</definedName>
    <definedName name="solver_rhs1062" localSheetId="4" hidden="1">'Run VRS'!$B$107:$C$107</definedName>
    <definedName name="solver_rhs1063" localSheetId="2" hidden="1">0</definedName>
    <definedName name="solver_rhs1063" localSheetId="4" hidden="1">0</definedName>
    <definedName name="solver_rhs1064" localSheetId="2" hidden="1">0</definedName>
    <definedName name="solver_rhs1064" localSheetId="4" hidden="1">0</definedName>
    <definedName name="solver_rhs1065" localSheetId="2" hidden="1">'Run CRS'!$C$114</definedName>
    <definedName name="solver_rhs1065" localSheetId="4" hidden="1">'Run VRS'!$C$114</definedName>
    <definedName name="solver_rhs1066" localSheetId="2" hidden="1">'Run CRS'!$C$114</definedName>
    <definedName name="solver_rhs1066" localSheetId="4" hidden="1">'Run VRS'!$C$114</definedName>
    <definedName name="solver_rhs1067" localSheetId="2" hidden="1">'Run CRS'!$C$114</definedName>
    <definedName name="solver_rhs1067" localSheetId="4" hidden="1">'Run VRS'!$C$114</definedName>
    <definedName name="solver_rhs1068" localSheetId="2" hidden="1">'Run CRS'!$C$114</definedName>
    <definedName name="solver_rhs1068" localSheetId="4" hidden="1">'Run VRS'!$C$114</definedName>
    <definedName name="solver_rhs1069" localSheetId="2" hidden="1">'Run CRS'!$C$114</definedName>
    <definedName name="solver_rhs1069" localSheetId="4" hidden="1">'Run VRS'!$C$114</definedName>
    <definedName name="solver_rhs107" localSheetId="2" hidden="1">1E-100</definedName>
    <definedName name="solver_rhs107" localSheetId="4" hidden="1">1E-100</definedName>
    <definedName name="solver_rhs1070" localSheetId="2" hidden="1">'Run CRS'!$C$114</definedName>
    <definedName name="solver_rhs1070" localSheetId="4" hidden="1">'Run VRS'!$C$114</definedName>
    <definedName name="solver_rhs1071" localSheetId="2" hidden="1">'Run CRS'!$C$114</definedName>
    <definedName name="solver_rhs1071" localSheetId="4" hidden="1">'Run VRS'!$C$114</definedName>
    <definedName name="solver_rhs1072" localSheetId="2" hidden="1">'Run CRS'!$C$114</definedName>
    <definedName name="solver_rhs1072" localSheetId="4" hidden="1">'Run VRS'!$C$114</definedName>
    <definedName name="solver_rhs1073" localSheetId="2" hidden="1">'Run CRS'!$C$114</definedName>
    <definedName name="solver_rhs1073" localSheetId="4" hidden="1">'Run VRS'!$C$114</definedName>
    <definedName name="solver_rhs1074" localSheetId="2" hidden="1">'Run CRS'!$C$114</definedName>
    <definedName name="solver_rhs1074" localSheetId="4" hidden="1">'Run VRS'!$C$114</definedName>
    <definedName name="solver_rhs1075" localSheetId="2" hidden="1">'Run CRS'!$C$114</definedName>
    <definedName name="solver_rhs1075" localSheetId="4" hidden="1">'Run VRS'!$C$114</definedName>
    <definedName name="solver_rhs1076" localSheetId="2" hidden="1">'Run CRS'!$C$114</definedName>
    <definedName name="solver_rhs1076" localSheetId="4" hidden="1">'Run VRS'!$C$114</definedName>
    <definedName name="solver_rhs1077" localSheetId="2" hidden="1">0</definedName>
    <definedName name="solver_rhs1077" localSheetId="4" hidden="1">0</definedName>
    <definedName name="solver_rhs1078" localSheetId="2" hidden="1">'Run CRS'!$C$114</definedName>
    <definedName name="solver_rhs1078" localSheetId="4" hidden="1">'Run VRS'!$C$114</definedName>
    <definedName name="solver_rhs1079" localSheetId="2" hidden="1">0</definedName>
    <definedName name="solver_rhs1079" localSheetId="4" hidden="1">0</definedName>
    <definedName name="solver_rhs108" localSheetId="2" hidden="1">1E-100</definedName>
    <definedName name="solver_rhs108" localSheetId="4" hidden="1">1E-100</definedName>
    <definedName name="solver_rhs1080" localSheetId="2" hidden="1">'Run CRS'!$C$114</definedName>
    <definedName name="solver_rhs1080" localSheetId="4" hidden="1">'Run VRS'!$C$114</definedName>
    <definedName name="solver_rhs1081" localSheetId="2" hidden="1">0</definedName>
    <definedName name="solver_rhs1081" localSheetId="4" hidden="1">0</definedName>
    <definedName name="solver_rhs1082" localSheetId="2" hidden="1">0</definedName>
    <definedName name="solver_rhs1082" localSheetId="4" hidden="1">0</definedName>
    <definedName name="solver_rhs1083" localSheetId="2" hidden="1">0</definedName>
    <definedName name="solver_rhs1083" localSheetId="4" hidden="1">0</definedName>
    <definedName name="solver_rhs1084" localSheetId="2" hidden="1">0</definedName>
    <definedName name="solver_rhs1084" localSheetId="4" hidden="1">0</definedName>
    <definedName name="solver_rhs1085" localSheetId="2" hidden="1">0</definedName>
    <definedName name="solver_rhs1085" localSheetId="4" hidden="1">0</definedName>
    <definedName name="solver_rhs1086" localSheetId="2" hidden="1">0</definedName>
    <definedName name="solver_rhs1086" localSheetId="4" hidden="1">0</definedName>
    <definedName name="solver_rhs1087" localSheetId="2" hidden="1">0</definedName>
    <definedName name="solver_rhs1087" localSheetId="4" hidden="1">0</definedName>
    <definedName name="solver_rhs1088" localSheetId="2" hidden="1">0</definedName>
    <definedName name="solver_rhs1088" localSheetId="4" hidden="1">0</definedName>
    <definedName name="solver_rhs1089" localSheetId="2" hidden="1">0</definedName>
    <definedName name="solver_rhs1089" localSheetId="4" hidden="1">0</definedName>
    <definedName name="solver_rhs109" localSheetId="2" hidden="1">1E-100</definedName>
    <definedName name="solver_rhs109" localSheetId="4" hidden="1">1E-100</definedName>
    <definedName name="solver_rhs1090" localSheetId="2" hidden="1">0</definedName>
    <definedName name="solver_rhs1090" localSheetId="4" hidden="1">0</definedName>
    <definedName name="solver_rhs1091" localSheetId="2" hidden="1">0</definedName>
    <definedName name="solver_rhs1091" localSheetId="4" hidden="1">0</definedName>
    <definedName name="solver_rhs1092" localSheetId="2" hidden="1">0</definedName>
    <definedName name="solver_rhs1092" localSheetId="4" hidden="1">0</definedName>
    <definedName name="solver_rhs1093" localSheetId="2" hidden="1">0</definedName>
    <definedName name="solver_rhs1093" localSheetId="4" hidden="1">0</definedName>
    <definedName name="solver_rhs1094" localSheetId="2" hidden="1">'Run CRS'!$C$107</definedName>
    <definedName name="solver_rhs1094" localSheetId="4" hidden="1">'Run VRS'!$C$107</definedName>
    <definedName name="solver_rhs1095" localSheetId="2" hidden="1">0</definedName>
    <definedName name="solver_rhs1095" localSheetId="4" hidden="1">0</definedName>
    <definedName name="solver_rhs1096" localSheetId="2" hidden="1">'Run CRS'!$C$107</definedName>
    <definedName name="solver_rhs1096" localSheetId="4" hidden="1">'Run VRS'!$C$107</definedName>
    <definedName name="solver_rhs1097" localSheetId="2" hidden="1">'Run CRS'!$C$114:$D$114</definedName>
    <definedName name="solver_rhs1097" localSheetId="4" hidden="1">'Run VRS'!$C$114:$D$114</definedName>
    <definedName name="solver_rhs1098" localSheetId="2" hidden="1">'Run CRS'!$C$107</definedName>
    <definedName name="solver_rhs1098" localSheetId="4" hidden="1">'Run VRS'!$C$107</definedName>
    <definedName name="solver_rhs1099" localSheetId="2" hidden="1">0</definedName>
    <definedName name="solver_rhs1099" localSheetId="4" hidden="1">0</definedName>
    <definedName name="solver_rhs11" localSheetId="0" hidden="1">'Data input'!$M$107:$V$107</definedName>
    <definedName name="solver_rhs11" localSheetId="2" hidden="1">'Run CRS'!$M$107</definedName>
    <definedName name="solver_rhs11" localSheetId="4" hidden="1">'Run VRS'!$M$107</definedName>
    <definedName name="solver_rhs110" localSheetId="2" hidden="1">1E-100</definedName>
    <definedName name="solver_rhs110" localSheetId="4" hidden="1">1E-100</definedName>
    <definedName name="solver_rhs1100" localSheetId="2" hidden="1">'Run CRS'!$C$107</definedName>
    <definedName name="solver_rhs1100" localSheetId="4" hidden="1">'Run VRS'!$C$107</definedName>
    <definedName name="solver_rhs1101" localSheetId="2" hidden="1">'Run CRS'!$C$107</definedName>
    <definedName name="solver_rhs1101" localSheetId="4" hidden="1">'Run VRS'!$C$107</definedName>
    <definedName name="solver_rhs1102" localSheetId="2" hidden="1">'Run CRS'!$C$107</definedName>
    <definedName name="solver_rhs1102" localSheetId="4" hidden="1">'Run VRS'!$C$107</definedName>
    <definedName name="solver_rhs1103" localSheetId="2" hidden="1">'Run CRS'!$C$107</definedName>
    <definedName name="solver_rhs1103" localSheetId="4" hidden="1">'Run VRS'!$C$107</definedName>
    <definedName name="solver_rhs1104" localSheetId="2" hidden="1">'Run CRS'!$C$107</definedName>
    <definedName name="solver_rhs1104" localSheetId="4" hidden="1">'Run VRS'!$C$107</definedName>
    <definedName name="solver_rhs1105" localSheetId="2" hidden="1">'Run CRS'!$C$107</definedName>
    <definedName name="solver_rhs1105" localSheetId="4" hidden="1">'Run VRS'!$C$107</definedName>
    <definedName name="solver_rhs1106" localSheetId="2" hidden="1">'Run CRS'!$C$107</definedName>
    <definedName name="solver_rhs1106" localSheetId="4" hidden="1">'Run VRS'!$C$107</definedName>
    <definedName name="solver_rhs1107" localSheetId="2" hidden="1">'Run CRS'!$C$107</definedName>
    <definedName name="solver_rhs1107" localSheetId="4" hidden="1">'Run VRS'!$C$107</definedName>
    <definedName name="solver_rhs1108" localSheetId="2" hidden="1">'Run CRS'!$C$107</definedName>
    <definedName name="solver_rhs1108" localSheetId="4" hidden="1">'Run VRS'!$C$107</definedName>
    <definedName name="solver_rhs1109" localSheetId="2" hidden="1">'Run CRS'!$C$107</definedName>
    <definedName name="solver_rhs1109" localSheetId="4" hidden="1">'Run VRS'!$C$107</definedName>
    <definedName name="solver_rhs111" localSheetId="2" hidden="1">1E-100</definedName>
    <definedName name="solver_rhs111" localSheetId="4" hidden="1">1E-100</definedName>
    <definedName name="solver_rhs1110" localSheetId="2" hidden="1">'Run CRS'!$C$107</definedName>
    <definedName name="solver_rhs1110" localSheetId="4" hidden="1">'Run VRS'!$C$107</definedName>
    <definedName name="solver_rhs1111" localSheetId="2" hidden="1">'Run CRS'!$C$107</definedName>
    <definedName name="solver_rhs1111" localSheetId="4" hidden="1">'Run VRS'!$C$107</definedName>
    <definedName name="solver_rhs1112" localSheetId="2" hidden="1">'Run CRS'!$C$107:$D$107</definedName>
    <definedName name="solver_rhs1112" localSheetId="4" hidden="1">'Run VRS'!$C$107:$D$107</definedName>
    <definedName name="solver_rhs1113" localSheetId="2" hidden="1">'Run CRS'!$C$107</definedName>
    <definedName name="solver_rhs1113" localSheetId="4" hidden="1">'Run VRS'!$C$107</definedName>
    <definedName name="solver_rhs1114" localSheetId="2" hidden="1">'Run CRS'!$H$114:$I$114</definedName>
    <definedName name="solver_rhs1114" localSheetId="4" hidden="1">'Run VRS'!$H$114:$I$114</definedName>
    <definedName name="solver_rhs1115" localSheetId="2" hidden="1">1</definedName>
    <definedName name="solver_rhs1115" localSheetId="4" hidden="1">1</definedName>
    <definedName name="solver_rhs1116" localSheetId="2" hidden="1">'Run CRS'!$H$114:$I$114</definedName>
    <definedName name="solver_rhs1116" localSheetId="4" hidden="1">'Run VRS'!$H$114:$I$114</definedName>
    <definedName name="solver_rhs1117" localSheetId="2" hidden="1">'Run CRS'!$H$114:$I$114</definedName>
    <definedName name="solver_rhs1117" localSheetId="4" hidden="1">'Run VRS'!$H$114:$I$114</definedName>
    <definedName name="solver_rhs1118" localSheetId="2" hidden="1">'Run CRS'!$H$114:$I$114</definedName>
    <definedName name="solver_rhs1118" localSheetId="4" hidden="1">'Run VRS'!$H$114:$I$114</definedName>
    <definedName name="solver_rhs1119" localSheetId="2" hidden="1">'Run CRS'!$H$114:$I$114</definedName>
    <definedName name="solver_rhs1119" localSheetId="4" hidden="1">'Run VRS'!$H$114:$I$114</definedName>
    <definedName name="solver_rhs112" localSheetId="2" hidden="1">1E-100</definedName>
    <definedName name="solver_rhs112" localSheetId="4" hidden="1">1E-100</definedName>
    <definedName name="solver_rhs1120" localSheetId="2" hidden="1">'Run CRS'!$H$114:$I$114</definedName>
    <definedName name="solver_rhs1120" localSheetId="4" hidden="1">'Run VRS'!$H$114:$I$114</definedName>
    <definedName name="solver_rhs1121" localSheetId="2" hidden="1">'Run CRS'!$H$114:$I$114</definedName>
    <definedName name="solver_rhs1121" localSheetId="4" hidden="1">'Run VRS'!$H$114:$I$114</definedName>
    <definedName name="solver_rhs1122" localSheetId="2" hidden="1">'Run CRS'!$H$114:$I$114</definedName>
    <definedName name="solver_rhs1122" localSheetId="4" hidden="1">'Run VRS'!$H$114:$I$114</definedName>
    <definedName name="solver_rhs1123" localSheetId="2" hidden="1">'Run CRS'!$H$114:$I$114</definedName>
    <definedName name="solver_rhs1123" localSheetId="4" hidden="1">'Run VRS'!$H$114:$I$114</definedName>
    <definedName name="solver_rhs1124" localSheetId="2" hidden="1">'Run CRS'!$H$114:$I$114</definedName>
    <definedName name="solver_rhs1124" localSheetId="4" hidden="1">'Run VRS'!$H$114:$I$114</definedName>
    <definedName name="solver_rhs1125" localSheetId="2" hidden="1">'Run CRS'!$H$114:$I$114</definedName>
    <definedName name="solver_rhs1125" localSheetId="4" hidden="1">'Run VRS'!$H$114:$I$114</definedName>
    <definedName name="solver_rhs1126" localSheetId="2" hidden="1">'Run CRS'!$H$114:$I$114</definedName>
    <definedName name="solver_rhs1126" localSheetId="4" hidden="1">'Run VRS'!$H$114:$I$114</definedName>
    <definedName name="solver_rhs1127" localSheetId="2" hidden="1">'Run CRS'!$H$114:$I$114</definedName>
    <definedName name="solver_rhs1127" localSheetId="4" hidden="1">'Run VRS'!$H$114:$I$114</definedName>
    <definedName name="solver_rhs1128" localSheetId="2" hidden="1">'Run CRS'!$H$114:$I$114</definedName>
    <definedName name="solver_rhs1128" localSheetId="4" hidden="1">'Run VRS'!$H$114:$I$114</definedName>
    <definedName name="solver_rhs1129" localSheetId="2" hidden="1">'Run CRS'!$H$114:$I$114</definedName>
    <definedName name="solver_rhs1129" localSheetId="4" hidden="1">'Run VRS'!$H$114:$I$114</definedName>
    <definedName name="solver_rhs113" localSheetId="2" hidden="1">1E-100</definedName>
    <definedName name="solver_rhs113" localSheetId="4" hidden="1">1E-100</definedName>
    <definedName name="solver_rhs1130" localSheetId="2" hidden="1">'Run CRS'!$H$114:$I$114</definedName>
    <definedName name="solver_rhs1130" localSheetId="4" hidden="1">'Run VRS'!$H$114:$I$114</definedName>
    <definedName name="solver_rhs1131" localSheetId="2" hidden="1">'Run CRS'!$H$114:$I$114</definedName>
    <definedName name="solver_rhs1131" localSheetId="4" hidden="1">'Run VRS'!$H$114:$I$114</definedName>
    <definedName name="solver_rhs1132" localSheetId="2" hidden="1">'Run CRS'!$H$114:$I$114</definedName>
    <definedName name="solver_rhs1132" localSheetId="4" hidden="1">'Run VRS'!$H$114:$I$114</definedName>
    <definedName name="solver_rhs1133" localSheetId="2" hidden="1">'Run CRS'!$H$114:$I$114</definedName>
    <definedName name="solver_rhs1133" localSheetId="4" hidden="1">'Run VRS'!$H$114:$I$114</definedName>
    <definedName name="solver_rhs1134" localSheetId="2" hidden="1">'Run CRS'!$H$114:$I$114</definedName>
    <definedName name="solver_rhs1134" localSheetId="4" hidden="1">'Run VRS'!$H$114:$I$114</definedName>
    <definedName name="solver_rhs1135" localSheetId="2" hidden="1">'Run CRS'!$H$114:$I$114</definedName>
    <definedName name="solver_rhs1135" localSheetId="4" hidden="1">'Run VRS'!$H$114:$I$114</definedName>
    <definedName name="solver_rhs1136" localSheetId="2" hidden="1">'Run CRS'!$H$114:$I$114</definedName>
    <definedName name="solver_rhs1136" localSheetId="4" hidden="1">'Run VRS'!$H$114:$I$114</definedName>
    <definedName name="solver_rhs1137" localSheetId="2" hidden="1">'Run CRS'!$H$114:$I$114</definedName>
    <definedName name="solver_rhs1137" localSheetId="4" hidden="1">'Run VRS'!$H$114:$I$114</definedName>
    <definedName name="solver_rhs1138" localSheetId="2" hidden="1">'Run CRS'!$H$114:$I$114</definedName>
    <definedName name="solver_rhs1138" localSheetId="4" hidden="1">'Run VRS'!$H$114:$I$114</definedName>
    <definedName name="solver_rhs1139" localSheetId="2" hidden="1">'Run CRS'!$H$114:$I$114</definedName>
    <definedName name="solver_rhs1139" localSheetId="4" hidden="1">'Run VRS'!$H$114:$I$114</definedName>
    <definedName name="solver_rhs114" localSheetId="2" hidden="1">1E-100</definedName>
    <definedName name="solver_rhs114" localSheetId="4" hidden="1">1E-100</definedName>
    <definedName name="solver_rhs1140" localSheetId="2" hidden="1">'Run CRS'!$H$114:$I$114</definedName>
    <definedName name="solver_rhs1140" localSheetId="4" hidden="1">'Run VRS'!$H$114:$I$114</definedName>
    <definedName name="solver_rhs1141" localSheetId="2" hidden="1">'Run CRS'!$H$114:$I$114</definedName>
    <definedName name="solver_rhs1141" localSheetId="4" hidden="1">'Run VRS'!$H$114:$I$114</definedName>
    <definedName name="solver_rhs1142" localSheetId="2" hidden="1">'Run CRS'!$H$114:$I$114</definedName>
    <definedName name="solver_rhs1142" localSheetId="4" hidden="1">'Run VRS'!$H$114:$I$114</definedName>
    <definedName name="solver_rhs1143" localSheetId="2" hidden="1">'Run CRS'!$H$114:$I$114</definedName>
    <definedName name="solver_rhs1143" localSheetId="4" hidden="1">'Run VRS'!$H$114:$I$114</definedName>
    <definedName name="solver_rhs1144" localSheetId="2" hidden="1">'Run CRS'!$H$114:$I$114</definedName>
    <definedName name="solver_rhs1144" localSheetId="4" hidden="1">'Run VRS'!$H$114:$I$114</definedName>
    <definedName name="solver_rhs1145" localSheetId="2" hidden="1">'Run CRS'!$H$114:$I$114</definedName>
    <definedName name="solver_rhs1145" localSheetId="4" hidden="1">'Run VRS'!$H$114:$I$114</definedName>
    <definedName name="solver_rhs1146" localSheetId="2" hidden="1">'Run CRS'!$H$114:$I$114</definedName>
    <definedName name="solver_rhs1146" localSheetId="4" hidden="1">'Run VRS'!$H$114:$I$114</definedName>
    <definedName name="solver_rhs1147" localSheetId="2" hidden="1">'Run CRS'!$H$114:$I$114</definedName>
    <definedName name="solver_rhs1147" localSheetId="4" hidden="1">'Run VRS'!$H$114:$I$114</definedName>
    <definedName name="solver_rhs1148" localSheetId="2" hidden="1">'Run CRS'!$H$114:$I$114</definedName>
    <definedName name="solver_rhs1148" localSheetId="4" hidden="1">'Run VRS'!$H$114:$I$114</definedName>
    <definedName name="solver_rhs1149" localSheetId="2" hidden="1">'Run CRS'!$H$114:$I$114</definedName>
    <definedName name="solver_rhs1149" localSheetId="4" hidden="1">'Run VRS'!$H$114:$I$114</definedName>
    <definedName name="solver_rhs115" localSheetId="2" hidden="1">1E-100</definedName>
    <definedName name="solver_rhs115" localSheetId="4" hidden="1">1E-100</definedName>
    <definedName name="solver_rhs1150" localSheetId="2" hidden="1">'Run CRS'!$H$114:$I$114</definedName>
    <definedName name="solver_rhs1150" localSheetId="4" hidden="1">'Run VRS'!$H$114:$I$114</definedName>
    <definedName name="solver_rhs1151" localSheetId="2" hidden="1">'Run CRS'!$H$114:$I$114</definedName>
    <definedName name="solver_rhs1151" localSheetId="4" hidden="1">'Run VRS'!$H$114:$I$114</definedName>
    <definedName name="solver_rhs1152" localSheetId="2" hidden="1">'Run CRS'!$H$114:$I$114</definedName>
    <definedName name="solver_rhs1152" localSheetId="4" hidden="1">'Run VRS'!$H$114:$I$114</definedName>
    <definedName name="solver_rhs1153" localSheetId="2" hidden="1">'Run CRS'!$H$114:$I$114</definedName>
    <definedName name="solver_rhs1153" localSheetId="4" hidden="1">'Run VRS'!$H$114:$I$114</definedName>
    <definedName name="solver_rhs1154" localSheetId="2" hidden="1">'Run CRS'!$H$114:$I$114</definedName>
    <definedName name="solver_rhs1154" localSheetId="4" hidden="1">'Run VRS'!$H$114:$I$114</definedName>
    <definedName name="solver_rhs1155" localSheetId="2" hidden="1">'Run CRS'!$H$114:$I$114</definedName>
    <definedName name="solver_rhs1155" localSheetId="4" hidden="1">'Run VRS'!$H$114:$I$114</definedName>
    <definedName name="solver_rhs1156" localSheetId="2" hidden="1">'Run CRS'!$H$114:$I$114</definedName>
    <definedName name="solver_rhs1156" localSheetId="4" hidden="1">'Run VRS'!$H$114:$I$114</definedName>
    <definedName name="solver_rhs1157" localSheetId="2" hidden="1">'Run CRS'!$H$114:$I$114</definedName>
    <definedName name="solver_rhs1157" localSheetId="4" hidden="1">'Run VRS'!$H$114:$I$114</definedName>
    <definedName name="solver_rhs1158" localSheetId="2" hidden="1">'Run CRS'!$H$114:$I$114</definedName>
    <definedName name="solver_rhs1158" localSheetId="4" hidden="1">'Run VRS'!$H$114:$I$114</definedName>
    <definedName name="solver_rhs1159" localSheetId="2" hidden="1">'Run CRS'!$H$114:$I$114</definedName>
    <definedName name="solver_rhs1159" localSheetId="4" hidden="1">'Run VRS'!$H$114:$I$114</definedName>
    <definedName name="solver_rhs116" localSheetId="2" hidden="1">1E-100</definedName>
    <definedName name="solver_rhs116" localSheetId="4" hidden="1">1E-100</definedName>
    <definedName name="solver_rhs1160" localSheetId="2" hidden="1">'Run CRS'!$H$114:$I$114</definedName>
    <definedName name="solver_rhs1160" localSheetId="4" hidden="1">'Run VRS'!$H$114:$I$114</definedName>
    <definedName name="solver_rhs1161" localSheetId="2" hidden="1">'Run CRS'!$H$114:$I$114</definedName>
    <definedName name="solver_rhs1161" localSheetId="4" hidden="1">'Run VRS'!$H$114:$I$114</definedName>
    <definedName name="solver_rhs1162" localSheetId="2" hidden="1">'Run CRS'!$H$114:$I$114</definedName>
    <definedName name="solver_rhs1162" localSheetId="4" hidden="1">'Run VRS'!$H$114:$I$114</definedName>
    <definedName name="solver_rhs1163" localSheetId="2" hidden="1">'Run CRS'!$H$114:$I$114</definedName>
    <definedName name="solver_rhs1163" localSheetId="4" hidden="1">'Run VRS'!$H$114:$I$114</definedName>
    <definedName name="solver_rhs1164" localSheetId="2" hidden="1">'Run CRS'!$H$114:$I$114</definedName>
    <definedName name="solver_rhs1164" localSheetId="4" hidden="1">'Run VRS'!$H$114:$I$114</definedName>
    <definedName name="solver_rhs1165" localSheetId="2" hidden="1">'Run CRS'!$H$114:$I$114</definedName>
    <definedName name="solver_rhs1165" localSheetId="4" hidden="1">'Run VRS'!$H$114:$I$114</definedName>
    <definedName name="solver_rhs1166" localSheetId="2" hidden="1">'Run CRS'!$H$114:$I$114</definedName>
    <definedName name="solver_rhs1166" localSheetId="4" hidden="1">'Run VRS'!$H$114:$I$114</definedName>
    <definedName name="solver_rhs1167" localSheetId="2" hidden="1">'Run CRS'!$H$114:$I$114</definedName>
    <definedName name="solver_rhs1167" localSheetId="4" hidden="1">'Run VRS'!$H$114:$I$114</definedName>
    <definedName name="solver_rhs1168" localSheetId="2" hidden="1">'Run CRS'!$H$114:$I$114</definedName>
    <definedName name="solver_rhs1168" localSheetId="4" hidden="1">'Run VRS'!$H$114:$I$114</definedName>
    <definedName name="solver_rhs1169" localSheetId="2" hidden="1">'Run CRS'!$H$114:$I$114</definedName>
    <definedName name="solver_rhs1169" localSheetId="4" hidden="1">'Run VRS'!$H$114:$I$114</definedName>
    <definedName name="solver_rhs117" localSheetId="2" hidden="1">1E-100</definedName>
    <definedName name="solver_rhs117" localSheetId="4" hidden="1">1E-100</definedName>
    <definedName name="solver_rhs1170" localSheetId="2" hidden="1">'Run CRS'!$H$114:$I$114</definedName>
    <definedName name="solver_rhs1170" localSheetId="4" hidden="1">'Run VRS'!$H$114:$I$114</definedName>
    <definedName name="solver_rhs1171" localSheetId="2" hidden="1">'Run CRS'!$H$114:$I$114</definedName>
    <definedName name="solver_rhs1171" localSheetId="4" hidden="1">'Run VRS'!$H$114:$I$114</definedName>
    <definedName name="solver_rhs1172" localSheetId="2" hidden="1">'Run CRS'!$H$114:$I$114</definedName>
    <definedName name="solver_rhs1172" localSheetId="4" hidden="1">'Run VRS'!$H$114:$I$114</definedName>
    <definedName name="solver_rhs1173" localSheetId="2" hidden="1">'Run CRS'!$H$114:$I$114</definedName>
    <definedName name="solver_rhs1173" localSheetId="4" hidden="1">'Run VRS'!$H$114:$I$114</definedName>
    <definedName name="solver_rhs1174" localSheetId="2" hidden="1">'Run CRS'!$H$114:$I$114</definedName>
    <definedName name="solver_rhs1174" localSheetId="4" hidden="1">'Run VRS'!$H$114:$I$114</definedName>
    <definedName name="solver_rhs1175" localSheetId="2" hidden="1">'Run CRS'!$H$114:$I$114</definedName>
    <definedName name="solver_rhs1175" localSheetId="4" hidden="1">'Run VRS'!$H$114:$I$114</definedName>
    <definedName name="solver_rhs1176" localSheetId="2" hidden="1">'Run CRS'!$H$114:$I$114</definedName>
    <definedName name="solver_rhs1176" localSheetId="4" hidden="1">'Run VRS'!$H$114:$I$114</definedName>
    <definedName name="solver_rhs1177" localSheetId="2" hidden="1">'Run CRS'!$H$114:$I$114</definedName>
    <definedName name="solver_rhs1177" localSheetId="4" hidden="1">'Run VRS'!$H$114:$I$114</definedName>
    <definedName name="solver_rhs1178" localSheetId="2" hidden="1">'Run CRS'!$H$114:$I$114</definedName>
    <definedName name="solver_rhs1178" localSheetId="4" hidden="1">'Run VRS'!$H$114:$I$114</definedName>
    <definedName name="solver_rhs1179" localSheetId="2" hidden="1">'Run CRS'!$H$114:$I$114</definedName>
    <definedName name="solver_rhs1179" localSheetId="4" hidden="1">'Run VRS'!$H$114:$I$114</definedName>
    <definedName name="solver_rhs118" localSheetId="2" hidden="1">1E-100</definedName>
    <definedName name="solver_rhs118" localSheetId="4" hidden="1">1E-100</definedName>
    <definedName name="solver_rhs1180" localSheetId="2" hidden="1">'Run CRS'!$H$114:$I$114</definedName>
    <definedName name="solver_rhs1180" localSheetId="4" hidden="1">'Run VRS'!$H$114:$I$114</definedName>
    <definedName name="solver_rhs1181" localSheetId="2" hidden="1">'Run CRS'!$H$114:$I$114</definedName>
    <definedName name="solver_rhs1181" localSheetId="4" hidden="1">'Run VRS'!$H$114:$I$114</definedName>
    <definedName name="solver_rhs1182" localSheetId="2" hidden="1">'Run CRS'!$H$114:$I$114</definedName>
    <definedName name="solver_rhs1182" localSheetId="4" hidden="1">'Run VRS'!$H$114:$I$114</definedName>
    <definedName name="solver_rhs1183" localSheetId="2" hidden="1">'Run CRS'!$H$114:$I$114</definedName>
    <definedName name="solver_rhs1183" localSheetId="4" hidden="1">'Run VRS'!$H$114:$I$114</definedName>
    <definedName name="solver_rhs1184" localSheetId="2" hidden="1">'Run CRS'!$H$114:$I$114</definedName>
    <definedName name="solver_rhs1184" localSheetId="4" hidden="1">'Run VRS'!$H$114:$I$114</definedName>
    <definedName name="solver_rhs1185" localSheetId="2" hidden="1">'Run CRS'!$H$114:$I$114</definedName>
    <definedName name="solver_rhs1185" localSheetId="4" hidden="1">'Run VRS'!$H$114:$I$114</definedName>
    <definedName name="solver_rhs1186" localSheetId="2" hidden="1">'Run CRS'!$H$114:$I$114</definedName>
    <definedName name="solver_rhs1186" localSheetId="4" hidden="1">'Run VRS'!$H$114:$I$114</definedName>
    <definedName name="solver_rhs1187" localSheetId="2" hidden="1">'Run CRS'!$H$114:$I$114</definedName>
    <definedName name="solver_rhs1187" localSheetId="4" hidden="1">'Run VRS'!$H$114:$I$114</definedName>
    <definedName name="solver_rhs1188" localSheetId="2" hidden="1">'Run CRS'!$H$114:$I$114</definedName>
    <definedName name="solver_rhs1188" localSheetId="4" hidden="1">'Run VRS'!$H$114:$I$114</definedName>
    <definedName name="solver_rhs1189" localSheetId="2" hidden="1">'Run CRS'!$H$114:$I$114</definedName>
    <definedName name="solver_rhs1189" localSheetId="4" hidden="1">'Run VRS'!$H$114:$I$114</definedName>
    <definedName name="solver_rhs119" localSheetId="2" hidden="1">1E-100</definedName>
    <definedName name="solver_rhs119" localSheetId="4" hidden="1">1E-100</definedName>
    <definedName name="solver_rhs1190" localSheetId="2" hidden="1">'Run CRS'!$H$114:$I$114</definedName>
    <definedName name="solver_rhs1190" localSheetId="4" hidden="1">'Run VRS'!$H$114:$I$114</definedName>
    <definedName name="solver_rhs1191" localSheetId="2" hidden="1">'Run CRS'!$H$114:$I$114</definedName>
    <definedName name="solver_rhs1191" localSheetId="4" hidden="1">'Run VRS'!$H$114:$I$114</definedName>
    <definedName name="solver_rhs1192" localSheetId="2" hidden="1">'Run CRS'!$H$114:$I$114</definedName>
    <definedName name="solver_rhs1192" localSheetId="4" hidden="1">'Run VRS'!$H$114:$I$114</definedName>
    <definedName name="solver_rhs1193" localSheetId="2" hidden="1">'Run CRS'!$H$114:$I$114</definedName>
    <definedName name="solver_rhs1193" localSheetId="4" hidden="1">'Run VRS'!$H$114:$I$114</definedName>
    <definedName name="solver_rhs1194" localSheetId="2" hidden="1">'Run CRS'!$H$114:$I$114</definedName>
    <definedName name="solver_rhs1194" localSheetId="4" hidden="1">'Run VRS'!$H$114:$I$114</definedName>
    <definedName name="solver_rhs1195" localSheetId="2" hidden="1">'Run CRS'!$H$114:$I$114</definedName>
    <definedName name="solver_rhs1195" localSheetId="4" hidden="1">'Run VRS'!$H$114:$I$114</definedName>
    <definedName name="solver_rhs1196" localSheetId="2" hidden="1">'Run CRS'!$H$114:$I$114</definedName>
    <definedName name="solver_rhs1196" localSheetId="4" hidden="1">'Run VRS'!$H$114:$I$114</definedName>
    <definedName name="solver_rhs1197" localSheetId="2" hidden="1">'Run CRS'!$H$114:$I$114</definedName>
    <definedName name="solver_rhs1197" localSheetId="4" hidden="1">'Run VRS'!$H$114:$I$114</definedName>
    <definedName name="solver_rhs1198" localSheetId="2" hidden="1">'Run CRS'!$H$114:$I$114</definedName>
    <definedName name="solver_rhs1198" localSheetId="4" hidden="1">'Run VRS'!$H$114:$I$114</definedName>
    <definedName name="solver_rhs1199" localSheetId="2" hidden="1">'Run CRS'!$H$114:$I$114</definedName>
    <definedName name="solver_rhs1199" localSheetId="4" hidden="1">'Run VRS'!$H$114:$I$114</definedName>
    <definedName name="solver_rhs12" localSheetId="0" hidden="1">1</definedName>
    <definedName name="solver_rhs12" localSheetId="2" hidden="1">'Run CRS'!$M$107</definedName>
    <definedName name="solver_rhs12" localSheetId="4" hidden="1">'Run VRS'!$M$107</definedName>
    <definedName name="solver_rhs120" localSheetId="2" hidden="1">1E-100</definedName>
    <definedName name="solver_rhs120" localSheetId="4" hidden="1">1E-100</definedName>
    <definedName name="solver_rhs1200" localSheetId="2" hidden="1">'Run CRS'!$H$114:$I$114</definedName>
    <definedName name="solver_rhs1200" localSheetId="4" hidden="1">'Run VRS'!$H$114:$I$114</definedName>
    <definedName name="solver_rhs1201" localSheetId="2" hidden="1">'Run CRS'!$H$114:$I$114</definedName>
    <definedName name="solver_rhs1201" localSheetId="4" hidden="1">'Run VRS'!$H$114:$I$114</definedName>
    <definedName name="solver_rhs1202" localSheetId="2" hidden="1">'Run CRS'!$H$114:$I$114</definedName>
    <definedName name="solver_rhs1202" localSheetId="4" hidden="1">'Run VRS'!$H$114:$I$114</definedName>
    <definedName name="solver_rhs1203" localSheetId="2" hidden="1">'Run CRS'!$H$114:$I$114</definedName>
    <definedName name="solver_rhs1203" localSheetId="4" hidden="1">'Run VRS'!$H$114:$I$114</definedName>
    <definedName name="solver_rhs1204" localSheetId="2" hidden="1">'Run CRS'!$H$114:$I$114</definedName>
    <definedName name="solver_rhs1204" localSheetId="4" hidden="1">'Run VRS'!$H$114:$I$114</definedName>
    <definedName name="solver_rhs1205" localSheetId="2" hidden="1">'Run CRS'!$H$114:$I$114</definedName>
    <definedName name="solver_rhs1205" localSheetId="4" hidden="1">'Run VRS'!$H$114:$I$114</definedName>
    <definedName name="solver_rhs1206" localSheetId="2" hidden="1">'Run CRS'!$H$114:$I$114</definedName>
    <definedName name="solver_rhs1206" localSheetId="4" hidden="1">'Run VRS'!$H$114:$I$114</definedName>
    <definedName name="solver_rhs1207" localSheetId="2" hidden="1">'Run CRS'!$H$114:$I$114</definedName>
    <definedName name="solver_rhs1207" localSheetId="4" hidden="1">'Run VRS'!$H$114:$I$114</definedName>
    <definedName name="solver_rhs1208" localSheetId="2" hidden="1">'Run CRS'!$H$114:$I$114</definedName>
    <definedName name="solver_rhs1208" localSheetId="4" hidden="1">'Run VRS'!$H$114:$I$114</definedName>
    <definedName name="solver_rhs1209" localSheetId="2" hidden="1">'Run CRS'!$H$114:$I$114</definedName>
    <definedName name="solver_rhs1209" localSheetId="4" hidden="1">'Run VRS'!$H$114:$I$114</definedName>
    <definedName name="solver_rhs121" localSheetId="2" hidden="1">1E-100</definedName>
    <definedName name="solver_rhs121" localSheetId="4" hidden="1">1E-100</definedName>
    <definedName name="solver_rhs1210" localSheetId="2" hidden="1">'Run CRS'!$H$114:$I$114</definedName>
    <definedName name="solver_rhs1210" localSheetId="4" hidden="1">'Run VRS'!$H$114:$I$114</definedName>
    <definedName name="solver_rhs1211" localSheetId="2" hidden="1">'Run CRS'!$H$114:$I$114</definedName>
    <definedName name="solver_rhs1211" localSheetId="4" hidden="1">'Run VRS'!$H$114:$I$114</definedName>
    <definedName name="solver_rhs1212" localSheetId="2" hidden="1">'Run CRS'!$H$114:$I$114</definedName>
    <definedName name="solver_rhs1212" localSheetId="4" hidden="1">'Run VRS'!$H$114:$I$114</definedName>
    <definedName name="solver_rhs1213" localSheetId="2" hidden="1">'Run CRS'!$H$114:$I$114</definedName>
    <definedName name="solver_rhs1213" localSheetId="4" hidden="1">'Run VRS'!$H$114:$I$114</definedName>
    <definedName name="solver_rhs1214" localSheetId="2" hidden="1">'Run CRS'!$H$114:$I$114</definedName>
    <definedName name="solver_rhs1214" localSheetId="4" hidden="1">'Run VRS'!$H$114:$I$114</definedName>
    <definedName name="solver_rhs1215" localSheetId="2" hidden="1">'Run CRS'!$H$114:$I$114</definedName>
    <definedName name="solver_rhs1215" localSheetId="4" hidden="1">'Run VRS'!$H$114:$I$114</definedName>
    <definedName name="solver_rhs1216" localSheetId="2" hidden="1">'Run CRS'!$H$114:$I$114</definedName>
    <definedName name="solver_rhs1216" localSheetId="4" hidden="1">'Run VRS'!$H$114:$I$114</definedName>
    <definedName name="solver_rhs1217" localSheetId="2" hidden="1">'Run CRS'!$H$114:$I$114</definedName>
    <definedName name="solver_rhs1217" localSheetId="4" hidden="1">'Run VRS'!$H$114:$I$114</definedName>
    <definedName name="solver_rhs1218" localSheetId="2" hidden="1">'Run CRS'!$H$114:$I$114</definedName>
    <definedName name="solver_rhs1218" localSheetId="4" hidden="1">'Run VRS'!$H$114:$I$114</definedName>
    <definedName name="solver_rhs1219" localSheetId="2" hidden="1">'Run CRS'!$H$114:$I$114</definedName>
    <definedName name="solver_rhs1219" localSheetId="4" hidden="1">'Run VRS'!$H$114:$I$114</definedName>
    <definedName name="solver_rhs122" localSheetId="2" hidden="1">1E-100</definedName>
    <definedName name="solver_rhs122" localSheetId="4" hidden="1">1E-100</definedName>
    <definedName name="solver_rhs1220" localSheetId="2" hidden="1">'Run CRS'!$H$114:$I$114</definedName>
    <definedName name="solver_rhs1220" localSheetId="4" hidden="1">'Run VRS'!$H$114:$I$114</definedName>
    <definedName name="solver_rhs1221" localSheetId="2" hidden="1">'Run CRS'!$H$114:$I$114</definedName>
    <definedName name="solver_rhs1221" localSheetId="4" hidden="1">'Run VRS'!$H$114:$I$114</definedName>
    <definedName name="solver_rhs1222" localSheetId="2" hidden="1">'Run CRS'!$H$114:$I$114</definedName>
    <definedName name="solver_rhs1222" localSheetId="4" hidden="1">'Run VRS'!$H$114:$I$114</definedName>
    <definedName name="solver_rhs1223" localSheetId="2" hidden="1">'Run CRS'!$H$114:$I$114</definedName>
    <definedName name="solver_rhs1223" localSheetId="4" hidden="1">'Run VRS'!$H$114:$I$114</definedName>
    <definedName name="solver_rhs1224" localSheetId="2" hidden="1">'Run CRS'!$H$114:$I$114</definedName>
    <definedName name="solver_rhs1224" localSheetId="4" hidden="1">'Run VRS'!$H$114:$I$114</definedName>
    <definedName name="solver_rhs1225" localSheetId="2" hidden="1">'Run CRS'!$H$114:$I$114</definedName>
    <definedName name="solver_rhs1225" localSheetId="4" hidden="1">'Run VRS'!$H$114:$I$114</definedName>
    <definedName name="solver_rhs1226" localSheetId="2" hidden="1">'Run CRS'!$H$114:$I$114</definedName>
    <definedName name="solver_rhs1226" localSheetId="4" hidden="1">'Run VRS'!$H$114:$I$114</definedName>
    <definedName name="solver_rhs1227" localSheetId="2" hidden="1">'Run CRS'!$H$114:$I$114</definedName>
    <definedName name="solver_rhs1227" localSheetId="4" hidden="1">'Run VRS'!$H$114:$I$114</definedName>
    <definedName name="solver_rhs1228" localSheetId="2" hidden="1">'Run CRS'!$H$114:$I$114</definedName>
    <definedName name="solver_rhs1228" localSheetId="4" hidden="1">'Run VRS'!$H$114:$I$114</definedName>
    <definedName name="solver_rhs1229" localSheetId="2" hidden="1">'Run CRS'!$H$114:$I$114</definedName>
    <definedName name="solver_rhs1229" localSheetId="4" hidden="1">'Run VRS'!$H$114:$I$114</definedName>
    <definedName name="solver_rhs123" localSheetId="2" hidden="1">1E-100</definedName>
    <definedName name="solver_rhs123" localSheetId="4" hidden="1">1E-100</definedName>
    <definedName name="solver_rhs1230" localSheetId="2" hidden="1">'Run CRS'!$H$114:$I$114</definedName>
    <definedName name="solver_rhs1230" localSheetId="4" hidden="1">'Run VRS'!$H$114:$I$114</definedName>
    <definedName name="solver_rhs1231" localSheetId="2" hidden="1">'Run CRS'!$H$114:$I$114</definedName>
    <definedName name="solver_rhs1231" localSheetId="4" hidden="1">'Run VRS'!$H$114:$I$114</definedName>
    <definedName name="solver_rhs1232" localSheetId="2" hidden="1">'Run CRS'!$H$114:$I$114</definedName>
    <definedName name="solver_rhs1232" localSheetId="4" hidden="1">'Run VRS'!$H$114:$I$114</definedName>
    <definedName name="solver_rhs1233" localSheetId="2" hidden="1">'Run CRS'!$H$114:$I$114</definedName>
    <definedName name="solver_rhs1233" localSheetId="4" hidden="1">'Run VRS'!$H$114:$I$114</definedName>
    <definedName name="solver_rhs1234" localSheetId="2" hidden="1">'Run CRS'!$H$114:$I$114</definedName>
    <definedName name="solver_rhs1234" localSheetId="4" hidden="1">'Run VRS'!$H$114:$I$114</definedName>
    <definedName name="solver_rhs1235" localSheetId="2" hidden="1">'Run CRS'!$H$114:$I$114</definedName>
    <definedName name="solver_rhs1235" localSheetId="4" hidden="1">'Run VRS'!$H$114:$I$114</definedName>
    <definedName name="solver_rhs1236" localSheetId="2" hidden="1">'Run CRS'!$H$114:$I$114</definedName>
    <definedName name="solver_rhs1236" localSheetId="4" hidden="1">'Run VRS'!$H$114:$I$114</definedName>
    <definedName name="solver_rhs1237" localSheetId="2" hidden="1">'Run CRS'!$H$114:$I$114</definedName>
    <definedName name="solver_rhs1237" localSheetId="4" hidden="1">'Run VRS'!$H$114:$I$114</definedName>
    <definedName name="solver_rhs1238" localSheetId="2" hidden="1">'Run CRS'!$H$114:$I$114</definedName>
    <definedName name="solver_rhs1238" localSheetId="4" hidden="1">'Run VRS'!$H$114:$I$114</definedName>
    <definedName name="solver_rhs1239" localSheetId="2" hidden="1">'Run CRS'!$H$114:$I$114</definedName>
    <definedName name="solver_rhs1239" localSheetId="4" hidden="1">'Run VRS'!$H$114:$I$114</definedName>
    <definedName name="solver_rhs124" localSheetId="2" hidden="1">1E-100</definedName>
    <definedName name="solver_rhs124" localSheetId="4" hidden="1">1E-100</definedName>
    <definedName name="solver_rhs1240" localSheetId="2" hidden="1">'Run CRS'!$H$114:$I$114</definedName>
    <definedName name="solver_rhs1240" localSheetId="4" hidden="1">'Run VRS'!$H$114:$I$114</definedName>
    <definedName name="solver_rhs1241" localSheetId="2" hidden="1">'Run CRS'!$H$114:$I$114</definedName>
    <definedName name="solver_rhs1241" localSheetId="4" hidden="1">'Run VRS'!$H$114:$I$114</definedName>
    <definedName name="solver_rhs1242" localSheetId="2" hidden="1">'Run CRS'!$H$114:$I$114</definedName>
    <definedName name="solver_rhs1242" localSheetId="4" hidden="1">'Run VRS'!$H$114:$I$114</definedName>
    <definedName name="solver_rhs1243" localSheetId="2" hidden="1">'Run CRS'!$H$114:$I$114</definedName>
    <definedName name="solver_rhs1243" localSheetId="4" hidden="1">'Run VRS'!$H$114:$I$114</definedName>
    <definedName name="solver_rhs1244" localSheetId="2" hidden="1">'Run CRS'!$H$114:$I$114</definedName>
    <definedName name="solver_rhs1244" localSheetId="4" hidden="1">'Run VRS'!$H$114:$I$114</definedName>
    <definedName name="solver_rhs1245" localSheetId="2" hidden="1">'Run CRS'!$H$114:$I$114</definedName>
    <definedName name="solver_rhs1245" localSheetId="4" hidden="1">'Run VRS'!$H$114:$I$114</definedName>
    <definedName name="solver_rhs1246" localSheetId="2" hidden="1">'Run CRS'!$H$114:$I$114</definedName>
    <definedName name="solver_rhs1246" localSheetId="4" hidden="1">'Run VRS'!$H$114:$I$114</definedName>
    <definedName name="solver_rhs1247" localSheetId="2" hidden="1">'Run CRS'!$H$114:$I$114</definedName>
    <definedName name="solver_rhs1247" localSheetId="4" hidden="1">'Run VRS'!$H$114:$I$114</definedName>
    <definedName name="solver_rhs1248" localSheetId="2" hidden="1">'Run CRS'!$H$114:$I$114</definedName>
    <definedName name="solver_rhs1248" localSheetId="4" hidden="1">'Run VRS'!$H$114:$I$114</definedName>
    <definedName name="solver_rhs1249" localSheetId="2" hidden="1">'Run CRS'!$H$114:$I$114</definedName>
    <definedName name="solver_rhs1249" localSheetId="4" hidden="1">'Run VRS'!$H$114:$I$114</definedName>
    <definedName name="solver_rhs125" localSheetId="2" hidden="1">1E-100</definedName>
    <definedName name="solver_rhs125" localSheetId="4" hidden="1">1E-100</definedName>
    <definedName name="solver_rhs1250" localSheetId="2" hidden="1">'Run CRS'!$H$114:$I$114</definedName>
    <definedName name="solver_rhs1250" localSheetId="4" hidden="1">'Run VRS'!$H$114:$I$114</definedName>
    <definedName name="solver_rhs1251" localSheetId="2" hidden="1">'Run CRS'!$H$114:$I$114</definedName>
    <definedName name="solver_rhs1251" localSheetId="4" hidden="1">'Run VRS'!$H$114:$I$114</definedName>
    <definedName name="solver_rhs1252" localSheetId="2" hidden="1">'Run CRS'!$H$114:$I$114</definedName>
    <definedName name="solver_rhs1252" localSheetId="4" hidden="1">'Run VRS'!$H$114:$I$114</definedName>
    <definedName name="solver_rhs1253" localSheetId="2" hidden="1">'Run CRS'!$H$114:$I$114</definedName>
    <definedName name="solver_rhs1253" localSheetId="4" hidden="1">'Run VRS'!$H$114:$I$114</definedName>
    <definedName name="solver_rhs1254" localSheetId="2" hidden="1">'Run CRS'!$H$114:$I$114</definedName>
    <definedName name="solver_rhs1254" localSheetId="4" hidden="1">'Run VRS'!$H$114:$I$114</definedName>
    <definedName name="solver_rhs1255" localSheetId="2" hidden="1">'Run CRS'!$H$114:$I$114</definedName>
    <definedName name="solver_rhs1255" localSheetId="4" hidden="1">'Run VRS'!$H$114:$I$114</definedName>
    <definedName name="solver_rhs1256" localSheetId="2" hidden="1">'Run CRS'!$H$114:$I$114</definedName>
    <definedName name="solver_rhs1256" localSheetId="4" hidden="1">'Run VRS'!$H$114:$I$114</definedName>
    <definedName name="solver_rhs1257" localSheetId="2" hidden="1">'Run CRS'!$H$114:$I$114</definedName>
    <definedName name="solver_rhs1257" localSheetId="4" hidden="1">'Run VRS'!$H$114:$I$114</definedName>
    <definedName name="solver_rhs1258" localSheetId="2" hidden="1">'Run CRS'!$H$114:$I$114</definedName>
    <definedName name="solver_rhs1258" localSheetId="4" hidden="1">'Run VRS'!$H$114:$I$114</definedName>
    <definedName name="solver_rhs1259" localSheetId="2" hidden="1">'Run CRS'!$H$114:$I$114</definedName>
    <definedName name="solver_rhs1259" localSheetId="4" hidden="1">'Run VRS'!$H$114:$I$114</definedName>
    <definedName name="solver_rhs126" localSheetId="2" hidden="1">1E-100</definedName>
    <definedName name="solver_rhs126" localSheetId="4" hidden="1">1E-100</definedName>
    <definedName name="solver_rhs1260" localSheetId="2" hidden="1">'Run CRS'!$H$114:$I$114</definedName>
    <definedName name="solver_rhs1260" localSheetId="4" hidden="1">'Run VRS'!$H$114:$I$114</definedName>
    <definedName name="solver_rhs1261" localSheetId="2" hidden="1">'Run CRS'!$H$114:$I$114</definedName>
    <definedName name="solver_rhs1261" localSheetId="4" hidden="1">'Run VRS'!$H$114:$I$114</definedName>
    <definedName name="solver_rhs1262" localSheetId="2" hidden="1">'Run CRS'!$H$114:$I$114</definedName>
    <definedName name="solver_rhs1262" localSheetId="4" hidden="1">'Run VRS'!$H$114:$I$114</definedName>
    <definedName name="solver_rhs1263" localSheetId="2" hidden="1">'Run CRS'!$H$114:$I$114</definedName>
    <definedName name="solver_rhs1263" localSheetId="4" hidden="1">'Run VRS'!$H$114:$I$114</definedName>
    <definedName name="solver_rhs1264" localSheetId="2" hidden="1">'Run CRS'!$H$114:$I$114</definedName>
    <definedName name="solver_rhs1264" localSheetId="4" hidden="1">'Run VRS'!$H$114:$I$114</definedName>
    <definedName name="solver_rhs1265" localSheetId="2" hidden="1">'Run CRS'!$H$114:$I$114</definedName>
    <definedName name="solver_rhs1265" localSheetId="4" hidden="1">'Run VRS'!$H$114:$I$114</definedName>
    <definedName name="solver_rhs1266" localSheetId="2" hidden="1">'Run CRS'!$H$114:$I$114</definedName>
    <definedName name="solver_rhs1266" localSheetId="4" hidden="1">'Run VRS'!$H$114:$I$114</definedName>
    <definedName name="solver_rhs1267" localSheetId="2" hidden="1">'Run CRS'!$H$114:$I$114</definedName>
    <definedName name="solver_rhs1267" localSheetId="4" hidden="1">'Run VRS'!$H$114:$I$114</definedName>
    <definedName name="solver_rhs1268" localSheetId="2" hidden="1">'Run CRS'!$H$114:$I$114</definedName>
    <definedName name="solver_rhs1268" localSheetId="4" hidden="1">'Run VRS'!$H$114:$I$114</definedName>
    <definedName name="solver_rhs1269" localSheetId="2" hidden="1">'Run CRS'!$H$114:$I$114</definedName>
    <definedName name="solver_rhs1269" localSheetId="4" hidden="1">'Run VRS'!$H$114:$I$114</definedName>
    <definedName name="solver_rhs127" localSheetId="2" hidden="1">1E-100</definedName>
    <definedName name="solver_rhs127" localSheetId="4" hidden="1">1E-100</definedName>
    <definedName name="solver_rhs1270" localSheetId="2" hidden="1">'Run CRS'!$H$114:$I$114</definedName>
    <definedName name="solver_rhs1270" localSheetId="4" hidden="1">'Run VRS'!$H$114:$I$114</definedName>
    <definedName name="solver_rhs1271" localSheetId="2" hidden="1">'Run CRS'!$H$114:$I$114</definedName>
    <definedName name="solver_rhs1271" localSheetId="4" hidden="1">'Run VRS'!$H$114:$I$114</definedName>
    <definedName name="solver_rhs1272" localSheetId="2" hidden="1">'Run CRS'!$H$114:$I$114</definedName>
    <definedName name="solver_rhs1272" localSheetId="4" hidden="1">'Run VRS'!$H$114:$I$114</definedName>
    <definedName name="solver_rhs1273" localSheetId="2" hidden="1">'Run CRS'!$H$114:$I$114</definedName>
    <definedName name="solver_rhs1273" localSheetId="4" hidden="1">'Run VRS'!$H$114:$I$114</definedName>
    <definedName name="solver_rhs1274" localSheetId="2" hidden="1">'Run CRS'!$H$114:$I$114</definedName>
    <definedName name="solver_rhs1274" localSheetId="4" hidden="1">'Run VRS'!$H$114:$I$114</definedName>
    <definedName name="solver_rhs1275" localSheetId="2" hidden="1">'Run CRS'!$H$114:$I$114</definedName>
    <definedName name="solver_rhs1275" localSheetId="4" hidden="1">'Run VRS'!$H$114:$I$114</definedName>
    <definedName name="solver_rhs1276" localSheetId="2" hidden="1">'Run CRS'!$H$114:$I$114</definedName>
    <definedName name="solver_rhs1276" localSheetId="4" hidden="1">'Run VRS'!$H$114:$I$114</definedName>
    <definedName name="solver_rhs1277" localSheetId="2" hidden="1">'Run CRS'!$H$114:$I$114</definedName>
    <definedName name="solver_rhs1277" localSheetId="4" hidden="1">'Run VRS'!$H$114:$I$114</definedName>
    <definedName name="solver_rhs1278" localSheetId="2" hidden="1">'Run CRS'!$H$114:$I$114</definedName>
    <definedName name="solver_rhs1278" localSheetId="4" hidden="1">'Run VRS'!$H$114:$I$114</definedName>
    <definedName name="solver_rhs1279" localSheetId="2" hidden="1">'Run CRS'!$H$114:$I$114</definedName>
    <definedName name="solver_rhs1279" localSheetId="4" hidden="1">'Run VRS'!$H$114:$I$114</definedName>
    <definedName name="solver_rhs128" localSheetId="2" hidden="1">1E-100</definedName>
    <definedName name="solver_rhs128" localSheetId="4" hidden="1">1E-100</definedName>
    <definedName name="solver_rhs1280" localSheetId="2" hidden="1">'Run CRS'!$H$114:$I$114</definedName>
    <definedName name="solver_rhs1280" localSheetId="4" hidden="1">'Run VRS'!$H$114:$I$114</definedName>
    <definedName name="solver_rhs1281" localSheetId="2" hidden="1">'Run CRS'!$H$114:$I$114</definedName>
    <definedName name="solver_rhs1281" localSheetId="4" hidden="1">'Run VRS'!$H$114:$I$114</definedName>
    <definedName name="solver_rhs1282" localSheetId="2" hidden="1">'Run CRS'!$H$114:$I$114</definedName>
    <definedName name="solver_rhs1282" localSheetId="4" hidden="1">'Run VRS'!$H$114:$I$114</definedName>
    <definedName name="solver_rhs1283" localSheetId="2" hidden="1">'Run CRS'!$H$114:$I$114</definedName>
    <definedName name="solver_rhs1283" localSheetId="4" hidden="1">'Run VRS'!$H$114:$I$114</definedName>
    <definedName name="solver_rhs1284" localSheetId="2" hidden="1">'Run CRS'!$H$114:$I$114</definedName>
    <definedName name="solver_rhs1284" localSheetId="4" hidden="1">'Run VRS'!$H$114:$I$114</definedName>
    <definedName name="solver_rhs1285" localSheetId="2" hidden="1">'Run CRS'!$H$114:$I$114</definedName>
    <definedName name="solver_rhs1285" localSheetId="4" hidden="1">'Run VRS'!$H$114:$I$114</definedName>
    <definedName name="solver_rhs1286" localSheetId="2" hidden="1">'Run CRS'!$H$114:$I$114</definedName>
    <definedName name="solver_rhs1286" localSheetId="4" hidden="1">'Run VRS'!$H$114:$I$114</definedName>
    <definedName name="solver_rhs1287" localSheetId="2" hidden="1">'Run CRS'!$H$114:$I$114</definedName>
    <definedName name="solver_rhs1287" localSheetId="4" hidden="1">'Run VRS'!$H$114:$I$114</definedName>
    <definedName name="solver_rhs1288" localSheetId="2" hidden="1">'Run CRS'!$H$114:$I$114</definedName>
    <definedName name="solver_rhs1288" localSheetId="4" hidden="1">'Run VRS'!$H$114:$I$114</definedName>
    <definedName name="solver_rhs1289" localSheetId="2" hidden="1">'Run CRS'!$H$114:$I$114</definedName>
    <definedName name="solver_rhs1289" localSheetId="4" hidden="1">'Run VRS'!$H$114:$I$114</definedName>
    <definedName name="solver_rhs129" localSheetId="2" hidden="1">1E-100</definedName>
    <definedName name="solver_rhs129" localSheetId="4" hidden="1">1E-100</definedName>
    <definedName name="solver_rhs1290" localSheetId="2" hidden="1">'Run CRS'!$H$114:$I$114</definedName>
    <definedName name="solver_rhs1290" localSheetId="4" hidden="1">'Run VRS'!$H$114:$I$114</definedName>
    <definedName name="solver_rhs1291" localSheetId="2" hidden="1">'Run CRS'!$H$114:$I$114</definedName>
    <definedName name="solver_rhs1291" localSheetId="4" hidden="1">'Run VRS'!$H$114:$I$114</definedName>
    <definedName name="solver_rhs1292" localSheetId="2" hidden="1">'Run CRS'!$H$114:$I$114</definedName>
    <definedName name="solver_rhs1292" localSheetId="4" hidden="1">'Run VRS'!$H$114:$I$114</definedName>
    <definedName name="solver_rhs1293" localSheetId="2" hidden="1">'Run CRS'!$H$114:$I$114</definedName>
    <definedName name="solver_rhs1293" localSheetId="4" hidden="1">'Run VRS'!$H$114:$I$114</definedName>
    <definedName name="solver_rhs1294" localSheetId="2" hidden="1">'Run CRS'!$H$114:$I$114</definedName>
    <definedName name="solver_rhs1294" localSheetId="4" hidden="1">'Run VRS'!$H$114:$I$114</definedName>
    <definedName name="solver_rhs1295" localSheetId="2" hidden="1">'Run CRS'!$H$114:$I$114</definedName>
    <definedName name="solver_rhs1295" localSheetId="4" hidden="1">'Run VRS'!$H$114:$I$114</definedName>
    <definedName name="solver_rhs1296" localSheetId="2" hidden="1">'Run CRS'!$H$114:$I$114</definedName>
    <definedName name="solver_rhs1296" localSheetId="4" hidden="1">'Run VRS'!$H$114:$I$114</definedName>
    <definedName name="solver_rhs1297" localSheetId="2" hidden="1">'Run CRS'!$H$114:$I$114</definedName>
    <definedName name="solver_rhs1297" localSheetId="4" hidden="1">'Run VRS'!$H$114:$I$114</definedName>
    <definedName name="solver_rhs1298" localSheetId="2" hidden="1">'Run CRS'!$H$114:$I$114</definedName>
    <definedName name="solver_rhs1298" localSheetId="4" hidden="1">'Run VRS'!$H$114:$I$114</definedName>
    <definedName name="solver_rhs1299" localSheetId="2" hidden="1">'Run CRS'!$H$114:$I$114</definedName>
    <definedName name="solver_rhs1299" localSheetId="4" hidden="1">'Run VRS'!$H$114:$I$114</definedName>
    <definedName name="solver_rhs13" localSheetId="0" hidden="1">1E-100</definedName>
    <definedName name="solver_rhs13" localSheetId="2" hidden="1">'Run CRS'!$H$114:$I$114</definedName>
    <definedName name="solver_rhs13" localSheetId="4" hidden="1">'Run VRS'!$H$114:$I$114</definedName>
    <definedName name="solver_rhs130" localSheetId="2" hidden="1">1E-100</definedName>
    <definedName name="solver_rhs130" localSheetId="4" hidden="1">1E-100</definedName>
    <definedName name="solver_rhs1300" localSheetId="2" hidden="1">'Run CRS'!$H$114:$I$114</definedName>
    <definedName name="solver_rhs1300" localSheetId="4" hidden="1">'Run VRS'!$H$114:$I$114</definedName>
    <definedName name="solver_rhs1301" localSheetId="2" hidden="1">'Run CRS'!$H$114:$I$114</definedName>
    <definedName name="solver_rhs1301" localSheetId="4" hidden="1">'Run VRS'!$H$114:$I$114</definedName>
    <definedName name="solver_rhs1302" localSheetId="2" hidden="1">'Run CRS'!$H$114:$I$114</definedName>
    <definedName name="solver_rhs1302" localSheetId="4" hidden="1">'Run VRS'!$H$114:$I$114</definedName>
    <definedName name="solver_rhs1303" localSheetId="2" hidden="1">'Run CRS'!$H$114:$I$114</definedName>
    <definedName name="solver_rhs1303" localSheetId="4" hidden="1">'Run VRS'!$H$114:$I$114</definedName>
    <definedName name="solver_rhs1304" localSheetId="2" hidden="1">'Run CRS'!$H$114:$I$114</definedName>
    <definedName name="solver_rhs1304" localSheetId="4" hidden="1">'Run VRS'!$H$114:$I$114</definedName>
    <definedName name="solver_rhs1305" localSheetId="2" hidden="1">'Run CRS'!$H$114:$I$114</definedName>
    <definedName name="solver_rhs1305" localSheetId="4" hidden="1">'Run VRS'!$H$114:$I$114</definedName>
    <definedName name="solver_rhs1306" localSheetId="2" hidden="1">'Run CRS'!$H$114:$I$114</definedName>
    <definedName name="solver_rhs1306" localSheetId="4" hidden="1">'Run VRS'!$H$114:$I$114</definedName>
    <definedName name="solver_rhs1307" localSheetId="2" hidden="1">'Run CRS'!$H$114:$I$114</definedName>
    <definedName name="solver_rhs1307" localSheetId="4" hidden="1">'Run VRS'!$H$114:$I$114</definedName>
    <definedName name="solver_rhs1308" localSheetId="2" hidden="1">'Run CRS'!$H$114:$I$114</definedName>
    <definedName name="solver_rhs1308" localSheetId="4" hidden="1">'Run VRS'!$H$114:$I$114</definedName>
    <definedName name="solver_rhs1309" localSheetId="2" hidden="1">'Run CRS'!$H$114:$I$114</definedName>
    <definedName name="solver_rhs1309" localSheetId="4" hidden="1">'Run VRS'!$H$114:$I$114</definedName>
    <definedName name="solver_rhs131" localSheetId="2" hidden="1">1E-100</definedName>
    <definedName name="solver_rhs131" localSheetId="4" hidden="1">1E-100</definedName>
    <definedName name="solver_rhs1310" localSheetId="2" hidden="1">'Run CRS'!$H$114:$I$114</definedName>
    <definedName name="solver_rhs1310" localSheetId="4" hidden="1">'Run VRS'!$H$114:$I$114</definedName>
    <definedName name="solver_rhs1311" localSheetId="2" hidden="1">'Run CRS'!$H$114:$I$114</definedName>
    <definedName name="solver_rhs1311" localSheetId="4" hidden="1">'Run VRS'!$H$114:$I$114</definedName>
    <definedName name="solver_rhs1312" localSheetId="2" hidden="1">'Run CRS'!$H$114:$I$114</definedName>
    <definedName name="solver_rhs1312" localSheetId="4" hidden="1">'Run VRS'!$H$114:$I$114</definedName>
    <definedName name="solver_rhs1313" localSheetId="2" hidden="1">'Run CRS'!$H$114:$I$114</definedName>
    <definedName name="solver_rhs1313" localSheetId="4" hidden="1">'Run VRS'!$H$114:$I$114</definedName>
    <definedName name="solver_rhs1314" localSheetId="2" hidden="1">'Run CRS'!$H$114:$I$114</definedName>
    <definedName name="solver_rhs1314" localSheetId="4" hidden="1">'Run VRS'!$H$114:$I$114</definedName>
    <definedName name="solver_rhs1315" localSheetId="2" hidden="1">'Run CRS'!$H$114:$I$114</definedName>
    <definedName name="solver_rhs1315" localSheetId="4" hidden="1">'Run VRS'!$H$114:$I$114</definedName>
    <definedName name="solver_rhs1316" localSheetId="2" hidden="1">'Run CRS'!$H$114:$I$114</definedName>
    <definedName name="solver_rhs1316" localSheetId="4" hidden="1">'Run VRS'!$H$114:$I$114</definedName>
    <definedName name="solver_rhs1317" localSheetId="2" hidden="1">'Run CRS'!$H$114:$I$114</definedName>
    <definedName name="solver_rhs1317" localSheetId="4" hidden="1">'Run VRS'!$H$114:$I$114</definedName>
    <definedName name="solver_rhs1318" localSheetId="2" hidden="1">'Run CRS'!$H$114:$I$114</definedName>
    <definedName name="solver_rhs1318" localSheetId="4" hidden="1">'Run VRS'!$H$114:$I$114</definedName>
    <definedName name="solver_rhs1319" localSheetId="2" hidden="1">'Run CRS'!$H$114:$I$114</definedName>
    <definedName name="solver_rhs1319" localSheetId="4" hidden="1">'Run VRS'!$H$114:$I$114</definedName>
    <definedName name="solver_rhs132" localSheetId="2" hidden="1">1E-100</definedName>
    <definedName name="solver_rhs132" localSheetId="4" hidden="1">1E-100</definedName>
    <definedName name="solver_rhs1320" localSheetId="2" hidden="1">'Run CRS'!$H$114:$I$114</definedName>
    <definedName name="solver_rhs1320" localSheetId="4" hidden="1">'Run VRS'!$H$114:$I$114</definedName>
    <definedName name="solver_rhs1321" localSheetId="2" hidden="1">'Run CRS'!$H$114:$I$114</definedName>
    <definedName name="solver_rhs1321" localSheetId="4" hidden="1">'Run VRS'!$H$114:$I$114</definedName>
    <definedName name="solver_rhs1322" localSheetId="2" hidden="1">'Run CRS'!$H$114:$I$114</definedName>
    <definedName name="solver_rhs1322" localSheetId="4" hidden="1">'Run VRS'!$H$114:$I$114</definedName>
    <definedName name="solver_rhs1323" localSheetId="2" hidden="1">'Run CRS'!$H$114:$I$114</definedName>
    <definedName name="solver_rhs1323" localSheetId="4" hidden="1">'Run VRS'!$H$114:$I$114</definedName>
    <definedName name="solver_rhs1324" localSheetId="2" hidden="1">'Run CRS'!$H$114:$I$114</definedName>
    <definedName name="solver_rhs1324" localSheetId="4" hidden="1">'Run VRS'!$H$114:$I$114</definedName>
    <definedName name="solver_rhs1325" localSheetId="2" hidden="1">'Run CRS'!$H$114:$I$114</definedName>
    <definedName name="solver_rhs1325" localSheetId="4" hidden="1">'Run VRS'!$H$114:$I$114</definedName>
    <definedName name="solver_rhs1326" localSheetId="2" hidden="1">'Run CRS'!$H$114:$I$114</definedName>
    <definedName name="solver_rhs1326" localSheetId="4" hidden="1">'Run VRS'!$H$114:$I$114</definedName>
    <definedName name="solver_rhs1327" localSheetId="2" hidden="1">'Run CRS'!$H$114:$I$114</definedName>
    <definedName name="solver_rhs1327" localSheetId="4" hidden="1">'Run VRS'!$H$114:$I$114</definedName>
    <definedName name="solver_rhs1328" localSheetId="2" hidden="1">'Run CRS'!$H$114:$I$114</definedName>
    <definedName name="solver_rhs1328" localSheetId="4" hidden="1">'Run VRS'!$H$114:$I$114</definedName>
    <definedName name="solver_rhs1329" localSheetId="2" hidden="1">'Run CRS'!$H$114:$I$114</definedName>
    <definedName name="solver_rhs1329" localSheetId="4" hidden="1">'Run VRS'!$H$114:$I$114</definedName>
    <definedName name="solver_rhs133" localSheetId="2" hidden="1">1E-100</definedName>
    <definedName name="solver_rhs133" localSheetId="4" hidden="1">1E-100</definedName>
    <definedName name="solver_rhs1330" localSheetId="2" hidden="1">'Run CRS'!$H$114:$I$114</definedName>
    <definedName name="solver_rhs1330" localSheetId="4" hidden="1">'Run VRS'!$H$114:$I$114</definedName>
    <definedName name="solver_rhs1331" localSheetId="2" hidden="1">'Run CRS'!$H$114:$I$114</definedName>
    <definedName name="solver_rhs1331" localSheetId="4" hidden="1">'Run VRS'!$H$114:$I$114</definedName>
    <definedName name="solver_rhs1332" localSheetId="2" hidden="1">'Run CRS'!$H$114:$I$114</definedName>
    <definedName name="solver_rhs1332" localSheetId="4" hidden="1">'Run VRS'!$H$114:$I$114</definedName>
    <definedName name="solver_rhs1333" localSheetId="2" hidden="1">0</definedName>
    <definedName name="solver_rhs1333" localSheetId="4" hidden="1">0</definedName>
    <definedName name="solver_rhs1334" localSheetId="2" hidden="1">0</definedName>
    <definedName name="solver_rhs1334" localSheetId="4" hidden="1">0</definedName>
    <definedName name="solver_rhs1335" localSheetId="2" hidden="1">'Run CRS'!$H$114:$I$114</definedName>
    <definedName name="solver_rhs1335" localSheetId="4" hidden="1">'Run VRS'!$H$114:$I$114</definedName>
    <definedName name="solver_rhs1336" localSheetId="2" hidden="1">0</definedName>
    <definedName name="solver_rhs1336" localSheetId="4" hidden="1">0</definedName>
    <definedName name="solver_rhs1337" localSheetId="2" hidden="1">'Run CRS'!$H$114:$I$114</definedName>
    <definedName name="solver_rhs1337" localSheetId="4" hidden="1">'Run VRS'!$H$114:$I$114</definedName>
    <definedName name="solver_rhs1338" localSheetId="2" hidden="1">0</definedName>
    <definedName name="solver_rhs1338" localSheetId="4" hidden="1">0</definedName>
    <definedName name="solver_rhs1339" localSheetId="2" hidden="1">0</definedName>
    <definedName name="solver_rhs1339" localSheetId="4" hidden="1">0</definedName>
    <definedName name="solver_rhs134" localSheetId="2" hidden="1">1E-100</definedName>
    <definedName name="solver_rhs134" localSheetId="4" hidden="1">1E-100</definedName>
    <definedName name="solver_rhs1340" localSheetId="2" hidden="1">0</definedName>
    <definedName name="solver_rhs1340" localSheetId="4" hidden="1">0</definedName>
    <definedName name="solver_rhs1341" localSheetId="2" hidden="1">0</definedName>
    <definedName name="solver_rhs1341" localSheetId="4" hidden="1">0</definedName>
    <definedName name="solver_rhs1342" localSheetId="2" hidden="1">0</definedName>
    <definedName name="solver_rhs1342" localSheetId="4" hidden="1">0</definedName>
    <definedName name="solver_rhs1343" localSheetId="2" hidden="1">0</definedName>
    <definedName name="solver_rhs1343" localSheetId="4" hidden="1">0</definedName>
    <definedName name="solver_rhs1344" localSheetId="2" hidden="1">'Run CRS'!$H$114:$I$114</definedName>
    <definedName name="solver_rhs1344" localSheetId="4" hidden="1">'Run VRS'!$H$114:$I$114</definedName>
    <definedName name="solver_rhs1345" localSheetId="2" hidden="1">0</definedName>
    <definedName name="solver_rhs1345" localSheetId="4" hidden="1">0</definedName>
    <definedName name="solver_rhs1346" localSheetId="2" hidden="1">0</definedName>
    <definedName name="solver_rhs1346" localSheetId="4" hidden="1">0</definedName>
    <definedName name="solver_rhs1347" localSheetId="2" hidden="1">0</definedName>
    <definedName name="solver_rhs1347" localSheetId="4" hidden="1">0</definedName>
    <definedName name="solver_rhs1348" localSheetId="2" hidden="1">0</definedName>
    <definedName name="solver_rhs1348" localSheetId="4" hidden="1">0</definedName>
    <definedName name="solver_rhs1349" localSheetId="2" hidden="1">'Run CRS'!$H$114:$I$114</definedName>
    <definedName name="solver_rhs1349" localSheetId="4" hidden="1">'Run VRS'!$H$114:$I$114</definedName>
    <definedName name="solver_rhs135" localSheetId="2" hidden="1">1E-100</definedName>
    <definedName name="solver_rhs135" localSheetId="4" hidden="1">1E-100</definedName>
    <definedName name="solver_rhs1350" localSheetId="2" hidden="1">0</definedName>
    <definedName name="solver_rhs1350" localSheetId="4" hidden="1">0</definedName>
    <definedName name="solver_rhs1351" localSheetId="2" hidden="1">0</definedName>
    <definedName name="solver_rhs1351" localSheetId="4" hidden="1">0</definedName>
    <definedName name="solver_rhs1352" localSheetId="2" hidden="1">0</definedName>
    <definedName name="solver_rhs1352" localSheetId="4" hidden="1">0</definedName>
    <definedName name="solver_rhs1353" localSheetId="2" hidden="1">0</definedName>
    <definedName name="solver_rhs1353" localSheetId="4" hidden="1">0</definedName>
    <definedName name="solver_rhs1354" localSheetId="2" hidden="1">0</definedName>
    <definedName name="solver_rhs1354" localSheetId="4" hidden="1">0</definedName>
    <definedName name="solver_rhs1355" localSheetId="2" hidden="1">0</definedName>
    <definedName name="solver_rhs1355" localSheetId="4" hidden="1">0</definedName>
    <definedName name="solver_rhs1356" localSheetId="2" hidden="1">0</definedName>
    <definedName name="solver_rhs1356" localSheetId="4" hidden="1">0</definedName>
    <definedName name="solver_rhs1357" localSheetId="2" hidden="1">0</definedName>
    <definedName name="solver_rhs1357" localSheetId="4" hidden="1">0</definedName>
    <definedName name="solver_rhs1358" localSheetId="2" hidden="1">0</definedName>
    <definedName name="solver_rhs1358" localSheetId="4" hidden="1">0</definedName>
    <definedName name="solver_rhs1359" localSheetId="2" hidden="1">0</definedName>
    <definedName name="solver_rhs1359" localSheetId="4" hidden="1">0</definedName>
    <definedName name="solver_rhs136" localSheetId="2" hidden="1">1E-100</definedName>
    <definedName name="solver_rhs136" localSheetId="4" hidden="1">1E-100</definedName>
    <definedName name="solver_rhs1360" localSheetId="2" hidden="1">0</definedName>
    <definedName name="solver_rhs1360" localSheetId="4" hidden="1">0</definedName>
    <definedName name="solver_rhs1361" localSheetId="2" hidden="1">0</definedName>
    <definedName name="solver_rhs1361" localSheetId="4" hidden="1">0</definedName>
    <definedName name="solver_rhs1362" localSheetId="2" hidden="1">0</definedName>
    <definedName name="solver_rhs1362" localSheetId="4" hidden="1">0</definedName>
    <definedName name="solver_rhs1363" localSheetId="2" hidden="1">0</definedName>
    <definedName name="solver_rhs1363" localSheetId="4" hidden="1">0</definedName>
    <definedName name="solver_rhs1364" localSheetId="2" hidden="1">0</definedName>
    <definedName name="solver_rhs1364" localSheetId="4" hidden="1">0</definedName>
    <definedName name="solver_rhs1365" localSheetId="2" hidden="1">0</definedName>
    <definedName name="solver_rhs1365" localSheetId="4" hidden="1">0</definedName>
    <definedName name="solver_rhs1366" localSheetId="2" hidden="1">0</definedName>
    <definedName name="solver_rhs1366" localSheetId="4" hidden="1">0</definedName>
    <definedName name="solver_rhs1367" localSheetId="2" hidden="1">0</definedName>
    <definedName name="solver_rhs1367" localSheetId="4" hidden="1">0</definedName>
    <definedName name="solver_rhs1368" localSheetId="2" hidden="1">0</definedName>
    <definedName name="solver_rhs1368" localSheetId="4" hidden="1">0</definedName>
    <definedName name="solver_rhs1369" localSheetId="2" hidden="1">0</definedName>
    <definedName name="solver_rhs1369" localSheetId="4" hidden="1">0</definedName>
    <definedName name="solver_rhs137" localSheetId="2" hidden="1">1E-100</definedName>
    <definedName name="solver_rhs137" localSheetId="4" hidden="1">1E-100</definedName>
    <definedName name="solver_rhs1370" localSheetId="2" hidden="1">0</definedName>
    <definedName name="solver_rhs1370" localSheetId="4" hidden="1">0</definedName>
    <definedName name="solver_rhs1371" localSheetId="2" hidden="1">0</definedName>
    <definedName name="solver_rhs1371" localSheetId="4" hidden="1">0</definedName>
    <definedName name="solver_rhs1372" localSheetId="2" hidden="1">0</definedName>
    <definedName name="solver_rhs1372" localSheetId="4" hidden="1">0</definedName>
    <definedName name="solver_rhs1373" localSheetId="2" hidden="1">0</definedName>
    <definedName name="solver_rhs1373" localSheetId="4" hidden="1">0</definedName>
    <definedName name="solver_rhs1374" localSheetId="2" hidden="1">0</definedName>
    <definedName name="solver_rhs1374" localSheetId="4" hidden="1">0</definedName>
    <definedName name="solver_rhs1375" localSheetId="2" hidden="1">0</definedName>
    <definedName name="solver_rhs1375" localSheetId="4" hidden="1">0</definedName>
    <definedName name="solver_rhs1376" localSheetId="2" hidden="1">0</definedName>
    <definedName name="solver_rhs1376" localSheetId="4" hidden="1">0</definedName>
    <definedName name="solver_rhs1377" localSheetId="2" hidden="1">0</definedName>
    <definedName name="solver_rhs1377" localSheetId="4" hidden="1">0</definedName>
    <definedName name="solver_rhs1378" localSheetId="2" hidden="1">0</definedName>
    <definedName name="solver_rhs1378" localSheetId="4" hidden="1">0</definedName>
    <definedName name="solver_rhs1379" localSheetId="2" hidden="1">0</definedName>
    <definedName name="solver_rhs1379" localSheetId="4" hidden="1">0</definedName>
    <definedName name="solver_rhs138" localSheetId="2" hidden="1">1E-100</definedName>
    <definedName name="solver_rhs138" localSheetId="4" hidden="1">1E-100</definedName>
    <definedName name="solver_rhs1380" localSheetId="2" hidden="1">0</definedName>
    <definedName name="solver_rhs1380" localSheetId="4" hidden="1">0</definedName>
    <definedName name="solver_rhs1381" localSheetId="2" hidden="1">0</definedName>
    <definedName name="solver_rhs1381" localSheetId="4" hidden="1">0</definedName>
    <definedName name="solver_rhs1382" localSheetId="2" hidden="1">0</definedName>
    <definedName name="solver_rhs1382" localSheetId="4" hidden="1">0</definedName>
    <definedName name="solver_rhs1383" localSheetId="2" hidden="1">0</definedName>
    <definedName name="solver_rhs1383" localSheetId="4" hidden="1">0</definedName>
    <definedName name="solver_rhs1384" localSheetId="2" hidden="1">0</definedName>
    <definedName name="solver_rhs1384" localSheetId="4" hidden="1">0</definedName>
    <definedName name="solver_rhs1385" localSheetId="2" hidden="1">0</definedName>
    <definedName name="solver_rhs1385" localSheetId="4" hidden="1">0</definedName>
    <definedName name="solver_rhs1386" localSheetId="2" hidden="1">0</definedName>
    <definedName name="solver_rhs1386" localSheetId="4" hidden="1">0</definedName>
    <definedName name="solver_rhs1387" localSheetId="2" hidden="1">0</definedName>
    <definedName name="solver_rhs1387" localSheetId="4" hidden="1">0</definedName>
    <definedName name="solver_rhs1388" localSheetId="2" hidden="1">0</definedName>
    <definedName name="solver_rhs1388" localSheetId="4" hidden="1">0</definedName>
    <definedName name="solver_rhs1389" localSheetId="2" hidden="1">0</definedName>
    <definedName name="solver_rhs1389" localSheetId="4" hidden="1">0</definedName>
    <definedName name="solver_rhs139" localSheetId="2" hidden="1">1E-100</definedName>
    <definedName name="solver_rhs139" localSheetId="4" hidden="1">1E-100</definedName>
    <definedName name="solver_rhs1390" localSheetId="2" hidden="1">0</definedName>
    <definedName name="solver_rhs1390" localSheetId="4" hidden="1">0</definedName>
    <definedName name="solver_rhs1391" localSheetId="2" hidden="1">0</definedName>
    <definedName name="solver_rhs1391" localSheetId="4" hidden="1">0</definedName>
    <definedName name="solver_rhs1392" localSheetId="2" hidden="1">0</definedName>
    <definedName name="solver_rhs1392" localSheetId="4" hidden="1">0</definedName>
    <definedName name="solver_rhs1393" localSheetId="2" hidden="1">0</definedName>
    <definedName name="solver_rhs1393" localSheetId="4" hidden="1">0</definedName>
    <definedName name="solver_rhs1394" localSheetId="2" hidden="1">0</definedName>
    <definedName name="solver_rhs1394" localSheetId="4" hidden="1">0</definedName>
    <definedName name="solver_rhs1395" localSheetId="2" hidden="1">0</definedName>
    <definedName name="solver_rhs1395" localSheetId="4" hidden="1">0</definedName>
    <definedName name="solver_rhs1396" localSheetId="2" hidden="1">0</definedName>
    <definedName name="solver_rhs1396" localSheetId="4" hidden="1">0</definedName>
    <definedName name="solver_rhs1397" localSheetId="2" hidden="1">0</definedName>
    <definedName name="solver_rhs1397" localSheetId="4" hidden="1">0</definedName>
    <definedName name="solver_rhs1398" localSheetId="2" hidden="1">0</definedName>
    <definedName name="solver_rhs1398" localSheetId="4" hidden="1">0</definedName>
    <definedName name="solver_rhs1399" localSheetId="2" hidden="1">0</definedName>
    <definedName name="solver_rhs1399" localSheetId="4" hidden="1">0</definedName>
    <definedName name="solver_rhs14" localSheetId="0" hidden="1">0</definedName>
    <definedName name="solver_rhs14" localSheetId="2" hidden="1">0</definedName>
    <definedName name="solver_rhs14" localSheetId="4" hidden="1">0</definedName>
    <definedName name="solver_rhs140" localSheetId="2" hidden="1">1E-100</definedName>
    <definedName name="solver_rhs140" localSheetId="4" hidden="1">1E-100</definedName>
    <definedName name="solver_rhs1400" localSheetId="2" hidden="1">0</definedName>
    <definedName name="solver_rhs1400" localSheetId="4" hidden="1">0</definedName>
    <definedName name="solver_rhs1401" localSheetId="2" hidden="1">0</definedName>
    <definedName name="solver_rhs1401" localSheetId="4" hidden="1">0</definedName>
    <definedName name="solver_rhs1402" localSheetId="2" hidden="1">0</definedName>
    <definedName name="solver_rhs1402" localSheetId="4" hidden="1">0</definedName>
    <definedName name="solver_rhs1403" localSheetId="2" hidden="1">0</definedName>
    <definedName name="solver_rhs1403" localSheetId="4" hidden="1">0</definedName>
    <definedName name="solver_rhs1404" localSheetId="2" hidden="1">0</definedName>
    <definedName name="solver_rhs1404" localSheetId="4" hidden="1">0</definedName>
    <definedName name="solver_rhs1405" localSheetId="2" hidden="1">0</definedName>
    <definedName name="solver_rhs1405" localSheetId="4" hidden="1">0</definedName>
    <definedName name="solver_rhs1406" localSheetId="2" hidden="1">0</definedName>
    <definedName name="solver_rhs1406" localSheetId="4" hidden="1">0</definedName>
    <definedName name="solver_rhs1407" localSheetId="2" hidden="1">0</definedName>
    <definedName name="solver_rhs1407" localSheetId="4" hidden="1">0</definedName>
    <definedName name="solver_rhs1408" localSheetId="2" hidden="1">0</definedName>
    <definedName name="solver_rhs1408" localSheetId="4" hidden="1">0</definedName>
    <definedName name="solver_rhs1409" localSheetId="2" hidden="1">0</definedName>
    <definedName name="solver_rhs1409" localSheetId="4" hidden="1">0</definedName>
    <definedName name="solver_rhs141" localSheetId="2" hidden="1">1E-100</definedName>
    <definedName name="solver_rhs141" localSheetId="4" hidden="1">1E-100</definedName>
    <definedName name="solver_rhs1410" localSheetId="2" hidden="1">0</definedName>
    <definedName name="solver_rhs1410" localSheetId="4" hidden="1">0</definedName>
    <definedName name="solver_rhs1411" localSheetId="2" hidden="1">0</definedName>
    <definedName name="solver_rhs1411" localSheetId="4" hidden="1">0</definedName>
    <definedName name="solver_rhs1412" localSheetId="2" hidden="1">0</definedName>
    <definedName name="solver_rhs1412" localSheetId="4" hidden="1">0</definedName>
    <definedName name="solver_rhs1413" localSheetId="2" hidden="1">0</definedName>
    <definedName name="solver_rhs1413" localSheetId="4" hidden="1">0</definedName>
    <definedName name="solver_rhs1414" localSheetId="2" hidden="1">0</definedName>
    <definedName name="solver_rhs1414" localSheetId="4" hidden="1">0</definedName>
    <definedName name="solver_rhs1415" localSheetId="2" hidden="1">0</definedName>
    <definedName name="solver_rhs1415" localSheetId="4" hidden="1">0</definedName>
    <definedName name="solver_rhs1416" localSheetId="2" hidden="1">0</definedName>
    <definedName name="solver_rhs1416" localSheetId="4" hidden="1">0</definedName>
    <definedName name="solver_rhs1417" localSheetId="2" hidden="1">0</definedName>
    <definedName name="solver_rhs1417" localSheetId="4" hidden="1">0</definedName>
    <definedName name="solver_rhs1418" localSheetId="2" hidden="1">0</definedName>
    <definedName name="solver_rhs1418" localSheetId="4" hidden="1">0</definedName>
    <definedName name="solver_rhs1419" localSheetId="2" hidden="1">0</definedName>
    <definedName name="solver_rhs1419" localSheetId="4" hidden="1">0</definedName>
    <definedName name="solver_rhs142" localSheetId="2" hidden="1">1E-100</definedName>
    <definedName name="solver_rhs142" localSheetId="4" hidden="1">1E-100</definedName>
    <definedName name="solver_rhs1420" localSheetId="2" hidden="1">0</definedName>
    <definedName name="solver_rhs1420" localSheetId="4" hidden="1">0</definedName>
    <definedName name="solver_rhs1421" localSheetId="2" hidden="1">0</definedName>
    <definedName name="solver_rhs1421" localSheetId="4" hidden="1">0</definedName>
    <definedName name="solver_rhs1422" localSheetId="2" hidden="1">0</definedName>
    <definedName name="solver_rhs1422" localSheetId="4" hidden="1">0</definedName>
    <definedName name="solver_rhs1423" localSheetId="2" hidden="1">0</definedName>
    <definedName name="solver_rhs1423" localSheetId="4" hidden="1">0</definedName>
    <definedName name="solver_rhs1424" localSheetId="2" hidden="1">0</definedName>
    <definedName name="solver_rhs1424" localSheetId="4" hidden="1">0</definedName>
    <definedName name="solver_rhs1425" localSheetId="2" hidden="1">0</definedName>
    <definedName name="solver_rhs1425" localSheetId="4" hidden="1">0</definedName>
    <definedName name="solver_rhs1426" localSheetId="2" hidden="1">0</definedName>
    <definedName name="solver_rhs1426" localSheetId="4" hidden="1">0</definedName>
    <definedName name="solver_rhs1427" localSheetId="2" hidden="1">0</definedName>
    <definedName name="solver_rhs1427" localSheetId="4" hidden="1">0</definedName>
    <definedName name="solver_rhs1428" localSheetId="2" hidden="1">0</definedName>
    <definedName name="solver_rhs1428" localSheetId="4" hidden="1">0</definedName>
    <definedName name="solver_rhs1429" localSheetId="2" hidden="1">0</definedName>
    <definedName name="solver_rhs1429" localSheetId="4" hidden="1">0</definedName>
    <definedName name="solver_rhs143" localSheetId="2" hidden="1">1E-100</definedName>
    <definedName name="solver_rhs143" localSheetId="4" hidden="1">1E-100</definedName>
    <definedName name="solver_rhs1430" localSheetId="2" hidden="1">0</definedName>
    <definedName name="solver_rhs1430" localSheetId="4" hidden="1">0</definedName>
    <definedName name="solver_rhs1431" localSheetId="2" hidden="1">0</definedName>
    <definedName name="solver_rhs1431" localSheetId="4" hidden="1">0</definedName>
    <definedName name="solver_rhs1432" localSheetId="2" hidden="1">0</definedName>
    <definedName name="solver_rhs1432" localSheetId="4" hidden="1">0</definedName>
    <definedName name="solver_rhs1433" localSheetId="2" hidden="1">0</definedName>
    <definedName name="solver_rhs1433" localSheetId="4" hidden="1">0</definedName>
    <definedName name="solver_rhs1434" localSheetId="2" hidden="1">0</definedName>
    <definedName name="solver_rhs1434" localSheetId="4" hidden="1">0</definedName>
    <definedName name="solver_rhs1435" localSheetId="2" hidden="1">0</definedName>
    <definedName name="solver_rhs1435" localSheetId="4" hidden="1">0</definedName>
    <definedName name="solver_rhs1436" localSheetId="2" hidden="1">0</definedName>
    <definedName name="solver_rhs1436" localSheetId="4" hidden="1">0</definedName>
    <definedName name="solver_rhs1437" localSheetId="2" hidden="1">0</definedName>
    <definedName name="solver_rhs1437" localSheetId="4" hidden="1">0</definedName>
    <definedName name="solver_rhs1438" localSheetId="2" hidden="1">0</definedName>
    <definedName name="solver_rhs1438" localSheetId="4" hidden="1">0</definedName>
    <definedName name="solver_rhs1439" localSheetId="2" hidden="1">0</definedName>
    <definedName name="solver_rhs1439" localSheetId="4" hidden="1">0</definedName>
    <definedName name="solver_rhs144" localSheetId="2" hidden="1">1E-100</definedName>
    <definedName name="solver_rhs144" localSheetId="4" hidden="1">1E-100</definedName>
    <definedName name="solver_rhs1440" localSheetId="2" hidden="1">0</definedName>
    <definedName name="solver_rhs1440" localSheetId="4" hidden="1">0</definedName>
    <definedName name="solver_rhs1441" localSheetId="2" hidden="1">0</definedName>
    <definedName name="solver_rhs1441" localSheetId="4" hidden="1">0</definedName>
    <definedName name="solver_rhs1442" localSheetId="2" hidden="1">0</definedName>
    <definedName name="solver_rhs1442" localSheetId="4" hidden="1">0</definedName>
    <definedName name="solver_rhs1443" localSheetId="2" hidden="1">0</definedName>
    <definedName name="solver_rhs1443" localSheetId="4" hidden="1">0</definedName>
    <definedName name="solver_rhs1444" localSheetId="2" hidden="1">0</definedName>
    <definedName name="solver_rhs1444" localSheetId="4" hidden="1">0</definedName>
    <definedName name="solver_rhs1445" localSheetId="2" hidden="1">0</definedName>
    <definedName name="solver_rhs1445" localSheetId="4" hidden="1">0</definedName>
    <definedName name="solver_rhs1446" localSheetId="2" hidden="1">0</definedName>
    <definedName name="solver_rhs1446" localSheetId="4" hidden="1">0</definedName>
    <definedName name="solver_rhs1447" localSheetId="2" hidden="1">0</definedName>
    <definedName name="solver_rhs1447" localSheetId="4" hidden="1">0</definedName>
    <definedName name="solver_rhs1448" localSheetId="2" hidden="1">0</definedName>
    <definedName name="solver_rhs1448" localSheetId="4" hidden="1">0</definedName>
    <definedName name="solver_rhs1449" localSheetId="2" hidden="1">0</definedName>
    <definedName name="solver_rhs1449" localSheetId="4" hidden="1">0</definedName>
    <definedName name="solver_rhs145" localSheetId="2" hidden="1">1E-100</definedName>
    <definedName name="solver_rhs145" localSheetId="4" hidden="1">1E-100</definedName>
    <definedName name="solver_rhs1450" localSheetId="2" hidden="1">0</definedName>
    <definedName name="solver_rhs1450" localSheetId="4" hidden="1">0</definedName>
    <definedName name="solver_rhs1451" localSheetId="2" hidden="1">0</definedName>
    <definedName name="solver_rhs1451" localSheetId="4" hidden="1">0</definedName>
    <definedName name="solver_rhs1452" localSheetId="2" hidden="1">0</definedName>
    <definedName name="solver_rhs1452" localSheetId="4" hidden="1">0</definedName>
    <definedName name="solver_rhs1453" localSheetId="2" hidden="1">0</definedName>
    <definedName name="solver_rhs1453" localSheetId="4" hidden="1">0</definedName>
    <definedName name="solver_rhs1454" localSheetId="2" hidden="1">0</definedName>
    <definedName name="solver_rhs1454" localSheetId="4" hidden="1">0</definedName>
    <definedName name="solver_rhs1455" localSheetId="2" hidden="1">0</definedName>
    <definedName name="solver_rhs1455" localSheetId="4" hidden="1">0</definedName>
    <definedName name="solver_rhs1456" localSheetId="2" hidden="1">0</definedName>
    <definedName name="solver_rhs1456" localSheetId="4" hidden="1">0</definedName>
    <definedName name="solver_rhs1457" localSheetId="2" hidden="1">0</definedName>
    <definedName name="solver_rhs1457" localSheetId="4" hidden="1">0</definedName>
    <definedName name="solver_rhs1458" localSheetId="2" hidden="1">0</definedName>
    <definedName name="solver_rhs1458" localSheetId="4" hidden="1">0</definedName>
    <definedName name="solver_rhs1459" localSheetId="2" hidden="1">0</definedName>
    <definedName name="solver_rhs1459" localSheetId="4" hidden="1">0</definedName>
    <definedName name="solver_rhs146" localSheetId="2" hidden="1">1E-100</definedName>
    <definedName name="solver_rhs146" localSheetId="4" hidden="1">1E-100</definedName>
    <definedName name="solver_rhs1460" localSheetId="2" hidden="1">0</definedName>
    <definedName name="solver_rhs1460" localSheetId="4" hidden="1">0</definedName>
    <definedName name="solver_rhs1461" localSheetId="2" hidden="1">0</definedName>
    <definedName name="solver_rhs1461" localSheetId="4" hidden="1">0</definedName>
    <definedName name="solver_rhs1462" localSheetId="2" hidden="1">0</definedName>
    <definedName name="solver_rhs1462" localSheetId="4" hidden="1">0</definedName>
    <definedName name="solver_rhs1463" localSheetId="2" hidden="1">0</definedName>
    <definedName name="solver_rhs1463" localSheetId="4" hidden="1">0</definedName>
    <definedName name="solver_rhs1464" localSheetId="2" hidden="1">0</definedName>
    <definedName name="solver_rhs1464" localSheetId="4" hidden="1">0</definedName>
    <definedName name="solver_rhs1465" localSheetId="2" hidden="1">0</definedName>
    <definedName name="solver_rhs1465" localSheetId="4" hidden="1">0</definedName>
    <definedName name="solver_rhs1466" localSheetId="2" hidden="1">0</definedName>
    <definedName name="solver_rhs1466" localSheetId="4" hidden="1">0</definedName>
    <definedName name="solver_rhs1467" localSheetId="2" hidden="1">0</definedName>
    <definedName name="solver_rhs1467" localSheetId="4" hidden="1">0</definedName>
    <definedName name="solver_rhs1468" localSheetId="2" hidden="1">0</definedName>
    <definedName name="solver_rhs1468" localSheetId="4" hidden="1">0</definedName>
    <definedName name="solver_rhs1469" localSheetId="2" hidden="1">0</definedName>
    <definedName name="solver_rhs1469" localSheetId="4" hidden="1">0</definedName>
    <definedName name="solver_rhs147" localSheetId="2" hidden="1">1E-100</definedName>
    <definedName name="solver_rhs147" localSheetId="4" hidden="1">1E-100</definedName>
    <definedName name="solver_rhs1470" localSheetId="2" hidden="1">0</definedName>
    <definedName name="solver_rhs1470" localSheetId="4" hidden="1">0</definedName>
    <definedName name="solver_rhs1471" localSheetId="2" hidden="1">0</definedName>
    <definedName name="solver_rhs1471" localSheetId="4" hidden="1">0</definedName>
    <definedName name="solver_rhs1472" localSheetId="2" hidden="1">0</definedName>
    <definedName name="solver_rhs1472" localSheetId="4" hidden="1">0</definedName>
    <definedName name="solver_rhs1473" localSheetId="2" hidden="1">0</definedName>
    <definedName name="solver_rhs1473" localSheetId="4" hidden="1">0</definedName>
    <definedName name="solver_rhs1474" localSheetId="2" hidden="1">0</definedName>
    <definedName name="solver_rhs1474" localSheetId="4" hidden="1">0</definedName>
    <definedName name="solver_rhs1475" localSheetId="2" hidden="1">0</definedName>
    <definedName name="solver_rhs1475" localSheetId="4" hidden="1">0</definedName>
    <definedName name="solver_rhs1476" localSheetId="2" hidden="1">0</definedName>
    <definedName name="solver_rhs1476" localSheetId="4" hidden="1">0</definedName>
    <definedName name="solver_rhs1477" localSheetId="2" hidden="1">0</definedName>
    <definedName name="solver_rhs1477" localSheetId="4" hidden="1">0</definedName>
    <definedName name="solver_rhs1478" localSheetId="2" hidden="1">0</definedName>
    <definedName name="solver_rhs1478" localSheetId="4" hidden="1">0</definedName>
    <definedName name="solver_rhs1479" localSheetId="2" hidden="1">0</definedName>
    <definedName name="solver_rhs1479" localSheetId="4" hidden="1">0</definedName>
    <definedName name="solver_rhs148" localSheetId="2" hidden="1">1E-100</definedName>
    <definedName name="solver_rhs148" localSheetId="4" hidden="1">1E-100</definedName>
    <definedName name="solver_rhs1480" localSheetId="2" hidden="1">0</definedName>
    <definedName name="solver_rhs1480" localSheetId="4" hidden="1">0</definedName>
    <definedName name="solver_rhs1481" localSheetId="2" hidden="1">0</definedName>
    <definedName name="solver_rhs1481" localSheetId="4" hidden="1">0</definedName>
    <definedName name="solver_rhs1482" localSheetId="2" hidden="1">0</definedName>
    <definedName name="solver_rhs1482" localSheetId="4" hidden="1">0</definedName>
    <definedName name="solver_rhs1483" localSheetId="2" hidden="1">0</definedName>
    <definedName name="solver_rhs1483" localSheetId="4" hidden="1">0</definedName>
    <definedName name="solver_rhs1484" localSheetId="2" hidden="1">0</definedName>
    <definedName name="solver_rhs1484" localSheetId="4" hidden="1">0</definedName>
    <definedName name="solver_rhs1485" localSheetId="2" hidden="1">0</definedName>
    <definedName name="solver_rhs1485" localSheetId="4" hidden="1">0</definedName>
    <definedName name="solver_rhs1486" localSheetId="2" hidden="1">0</definedName>
    <definedName name="solver_rhs1486" localSheetId="4" hidden="1">0</definedName>
    <definedName name="solver_rhs1487" localSheetId="2" hidden="1">0</definedName>
    <definedName name="solver_rhs1487" localSheetId="4" hidden="1">0</definedName>
    <definedName name="solver_rhs1488" localSheetId="2" hidden="1">0</definedName>
    <definedName name="solver_rhs1488" localSheetId="4" hidden="1">0</definedName>
    <definedName name="solver_rhs1489" localSheetId="2" hidden="1">0</definedName>
    <definedName name="solver_rhs1489" localSheetId="4" hidden="1">0</definedName>
    <definedName name="solver_rhs149" localSheetId="2" hidden="1">1E-100</definedName>
    <definedName name="solver_rhs149" localSheetId="4" hidden="1">1E-100</definedName>
    <definedName name="solver_rhs1490" localSheetId="2" hidden="1">0</definedName>
    <definedName name="solver_rhs1490" localSheetId="4" hidden="1">0</definedName>
    <definedName name="solver_rhs1491" localSheetId="2" hidden="1">0</definedName>
    <definedName name="solver_rhs1491" localSheetId="4" hidden="1">0</definedName>
    <definedName name="solver_rhs1492" localSheetId="2" hidden="1">0</definedName>
    <definedName name="solver_rhs1492" localSheetId="4" hidden="1">0</definedName>
    <definedName name="solver_rhs1493" localSheetId="2" hidden="1">0</definedName>
    <definedName name="solver_rhs1493" localSheetId="4" hidden="1">0</definedName>
    <definedName name="solver_rhs1494" localSheetId="2" hidden="1">0</definedName>
    <definedName name="solver_rhs1494" localSheetId="4" hidden="1">0</definedName>
    <definedName name="solver_rhs1495" localSheetId="2" hidden="1">0</definedName>
    <definedName name="solver_rhs1495" localSheetId="4" hidden="1">0</definedName>
    <definedName name="solver_rhs1496" localSheetId="2" hidden="1">0</definedName>
    <definedName name="solver_rhs1496" localSheetId="4" hidden="1">0</definedName>
    <definedName name="solver_rhs1497" localSheetId="2" hidden="1">0</definedName>
    <definedName name="solver_rhs1497" localSheetId="4" hidden="1">0</definedName>
    <definedName name="solver_rhs1498" localSheetId="2" hidden="1">0</definedName>
    <definedName name="solver_rhs1498" localSheetId="4" hidden="1">0</definedName>
    <definedName name="solver_rhs1499" localSheetId="2" hidden="1">0</definedName>
    <definedName name="solver_rhs1499" localSheetId="4" hidden="1">0</definedName>
    <definedName name="solver_rhs15" localSheetId="0" hidden="1">'Data input'!$C$114</definedName>
    <definedName name="solver_rhs15" localSheetId="2" hidden="1">0</definedName>
    <definedName name="solver_rhs15" localSheetId="4" hidden="1">0</definedName>
    <definedName name="solver_rhs150" localSheetId="2" hidden="1">1E-100</definedName>
    <definedName name="solver_rhs150" localSheetId="4" hidden="1">1E-100</definedName>
    <definedName name="solver_rhs1500" localSheetId="2" hidden="1">0</definedName>
    <definedName name="solver_rhs1500" localSheetId="4" hidden="1">0</definedName>
    <definedName name="solver_rhs1501" localSheetId="2" hidden="1">0</definedName>
    <definedName name="solver_rhs1501" localSheetId="4" hidden="1">0</definedName>
    <definedName name="solver_rhs1502" localSheetId="2" hidden="1">0</definedName>
    <definedName name="solver_rhs1502" localSheetId="4" hidden="1">0</definedName>
    <definedName name="solver_rhs1503" localSheetId="2" hidden="1">0</definedName>
    <definedName name="solver_rhs1503" localSheetId="4" hidden="1">0</definedName>
    <definedName name="solver_rhs1504" localSheetId="2" hidden="1">0</definedName>
    <definedName name="solver_rhs1504" localSheetId="4" hidden="1">0</definedName>
    <definedName name="solver_rhs1505" localSheetId="2" hidden="1">0</definedName>
    <definedName name="solver_rhs1505" localSheetId="4" hidden="1">0</definedName>
    <definedName name="solver_rhs1506" localSheetId="2" hidden="1">0</definedName>
    <definedName name="solver_rhs1506" localSheetId="4" hidden="1">0</definedName>
    <definedName name="solver_rhs1507" localSheetId="2" hidden="1">0</definedName>
    <definedName name="solver_rhs1507" localSheetId="4" hidden="1">0</definedName>
    <definedName name="solver_rhs1508" localSheetId="2" hidden="1">0</definedName>
    <definedName name="solver_rhs1508" localSheetId="4" hidden="1">0</definedName>
    <definedName name="solver_rhs1509" localSheetId="2" hidden="1">0</definedName>
    <definedName name="solver_rhs1509" localSheetId="4" hidden="1">0</definedName>
    <definedName name="solver_rhs151" localSheetId="2" hidden="1">1E-100</definedName>
    <definedName name="solver_rhs151" localSheetId="4" hidden="1">1E-100</definedName>
    <definedName name="solver_rhs1510" localSheetId="2" hidden="1">0</definedName>
    <definedName name="solver_rhs1510" localSheetId="4" hidden="1">0</definedName>
    <definedName name="solver_rhs1511" localSheetId="2" hidden="1">0</definedName>
    <definedName name="solver_rhs1511" localSheetId="4" hidden="1">0</definedName>
    <definedName name="solver_rhs1512" localSheetId="2" hidden="1">0</definedName>
    <definedName name="solver_rhs1512" localSheetId="4" hidden="1">0</definedName>
    <definedName name="solver_rhs1513" localSheetId="2" hidden="1">0</definedName>
    <definedName name="solver_rhs1513" localSheetId="4" hidden="1">0</definedName>
    <definedName name="solver_rhs1514" localSheetId="2" hidden="1">0</definedName>
    <definedName name="solver_rhs1514" localSheetId="4" hidden="1">0</definedName>
    <definedName name="solver_rhs1515" localSheetId="2" hidden="1">0</definedName>
    <definedName name="solver_rhs1515" localSheetId="4" hidden="1">0</definedName>
    <definedName name="solver_rhs1516" localSheetId="2" hidden="1">0</definedName>
    <definedName name="solver_rhs1516" localSheetId="4" hidden="1">0</definedName>
    <definedName name="solver_rhs1517" localSheetId="2" hidden="1">0</definedName>
    <definedName name="solver_rhs1517" localSheetId="4" hidden="1">0</definedName>
    <definedName name="solver_rhs1518" localSheetId="2" hidden="1">0</definedName>
    <definedName name="solver_rhs1518" localSheetId="4" hidden="1">0</definedName>
    <definedName name="solver_rhs1519" localSheetId="2" hidden="1">0</definedName>
    <definedName name="solver_rhs1519" localSheetId="4" hidden="1">0</definedName>
    <definedName name="solver_rhs152" localSheetId="2" hidden="1">1E-100</definedName>
    <definedName name="solver_rhs152" localSheetId="4" hidden="1">1E-100</definedName>
    <definedName name="solver_rhs1520" localSheetId="2" hidden="1">0</definedName>
    <definedName name="solver_rhs1520" localSheetId="4" hidden="1">0</definedName>
    <definedName name="solver_rhs1521" localSheetId="2" hidden="1">0</definedName>
    <definedName name="solver_rhs1521" localSheetId="4" hidden="1">0</definedName>
    <definedName name="solver_rhs1522" localSheetId="2" hidden="1">0</definedName>
    <definedName name="solver_rhs1522" localSheetId="4" hidden="1">0</definedName>
    <definedName name="solver_rhs1523" localSheetId="2" hidden="1">0</definedName>
    <definedName name="solver_rhs1523" localSheetId="4" hidden="1">0</definedName>
    <definedName name="solver_rhs1524" localSheetId="2" hidden="1">0</definedName>
    <definedName name="solver_rhs1524" localSheetId="4" hidden="1">0</definedName>
    <definedName name="solver_rhs1525" localSheetId="2" hidden="1">0</definedName>
    <definedName name="solver_rhs1525" localSheetId="4" hidden="1">0</definedName>
    <definedName name="solver_rhs1526" localSheetId="2" hidden="1">0</definedName>
    <definedName name="solver_rhs1526" localSheetId="4" hidden="1">0</definedName>
    <definedName name="solver_rhs1527" localSheetId="2" hidden="1">0</definedName>
    <definedName name="solver_rhs1527" localSheetId="4" hidden="1">0</definedName>
    <definedName name="solver_rhs1528" localSheetId="2" hidden="1">0</definedName>
    <definedName name="solver_rhs1528" localSheetId="4" hidden="1">0</definedName>
    <definedName name="solver_rhs1529" localSheetId="2" hidden="1">0</definedName>
    <definedName name="solver_rhs1529" localSheetId="4" hidden="1">0</definedName>
    <definedName name="solver_rhs153" localSheetId="2" hidden="1">1E-100</definedName>
    <definedName name="solver_rhs153" localSheetId="4" hidden="1">1E-100</definedName>
    <definedName name="solver_rhs1530" localSheetId="2" hidden="1">0</definedName>
    <definedName name="solver_rhs1530" localSheetId="4" hidden="1">0</definedName>
    <definedName name="solver_rhs1531" localSheetId="2" hidden="1">0</definedName>
    <definedName name="solver_rhs1531" localSheetId="4" hidden="1">0</definedName>
    <definedName name="solver_rhs1532" localSheetId="2" hidden="1">0</definedName>
    <definedName name="solver_rhs1532" localSheetId="4" hidden="1">0</definedName>
    <definedName name="solver_rhs1533" localSheetId="2" hidden="1">0</definedName>
    <definedName name="solver_rhs1533" localSheetId="4" hidden="1">0</definedName>
    <definedName name="solver_rhs1534" localSheetId="2" hidden="1">0</definedName>
    <definedName name="solver_rhs1534" localSheetId="4" hidden="1">0</definedName>
    <definedName name="solver_rhs1535" localSheetId="2" hidden="1">0</definedName>
    <definedName name="solver_rhs1535" localSheetId="4" hidden="1">0</definedName>
    <definedName name="solver_rhs1536" localSheetId="2" hidden="1">0</definedName>
    <definedName name="solver_rhs1536" localSheetId="4" hidden="1">0</definedName>
    <definedName name="solver_rhs1537" localSheetId="2" hidden="1">0</definedName>
    <definedName name="solver_rhs1537" localSheetId="4" hidden="1">0</definedName>
    <definedName name="solver_rhs1538" localSheetId="2" hidden="1">0</definedName>
    <definedName name="solver_rhs1538" localSheetId="4" hidden="1">0</definedName>
    <definedName name="solver_rhs1539" localSheetId="2" hidden="1">0</definedName>
    <definedName name="solver_rhs1539" localSheetId="4" hidden="1">0</definedName>
    <definedName name="solver_rhs154" localSheetId="2" hidden="1">1E-100</definedName>
    <definedName name="solver_rhs154" localSheetId="4" hidden="1">1E-100</definedName>
    <definedName name="solver_rhs1540" localSheetId="2" hidden="1">0</definedName>
    <definedName name="solver_rhs1540" localSheetId="4" hidden="1">0</definedName>
    <definedName name="solver_rhs1541" localSheetId="2" hidden="1">0</definedName>
    <definedName name="solver_rhs1541" localSheetId="4" hidden="1">0</definedName>
    <definedName name="solver_rhs1542" localSheetId="2" hidden="1">0</definedName>
    <definedName name="solver_rhs1542" localSheetId="4" hidden="1">0</definedName>
    <definedName name="solver_rhs1543" localSheetId="2" hidden="1">0</definedName>
    <definedName name="solver_rhs1543" localSheetId="4" hidden="1">0</definedName>
    <definedName name="solver_rhs1544" localSheetId="2" hidden="1">0</definedName>
    <definedName name="solver_rhs1544" localSheetId="4" hidden="1">0</definedName>
    <definedName name="solver_rhs1545" localSheetId="2" hidden="1">0</definedName>
    <definedName name="solver_rhs1545" localSheetId="4" hidden="1">0</definedName>
    <definedName name="solver_rhs1546" localSheetId="2" hidden="1">0</definedName>
    <definedName name="solver_rhs1546" localSheetId="4" hidden="1">0</definedName>
    <definedName name="solver_rhs1547" localSheetId="2" hidden="1">0</definedName>
    <definedName name="solver_rhs1547" localSheetId="4" hidden="1">0</definedName>
    <definedName name="solver_rhs1548" localSheetId="2" hidden="1">0</definedName>
    <definedName name="solver_rhs1548" localSheetId="4" hidden="1">0</definedName>
    <definedName name="solver_rhs1549" localSheetId="2" hidden="1">0</definedName>
    <definedName name="solver_rhs1549" localSheetId="4" hidden="1">0</definedName>
    <definedName name="solver_rhs155" localSheetId="2" hidden="1">1E-100</definedName>
    <definedName name="solver_rhs155" localSheetId="4" hidden="1">1E-100</definedName>
    <definedName name="solver_rhs1550" localSheetId="2" hidden="1">0</definedName>
    <definedName name="solver_rhs1550" localSheetId="4" hidden="1">0</definedName>
    <definedName name="solver_rhs1551" localSheetId="2" hidden="1">0</definedName>
    <definedName name="solver_rhs1551" localSheetId="4" hidden="1">0</definedName>
    <definedName name="solver_rhs1552" localSheetId="2" hidden="1">0</definedName>
    <definedName name="solver_rhs1552" localSheetId="4" hidden="1">0</definedName>
    <definedName name="solver_rhs1553" localSheetId="2" hidden="1">0</definedName>
    <definedName name="solver_rhs1553" localSheetId="4" hidden="1">0</definedName>
    <definedName name="solver_rhs1554" localSheetId="2" hidden="1">'Run CRS'!$H$107:$I$107</definedName>
    <definedName name="solver_rhs1554" localSheetId="4" hidden="1">'Run VRS'!$H$107:$I$107</definedName>
    <definedName name="solver_rhs1555" localSheetId="2" hidden="1">0</definedName>
    <definedName name="solver_rhs1555" localSheetId="4" hidden="1">0</definedName>
    <definedName name="solver_rhs1556" localSheetId="2" hidden="1">'Run CRS'!$H$107:$I$107</definedName>
    <definedName name="solver_rhs1556" localSheetId="4" hidden="1">'Run VRS'!$H$107:$I$107</definedName>
    <definedName name="solver_rhs1557" localSheetId="2" hidden="1">0</definedName>
    <definedName name="solver_rhs1557" localSheetId="4" hidden="1">0</definedName>
    <definedName name="solver_rhs1558" localSheetId="2" hidden="1">'Run CRS'!$H$107:$I$107</definedName>
    <definedName name="solver_rhs1558" localSheetId="4" hidden="1">'Run VRS'!$H$107:$I$107</definedName>
    <definedName name="solver_rhs1559" localSheetId="2" hidden="1">0</definedName>
    <definedName name="solver_rhs1559" localSheetId="4" hidden="1">0</definedName>
    <definedName name="solver_rhs156" localSheetId="2" hidden="1">1E-100</definedName>
    <definedName name="solver_rhs156" localSheetId="4" hidden="1">1E-100</definedName>
    <definedName name="solver_rhs1560" localSheetId="2" hidden="1">'Run CRS'!$H$107:$I$107</definedName>
    <definedName name="solver_rhs1560" localSheetId="4" hidden="1">'Run VRS'!$H$107:$I$107</definedName>
    <definedName name="solver_rhs1561" localSheetId="2" hidden="1">0</definedName>
    <definedName name="solver_rhs1561" localSheetId="4" hidden="1">0</definedName>
    <definedName name="solver_rhs1562" localSheetId="2" hidden="1">'Run CRS'!$H$107:$I$107</definedName>
    <definedName name="solver_rhs1562" localSheetId="4" hidden="1">'Run VRS'!$H$107:$I$107</definedName>
    <definedName name="solver_rhs1563" localSheetId="2" hidden="1">'Run CRS'!$H$107:$I$107</definedName>
    <definedName name="solver_rhs1563" localSheetId="4" hidden="1">'Run VRS'!$H$107:$I$107</definedName>
    <definedName name="solver_rhs1564" localSheetId="2" hidden="1">'Run CRS'!$H$107:$I$107</definedName>
    <definedName name="solver_rhs1564" localSheetId="4" hidden="1">'Run VRS'!$H$107:$I$107</definedName>
    <definedName name="solver_rhs1565" localSheetId="2" hidden="1">'Run CRS'!$H$107:$I$107</definedName>
    <definedName name="solver_rhs1565" localSheetId="4" hidden="1">'Run VRS'!$H$107:$I$107</definedName>
    <definedName name="solver_rhs1566" localSheetId="2" hidden="1">'Run CRS'!$H$107:$I$107</definedName>
    <definedName name="solver_rhs1566" localSheetId="4" hidden="1">'Run VRS'!$H$107:$I$107</definedName>
    <definedName name="solver_rhs1567" localSheetId="2" hidden="1">'Run CRS'!$H$107:$I$107</definedName>
    <definedName name="solver_rhs1567" localSheetId="4" hidden="1">'Run VRS'!$H$107:$I$107</definedName>
    <definedName name="solver_rhs1568" localSheetId="2" hidden="1">'Run CRS'!$H$107:$I$107</definedName>
    <definedName name="solver_rhs1568" localSheetId="4" hidden="1">'Run VRS'!$H$107:$I$107</definedName>
    <definedName name="solver_rhs1569" localSheetId="2" hidden="1">'Run CRS'!$H$107:$I$107</definedName>
    <definedName name="solver_rhs1569" localSheetId="4" hidden="1">'Run VRS'!$H$107:$I$107</definedName>
    <definedName name="solver_rhs157" localSheetId="2" hidden="1">1E-100</definedName>
    <definedName name="solver_rhs157" localSheetId="4" hidden="1">1E-100</definedName>
    <definedName name="solver_rhs1570" localSheetId="2" hidden="1">'Run CRS'!$H$107:$I$107</definedName>
    <definedName name="solver_rhs1570" localSheetId="4" hidden="1">'Run VRS'!$H$107:$I$107</definedName>
    <definedName name="solver_rhs1571" localSheetId="2" hidden="1">0</definedName>
    <definedName name="solver_rhs1571" localSheetId="4" hidden="1">0</definedName>
    <definedName name="solver_rhs1572" localSheetId="2" hidden="1">'Run CRS'!$H$107:$I$107</definedName>
    <definedName name="solver_rhs1572" localSheetId="4" hidden="1">'Run VRS'!$H$107:$I$107</definedName>
    <definedName name="solver_rhs1573" localSheetId="2" hidden="1">'Run CRS'!$H$107:$I$107</definedName>
    <definedName name="solver_rhs1573" localSheetId="4" hidden="1">'Run VRS'!$H$107:$I$107</definedName>
    <definedName name="solver_rhs1574" localSheetId="2" hidden="1">'Run CRS'!$H$107:$I$107</definedName>
    <definedName name="solver_rhs1574" localSheetId="4" hidden="1">'Run VRS'!$H$107:$I$107</definedName>
    <definedName name="solver_rhs1575" localSheetId="2" hidden="1">'Run CRS'!$H$107:$I$107</definedName>
    <definedName name="solver_rhs1575" localSheetId="4" hidden="1">'Run VRS'!$H$107:$I$107</definedName>
    <definedName name="solver_rhs1576" localSheetId="2" hidden="1">'Run CRS'!$H$107:$I$107</definedName>
    <definedName name="solver_rhs1576" localSheetId="4" hidden="1">'Run VRS'!$H$107:$I$107</definedName>
    <definedName name="solver_rhs1577" localSheetId="2" hidden="1">'Run CRS'!$H$107:$I$107</definedName>
    <definedName name="solver_rhs1577" localSheetId="4" hidden="1">'Run VRS'!$H$107:$I$107</definedName>
    <definedName name="solver_rhs1578" localSheetId="2" hidden="1">'Run CRS'!$H$107:$I$107</definedName>
    <definedName name="solver_rhs1578" localSheetId="4" hidden="1">'Run VRS'!$H$107:$I$107</definedName>
    <definedName name="solver_rhs1579" localSheetId="2" hidden="1">'Run CRS'!$H$107:$I$107</definedName>
    <definedName name="solver_rhs1579" localSheetId="4" hidden="1">'Run VRS'!$H$107:$I$107</definedName>
    <definedName name="solver_rhs158" localSheetId="2" hidden="1">1E-100</definedName>
    <definedName name="solver_rhs158" localSheetId="4" hidden="1">1E-100</definedName>
    <definedName name="solver_rhs1580" localSheetId="2" hidden="1">'Run CRS'!$H$107:$I$107</definedName>
    <definedName name="solver_rhs1580" localSheetId="4" hidden="1">'Run VRS'!$H$107:$I$107</definedName>
    <definedName name="solver_rhs1581" localSheetId="2" hidden="1">'Run CRS'!$H$107:$I$107</definedName>
    <definedName name="solver_rhs1581" localSheetId="4" hidden="1">'Run VRS'!$H$107:$I$107</definedName>
    <definedName name="solver_rhs1582" localSheetId="2" hidden="1">'Run CRS'!$H$107:$I$107</definedName>
    <definedName name="solver_rhs1582" localSheetId="4" hidden="1">'Run VRS'!$H$107:$I$107</definedName>
    <definedName name="solver_rhs1583" localSheetId="2" hidden="1">'Run CRS'!$H$107:$I$107</definedName>
    <definedName name="solver_rhs1583" localSheetId="4" hidden="1">'Run VRS'!$H$107:$I$107</definedName>
    <definedName name="solver_rhs1584" localSheetId="2" hidden="1">'Run CRS'!$H$107:$I$107</definedName>
    <definedName name="solver_rhs1584" localSheetId="4" hidden="1">'Run VRS'!$H$107:$I$107</definedName>
    <definedName name="solver_rhs1585" localSheetId="2" hidden="1">'Run CRS'!$H$107:$I$107</definedName>
    <definedName name="solver_rhs1585" localSheetId="4" hidden="1">'Run VRS'!$H$107:$I$107</definedName>
    <definedName name="solver_rhs1586" localSheetId="2" hidden="1">'Run CRS'!$H$107:$I$107</definedName>
    <definedName name="solver_rhs1586" localSheetId="4" hidden="1">'Run VRS'!$H$107:$I$107</definedName>
    <definedName name="solver_rhs1587" localSheetId="2" hidden="1">'Run CRS'!$H$107:$I$107</definedName>
    <definedName name="solver_rhs1587" localSheetId="4" hidden="1">'Run VRS'!$H$107:$I$107</definedName>
    <definedName name="solver_rhs1588" localSheetId="2" hidden="1">'Run CRS'!$H$107:$I$107</definedName>
    <definedName name="solver_rhs1588" localSheetId="4" hidden="1">'Run VRS'!$H$107:$I$107</definedName>
    <definedName name="solver_rhs1589" localSheetId="2" hidden="1">'Run CRS'!$H$107:$I$107</definedName>
    <definedName name="solver_rhs1589" localSheetId="4" hidden="1">'Run VRS'!$H$107:$I$107</definedName>
    <definedName name="solver_rhs159" localSheetId="2" hidden="1">1E-100</definedName>
    <definedName name="solver_rhs159" localSheetId="4" hidden="1">1E-100</definedName>
    <definedName name="solver_rhs1590" localSheetId="2" hidden="1">'Run CRS'!$H$107:$I$107</definedName>
    <definedName name="solver_rhs1590" localSheetId="4" hidden="1">'Run VRS'!$H$107:$I$107</definedName>
    <definedName name="solver_rhs1591" localSheetId="2" hidden="1">'Run CRS'!$H$107:$I$107</definedName>
    <definedName name="solver_rhs1591" localSheetId="4" hidden="1">'Run VRS'!$H$107:$I$107</definedName>
    <definedName name="solver_rhs1592" localSheetId="2" hidden="1">'Run CRS'!$H$107:$I$107</definedName>
    <definedName name="solver_rhs1592" localSheetId="4" hidden="1">'Run VRS'!$H$107:$I$107</definedName>
    <definedName name="solver_rhs1593" localSheetId="2" hidden="1">'Run CRS'!$H$107:$I$107</definedName>
    <definedName name="solver_rhs1593" localSheetId="4" hidden="1">'Run VRS'!$H$107:$I$107</definedName>
    <definedName name="solver_rhs1594" localSheetId="2" hidden="1">'Run CRS'!$H$107:$I$107</definedName>
    <definedName name="solver_rhs1594" localSheetId="4" hidden="1">'Run VRS'!$H$107:$I$107</definedName>
    <definedName name="solver_rhs1595" localSheetId="2" hidden="1">'Run CRS'!$H$107:$I$107</definedName>
    <definedName name="solver_rhs1595" localSheetId="4" hidden="1">'Run VRS'!$H$107:$I$107</definedName>
    <definedName name="solver_rhs1596" localSheetId="2" hidden="1">'Run CRS'!$H$107:$I$107</definedName>
    <definedName name="solver_rhs1596" localSheetId="4" hidden="1">'Run VRS'!$H$107:$I$107</definedName>
    <definedName name="solver_rhs1597" localSheetId="2" hidden="1">'Run CRS'!$H$107:$I$107</definedName>
    <definedName name="solver_rhs1597" localSheetId="4" hidden="1">'Run VRS'!$H$107:$I$107</definedName>
    <definedName name="solver_rhs1598" localSheetId="2" hidden="1">'Run CRS'!$H$107:$I$107</definedName>
    <definedName name="solver_rhs1598" localSheetId="4" hidden="1">'Run VRS'!$H$107:$I$107</definedName>
    <definedName name="solver_rhs1599" localSheetId="2" hidden="1">'Run CRS'!$H$107:$I$107</definedName>
    <definedName name="solver_rhs1599" localSheetId="4" hidden="1">'Run VRS'!$H$107:$I$107</definedName>
    <definedName name="solver_rhs16" localSheetId="0" hidden="1">'Data input'!$H$114:$I$114</definedName>
    <definedName name="solver_rhs16" localSheetId="2" hidden="1">'Run CRS'!$C$107</definedName>
    <definedName name="solver_rhs16" localSheetId="4" hidden="1">'Run VRS'!$C$107</definedName>
    <definedName name="solver_rhs160" localSheetId="2" hidden="1">1E-100</definedName>
    <definedName name="solver_rhs160" localSheetId="4" hidden="1">1E-100</definedName>
    <definedName name="solver_rhs1600" localSheetId="2" hidden="1">'Run CRS'!$H$107:$I$107</definedName>
    <definedName name="solver_rhs1600" localSheetId="4" hidden="1">'Run VRS'!$H$107:$I$107</definedName>
    <definedName name="solver_rhs1601" localSheetId="2" hidden="1">'Run CRS'!$H$107:$I$107</definedName>
    <definedName name="solver_rhs1601" localSheetId="4" hidden="1">'Run VRS'!$H$107:$I$107</definedName>
    <definedName name="solver_rhs1602" localSheetId="2" hidden="1">'Run CRS'!$H$107:$I$107</definedName>
    <definedName name="solver_rhs1602" localSheetId="4" hidden="1">'Run VRS'!$H$107:$I$107</definedName>
    <definedName name="solver_rhs1603" localSheetId="2" hidden="1">'Run CRS'!$H$107:$I$107</definedName>
    <definedName name="solver_rhs1603" localSheetId="4" hidden="1">'Run VRS'!$H$107:$I$107</definedName>
    <definedName name="solver_rhs1604" localSheetId="2" hidden="1">'Run CRS'!$H$107:$I$107</definedName>
    <definedName name="solver_rhs1604" localSheetId="4" hidden="1">'Run VRS'!$H$107:$I$107</definedName>
    <definedName name="solver_rhs1605" localSheetId="2" hidden="1">'Run CRS'!$H$107:$I$107</definedName>
    <definedName name="solver_rhs1605" localSheetId="4" hidden="1">'Run VRS'!$H$107:$I$107</definedName>
    <definedName name="solver_rhs1606" localSheetId="2" hidden="1">'Run CRS'!$H$107:$I$107</definedName>
    <definedName name="solver_rhs1606" localSheetId="4" hidden="1">'Run VRS'!$H$107:$I$107</definedName>
    <definedName name="solver_rhs1607" localSheetId="2" hidden="1">'Run CRS'!$H$107:$I$107</definedName>
    <definedName name="solver_rhs1607" localSheetId="4" hidden="1">'Run VRS'!$H$107:$I$107</definedName>
    <definedName name="solver_rhs1608" localSheetId="2" hidden="1">'Run CRS'!$H$107:$I$107</definedName>
    <definedName name="solver_rhs1608" localSheetId="4" hidden="1">'Run VRS'!$H$107:$I$107</definedName>
    <definedName name="solver_rhs1609" localSheetId="2" hidden="1">'Run CRS'!$H$107:$I$107</definedName>
    <definedName name="solver_rhs1609" localSheetId="4" hidden="1">'Run VRS'!$H$107:$I$107</definedName>
    <definedName name="solver_rhs161" localSheetId="2" hidden="1">1E-100</definedName>
    <definedName name="solver_rhs161" localSheetId="4" hidden="1">1E-100</definedName>
    <definedName name="solver_rhs1610" localSheetId="2" hidden="1">'Run CRS'!$H$107:$I$107</definedName>
    <definedName name="solver_rhs1610" localSheetId="4" hidden="1">'Run VRS'!$H$107:$I$107</definedName>
    <definedName name="solver_rhs1611" localSheetId="2" hidden="1">'Run CRS'!$H$107:$I$107</definedName>
    <definedName name="solver_rhs1611" localSheetId="4" hidden="1">'Run VRS'!$H$107:$I$107</definedName>
    <definedName name="solver_rhs1612" localSheetId="2" hidden="1">'Run CRS'!$H$107:$I$107</definedName>
    <definedName name="solver_rhs1612" localSheetId="4" hidden="1">'Run VRS'!$H$107:$I$107</definedName>
    <definedName name="solver_rhs1613" localSheetId="2" hidden="1">'Run CRS'!$H$107:$I$107</definedName>
    <definedName name="solver_rhs1613" localSheetId="4" hidden="1">'Run VRS'!$H$107:$I$107</definedName>
    <definedName name="solver_rhs1614" localSheetId="2" hidden="1">'Run CRS'!$H$107:$I$107</definedName>
    <definedName name="solver_rhs1614" localSheetId="4" hidden="1">'Run VRS'!$H$107:$I$107</definedName>
    <definedName name="solver_rhs1615" localSheetId="2" hidden="1">'Run CRS'!$H$107:$I$107</definedName>
    <definedName name="solver_rhs1615" localSheetId="4" hidden="1">'Run VRS'!$H$107:$I$107</definedName>
    <definedName name="solver_rhs1616" localSheetId="2" hidden="1">'Run CRS'!$H$107:$I$107</definedName>
    <definedName name="solver_rhs1616" localSheetId="4" hidden="1">'Run VRS'!$H$107:$I$107</definedName>
    <definedName name="solver_rhs1617" localSheetId="2" hidden="1">'Run CRS'!$H$107:$I$107</definedName>
    <definedName name="solver_rhs1617" localSheetId="4" hidden="1">'Run VRS'!$H$107:$I$107</definedName>
    <definedName name="solver_rhs1618" localSheetId="2" hidden="1">'Run CRS'!$H$107:$I$107</definedName>
    <definedName name="solver_rhs1618" localSheetId="4" hidden="1">'Run VRS'!$H$107:$I$107</definedName>
    <definedName name="solver_rhs1619" localSheetId="2" hidden="1">'Run CRS'!$H$107:$I$107</definedName>
    <definedName name="solver_rhs1619" localSheetId="4" hidden="1">'Run VRS'!$H$107:$I$107</definedName>
    <definedName name="solver_rhs162" localSheetId="2" hidden="1">1E-100</definedName>
    <definedName name="solver_rhs162" localSheetId="4" hidden="1">1E-100</definedName>
    <definedName name="solver_rhs1620" localSheetId="2" hidden="1">'Run CRS'!$H$107:$I$107</definedName>
    <definedName name="solver_rhs1620" localSheetId="4" hidden="1">'Run VRS'!$H$107:$I$107</definedName>
    <definedName name="solver_rhs1621" localSheetId="2" hidden="1">'Run CRS'!$H$107:$I$107</definedName>
    <definedName name="solver_rhs1621" localSheetId="4" hidden="1">'Run VRS'!$H$107:$I$107</definedName>
    <definedName name="solver_rhs1622" localSheetId="2" hidden="1">'Run CRS'!$H$107:$I$107</definedName>
    <definedName name="solver_rhs1622" localSheetId="4" hidden="1">'Run VRS'!$H$107:$I$107</definedName>
    <definedName name="solver_rhs1623" localSheetId="2" hidden="1">'Run CRS'!$H$107:$I$107</definedName>
    <definedName name="solver_rhs1623" localSheetId="4" hidden="1">'Run VRS'!$H$107:$I$107</definedName>
    <definedName name="solver_rhs1624" localSheetId="2" hidden="1">'Run CRS'!$H$107:$I$107</definedName>
    <definedName name="solver_rhs1624" localSheetId="4" hidden="1">'Run VRS'!$H$107:$I$107</definedName>
    <definedName name="solver_rhs1625" localSheetId="2" hidden="1">'Run CRS'!$H$107:$I$107</definedName>
    <definedName name="solver_rhs1625" localSheetId="4" hidden="1">'Run VRS'!$H$107:$I$107</definedName>
    <definedName name="solver_rhs1626" localSheetId="2" hidden="1">'Run CRS'!$H$107:$I$107</definedName>
    <definedName name="solver_rhs1626" localSheetId="4" hidden="1">'Run VRS'!$H$107:$I$107</definedName>
    <definedName name="solver_rhs1627" localSheetId="2" hidden="1">'Run CRS'!$H$107:$I$107</definedName>
    <definedName name="solver_rhs1627" localSheetId="4" hidden="1">'Run VRS'!$H$107:$I$107</definedName>
    <definedName name="solver_rhs1628" localSheetId="2" hidden="1">'Run CRS'!$H$107:$I$107</definedName>
    <definedName name="solver_rhs1628" localSheetId="4" hidden="1">'Run VRS'!$H$107:$I$107</definedName>
    <definedName name="solver_rhs1629" localSheetId="2" hidden="1">'Run CRS'!$H$107:$I$107</definedName>
    <definedName name="solver_rhs1629" localSheetId="4" hidden="1">'Run VRS'!$H$107:$I$107</definedName>
    <definedName name="solver_rhs163" localSheetId="2" hidden="1">1E-100</definedName>
    <definedName name="solver_rhs163" localSheetId="4" hidden="1">1E-100</definedName>
    <definedName name="solver_rhs1630" localSheetId="2" hidden="1">'Run CRS'!$H$107:$I$107</definedName>
    <definedName name="solver_rhs1630" localSheetId="4" hidden="1">'Run VRS'!$H$107:$I$107</definedName>
    <definedName name="solver_rhs1631" localSheetId="2" hidden="1">'Run CRS'!$H$107:$I$107</definedName>
    <definedName name="solver_rhs1631" localSheetId="4" hidden="1">'Run VRS'!$H$107:$I$107</definedName>
    <definedName name="solver_rhs1632" localSheetId="2" hidden="1">'Run CRS'!$H$107:$I$107</definedName>
    <definedName name="solver_rhs1632" localSheetId="4" hidden="1">'Run VRS'!$H$107:$I$107</definedName>
    <definedName name="solver_rhs1633" localSheetId="2" hidden="1">'Run CRS'!$H$107:$I$107</definedName>
    <definedName name="solver_rhs1633" localSheetId="4" hidden="1">'Run VRS'!$H$107:$I$107</definedName>
    <definedName name="solver_rhs1634" localSheetId="2" hidden="1">'Run CRS'!$H$107:$I$107</definedName>
    <definedName name="solver_rhs1634" localSheetId="4" hidden="1">'Run VRS'!$H$107:$I$107</definedName>
    <definedName name="solver_rhs1635" localSheetId="2" hidden="1">'Run CRS'!$H$107:$I$107</definedName>
    <definedName name="solver_rhs1635" localSheetId="4" hidden="1">'Run VRS'!$H$107:$I$107</definedName>
    <definedName name="solver_rhs1636" localSheetId="2" hidden="1">'Run CRS'!$H$107:$I$107</definedName>
    <definedName name="solver_rhs1636" localSheetId="4" hidden="1">'Run VRS'!$H$107:$I$107</definedName>
    <definedName name="solver_rhs1637" localSheetId="2" hidden="1">'Run CRS'!$H$107:$I$107</definedName>
    <definedName name="solver_rhs1637" localSheetId="4" hidden="1">'Run VRS'!$H$107:$I$107</definedName>
    <definedName name="solver_rhs1638" localSheetId="2" hidden="1">'Run CRS'!$H$107:$I$107</definedName>
    <definedName name="solver_rhs1638" localSheetId="4" hidden="1">'Run VRS'!$H$107:$I$107</definedName>
    <definedName name="solver_rhs1639" localSheetId="2" hidden="1">'Run CRS'!$H$107:$I$107</definedName>
    <definedName name="solver_rhs1639" localSheetId="4" hidden="1">'Run VRS'!$H$107:$I$107</definedName>
    <definedName name="solver_rhs164" localSheetId="2" hidden="1">1E-100</definedName>
    <definedName name="solver_rhs164" localSheetId="4" hidden="1">1E-100</definedName>
    <definedName name="solver_rhs1640" localSheetId="2" hidden="1">'Run CRS'!$H$107:$I$107</definedName>
    <definedName name="solver_rhs1640" localSheetId="4" hidden="1">'Run VRS'!$H$107:$I$107</definedName>
    <definedName name="solver_rhs1641" localSheetId="2" hidden="1">'Run CRS'!$H$107:$I$107</definedName>
    <definedName name="solver_rhs1641" localSheetId="4" hidden="1">'Run VRS'!$H$107:$I$107</definedName>
    <definedName name="solver_rhs1642" localSheetId="2" hidden="1">'Run CRS'!$H$107:$I$107</definedName>
    <definedName name="solver_rhs1642" localSheetId="4" hidden="1">'Run VRS'!$H$107:$I$107</definedName>
    <definedName name="solver_rhs1643" localSheetId="2" hidden="1">'Run CRS'!$H$107:$I$107</definedName>
    <definedName name="solver_rhs1643" localSheetId="4" hidden="1">'Run VRS'!$H$107:$I$107</definedName>
    <definedName name="solver_rhs1644" localSheetId="2" hidden="1">'Run CRS'!$H$107:$I$107</definedName>
    <definedName name="solver_rhs1644" localSheetId="4" hidden="1">'Run VRS'!$H$107:$I$107</definedName>
    <definedName name="solver_rhs1645" localSheetId="2" hidden="1">'Run CRS'!$H$107:$I$107</definedName>
    <definedName name="solver_rhs1645" localSheetId="4" hidden="1">'Run VRS'!$H$107:$I$107</definedName>
    <definedName name="solver_rhs1646" localSheetId="2" hidden="1">'Run CRS'!$H$107:$I$107</definedName>
    <definedName name="solver_rhs1646" localSheetId="4" hidden="1">'Run VRS'!$H$107:$I$107</definedName>
    <definedName name="solver_rhs1647" localSheetId="2" hidden="1">'Run CRS'!$H$107:$I$107</definedName>
    <definedName name="solver_rhs1647" localSheetId="4" hidden="1">'Run VRS'!$H$107:$I$107</definedName>
    <definedName name="solver_rhs1648" localSheetId="2" hidden="1">'Run CRS'!$H$107:$I$107</definedName>
    <definedName name="solver_rhs1648" localSheetId="4" hidden="1">'Run VRS'!$H$107:$I$107</definedName>
    <definedName name="solver_rhs1649" localSheetId="2" hidden="1">'Run CRS'!$H$107:$I$107</definedName>
    <definedName name="solver_rhs1649" localSheetId="4" hidden="1">'Run VRS'!$H$107:$I$107</definedName>
    <definedName name="solver_rhs165" localSheetId="2" hidden="1">1E-100</definedName>
    <definedName name="solver_rhs165" localSheetId="4" hidden="1">1E-100</definedName>
    <definedName name="solver_rhs1650" localSheetId="2" hidden="1">'Run CRS'!$H$107:$I$107</definedName>
    <definedName name="solver_rhs1650" localSheetId="4" hidden="1">'Run VRS'!$H$107:$I$107</definedName>
    <definedName name="solver_rhs1651" localSheetId="2" hidden="1">'Run CRS'!$H$107:$I$107</definedName>
    <definedName name="solver_rhs1651" localSheetId="4" hidden="1">'Run VRS'!$H$107:$I$107</definedName>
    <definedName name="solver_rhs1652" localSheetId="2" hidden="1">'Run CRS'!$H$107:$I$107</definedName>
    <definedName name="solver_rhs1652" localSheetId="4" hidden="1">'Run VRS'!$H$107:$I$107</definedName>
    <definedName name="solver_rhs1653" localSheetId="2" hidden="1">'Run CRS'!$H$107:$I$107</definedName>
    <definedName name="solver_rhs1653" localSheetId="4" hidden="1">'Run VRS'!$H$107:$I$107</definedName>
    <definedName name="solver_rhs1654" localSheetId="2" hidden="1">'Run CRS'!$H$107:$I$107</definedName>
    <definedName name="solver_rhs1654" localSheetId="4" hidden="1">'Run VRS'!$H$107:$I$107</definedName>
    <definedName name="solver_rhs1655" localSheetId="2" hidden="1">'Run CRS'!$H$107:$I$107</definedName>
    <definedName name="solver_rhs1655" localSheetId="4" hidden="1">'Run VRS'!$H$107:$I$107</definedName>
    <definedName name="solver_rhs1656" localSheetId="2" hidden="1">'Run CRS'!$H$107:$I$107</definedName>
    <definedName name="solver_rhs1656" localSheetId="4" hidden="1">'Run VRS'!$H$107:$I$107</definedName>
    <definedName name="solver_rhs1657" localSheetId="2" hidden="1">'Run CRS'!$H$107:$I$107</definedName>
    <definedName name="solver_rhs1657" localSheetId="4" hidden="1">'Run VRS'!$H$107:$I$107</definedName>
    <definedName name="solver_rhs1658" localSheetId="2" hidden="1">'Run CRS'!$H$107:$I$107</definedName>
    <definedName name="solver_rhs1658" localSheetId="4" hidden="1">'Run VRS'!$H$107:$I$107</definedName>
    <definedName name="solver_rhs1659" localSheetId="2" hidden="1">'Run CRS'!$H$107:$I$107</definedName>
    <definedName name="solver_rhs1659" localSheetId="4" hidden="1">'Run VRS'!$H$107:$I$107</definedName>
    <definedName name="solver_rhs166" localSheetId="2" hidden="1">1E-100</definedName>
    <definedName name="solver_rhs166" localSheetId="4" hidden="1">1E-100</definedName>
    <definedName name="solver_rhs1660" localSheetId="2" hidden="1">'Run CRS'!$H$107:$I$107</definedName>
    <definedName name="solver_rhs1660" localSheetId="4" hidden="1">'Run VRS'!$H$107:$I$107</definedName>
    <definedName name="solver_rhs1661" localSheetId="2" hidden="1">'Run CRS'!$H$107:$I$107</definedName>
    <definedName name="solver_rhs1661" localSheetId="4" hidden="1">'Run VRS'!$H$107:$I$107</definedName>
    <definedName name="solver_rhs1662" localSheetId="2" hidden="1">'Run CRS'!$H$107:$I$107</definedName>
    <definedName name="solver_rhs1662" localSheetId="4" hidden="1">'Run VRS'!$H$107:$I$107</definedName>
    <definedName name="solver_rhs1663" localSheetId="2" hidden="1">'Run CRS'!$H$107:$I$107</definedName>
    <definedName name="solver_rhs1663" localSheetId="4" hidden="1">'Run VRS'!$H$107:$I$107</definedName>
    <definedName name="solver_rhs1664" localSheetId="2" hidden="1">'Run CRS'!$H$107:$I$107</definedName>
    <definedName name="solver_rhs1664" localSheetId="4" hidden="1">'Run VRS'!$H$107:$I$107</definedName>
    <definedName name="solver_rhs1665" localSheetId="2" hidden="1">'Run CRS'!$H$107:$I$107</definedName>
    <definedName name="solver_rhs1665" localSheetId="4" hidden="1">'Run VRS'!$H$107:$I$107</definedName>
    <definedName name="solver_rhs1666" localSheetId="2" hidden="1">'Run CRS'!$H$107:$I$107</definedName>
    <definedName name="solver_rhs1666" localSheetId="4" hidden="1">'Run VRS'!$H$107:$I$107</definedName>
    <definedName name="solver_rhs1667" localSheetId="2" hidden="1">'Run CRS'!$H$107:$I$107</definedName>
    <definedName name="solver_rhs1667" localSheetId="4" hidden="1">'Run VRS'!$H$107:$I$107</definedName>
    <definedName name="solver_rhs1668" localSheetId="2" hidden="1">'Run CRS'!$H$107:$I$107</definedName>
    <definedName name="solver_rhs1668" localSheetId="4" hidden="1">'Run VRS'!$H$107:$I$107</definedName>
    <definedName name="solver_rhs1669" localSheetId="2" hidden="1">'Run CRS'!$H$107:$I$107</definedName>
    <definedName name="solver_rhs1669" localSheetId="4" hidden="1">'Run VRS'!$H$107:$I$107</definedName>
    <definedName name="solver_rhs167" localSheetId="2" hidden="1">1E-100</definedName>
    <definedName name="solver_rhs167" localSheetId="4" hidden="1">1E-100</definedName>
    <definedName name="solver_rhs1670" localSheetId="2" hidden="1">'Run CRS'!$H$107:$I$107</definedName>
    <definedName name="solver_rhs1670" localSheetId="4" hidden="1">'Run VRS'!$H$107:$I$107</definedName>
    <definedName name="solver_rhs1671" localSheetId="2" hidden="1">'Run CRS'!$H$107:$I$107</definedName>
    <definedName name="solver_rhs1671" localSheetId="4" hidden="1">'Run VRS'!$H$107:$I$107</definedName>
    <definedName name="solver_rhs1672" localSheetId="2" hidden="1">'Run CRS'!$H$107:$I$107</definedName>
    <definedName name="solver_rhs1672" localSheetId="4" hidden="1">'Run VRS'!$H$107:$I$107</definedName>
    <definedName name="solver_rhs1673" localSheetId="2" hidden="1">'Run CRS'!$H$107:$I$107</definedName>
    <definedName name="solver_rhs1673" localSheetId="4" hidden="1">'Run VRS'!$H$107:$I$107</definedName>
    <definedName name="solver_rhs1674" localSheetId="2" hidden="1">'Run CRS'!$H$107:$I$107</definedName>
    <definedName name="solver_rhs1674" localSheetId="4" hidden="1">'Run VRS'!$H$107:$I$107</definedName>
    <definedName name="solver_rhs1675" localSheetId="2" hidden="1">'Run CRS'!$H$107:$I$107</definedName>
    <definedName name="solver_rhs1675" localSheetId="4" hidden="1">'Run VRS'!$H$107:$I$107</definedName>
    <definedName name="solver_rhs1676" localSheetId="2" hidden="1">'Run CRS'!$H$107:$I$107</definedName>
    <definedName name="solver_rhs1676" localSheetId="4" hidden="1">'Run VRS'!$H$107:$I$107</definedName>
    <definedName name="solver_rhs1677" localSheetId="2" hidden="1">'Run CRS'!$H$107:$I$107</definedName>
    <definedName name="solver_rhs1677" localSheetId="4" hidden="1">'Run VRS'!$H$107:$I$107</definedName>
    <definedName name="solver_rhs1678" localSheetId="2" hidden="1">'Run CRS'!$H$107:$I$107</definedName>
    <definedName name="solver_rhs1678" localSheetId="4" hidden="1">'Run VRS'!$H$107:$I$107</definedName>
    <definedName name="solver_rhs1679" localSheetId="2" hidden="1">'Run CRS'!$H$107:$I$107</definedName>
    <definedName name="solver_rhs1679" localSheetId="4" hidden="1">'Run VRS'!$H$107:$I$107</definedName>
    <definedName name="solver_rhs168" localSheetId="2" hidden="1">1E-100</definedName>
    <definedName name="solver_rhs168" localSheetId="4" hidden="1">1E-100</definedName>
    <definedName name="solver_rhs1680" localSheetId="2" hidden="1">'Run CRS'!$H$107:$I$107</definedName>
    <definedName name="solver_rhs1680" localSheetId="4" hidden="1">'Run VRS'!$H$107:$I$107</definedName>
    <definedName name="solver_rhs1681" localSheetId="2" hidden="1">'Run CRS'!$H$107:$I$107</definedName>
    <definedName name="solver_rhs1681" localSheetId="4" hidden="1">'Run VRS'!$H$107:$I$107</definedName>
    <definedName name="solver_rhs1682" localSheetId="2" hidden="1">'Run CRS'!$H$107:$I$107</definedName>
    <definedName name="solver_rhs1682" localSheetId="4" hidden="1">'Run VRS'!$H$107:$I$107</definedName>
    <definedName name="solver_rhs1683" localSheetId="2" hidden="1">'Run CRS'!$H$107:$I$107</definedName>
    <definedName name="solver_rhs1683" localSheetId="4" hidden="1">'Run VRS'!$H$107:$I$107</definedName>
    <definedName name="solver_rhs1684" localSheetId="2" hidden="1">'Run CRS'!$H$107:$I$107</definedName>
    <definedName name="solver_rhs1684" localSheetId="4" hidden="1">'Run VRS'!$H$107:$I$107</definedName>
    <definedName name="solver_rhs1685" localSheetId="2" hidden="1">'Run CRS'!$H$107:$I$107</definedName>
    <definedName name="solver_rhs1685" localSheetId="4" hidden="1">'Run VRS'!$H$107:$I$107</definedName>
    <definedName name="solver_rhs1686" localSheetId="2" hidden="1">'Run CRS'!$H$107:$I$107</definedName>
    <definedName name="solver_rhs1686" localSheetId="4" hidden="1">'Run VRS'!$H$107:$I$107</definedName>
    <definedName name="solver_rhs1687" localSheetId="2" hidden="1">'Run CRS'!$H$107:$I$107</definedName>
    <definedName name="solver_rhs1687" localSheetId="4" hidden="1">'Run VRS'!$H$107:$I$107</definedName>
    <definedName name="solver_rhs1688" localSheetId="2" hidden="1">'Run CRS'!$H$107:$I$107</definedName>
    <definedName name="solver_rhs1688" localSheetId="4" hidden="1">'Run VRS'!$H$107:$I$107</definedName>
    <definedName name="solver_rhs1689" localSheetId="2" hidden="1">'Run CRS'!$H$107:$I$107</definedName>
    <definedName name="solver_rhs1689" localSheetId="4" hidden="1">'Run VRS'!$H$107:$I$107</definedName>
    <definedName name="solver_rhs169" localSheetId="2" hidden="1">1E-100</definedName>
    <definedName name="solver_rhs169" localSheetId="4" hidden="1">1E-100</definedName>
    <definedName name="solver_rhs1690" localSheetId="2" hidden="1">'Run CRS'!$H$107:$I$107</definedName>
    <definedName name="solver_rhs1690" localSheetId="4" hidden="1">'Run VRS'!$H$107:$I$107</definedName>
    <definedName name="solver_rhs1691" localSheetId="2" hidden="1">'Run CRS'!$H$107:$I$107</definedName>
    <definedName name="solver_rhs1691" localSheetId="4" hidden="1">'Run VRS'!$H$107:$I$107</definedName>
    <definedName name="solver_rhs1692" localSheetId="2" hidden="1">'Run CRS'!$H$107:$I$107</definedName>
    <definedName name="solver_rhs1692" localSheetId="4" hidden="1">'Run VRS'!$H$107:$I$107</definedName>
    <definedName name="solver_rhs1693" localSheetId="2" hidden="1">'Run CRS'!$H$107:$I$107</definedName>
    <definedName name="solver_rhs1693" localSheetId="4" hidden="1">'Run VRS'!$H$107:$I$107</definedName>
    <definedName name="solver_rhs1694" localSheetId="2" hidden="1">'Run CRS'!$H$107:$I$107</definedName>
    <definedName name="solver_rhs1694" localSheetId="4" hidden="1">'Run VRS'!$H$107:$I$107</definedName>
    <definedName name="solver_rhs1695" localSheetId="2" hidden="1">'Run CRS'!$H$107:$I$107</definedName>
    <definedName name="solver_rhs1695" localSheetId="4" hidden="1">'Run VRS'!$H$107:$I$107</definedName>
    <definedName name="solver_rhs1696" localSheetId="2" hidden="1">'Run CRS'!$H$107:$I$107</definedName>
    <definedName name="solver_rhs1696" localSheetId="4" hidden="1">'Run VRS'!$H$107:$I$107</definedName>
    <definedName name="solver_rhs1697" localSheetId="2" hidden="1">'Run CRS'!$H$107:$I$107</definedName>
    <definedName name="solver_rhs1697" localSheetId="4" hidden="1">'Run VRS'!$H$107:$I$107</definedName>
    <definedName name="solver_rhs1698" localSheetId="2" hidden="1">'Run CRS'!$H$107:$I$107</definedName>
    <definedName name="solver_rhs1698" localSheetId="4" hidden="1">'Run VRS'!$H$107:$I$107</definedName>
    <definedName name="solver_rhs1699" localSheetId="2" hidden="1">'Run CRS'!$H$107:$I$107</definedName>
    <definedName name="solver_rhs1699" localSheetId="4" hidden="1">'Run VRS'!$H$107:$I$107</definedName>
    <definedName name="solver_rhs17" localSheetId="0" hidden="1">0</definedName>
    <definedName name="solver_rhs17" localSheetId="2" hidden="1">'Run CRS'!$H$107:$I$107</definedName>
    <definedName name="solver_rhs17" localSheetId="4" hidden="1">'Run VRS'!$H$107:$I$107</definedName>
    <definedName name="solver_rhs170" localSheetId="2" hidden="1">1E-100</definedName>
    <definedName name="solver_rhs170" localSheetId="4" hidden="1">1E-100</definedName>
    <definedName name="solver_rhs1700" localSheetId="2" hidden="1">'Run CRS'!$H$107:$I$107</definedName>
    <definedName name="solver_rhs1700" localSheetId="4" hidden="1">'Run VRS'!$H$107:$I$107</definedName>
    <definedName name="solver_rhs1701" localSheetId="2" hidden="1">'Run CRS'!$H$107:$I$107</definedName>
    <definedName name="solver_rhs1701" localSheetId="4" hidden="1">'Run VRS'!$H$107:$I$107</definedName>
    <definedName name="solver_rhs1702" localSheetId="2" hidden="1">'Run CRS'!$H$107:$I$107</definedName>
    <definedName name="solver_rhs1702" localSheetId="4" hidden="1">'Run VRS'!$H$107:$I$107</definedName>
    <definedName name="solver_rhs1703" localSheetId="2" hidden="1">'Run CRS'!$H$107:$I$107</definedName>
    <definedName name="solver_rhs1703" localSheetId="4" hidden="1">'Run VRS'!$H$107:$I$107</definedName>
    <definedName name="solver_rhs1704" localSheetId="2" hidden="1">'Run CRS'!$H$107:$I$107</definedName>
    <definedName name="solver_rhs1704" localSheetId="4" hidden="1">'Run VRS'!$H$107:$I$107</definedName>
    <definedName name="solver_rhs1705" localSheetId="2" hidden="1">'Run CRS'!$H$107:$I$107</definedName>
    <definedName name="solver_rhs1705" localSheetId="4" hidden="1">'Run VRS'!$H$107:$I$107</definedName>
    <definedName name="solver_rhs1706" localSheetId="2" hidden="1">'Run CRS'!$H$107:$I$107</definedName>
    <definedName name="solver_rhs1706" localSheetId="4" hidden="1">'Run VRS'!$H$107:$I$107</definedName>
    <definedName name="solver_rhs1707" localSheetId="2" hidden="1">'Run CRS'!$H$107:$I$107</definedName>
    <definedName name="solver_rhs1707" localSheetId="4" hidden="1">'Run VRS'!$H$107:$I$107</definedName>
    <definedName name="solver_rhs1708" localSheetId="2" hidden="1">'Run CRS'!$H$107:$I$107</definedName>
    <definedName name="solver_rhs1708" localSheetId="4" hidden="1">'Run VRS'!$H$107:$I$107</definedName>
    <definedName name="solver_rhs1709" localSheetId="2" hidden="1">'Run CRS'!$H$107:$I$107</definedName>
    <definedName name="solver_rhs1709" localSheetId="4" hidden="1">'Run VRS'!$H$107:$I$107</definedName>
    <definedName name="solver_rhs171" localSheetId="2" hidden="1">1E-100</definedName>
    <definedName name="solver_rhs171" localSheetId="4" hidden="1">1E-100</definedName>
    <definedName name="solver_rhs1710" localSheetId="2" hidden="1">'Run CRS'!$H$107:$I$107</definedName>
    <definedName name="solver_rhs1710" localSheetId="4" hidden="1">'Run VRS'!$H$107:$I$107</definedName>
    <definedName name="solver_rhs1711" localSheetId="2" hidden="1">'Run CRS'!$H$107:$I$107</definedName>
    <definedName name="solver_rhs1711" localSheetId="4" hidden="1">'Run VRS'!$H$107:$I$107</definedName>
    <definedName name="solver_rhs1712" localSheetId="2" hidden="1">'Run CRS'!$H$107:$I$107</definedName>
    <definedName name="solver_rhs1712" localSheetId="4" hidden="1">'Run VRS'!$H$107:$I$107</definedName>
    <definedName name="solver_rhs1713" localSheetId="2" hidden="1">'Run CRS'!$H$107:$I$107</definedName>
    <definedName name="solver_rhs1713" localSheetId="4" hidden="1">'Run VRS'!$H$107:$I$107</definedName>
    <definedName name="solver_rhs1714" localSheetId="2" hidden="1">'Run CRS'!$H$107:$I$107</definedName>
    <definedName name="solver_rhs1714" localSheetId="4" hidden="1">'Run VRS'!$H$107:$I$107</definedName>
    <definedName name="solver_rhs1715" localSheetId="2" hidden="1">'Run CRS'!$H$107:$I$107</definedName>
    <definedName name="solver_rhs1715" localSheetId="4" hidden="1">'Run VRS'!$H$107:$I$107</definedName>
    <definedName name="solver_rhs1716" localSheetId="2" hidden="1">'Run CRS'!$H$107:$I$107</definedName>
    <definedName name="solver_rhs1716" localSheetId="4" hidden="1">'Run VRS'!$H$107:$I$107</definedName>
    <definedName name="solver_rhs1717" localSheetId="2" hidden="1">'Run CRS'!$H$107:$I$107</definedName>
    <definedName name="solver_rhs1717" localSheetId="4" hidden="1">'Run VRS'!$H$107:$I$107</definedName>
    <definedName name="solver_rhs1718" localSheetId="2" hidden="1">'Run CRS'!$H$107:$I$107</definedName>
    <definedName name="solver_rhs1718" localSheetId="4" hidden="1">'Run VRS'!$H$107:$I$107</definedName>
    <definedName name="solver_rhs1719" localSheetId="2" hidden="1">'Run CRS'!$H$107:$I$107</definedName>
    <definedName name="solver_rhs1719" localSheetId="4" hidden="1">'Run VRS'!$H$107:$I$107</definedName>
    <definedName name="solver_rhs172" localSheetId="2" hidden="1">1E-100</definedName>
    <definedName name="solver_rhs172" localSheetId="4" hidden="1">1E-100</definedName>
    <definedName name="solver_rhs1720" localSheetId="2" hidden="1">'Run CRS'!$H$107:$I$107</definedName>
    <definedName name="solver_rhs1720" localSheetId="4" hidden="1">'Run VRS'!$H$107:$I$107</definedName>
    <definedName name="solver_rhs1721" localSheetId="2" hidden="1">'Run CRS'!$H$107:$I$107</definedName>
    <definedName name="solver_rhs1721" localSheetId="4" hidden="1">'Run VRS'!$H$107:$I$107</definedName>
    <definedName name="solver_rhs1722" localSheetId="2" hidden="1">'Run CRS'!$H$107:$I$107</definedName>
    <definedName name="solver_rhs1722" localSheetId="4" hidden="1">'Run VRS'!$H$107:$I$107</definedName>
    <definedName name="solver_rhs1723" localSheetId="2" hidden="1">'Run CRS'!$H$107:$I$107</definedName>
    <definedName name="solver_rhs1723" localSheetId="4" hidden="1">'Run VRS'!$H$107:$I$107</definedName>
    <definedName name="solver_rhs1724" localSheetId="2" hidden="1">'Run CRS'!$H$107:$I$107</definedName>
    <definedName name="solver_rhs1724" localSheetId="4" hidden="1">'Run VRS'!$H$107:$I$107</definedName>
    <definedName name="solver_rhs1725" localSheetId="2" hidden="1">'Run CRS'!$H$107:$I$107</definedName>
    <definedName name="solver_rhs1725" localSheetId="4" hidden="1">'Run VRS'!$H$107:$I$107</definedName>
    <definedName name="solver_rhs1726" localSheetId="2" hidden="1">'Run CRS'!$H$107:$I$107</definedName>
    <definedName name="solver_rhs1726" localSheetId="4" hidden="1">'Run VRS'!$H$107:$I$107</definedName>
    <definedName name="solver_rhs1727" localSheetId="2" hidden="1">'Run CRS'!$H$107:$I$107</definedName>
    <definedName name="solver_rhs1727" localSheetId="4" hidden="1">'Run VRS'!$H$107:$I$107</definedName>
    <definedName name="solver_rhs1728" localSheetId="2" hidden="1">'Run CRS'!$H$107:$I$107</definedName>
    <definedName name="solver_rhs1728" localSheetId="4" hidden="1">'Run VRS'!$H$107:$I$107</definedName>
    <definedName name="solver_rhs1729" localSheetId="2" hidden="1">'Run CRS'!$H$107:$I$107</definedName>
    <definedName name="solver_rhs1729" localSheetId="4" hidden="1">'Run VRS'!$H$107:$I$107</definedName>
    <definedName name="solver_rhs173" localSheetId="2" hidden="1">1E-100</definedName>
    <definedName name="solver_rhs173" localSheetId="4" hidden="1">1E-100</definedName>
    <definedName name="solver_rhs1730" localSheetId="2" hidden="1">'Run CRS'!$H$107:$I$107</definedName>
    <definedName name="solver_rhs1730" localSheetId="4" hidden="1">'Run VRS'!$H$107:$I$107</definedName>
    <definedName name="solver_rhs1731" localSheetId="2" hidden="1">'Run CRS'!$H$107:$I$107</definedName>
    <definedName name="solver_rhs1731" localSheetId="4" hidden="1">'Run VRS'!$H$107:$I$107</definedName>
    <definedName name="solver_rhs1732" localSheetId="2" hidden="1">'Run CRS'!$H$107:$I$107</definedName>
    <definedName name="solver_rhs1732" localSheetId="4" hidden="1">'Run VRS'!$H$107:$I$107</definedName>
    <definedName name="solver_rhs1733" localSheetId="2" hidden="1">'Run CRS'!$H$107:$I$107</definedName>
    <definedName name="solver_rhs1733" localSheetId="4" hidden="1">'Run VRS'!$H$107:$I$107</definedName>
    <definedName name="solver_rhs1734" localSheetId="2" hidden="1">'Run CRS'!$H$107:$I$107</definedName>
    <definedName name="solver_rhs1734" localSheetId="4" hidden="1">'Run VRS'!$H$107:$I$107</definedName>
    <definedName name="solver_rhs1735" localSheetId="2" hidden="1">'Run CRS'!$H$107:$I$107</definedName>
    <definedName name="solver_rhs1735" localSheetId="4" hidden="1">'Run VRS'!$H$107:$I$107</definedName>
    <definedName name="solver_rhs1736" localSheetId="2" hidden="1">'Run CRS'!$H$107:$I$107</definedName>
    <definedName name="solver_rhs1736" localSheetId="4" hidden="1">'Run VRS'!$H$107:$I$107</definedName>
    <definedName name="solver_rhs1737" localSheetId="2" hidden="1">'Run CRS'!$H$107:$I$107</definedName>
    <definedName name="solver_rhs1737" localSheetId="4" hidden="1">'Run VRS'!$H$107:$I$107</definedName>
    <definedName name="solver_rhs1738" localSheetId="2" hidden="1">'Run CRS'!$H$107:$I$107</definedName>
    <definedName name="solver_rhs1738" localSheetId="4" hidden="1">'Run VRS'!$H$107:$I$107</definedName>
    <definedName name="solver_rhs1739" localSheetId="2" hidden="1">'Run CRS'!$H$107:$I$107</definedName>
    <definedName name="solver_rhs1739" localSheetId="4" hidden="1">'Run VRS'!$H$107:$I$107</definedName>
    <definedName name="solver_rhs174" localSheetId="2" hidden="1">1E-100</definedName>
    <definedName name="solver_rhs174" localSheetId="4" hidden="1">1E-100</definedName>
    <definedName name="solver_rhs1740" localSheetId="2" hidden="1">'Run CRS'!$H$107:$I$107</definedName>
    <definedName name="solver_rhs1740" localSheetId="4" hidden="1">'Run VRS'!$H$107:$I$107</definedName>
    <definedName name="solver_rhs1741" localSheetId="2" hidden="1">'Run CRS'!$H$107:$I$107</definedName>
    <definedName name="solver_rhs1741" localSheetId="4" hidden="1">'Run VRS'!$H$107:$I$107</definedName>
    <definedName name="solver_rhs1742" localSheetId="2" hidden="1">'Run CRS'!$H$107:$I$107</definedName>
    <definedName name="solver_rhs1742" localSheetId="4" hidden="1">'Run VRS'!$H$107:$I$107</definedName>
    <definedName name="solver_rhs1743" localSheetId="2" hidden="1">'Run CRS'!$H$107:$I$107</definedName>
    <definedName name="solver_rhs1743" localSheetId="4" hidden="1">'Run VRS'!$H$107:$I$107</definedName>
    <definedName name="solver_rhs1744" localSheetId="2" hidden="1">'Run CRS'!$H$107:$I$107</definedName>
    <definedName name="solver_rhs1744" localSheetId="4" hidden="1">'Run VRS'!$H$107:$I$107</definedName>
    <definedName name="solver_rhs1745" localSheetId="2" hidden="1">'Run CRS'!$H$107:$I$107</definedName>
    <definedName name="solver_rhs1745" localSheetId="4" hidden="1">'Run VRS'!$H$107:$I$107</definedName>
    <definedName name="solver_rhs1746" localSheetId="2" hidden="1">'Run CRS'!$H$107:$I$107</definedName>
    <definedName name="solver_rhs1746" localSheetId="4" hidden="1">'Run VRS'!$H$107:$I$107</definedName>
    <definedName name="solver_rhs1747" localSheetId="2" hidden="1">'Run CRS'!$H$107:$I$107</definedName>
    <definedName name="solver_rhs1747" localSheetId="4" hidden="1">'Run VRS'!$H$107:$I$107</definedName>
    <definedName name="solver_rhs1748" localSheetId="2" hidden="1">'Run CRS'!$H$107:$I$107</definedName>
    <definedName name="solver_rhs1748" localSheetId="4" hidden="1">'Run VRS'!$H$107:$I$107</definedName>
    <definedName name="solver_rhs1749" localSheetId="2" hidden="1">'Run CRS'!$H$107:$I$107</definedName>
    <definedName name="solver_rhs1749" localSheetId="4" hidden="1">'Run VRS'!$H$107:$I$107</definedName>
    <definedName name="solver_rhs175" localSheetId="2" hidden="1">1E-100</definedName>
    <definedName name="solver_rhs175" localSheetId="4" hidden="1">1E-100</definedName>
    <definedName name="solver_rhs1750" localSheetId="2" hidden="1">'Run CRS'!$H$107:$I$107</definedName>
    <definedName name="solver_rhs1750" localSheetId="4" hidden="1">'Run VRS'!$H$107:$I$107</definedName>
    <definedName name="solver_rhs1751" localSheetId="2" hidden="1">'Run CRS'!$H$107:$I$107</definedName>
    <definedName name="solver_rhs1751" localSheetId="4" hidden="1">'Run VRS'!$H$107:$I$107</definedName>
    <definedName name="solver_rhs1752" localSheetId="2" hidden="1">'Run CRS'!$H$107:$I$107</definedName>
    <definedName name="solver_rhs1752" localSheetId="4" hidden="1">'Run VRS'!$H$107:$I$107</definedName>
    <definedName name="solver_rhs1753" localSheetId="2" hidden="1">'Run CRS'!$H$107:$I$107</definedName>
    <definedName name="solver_rhs1753" localSheetId="4" hidden="1">'Run VRS'!$H$107:$I$107</definedName>
    <definedName name="solver_rhs1754" localSheetId="2" hidden="1">'Run CRS'!$H$107:$I$107</definedName>
    <definedName name="solver_rhs1754" localSheetId="4" hidden="1">'Run VRS'!$H$107:$I$107</definedName>
    <definedName name="solver_rhs1755" localSheetId="2" hidden="1">'Run CRS'!$H$107:$I$107</definedName>
    <definedName name="solver_rhs1755" localSheetId="4" hidden="1">'Run VRS'!$H$107:$I$107</definedName>
    <definedName name="solver_rhs1756" localSheetId="2" hidden="1">'Run CRS'!$H$107:$I$107</definedName>
    <definedName name="solver_rhs1756" localSheetId="4" hidden="1">'Run VRS'!$H$107:$I$107</definedName>
    <definedName name="solver_rhs1757" localSheetId="2" hidden="1">'Run CRS'!$H$107:$I$107</definedName>
    <definedName name="solver_rhs1757" localSheetId="4" hidden="1">'Run VRS'!$H$107:$I$107</definedName>
    <definedName name="solver_rhs1758" localSheetId="2" hidden="1">'Run CRS'!$H$107:$I$107</definedName>
    <definedName name="solver_rhs1758" localSheetId="4" hidden="1">'Run VRS'!$H$107:$I$107</definedName>
    <definedName name="solver_rhs1759" localSheetId="2" hidden="1">'Run CRS'!$H$107:$I$107</definedName>
    <definedName name="solver_rhs1759" localSheetId="4" hidden="1">'Run VRS'!$H$107:$I$107</definedName>
    <definedName name="solver_rhs176" localSheetId="2" hidden="1">1E-100</definedName>
    <definedName name="solver_rhs176" localSheetId="4" hidden="1">1E-100</definedName>
    <definedName name="solver_rhs1760" localSheetId="2" hidden="1">'Run CRS'!$H$107:$I$107</definedName>
    <definedName name="solver_rhs1760" localSheetId="4" hidden="1">'Run VRS'!$H$107:$I$107</definedName>
    <definedName name="solver_rhs1761" localSheetId="2" hidden="1">'Run CRS'!$H$107:$I$107</definedName>
    <definedName name="solver_rhs1761" localSheetId="4" hidden="1">'Run VRS'!$H$107:$I$107</definedName>
    <definedName name="solver_rhs1762" localSheetId="2" hidden="1">'Run CRS'!$H$107:$I$107</definedName>
    <definedName name="solver_rhs1762" localSheetId="4" hidden="1">'Run VRS'!$H$107:$I$107</definedName>
    <definedName name="solver_rhs1763" localSheetId="2" hidden="1">'Run CRS'!$H$107:$I$107</definedName>
    <definedName name="solver_rhs1763" localSheetId="4" hidden="1">'Run VRS'!$H$107:$I$107</definedName>
    <definedName name="solver_rhs1764" localSheetId="2" hidden="1">'Run CRS'!$H$107:$I$107</definedName>
    <definedName name="solver_rhs1764" localSheetId="4" hidden="1">'Run VRS'!$H$107:$I$107</definedName>
    <definedName name="solver_rhs1765" localSheetId="2" hidden="1">'Run CRS'!$H$107:$I$107</definedName>
    <definedName name="solver_rhs1765" localSheetId="4" hidden="1">'Run VRS'!$H$107:$I$107</definedName>
    <definedName name="solver_rhs1766" localSheetId="2" hidden="1">'Run CRS'!$H$107:$I$107</definedName>
    <definedName name="solver_rhs1766" localSheetId="4" hidden="1">'Run VRS'!$H$107:$I$107</definedName>
    <definedName name="solver_rhs1767" localSheetId="2" hidden="1">'Run CRS'!$H$107:$I$107</definedName>
    <definedName name="solver_rhs1767" localSheetId="4" hidden="1">'Run VRS'!$H$107:$I$107</definedName>
    <definedName name="solver_rhs1768" localSheetId="2" hidden="1">'Run CRS'!$H$107:$I$107</definedName>
    <definedName name="solver_rhs1768" localSheetId="4" hidden="1">'Run VRS'!$H$107:$I$107</definedName>
    <definedName name="solver_rhs1769" localSheetId="2" hidden="1">'Run CRS'!$H$107:$I$107</definedName>
    <definedName name="solver_rhs1769" localSheetId="4" hidden="1">'Run VRS'!$H$107:$I$107</definedName>
    <definedName name="solver_rhs177" localSheetId="2" hidden="1">1E-100</definedName>
    <definedName name="solver_rhs177" localSheetId="4" hidden="1">1E-100</definedName>
    <definedName name="solver_rhs1770" localSheetId="2" hidden="1">'Run CRS'!$H$107:$I$107</definedName>
    <definedName name="solver_rhs1770" localSheetId="4" hidden="1">'Run VRS'!$H$107:$I$107</definedName>
    <definedName name="solver_rhs1771" localSheetId="2" hidden="1">'Run CRS'!$H$107:$I$107</definedName>
    <definedName name="solver_rhs1771" localSheetId="4" hidden="1">'Run VRS'!$H$107:$I$107</definedName>
    <definedName name="solver_rhs1772" localSheetId="2" hidden="1">'Run CRS'!$H$107:$I$107</definedName>
    <definedName name="solver_rhs1772" localSheetId="4" hidden="1">'Run VRS'!$H$107:$I$107</definedName>
    <definedName name="solver_rhs1773" localSheetId="2" hidden="1">'Run CRS'!$H$107:$I$107</definedName>
    <definedName name="solver_rhs1773" localSheetId="4" hidden="1">'Run VRS'!$H$107:$I$107</definedName>
    <definedName name="solver_rhs1774" localSheetId="2" hidden="1">'Run CRS'!$H$107:$I$107</definedName>
    <definedName name="solver_rhs1774" localSheetId="4" hidden="1">'Run VRS'!$H$107:$I$107</definedName>
    <definedName name="solver_rhs1775" localSheetId="2" hidden="1">'Run CRS'!$H$107:$I$107</definedName>
    <definedName name="solver_rhs1775" localSheetId="4" hidden="1">'Run VRS'!$H$107:$I$107</definedName>
    <definedName name="solver_rhs1776" localSheetId="2" hidden="1">'Run CRS'!$M$107:$V$107</definedName>
    <definedName name="solver_rhs1776" localSheetId="4" hidden="1">'Run VRS'!$M$107:$V$107</definedName>
    <definedName name="solver_rhs1777" localSheetId="2" hidden="1">'Run CRS'!$H$107:$I$107</definedName>
    <definedName name="solver_rhs1777" localSheetId="4" hidden="1">'Run VRS'!$H$107:$I$107</definedName>
    <definedName name="solver_rhs1778" localSheetId="2" hidden="1">'Run CRS'!$M$107:$V$107</definedName>
    <definedName name="solver_rhs1778" localSheetId="4" hidden="1">'Run VRS'!$M$107:$V$107</definedName>
    <definedName name="solver_rhs1779" localSheetId="2" hidden="1">'Run CRS'!$H$107:$I$107</definedName>
    <definedName name="solver_rhs1779" localSheetId="4" hidden="1">'Run VRS'!$H$107:$I$107</definedName>
    <definedName name="solver_rhs178" localSheetId="2" hidden="1">1E-100</definedName>
    <definedName name="solver_rhs178" localSheetId="4" hidden="1">1E-100</definedName>
    <definedName name="solver_rhs1780" localSheetId="2" hidden="1">'Run CRS'!$M$107:$V$107</definedName>
    <definedName name="solver_rhs1780" localSheetId="4" hidden="1">'Run VRS'!$M$107:$V$107</definedName>
    <definedName name="solver_rhs1781" localSheetId="2" hidden="1">'Run CRS'!$H$107:$I$107</definedName>
    <definedName name="solver_rhs1781" localSheetId="4" hidden="1">'Run VRS'!$H$107:$I$107</definedName>
    <definedName name="solver_rhs1782" localSheetId="2" hidden="1">'Run CRS'!$M$107:$V$107</definedName>
    <definedName name="solver_rhs1782" localSheetId="4" hidden="1">'Run VRS'!$M$107:$V$107</definedName>
    <definedName name="solver_rhs1783" localSheetId="2" hidden="1">'Run CRS'!$H$107:$I$107</definedName>
    <definedName name="solver_rhs1783" localSheetId="4" hidden="1">'Run VRS'!$H$107:$I$107</definedName>
    <definedName name="solver_rhs1784" localSheetId="2" hidden="1">'Run CRS'!$M$107:$V$107</definedName>
    <definedName name="solver_rhs1784" localSheetId="4" hidden="1">'Run VRS'!$M$107:$V$107</definedName>
    <definedName name="solver_rhs1785" localSheetId="2" hidden="1">'Run CRS'!$H$107:$I$107</definedName>
    <definedName name="solver_rhs1785" localSheetId="4" hidden="1">'Run VRS'!$H$107:$I$107</definedName>
    <definedName name="solver_rhs1786" localSheetId="2" hidden="1">'Run CRS'!$M$107:$V$107</definedName>
    <definedName name="solver_rhs1786" localSheetId="4" hidden="1">'Run VRS'!$M$107:$V$107</definedName>
    <definedName name="solver_rhs1787" localSheetId="2" hidden="1">'Run CRS'!$M$107:$V$107</definedName>
    <definedName name="solver_rhs1787" localSheetId="4" hidden="1">'Run VRS'!$M$107:$V$107</definedName>
    <definedName name="solver_rhs1788" localSheetId="2" hidden="1">'Run CRS'!$M$107:$V$107</definedName>
    <definedName name="solver_rhs1788" localSheetId="4" hidden="1">'Run VRS'!$M$107:$V$107</definedName>
    <definedName name="solver_rhs1789" localSheetId="2" hidden="1">'Run CRS'!$M$107:$V$107</definedName>
    <definedName name="solver_rhs1789" localSheetId="4" hidden="1">'Run VRS'!$M$107:$V$107</definedName>
    <definedName name="solver_rhs179" localSheetId="2" hidden="1">1E-100</definedName>
    <definedName name="solver_rhs179" localSheetId="4" hidden="1">1E-100</definedName>
    <definedName name="solver_rhs1790" localSheetId="2" hidden="1">'Run CRS'!$M$107:$V$107</definedName>
    <definedName name="solver_rhs1790" localSheetId="4" hidden="1">'Run VRS'!$M$107:$V$107</definedName>
    <definedName name="solver_rhs1791" localSheetId="2" hidden="1">'Run CRS'!$M$107:$V$107</definedName>
    <definedName name="solver_rhs1791" localSheetId="4" hidden="1">'Run VRS'!$M$107:$V$107</definedName>
    <definedName name="solver_rhs1792" localSheetId="2" hidden="1">'Run CRS'!$M$107:$V$107</definedName>
    <definedName name="solver_rhs1792" localSheetId="4" hidden="1">'Run VRS'!$M$107:$V$107</definedName>
    <definedName name="solver_rhs1793" localSheetId="2" hidden="1">'Run CRS'!$M$107:$V$107</definedName>
    <definedName name="solver_rhs1793" localSheetId="4" hidden="1">'Run VRS'!$M$107:$V$107</definedName>
    <definedName name="solver_rhs1794" localSheetId="2" hidden="1">'Run CRS'!$M$107:$V$107</definedName>
    <definedName name="solver_rhs1794" localSheetId="4" hidden="1">'Run VRS'!$M$107:$V$107</definedName>
    <definedName name="solver_rhs1795" localSheetId="2" hidden="1">'Run CRS'!$M$107:$V$107</definedName>
    <definedName name="solver_rhs1795" localSheetId="4" hidden="1">'Run VRS'!$M$107:$V$107</definedName>
    <definedName name="solver_rhs1796" localSheetId="2" hidden="1">'Run CRS'!$M$107:$V$107</definedName>
    <definedName name="solver_rhs1796" localSheetId="4" hidden="1">'Run VRS'!$M$107:$V$107</definedName>
    <definedName name="solver_rhs1797" localSheetId="2" hidden="1">'Run CRS'!$M$107:$V$107</definedName>
    <definedName name="solver_rhs1797" localSheetId="4" hidden="1">'Run VRS'!$M$107:$V$107</definedName>
    <definedName name="solver_rhs1798" localSheetId="2" hidden="1">'Run CRS'!$M$107:$V$107</definedName>
    <definedName name="solver_rhs1798" localSheetId="4" hidden="1">'Run VRS'!$M$107:$V$107</definedName>
    <definedName name="solver_rhs1799" localSheetId="2" hidden="1">'Run CRS'!$M$107:$V$107</definedName>
    <definedName name="solver_rhs1799" localSheetId="4" hidden="1">'Run VRS'!$M$107:$V$107</definedName>
    <definedName name="solver_rhs18" localSheetId="0" hidden="1">0</definedName>
    <definedName name="solver_rhs18" localSheetId="2" hidden="1">'Run CRS'!$M$107:$V$107</definedName>
    <definedName name="solver_rhs18" localSheetId="4" hidden="1">'Run VRS'!$M$107:$V$107</definedName>
    <definedName name="solver_rhs180" localSheetId="2" hidden="1">1E-100</definedName>
    <definedName name="solver_rhs180" localSheetId="4" hidden="1">1E-100</definedName>
    <definedName name="solver_rhs1800" localSheetId="2" hidden="1">'Run CRS'!$M$107:$V$107</definedName>
    <definedName name="solver_rhs1800" localSheetId="4" hidden="1">'Run VRS'!$M$107:$V$107</definedName>
    <definedName name="solver_rhs1801" localSheetId="2" hidden="1">'Run CRS'!$M$107:$V$107</definedName>
    <definedName name="solver_rhs1801" localSheetId="4" hidden="1">'Run VRS'!$M$107:$V$107</definedName>
    <definedName name="solver_rhs1802" localSheetId="2" hidden="1">'Run CRS'!$M$107:$V$107</definedName>
    <definedName name="solver_rhs1802" localSheetId="4" hidden="1">'Run VRS'!$M$107:$V$107</definedName>
    <definedName name="solver_rhs1803" localSheetId="2" hidden="1">'Run CRS'!$M$107:$V$107</definedName>
    <definedName name="solver_rhs1803" localSheetId="4" hidden="1">'Run VRS'!$M$107:$V$107</definedName>
    <definedName name="solver_rhs1804" localSheetId="2" hidden="1">'Run CRS'!$M$107:$V$107</definedName>
    <definedName name="solver_rhs1804" localSheetId="4" hidden="1">'Run VRS'!$M$107:$V$107</definedName>
    <definedName name="solver_rhs1805" localSheetId="2" hidden="1">'Run CRS'!$M$107:$V$107</definedName>
    <definedName name="solver_rhs1805" localSheetId="4" hidden="1">'Run VRS'!$M$107:$V$107</definedName>
    <definedName name="solver_rhs1806" localSheetId="2" hidden="1">'Run CRS'!$M$107:$V$107</definedName>
    <definedName name="solver_rhs1806" localSheetId="4" hidden="1">'Run VRS'!$M$107:$V$107</definedName>
    <definedName name="solver_rhs1807" localSheetId="2" hidden="1">'Run CRS'!$M$107:$V$107</definedName>
    <definedName name="solver_rhs1807" localSheetId="4" hidden="1">'Run VRS'!$M$107:$V$107</definedName>
    <definedName name="solver_rhs1808" localSheetId="2" hidden="1">'Run CRS'!$M$107:$V$107</definedName>
    <definedName name="solver_rhs1808" localSheetId="4" hidden="1">'Run VRS'!$M$107:$V$107</definedName>
    <definedName name="solver_rhs1809" localSheetId="2" hidden="1">'Run CRS'!$M$107:$V$107</definedName>
    <definedName name="solver_rhs1809" localSheetId="4" hidden="1">'Run VRS'!$M$107:$V$107</definedName>
    <definedName name="solver_rhs181" localSheetId="2" hidden="1">1E-100</definedName>
    <definedName name="solver_rhs181" localSheetId="4" hidden="1">1E-100</definedName>
    <definedName name="solver_rhs1810" localSheetId="2" hidden="1">'Run CRS'!$M$107:$V$107</definedName>
    <definedName name="solver_rhs1810" localSheetId="4" hidden="1">'Run VRS'!$M$107:$V$107</definedName>
    <definedName name="solver_rhs1811" localSheetId="2" hidden="1">'Run CRS'!$M$107:$V$107</definedName>
    <definedName name="solver_rhs1811" localSheetId="4" hidden="1">'Run VRS'!$M$107:$V$107</definedName>
    <definedName name="solver_rhs1812" localSheetId="2" hidden="1">'Run CRS'!$M$107:$V$107</definedName>
    <definedName name="solver_rhs1812" localSheetId="4" hidden="1">'Run VRS'!$M$107:$V$107</definedName>
    <definedName name="solver_rhs1813" localSheetId="2" hidden="1">'Run CRS'!$M$107:$V$107</definedName>
    <definedName name="solver_rhs1813" localSheetId="4" hidden="1">'Run VRS'!$M$107:$V$107</definedName>
    <definedName name="solver_rhs1814" localSheetId="2" hidden="1">'Run CRS'!$M$107:$V$107</definedName>
    <definedName name="solver_rhs1814" localSheetId="4" hidden="1">'Run VRS'!$M$107:$V$107</definedName>
    <definedName name="solver_rhs1815" localSheetId="2" hidden="1">'Run CRS'!$M$107:$V$107</definedName>
    <definedName name="solver_rhs1815" localSheetId="4" hidden="1">'Run VRS'!$M$107:$V$107</definedName>
    <definedName name="solver_rhs1816" localSheetId="2" hidden="1">'Run CRS'!$M$107:$V$107</definedName>
    <definedName name="solver_rhs1816" localSheetId="4" hidden="1">'Run VRS'!$M$107:$V$107</definedName>
    <definedName name="solver_rhs1817" localSheetId="2" hidden="1">'Run CRS'!$M$107:$V$107</definedName>
    <definedName name="solver_rhs1817" localSheetId="4" hidden="1">'Run VRS'!$M$107:$V$107</definedName>
    <definedName name="solver_rhs1818" localSheetId="2" hidden="1">'Run CRS'!$M$107:$V$107</definedName>
    <definedName name="solver_rhs1818" localSheetId="4" hidden="1">'Run VRS'!$M$107:$V$107</definedName>
    <definedName name="solver_rhs1819" localSheetId="2" hidden="1">'Run CRS'!$M$107:$V$107</definedName>
    <definedName name="solver_rhs1819" localSheetId="4" hidden="1">'Run VRS'!$M$107:$V$107</definedName>
    <definedName name="solver_rhs182" localSheetId="2" hidden="1">1E-100</definedName>
    <definedName name="solver_rhs182" localSheetId="4" hidden="1">1E-100</definedName>
    <definedName name="solver_rhs1820" localSheetId="2" hidden="1">'Run CRS'!$M$107:$V$107</definedName>
    <definedName name="solver_rhs1820" localSheetId="4" hidden="1">'Run VRS'!$M$107:$V$107</definedName>
    <definedName name="solver_rhs1821" localSheetId="2" hidden="1">'Run CRS'!$M$107:$V$107</definedName>
    <definedName name="solver_rhs1821" localSheetId="4" hidden="1">'Run VRS'!$M$107:$V$107</definedName>
    <definedName name="solver_rhs1822" localSheetId="2" hidden="1">'Run CRS'!$M$107:$V$107</definedName>
    <definedName name="solver_rhs1822" localSheetId="4" hidden="1">'Run VRS'!$M$107:$V$107</definedName>
    <definedName name="solver_rhs1823" localSheetId="2" hidden="1">'Run CRS'!$M$107:$V$107</definedName>
    <definedName name="solver_rhs1823" localSheetId="4" hidden="1">'Run VRS'!$M$107:$V$107</definedName>
    <definedName name="solver_rhs1824" localSheetId="2" hidden="1">'Run CRS'!$M$107:$V$107</definedName>
    <definedName name="solver_rhs1824" localSheetId="4" hidden="1">'Run VRS'!$M$107:$V$107</definedName>
    <definedName name="solver_rhs1825" localSheetId="2" hidden="1">'Run CRS'!$M$107:$V$107</definedName>
    <definedName name="solver_rhs1825" localSheetId="4" hidden="1">'Run VRS'!$M$107:$V$107</definedName>
    <definedName name="solver_rhs1826" localSheetId="2" hidden="1">'Run CRS'!$M$107:$V$107</definedName>
    <definedName name="solver_rhs1826" localSheetId="4" hidden="1">'Run VRS'!$M$107:$V$107</definedName>
    <definedName name="solver_rhs1827" localSheetId="2" hidden="1">'Run CRS'!$M$107:$V$107</definedName>
    <definedName name="solver_rhs1827" localSheetId="4" hidden="1">'Run VRS'!$M$107:$V$107</definedName>
    <definedName name="solver_rhs1828" localSheetId="2" hidden="1">'Run CRS'!$M$107:$V$107</definedName>
    <definedName name="solver_rhs1828" localSheetId="4" hidden="1">'Run VRS'!$M$107:$V$107</definedName>
    <definedName name="solver_rhs1829" localSheetId="2" hidden="1">'Run CRS'!$M$107:$V$107</definedName>
    <definedName name="solver_rhs1829" localSheetId="4" hidden="1">'Run VRS'!$M$107:$V$107</definedName>
    <definedName name="solver_rhs183" localSheetId="2" hidden="1">1E-100</definedName>
    <definedName name="solver_rhs183" localSheetId="4" hidden="1">1E-100</definedName>
    <definedName name="solver_rhs1830" localSheetId="2" hidden="1">'Run CRS'!$M$107:$V$107</definedName>
    <definedName name="solver_rhs1830" localSheetId="4" hidden="1">'Run VRS'!$M$107:$V$107</definedName>
    <definedName name="solver_rhs1831" localSheetId="2" hidden="1">'Run CRS'!$M$107:$V$107</definedName>
    <definedName name="solver_rhs1831" localSheetId="4" hidden="1">'Run VRS'!$M$107:$V$107</definedName>
    <definedName name="solver_rhs1832" localSheetId="2" hidden="1">'Run CRS'!$M$107:$V$107</definedName>
    <definedName name="solver_rhs1832" localSheetId="4" hidden="1">'Run VRS'!$M$107:$V$107</definedName>
    <definedName name="solver_rhs1833" localSheetId="2" hidden="1">'Run CRS'!$M$107:$V$107</definedName>
    <definedName name="solver_rhs1833" localSheetId="4" hidden="1">'Run VRS'!$M$107:$V$107</definedName>
    <definedName name="solver_rhs1834" localSheetId="2" hidden="1">'Run CRS'!$M$107:$V$107</definedName>
    <definedName name="solver_rhs1834" localSheetId="4" hidden="1">'Run VRS'!$M$107:$V$107</definedName>
    <definedName name="solver_rhs1835" localSheetId="2" hidden="1">'Run CRS'!$M$107:$V$107</definedName>
    <definedName name="solver_rhs1835" localSheetId="4" hidden="1">'Run VRS'!$M$107:$V$107</definedName>
    <definedName name="solver_rhs1836" localSheetId="2" hidden="1">'Run CRS'!$M$107:$V$107</definedName>
    <definedName name="solver_rhs1836" localSheetId="4" hidden="1">'Run VRS'!$M$107:$V$107</definedName>
    <definedName name="solver_rhs1837" localSheetId="2" hidden="1">'Run CRS'!$M$107:$V$107</definedName>
    <definedName name="solver_rhs1837" localSheetId="4" hidden="1">'Run VRS'!$M$107:$V$107</definedName>
    <definedName name="solver_rhs1838" localSheetId="2" hidden="1">'Run CRS'!$M$107:$V$107</definedName>
    <definedName name="solver_rhs1838" localSheetId="4" hidden="1">'Run VRS'!$M$107:$V$107</definedName>
    <definedName name="solver_rhs1839" localSheetId="2" hidden="1">'Run CRS'!$M$107:$V$107</definedName>
    <definedName name="solver_rhs1839" localSheetId="4" hidden="1">'Run VRS'!$M$107:$V$107</definedName>
    <definedName name="solver_rhs184" localSheetId="2" hidden="1">1E-100</definedName>
    <definedName name="solver_rhs184" localSheetId="4" hidden="1">1E-100</definedName>
    <definedName name="solver_rhs1840" localSheetId="2" hidden="1">'Run CRS'!$M$107:$V$107</definedName>
    <definedName name="solver_rhs1840" localSheetId="4" hidden="1">'Run VRS'!$M$107:$V$107</definedName>
    <definedName name="solver_rhs1841" localSheetId="2" hidden="1">'Run CRS'!$M$107:$V$107</definedName>
    <definedName name="solver_rhs1841" localSheetId="4" hidden="1">'Run VRS'!$M$107:$V$107</definedName>
    <definedName name="solver_rhs1842" localSheetId="2" hidden="1">'Run CRS'!$M$107:$V$107</definedName>
    <definedName name="solver_rhs1842" localSheetId="4" hidden="1">'Run VRS'!$M$107:$V$107</definedName>
    <definedName name="solver_rhs1843" localSheetId="2" hidden="1">'Run CRS'!$M$107:$V$107</definedName>
    <definedName name="solver_rhs1843" localSheetId="4" hidden="1">'Run VRS'!$M$107:$V$107</definedName>
    <definedName name="solver_rhs1844" localSheetId="2" hidden="1">'Run CRS'!$M$107:$V$107</definedName>
    <definedName name="solver_rhs1844" localSheetId="4" hidden="1">'Run VRS'!$M$107:$V$107</definedName>
    <definedName name="solver_rhs1845" localSheetId="2" hidden="1">'Run CRS'!$M$107:$V$107</definedName>
    <definedName name="solver_rhs1845" localSheetId="4" hidden="1">'Run VRS'!$M$107:$V$107</definedName>
    <definedName name="solver_rhs1846" localSheetId="2" hidden="1">'Run CRS'!$M$107:$V$107</definedName>
    <definedName name="solver_rhs1846" localSheetId="4" hidden="1">'Run VRS'!$M$107:$V$107</definedName>
    <definedName name="solver_rhs1847" localSheetId="2" hidden="1">'Run CRS'!$M$107:$V$107</definedName>
    <definedName name="solver_rhs1847" localSheetId="4" hidden="1">'Run VRS'!$M$107:$V$107</definedName>
    <definedName name="solver_rhs1848" localSheetId="2" hidden="1">'Run CRS'!$M$107:$V$107</definedName>
    <definedName name="solver_rhs1848" localSheetId="4" hidden="1">'Run VRS'!$M$107:$V$107</definedName>
    <definedName name="solver_rhs1849" localSheetId="2" hidden="1">'Run CRS'!$M$107:$V$107</definedName>
    <definedName name="solver_rhs1849" localSheetId="4" hidden="1">'Run VRS'!$M$107:$V$107</definedName>
    <definedName name="solver_rhs185" localSheetId="2" hidden="1">1E-100</definedName>
    <definedName name="solver_rhs185" localSheetId="4" hidden="1">1E-100</definedName>
    <definedName name="solver_rhs1850" localSheetId="2" hidden="1">'Run CRS'!$M$107:$V$107</definedName>
    <definedName name="solver_rhs1850" localSheetId="4" hidden="1">'Run VRS'!$M$107:$V$107</definedName>
    <definedName name="solver_rhs1851" localSheetId="2" hidden="1">'Run CRS'!$M$107:$V$107</definedName>
    <definedName name="solver_rhs1851" localSheetId="4" hidden="1">'Run VRS'!$M$107:$V$107</definedName>
    <definedName name="solver_rhs1852" localSheetId="2" hidden="1">'Run CRS'!$M$107:$V$107</definedName>
    <definedName name="solver_rhs1852" localSheetId="4" hidden="1">'Run VRS'!$M$107:$V$107</definedName>
    <definedName name="solver_rhs1853" localSheetId="2" hidden="1">'Run CRS'!$M$107:$V$107</definedName>
    <definedName name="solver_rhs1853" localSheetId="4" hidden="1">'Run VRS'!$M$107:$V$107</definedName>
    <definedName name="solver_rhs1854" localSheetId="2" hidden="1">'Run CRS'!$M$107:$V$107</definedName>
    <definedName name="solver_rhs1854" localSheetId="4" hidden="1">'Run VRS'!$M$107:$V$107</definedName>
    <definedName name="solver_rhs1855" localSheetId="2" hidden="1">'Run CRS'!$M$107:$V$107</definedName>
    <definedName name="solver_rhs1855" localSheetId="4" hidden="1">'Run VRS'!$M$107:$V$107</definedName>
    <definedName name="solver_rhs1856" localSheetId="2" hidden="1">'Run CRS'!$M$107:$V$107</definedName>
    <definedName name="solver_rhs1856" localSheetId="4" hidden="1">'Run VRS'!$M$107:$V$107</definedName>
    <definedName name="solver_rhs1857" localSheetId="2" hidden="1">'Run CRS'!$M$107:$V$107</definedName>
    <definedName name="solver_rhs1857" localSheetId="4" hidden="1">'Run VRS'!$M$107:$V$107</definedName>
    <definedName name="solver_rhs1858" localSheetId="2" hidden="1">'Run CRS'!$M$107:$V$107</definedName>
    <definedName name="solver_rhs1858" localSheetId="4" hidden="1">'Run VRS'!$M$107:$V$107</definedName>
    <definedName name="solver_rhs1859" localSheetId="2" hidden="1">'Run CRS'!$M$107:$V$107</definedName>
    <definedName name="solver_rhs1859" localSheetId="4" hidden="1">'Run VRS'!$M$107:$V$107</definedName>
    <definedName name="solver_rhs186" localSheetId="2" hidden="1">1E-100</definedName>
    <definedName name="solver_rhs186" localSheetId="4" hidden="1">1E-100</definedName>
    <definedName name="solver_rhs1860" localSheetId="2" hidden="1">'Run CRS'!$M$107:$V$107</definedName>
    <definedName name="solver_rhs1860" localSheetId="4" hidden="1">'Run VRS'!$M$107:$V$107</definedName>
    <definedName name="solver_rhs1861" localSheetId="2" hidden="1">'Run CRS'!$M$107:$V$107</definedName>
    <definedName name="solver_rhs1861" localSheetId="4" hidden="1">'Run VRS'!$M$107:$V$107</definedName>
    <definedName name="solver_rhs1862" localSheetId="2" hidden="1">'Run CRS'!$M$107:$V$107</definedName>
    <definedName name="solver_rhs1862" localSheetId="4" hidden="1">'Run VRS'!$M$107:$V$107</definedName>
    <definedName name="solver_rhs1863" localSheetId="2" hidden="1">'Run CRS'!$M$107:$V$107</definedName>
    <definedName name="solver_rhs1863" localSheetId="4" hidden="1">'Run VRS'!$M$107:$V$107</definedName>
    <definedName name="solver_rhs1864" localSheetId="2" hidden="1">'Run CRS'!$M$107:$V$107</definedName>
    <definedName name="solver_rhs1864" localSheetId="4" hidden="1">'Run VRS'!$M$107:$V$107</definedName>
    <definedName name="solver_rhs1865" localSheetId="2" hidden="1">'Run CRS'!$M$107:$V$107</definedName>
    <definedName name="solver_rhs1865" localSheetId="4" hidden="1">'Run VRS'!$M$107:$V$107</definedName>
    <definedName name="solver_rhs1866" localSheetId="2" hidden="1">'Run CRS'!$M$107:$V$107</definedName>
    <definedName name="solver_rhs1866" localSheetId="4" hidden="1">'Run VRS'!$M$107:$V$107</definedName>
    <definedName name="solver_rhs1867" localSheetId="2" hidden="1">'Run CRS'!$M$107:$V$107</definedName>
    <definedName name="solver_rhs1867" localSheetId="4" hidden="1">'Run VRS'!$M$107:$V$107</definedName>
    <definedName name="solver_rhs1868" localSheetId="2" hidden="1">'Run CRS'!$M$107:$V$107</definedName>
    <definedName name="solver_rhs1868" localSheetId="4" hidden="1">'Run VRS'!$M$107:$V$107</definedName>
    <definedName name="solver_rhs1869" localSheetId="2" hidden="1">'Run CRS'!$M$107:$V$107</definedName>
    <definedName name="solver_rhs1869" localSheetId="4" hidden="1">'Run VRS'!$M$107:$V$107</definedName>
    <definedName name="solver_rhs187" localSheetId="2" hidden="1">1E-100</definedName>
    <definedName name="solver_rhs187" localSheetId="4" hidden="1">1E-100</definedName>
    <definedName name="solver_rhs1870" localSheetId="2" hidden="1">'Run CRS'!$M$107:$V$107</definedName>
    <definedName name="solver_rhs1870" localSheetId="4" hidden="1">'Run VRS'!$M$107:$V$107</definedName>
    <definedName name="solver_rhs1871" localSheetId="2" hidden="1">'Run CRS'!$M$107:$V$107</definedName>
    <definedName name="solver_rhs1871" localSheetId="4" hidden="1">'Run VRS'!$M$107:$V$107</definedName>
    <definedName name="solver_rhs1872" localSheetId="2" hidden="1">'Run CRS'!$M$107:$V$107</definedName>
    <definedName name="solver_rhs1872" localSheetId="4" hidden="1">'Run VRS'!$M$107:$V$107</definedName>
    <definedName name="solver_rhs1873" localSheetId="2" hidden="1">'Run CRS'!$M$107:$V$107</definedName>
    <definedName name="solver_rhs1873" localSheetId="4" hidden="1">'Run VRS'!$M$107:$V$107</definedName>
    <definedName name="solver_rhs1874" localSheetId="2" hidden="1">'Run CRS'!$M$107:$V$107</definedName>
    <definedName name="solver_rhs1874" localSheetId="4" hidden="1">'Run VRS'!$M$107:$V$107</definedName>
    <definedName name="solver_rhs1875" localSheetId="2" hidden="1">'Run CRS'!$M$107:$V$107</definedName>
    <definedName name="solver_rhs1875" localSheetId="4" hidden="1">'Run VRS'!$M$107:$V$107</definedName>
    <definedName name="solver_rhs1876" localSheetId="2" hidden="1">'Run CRS'!$M$107:$V$107</definedName>
    <definedName name="solver_rhs1876" localSheetId="4" hidden="1">'Run VRS'!$M$107:$V$107</definedName>
    <definedName name="solver_rhs1877" localSheetId="2" hidden="1">'Run CRS'!$M$107:$V$107</definedName>
    <definedName name="solver_rhs1877" localSheetId="4" hidden="1">'Run VRS'!$M$107:$V$107</definedName>
    <definedName name="solver_rhs1878" localSheetId="2" hidden="1">'Run CRS'!$M$107:$V$107</definedName>
    <definedName name="solver_rhs1878" localSheetId="4" hidden="1">'Run VRS'!$M$107:$V$107</definedName>
    <definedName name="solver_rhs1879" localSheetId="2" hidden="1">'Run CRS'!$M$107:$V$107</definedName>
    <definedName name="solver_rhs1879" localSheetId="4" hidden="1">'Run VRS'!$M$107:$V$107</definedName>
    <definedName name="solver_rhs188" localSheetId="2" hidden="1">1E-100</definedName>
    <definedName name="solver_rhs188" localSheetId="4" hidden="1">1E-100</definedName>
    <definedName name="solver_rhs1880" localSheetId="2" hidden="1">'Run CRS'!$M$107:$V$107</definedName>
    <definedName name="solver_rhs1880" localSheetId="4" hidden="1">'Run VRS'!$M$107:$V$107</definedName>
    <definedName name="solver_rhs1881" localSheetId="2" hidden="1">'Run CRS'!$M$107:$V$107</definedName>
    <definedName name="solver_rhs1881" localSheetId="4" hidden="1">'Run VRS'!$M$107:$V$107</definedName>
    <definedName name="solver_rhs1882" localSheetId="2" hidden="1">'Run CRS'!$M$107:$V$107</definedName>
    <definedName name="solver_rhs1882" localSheetId="4" hidden="1">'Run VRS'!$M$107:$V$107</definedName>
    <definedName name="solver_rhs1883" localSheetId="2" hidden="1">'Run CRS'!$M$107:$V$107</definedName>
    <definedName name="solver_rhs1883" localSheetId="4" hidden="1">'Run VRS'!$M$107:$V$107</definedName>
    <definedName name="solver_rhs1884" localSheetId="2" hidden="1">'Run CRS'!$M$107:$V$107</definedName>
    <definedName name="solver_rhs1884" localSheetId="4" hidden="1">'Run VRS'!$M$107:$V$107</definedName>
    <definedName name="solver_rhs1885" localSheetId="2" hidden="1">'Run CRS'!$M$107:$V$107</definedName>
    <definedName name="solver_rhs1885" localSheetId="4" hidden="1">'Run VRS'!$M$107:$V$107</definedName>
    <definedName name="solver_rhs1886" localSheetId="2" hidden="1">'Run CRS'!$M$107:$V$107</definedName>
    <definedName name="solver_rhs1886" localSheetId="4" hidden="1">'Run VRS'!$M$107:$V$107</definedName>
    <definedName name="solver_rhs1887" localSheetId="2" hidden="1">'Run CRS'!$M$107:$V$107</definedName>
    <definedName name="solver_rhs1887" localSheetId="4" hidden="1">'Run VRS'!$M$107:$V$107</definedName>
    <definedName name="solver_rhs1888" localSheetId="2" hidden="1">'Run CRS'!$M$107:$V$107</definedName>
    <definedName name="solver_rhs1888" localSheetId="4" hidden="1">'Run VRS'!$M$107:$V$107</definedName>
    <definedName name="solver_rhs1889" localSheetId="2" hidden="1">'Run CRS'!$M$107:$V$107</definedName>
    <definedName name="solver_rhs1889" localSheetId="4" hidden="1">'Run VRS'!$M$107:$V$107</definedName>
    <definedName name="solver_rhs189" localSheetId="2" hidden="1">1E-100</definedName>
    <definedName name="solver_rhs189" localSheetId="4" hidden="1">1E-100</definedName>
    <definedName name="solver_rhs1890" localSheetId="2" hidden="1">'Run CRS'!$M$107:$V$107</definedName>
    <definedName name="solver_rhs1890" localSheetId="4" hidden="1">'Run VRS'!$M$107:$V$107</definedName>
    <definedName name="solver_rhs1891" localSheetId="2" hidden="1">'Run CRS'!$M$107:$V$107</definedName>
    <definedName name="solver_rhs1891" localSheetId="4" hidden="1">'Run VRS'!$M$107:$V$107</definedName>
    <definedName name="solver_rhs1892" localSheetId="2" hidden="1">'Run CRS'!$M$107:$V$107</definedName>
    <definedName name="solver_rhs1892" localSheetId="4" hidden="1">'Run VRS'!$M$107:$V$107</definedName>
    <definedName name="solver_rhs1893" localSheetId="2" hidden="1">'Run CRS'!$M$107:$V$107</definedName>
    <definedName name="solver_rhs1893" localSheetId="4" hidden="1">'Run VRS'!$M$107:$V$107</definedName>
    <definedName name="solver_rhs1894" localSheetId="2" hidden="1">'Run CRS'!$M$107:$V$107</definedName>
    <definedName name="solver_rhs1894" localSheetId="4" hidden="1">'Run VRS'!$M$107:$V$107</definedName>
    <definedName name="solver_rhs1895" localSheetId="2" hidden="1">'Run CRS'!$M$107:$V$107</definedName>
    <definedName name="solver_rhs1895" localSheetId="4" hidden="1">'Run VRS'!$M$107:$V$107</definedName>
    <definedName name="solver_rhs1896" localSheetId="2" hidden="1">'Run CRS'!$M$107:$V$107</definedName>
    <definedName name="solver_rhs1896" localSheetId="4" hidden="1">'Run VRS'!$M$107:$V$107</definedName>
    <definedName name="solver_rhs1897" localSheetId="2" hidden="1">'Run CRS'!$M$107:$V$107</definedName>
    <definedName name="solver_rhs1897" localSheetId="4" hidden="1">'Run VRS'!$M$107:$V$107</definedName>
    <definedName name="solver_rhs1898" localSheetId="2" hidden="1">'Run CRS'!$M$107:$V$107</definedName>
    <definedName name="solver_rhs1898" localSheetId="4" hidden="1">'Run VRS'!$M$107:$V$107</definedName>
    <definedName name="solver_rhs1899" localSheetId="2" hidden="1">'Run CRS'!$M$107:$V$107</definedName>
    <definedName name="solver_rhs1899" localSheetId="4" hidden="1">'Run VRS'!$M$107:$V$107</definedName>
    <definedName name="solver_rhs19" localSheetId="0" hidden="1">'Data input'!$C$107</definedName>
    <definedName name="solver_rhs19" localSheetId="2" hidden="1">1E-100</definedName>
    <definedName name="solver_rhs19" localSheetId="4" hidden="1">1E-100</definedName>
    <definedName name="solver_rhs190" localSheetId="2" hidden="1">1E-100</definedName>
    <definedName name="solver_rhs190" localSheetId="4" hidden="1">1E-100</definedName>
    <definedName name="solver_rhs1900" localSheetId="2" hidden="1">'Run CRS'!$M$107:$V$107</definedName>
    <definedName name="solver_rhs1900" localSheetId="4" hidden="1">'Run VRS'!$M$107:$V$107</definedName>
    <definedName name="solver_rhs1901" localSheetId="2" hidden="1">'Run CRS'!$M$107:$V$107</definedName>
    <definedName name="solver_rhs1901" localSheetId="4" hidden="1">'Run VRS'!$M$107:$V$107</definedName>
    <definedName name="solver_rhs1902" localSheetId="2" hidden="1">'Run CRS'!$M$107:$V$107</definedName>
    <definedName name="solver_rhs1902" localSheetId="4" hidden="1">'Run VRS'!$M$107:$V$107</definedName>
    <definedName name="solver_rhs1903" localSheetId="2" hidden="1">'Run CRS'!$M$107:$V$107</definedName>
    <definedName name="solver_rhs1903" localSheetId="4" hidden="1">'Run VRS'!$M$107:$V$107</definedName>
    <definedName name="solver_rhs1904" localSheetId="2" hidden="1">'Run CRS'!$M$107:$V$107</definedName>
    <definedName name="solver_rhs1904" localSheetId="4" hidden="1">'Run VRS'!$M$107:$V$107</definedName>
    <definedName name="solver_rhs1905" localSheetId="2" hidden="1">'Run CRS'!$M$107:$V$107</definedName>
    <definedName name="solver_rhs1905" localSheetId="4" hidden="1">'Run VRS'!$M$107:$V$107</definedName>
    <definedName name="solver_rhs1906" localSheetId="2" hidden="1">'Run CRS'!$M$107:$V$107</definedName>
    <definedName name="solver_rhs1906" localSheetId="4" hidden="1">'Run VRS'!$M$107:$V$107</definedName>
    <definedName name="solver_rhs1907" localSheetId="2" hidden="1">'Run CRS'!$M$107:$V$107</definedName>
    <definedName name="solver_rhs1907" localSheetId="4" hidden="1">'Run VRS'!$M$107:$V$107</definedName>
    <definedName name="solver_rhs1908" localSheetId="2" hidden="1">'Run CRS'!$M$107:$V$107</definedName>
    <definedName name="solver_rhs1908" localSheetId="4" hidden="1">'Run VRS'!$M$107:$V$107</definedName>
    <definedName name="solver_rhs1909" localSheetId="2" hidden="1">'Run CRS'!$M$107:$V$107</definedName>
    <definedName name="solver_rhs1909" localSheetId="4" hidden="1">'Run VRS'!$M$107:$V$107</definedName>
    <definedName name="solver_rhs191" localSheetId="2" hidden="1">1E-100</definedName>
    <definedName name="solver_rhs191" localSheetId="4" hidden="1">1E-100</definedName>
    <definedName name="solver_rhs1910" localSheetId="2" hidden="1">'Run CRS'!$M$107:$V$107</definedName>
    <definedName name="solver_rhs1910" localSheetId="4" hidden="1">'Run VRS'!$M$107:$V$107</definedName>
    <definedName name="solver_rhs1911" localSheetId="2" hidden="1">'Run CRS'!$M$107:$V$107</definedName>
    <definedName name="solver_rhs1911" localSheetId="4" hidden="1">'Run VRS'!$M$107:$V$107</definedName>
    <definedName name="solver_rhs1912" localSheetId="2" hidden="1">'Run CRS'!$M$107:$V$107</definedName>
    <definedName name="solver_rhs1912" localSheetId="4" hidden="1">'Run VRS'!$M$107:$V$107</definedName>
    <definedName name="solver_rhs1913" localSheetId="2" hidden="1">'Run CRS'!$M$107:$V$107</definedName>
    <definedName name="solver_rhs1913" localSheetId="4" hidden="1">'Run VRS'!$M$107:$V$107</definedName>
    <definedName name="solver_rhs1914" localSheetId="2" hidden="1">'Run CRS'!$M$107:$V$107</definedName>
    <definedName name="solver_rhs1914" localSheetId="4" hidden="1">'Run VRS'!$M$107:$V$107</definedName>
    <definedName name="solver_rhs1915" localSheetId="2" hidden="1">'Run CRS'!$M$107:$V$107</definedName>
    <definedName name="solver_rhs1915" localSheetId="4" hidden="1">'Run VRS'!$M$107:$V$107</definedName>
    <definedName name="solver_rhs1916" localSheetId="2" hidden="1">'Run CRS'!$M$107:$V$107</definedName>
    <definedName name="solver_rhs1916" localSheetId="4" hidden="1">'Run VRS'!$M$107:$V$107</definedName>
    <definedName name="solver_rhs1917" localSheetId="2" hidden="1">'Run CRS'!$M$107:$V$107</definedName>
    <definedName name="solver_rhs1917" localSheetId="4" hidden="1">'Run VRS'!$M$107:$V$107</definedName>
    <definedName name="solver_rhs1918" localSheetId="2" hidden="1">'Run CRS'!$M$107:$V$107</definedName>
    <definedName name="solver_rhs1918" localSheetId="4" hidden="1">'Run VRS'!$M$107:$V$107</definedName>
    <definedName name="solver_rhs1919" localSheetId="2" hidden="1">'Run CRS'!$M$107:$V$107</definedName>
    <definedName name="solver_rhs1919" localSheetId="4" hidden="1">'Run VRS'!$M$107:$V$107</definedName>
    <definedName name="solver_rhs192" localSheetId="2" hidden="1">1E-100</definedName>
    <definedName name="solver_rhs192" localSheetId="4" hidden="1">1E-100</definedName>
    <definedName name="solver_rhs1920" localSheetId="2" hidden="1">'Run CRS'!$M$107:$V$107</definedName>
    <definedName name="solver_rhs1920" localSheetId="4" hidden="1">'Run VRS'!$M$107:$V$107</definedName>
    <definedName name="solver_rhs1921" localSheetId="2" hidden="1">'Run CRS'!$M$107:$V$107</definedName>
    <definedName name="solver_rhs1921" localSheetId="4" hidden="1">'Run VRS'!$M$107:$V$107</definedName>
    <definedName name="solver_rhs1922" localSheetId="2" hidden="1">'Run CRS'!$M$107:$V$107</definedName>
    <definedName name="solver_rhs1922" localSheetId="4" hidden="1">'Run VRS'!$M$107:$V$107</definedName>
    <definedName name="solver_rhs1923" localSheetId="2" hidden="1">'Run CRS'!$M$107:$V$107</definedName>
    <definedName name="solver_rhs1923" localSheetId="4" hidden="1">'Run VRS'!$M$107:$V$107</definedName>
    <definedName name="solver_rhs1924" localSheetId="2" hidden="1">'Run CRS'!$M$107:$V$107</definedName>
    <definedName name="solver_rhs1924" localSheetId="4" hidden="1">'Run VRS'!$M$107:$V$107</definedName>
    <definedName name="solver_rhs1925" localSheetId="2" hidden="1">'Run CRS'!$M$107:$V$107</definedName>
    <definedName name="solver_rhs1925" localSheetId="4" hidden="1">'Run VRS'!$M$107:$V$107</definedName>
    <definedName name="solver_rhs1926" localSheetId="2" hidden="1">'Run CRS'!$M$107:$V$107</definedName>
    <definedName name="solver_rhs1926" localSheetId="4" hidden="1">'Run VRS'!$M$107:$V$107</definedName>
    <definedName name="solver_rhs1927" localSheetId="2" hidden="1">'Run CRS'!$M$107:$V$107</definedName>
    <definedName name="solver_rhs1927" localSheetId="4" hidden="1">'Run VRS'!$M$107:$V$107</definedName>
    <definedName name="solver_rhs1928" localSheetId="2" hidden="1">'Run CRS'!$M$107:$V$107</definedName>
    <definedName name="solver_rhs1928" localSheetId="4" hidden="1">'Run VRS'!$M$107:$V$107</definedName>
    <definedName name="solver_rhs1929" localSheetId="2" hidden="1">'Run CRS'!$M$107:$V$107</definedName>
    <definedName name="solver_rhs1929" localSheetId="4" hidden="1">'Run VRS'!$M$107:$V$107</definedName>
    <definedName name="solver_rhs193" localSheetId="2" hidden="1">1E-100</definedName>
    <definedName name="solver_rhs193" localSheetId="4" hidden="1">1E-100</definedName>
    <definedName name="solver_rhs1930" localSheetId="2" hidden="1">'Run CRS'!$M$107:$V$107</definedName>
    <definedName name="solver_rhs1930" localSheetId="4" hidden="1">'Run VRS'!$M$107:$V$107</definedName>
    <definedName name="solver_rhs1931" localSheetId="2" hidden="1">'Run CRS'!$M$107:$V$107</definedName>
    <definedName name="solver_rhs1931" localSheetId="4" hidden="1">'Run VRS'!$M$107:$V$107</definedName>
    <definedName name="solver_rhs1932" localSheetId="2" hidden="1">'Run CRS'!$M$107:$V$107</definedName>
    <definedName name="solver_rhs1932" localSheetId="4" hidden="1">'Run VRS'!$M$107:$V$107</definedName>
    <definedName name="solver_rhs1933" localSheetId="2" hidden="1">'Run CRS'!$M$107:$V$107</definedName>
    <definedName name="solver_rhs1933" localSheetId="4" hidden="1">'Run VRS'!$M$107:$V$107</definedName>
    <definedName name="solver_rhs1934" localSheetId="2" hidden="1">'Run CRS'!$M$107:$V$107</definedName>
    <definedName name="solver_rhs1934" localSheetId="4" hidden="1">'Run VRS'!$M$107:$V$107</definedName>
    <definedName name="solver_rhs1935" localSheetId="2" hidden="1">'Run CRS'!$M$107:$V$107</definedName>
    <definedName name="solver_rhs1935" localSheetId="4" hidden="1">'Run VRS'!$M$107:$V$107</definedName>
    <definedName name="solver_rhs1936" localSheetId="2" hidden="1">'Run CRS'!$M$107:$V$107</definedName>
    <definedName name="solver_rhs1936" localSheetId="4" hidden="1">'Run VRS'!$M$107:$V$107</definedName>
    <definedName name="solver_rhs1937" localSheetId="2" hidden="1">'Run CRS'!$M$107:$V$107</definedName>
    <definedName name="solver_rhs1937" localSheetId="4" hidden="1">'Run VRS'!$M$107:$V$107</definedName>
    <definedName name="solver_rhs1938" localSheetId="2" hidden="1">'Run CRS'!$M$107:$V$107</definedName>
    <definedName name="solver_rhs1938" localSheetId="4" hidden="1">'Run VRS'!$M$107:$V$107</definedName>
    <definedName name="solver_rhs1939" localSheetId="2" hidden="1">'Run CRS'!$M$107:$V$107</definedName>
    <definedName name="solver_rhs1939" localSheetId="4" hidden="1">'Run VRS'!$M$107:$V$107</definedName>
    <definedName name="solver_rhs194" localSheetId="2" hidden="1">1E-100</definedName>
    <definedName name="solver_rhs194" localSheetId="4" hidden="1">1E-100</definedName>
    <definedName name="solver_rhs1940" localSheetId="2" hidden="1">'Run CRS'!$M$107:$V$107</definedName>
    <definedName name="solver_rhs1940" localSheetId="4" hidden="1">'Run VRS'!$M$107:$V$107</definedName>
    <definedName name="solver_rhs1941" localSheetId="2" hidden="1">'Run CRS'!$M$107:$V$107</definedName>
    <definedName name="solver_rhs1941" localSheetId="4" hidden="1">'Run VRS'!$M$107:$V$107</definedName>
    <definedName name="solver_rhs1942" localSheetId="2" hidden="1">'Run CRS'!$M$107:$V$107</definedName>
    <definedName name="solver_rhs1942" localSheetId="4" hidden="1">'Run VRS'!$M$107:$V$107</definedName>
    <definedName name="solver_rhs1943" localSheetId="2" hidden="1">'Run CRS'!$M$107:$V$107</definedName>
    <definedName name="solver_rhs1943" localSheetId="4" hidden="1">'Run VRS'!$M$107:$V$107</definedName>
    <definedName name="solver_rhs1944" localSheetId="2" hidden="1">'Run CRS'!$M$107:$V$107</definedName>
    <definedName name="solver_rhs1944" localSheetId="4" hidden="1">'Run VRS'!$M$107:$V$107</definedName>
    <definedName name="solver_rhs1945" localSheetId="2" hidden="1">'Run CRS'!$M$107:$V$107</definedName>
    <definedName name="solver_rhs1945" localSheetId="4" hidden="1">'Run VRS'!$M$107:$V$107</definedName>
    <definedName name="solver_rhs1946" localSheetId="2" hidden="1">'Run CRS'!$M$107:$V$107</definedName>
    <definedName name="solver_rhs1946" localSheetId="4" hidden="1">'Run VRS'!$M$107:$V$107</definedName>
    <definedName name="solver_rhs1947" localSheetId="2" hidden="1">'Run CRS'!$M$107:$V$107</definedName>
    <definedName name="solver_rhs1947" localSheetId="4" hidden="1">'Run VRS'!$M$107:$V$107</definedName>
    <definedName name="solver_rhs1948" localSheetId="2" hidden="1">'Run CRS'!$M$107:$V$107</definedName>
    <definedName name="solver_rhs1948" localSheetId="4" hidden="1">'Run VRS'!$M$107:$V$107</definedName>
    <definedName name="solver_rhs1949" localSheetId="2" hidden="1">'Run CRS'!$M$107:$V$107</definedName>
    <definedName name="solver_rhs1949" localSheetId="4" hidden="1">'Run VRS'!$M$107:$V$107</definedName>
    <definedName name="solver_rhs195" localSheetId="2" hidden="1">1E-100</definedName>
    <definedName name="solver_rhs195" localSheetId="4" hidden="1">1E-100</definedName>
    <definedName name="solver_rhs1950" localSheetId="2" hidden="1">'Run CRS'!$M$107:$V$107</definedName>
    <definedName name="solver_rhs1950" localSheetId="4" hidden="1">'Run VRS'!$M$107:$V$107</definedName>
    <definedName name="solver_rhs1951" localSheetId="2" hidden="1">'Run CRS'!$M$107:$V$107</definedName>
    <definedName name="solver_rhs1951" localSheetId="4" hidden="1">'Run VRS'!$M$107:$V$107</definedName>
    <definedName name="solver_rhs1952" localSheetId="2" hidden="1">'Run CRS'!$M$107:$V$107</definedName>
    <definedName name="solver_rhs1952" localSheetId="4" hidden="1">'Run VRS'!$M$107:$V$107</definedName>
    <definedName name="solver_rhs1953" localSheetId="2" hidden="1">'Run CRS'!$M$107:$V$107</definedName>
    <definedName name="solver_rhs1953" localSheetId="4" hidden="1">'Run VRS'!$M$107:$V$107</definedName>
    <definedName name="solver_rhs1954" localSheetId="2" hidden="1">'Run CRS'!$M$107:$V$107</definedName>
    <definedName name="solver_rhs1954" localSheetId="4" hidden="1">'Run VRS'!$M$107:$V$107</definedName>
    <definedName name="solver_rhs1955" localSheetId="2" hidden="1">'Run CRS'!$M$107:$V$107</definedName>
    <definedName name="solver_rhs1955" localSheetId="4" hidden="1">'Run VRS'!$M$107:$V$107</definedName>
    <definedName name="solver_rhs1956" localSheetId="2" hidden="1">'Run CRS'!$M$107:$V$107</definedName>
    <definedName name="solver_rhs1956" localSheetId="4" hidden="1">'Run VRS'!$M$107:$V$107</definedName>
    <definedName name="solver_rhs1957" localSheetId="2" hidden="1">'Run CRS'!$M$107:$V$107</definedName>
    <definedName name="solver_rhs1957" localSheetId="4" hidden="1">'Run VRS'!$M$107:$V$107</definedName>
    <definedName name="solver_rhs1958" localSheetId="2" hidden="1">'Run CRS'!$M$107:$V$107</definedName>
    <definedName name="solver_rhs1958" localSheetId="4" hidden="1">'Run VRS'!$M$107:$V$107</definedName>
    <definedName name="solver_rhs1959" localSheetId="2" hidden="1">'Run CRS'!$M$107:$V$107</definedName>
    <definedName name="solver_rhs1959" localSheetId="4" hidden="1">'Run VRS'!$M$107:$V$107</definedName>
    <definedName name="solver_rhs196" localSheetId="2" hidden="1">1E-100</definedName>
    <definedName name="solver_rhs196" localSheetId="4" hidden="1">1E-100</definedName>
    <definedName name="solver_rhs1960" localSheetId="2" hidden="1">'Run CRS'!$M$107:$V$107</definedName>
    <definedName name="solver_rhs1960" localSheetId="4" hidden="1">'Run VRS'!$M$107:$V$107</definedName>
    <definedName name="solver_rhs1961" localSheetId="2" hidden="1">'Run CRS'!$M$107:$V$107</definedName>
    <definedName name="solver_rhs1961" localSheetId="4" hidden="1">'Run VRS'!$M$107:$V$107</definedName>
    <definedName name="solver_rhs1962" localSheetId="2" hidden="1">'Run CRS'!$M$107:$V$107</definedName>
    <definedName name="solver_rhs1962" localSheetId="4" hidden="1">'Run VRS'!$M$107:$V$107</definedName>
    <definedName name="solver_rhs1963" localSheetId="2" hidden="1">'Run CRS'!$M$107:$V$107</definedName>
    <definedName name="solver_rhs1963" localSheetId="4" hidden="1">'Run VRS'!$M$107:$V$107</definedName>
    <definedName name="solver_rhs1964" localSheetId="2" hidden="1">'Run CRS'!$M$107:$V$107</definedName>
    <definedName name="solver_rhs1964" localSheetId="4" hidden="1">'Run VRS'!$M$107:$V$107</definedName>
    <definedName name="solver_rhs1965" localSheetId="2" hidden="1">'Run CRS'!$M$107:$V$107</definedName>
    <definedName name="solver_rhs1965" localSheetId="4" hidden="1">'Run VRS'!$M$107:$V$107</definedName>
    <definedName name="solver_rhs1966" localSheetId="2" hidden="1">'Run CRS'!$M$107:$V$107</definedName>
    <definedName name="solver_rhs1966" localSheetId="4" hidden="1">'Run VRS'!$M$107:$V$107</definedName>
    <definedName name="solver_rhs1967" localSheetId="2" hidden="1">'Run CRS'!$M$107:$V$107</definedName>
    <definedName name="solver_rhs1967" localSheetId="4" hidden="1">'Run VRS'!$M$107:$V$107</definedName>
    <definedName name="solver_rhs1968" localSheetId="2" hidden="1">'Run CRS'!$M$107:$V$107</definedName>
    <definedName name="solver_rhs1968" localSheetId="4" hidden="1">'Run VRS'!$M$107:$V$107</definedName>
    <definedName name="solver_rhs1969" localSheetId="2" hidden="1">'Run CRS'!$M$107:$V$107</definedName>
    <definedName name="solver_rhs1969" localSheetId="4" hidden="1">'Run VRS'!$M$107:$V$107</definedName>
    <definedName name="solver_rhs197" localSheetId="2" hidden="1">1E-100</definedName>
    <definedName name="solver_rhs197" localSheetId="4" hidden="1">1E-100</definedName>
    <definedName name="solver_rhs1970" localSheetId="2" hidden="1">'Run CRS'!$M$107:$V$107</definedName>
    <definedName name="solver_rhs1970" localSheetId="4" hidden="1">'Run VRS'!$M$107:$V$107</definedName>
    <definedName name="solver_rhs1971" localSheetId="2" hidden="1">'Run CRS'!$M$107:$V$107</definedName>
    <definedName name="solver_rhs1971" localSheetId="4" hidden="1">'Run VRS'!$M$107:$V$107</definedName>
    <definedName name="solver_rhs1972" localSheetId="2" hidden="1">'Run CRS'!$M$107:$V$107</definedName>
    <definedName name="solver_rhs1972" localSheetId="4" hidden="1">'Run VRS'!$M$107:$V$107</definedName>
    <definedName name="solver_rhs1973" localSheetId="2" hidden="1">'Run CRS'!$M$107:$V$107</definedName>
    <definedName name="solver_rhs1973" localSheetId="4" hidden="1">'Run VRS'!$M$107:$V$107</definedName>
    <definedName name="solver_rhs1974" localSheetId="2" hidden="1">'Run CRS'!$M$107:$V$107</definedName>
    <definedName name="solver_rhs1974" localSheetId="4" hidden="1">'Run VRS'!$M$107:$V$107</definedName>
    <definedName name="solver_rhs1975" localSheetId="2" hidden="1">'Run CRS'!$M$107:$V$107</definedName>
    <definedName name="solver_rhs1975" localSheetId="4" hidden="1">'Run VRS'!$M$107:$V$107</definedName>
    <definedName name="solver_rhs1976" localSheetId="2" hidden="1">'Run CRS'!$M$107:$V$107</definedName>
    <definedName name="solver_rhs1976" localSheetId="4" hidden="1">'Run VRS'!$M$107:$V$107</definedName>
    <definedName name="solver_rhs1977" localSheetId="2" hidden="1">'Run CRS'!$M$107:$V$107</definedName>
    <definedName name="solver_rhs1977" localSheetId="4" hidden="1">'Run VRS'!$M$107:$V$107</definedName>
    <definedName name="solver_rhs1978" localSheetId="2" hidden="1">'Run CRS'!$M$107:$V$107</definedName>
    <definedName name="solver_rhs1978" localSheetId="4" hidden="1">'Run VRS'!$M$107:$V$107</definedName>
    <definedName name="solver_rhs1979" localSheetId="2" hidden="1">'Run CRS'!$M$107:$V$107</definedName>
    <definedName name="solver_rhs1979" localSheetId="4" hidden="1">'Run VRS'!$M$107:$V$107</definedName>
    <definedName name="solver_rhs198" localSheetId="2" hidden="1">1E-100</definedName>
    <definedName name="solver_rhs198" localSheetId="4" hidden="1">1E-100</definedName>
    <definedName name="solver_rhs1980" localSheetId="2" hidden="1">'Run CRS'!$M$107:$V$107</definedName>
    <definedName name="solver_rhs1980" localSheetId="4" hidden="1">'Run VRS'!$M$107:$V$107</definedName>
    <definedName name="solver_rhs1981" localSheetId="2" hidden="1">'Run CRS'!$M$107:$V$107</definedName>
    <definedName name="solver_rhs1981" localSheetId="4" hidden="1">'Run VRS'!$M$107:$V$107</definedName>
    <definedName name="solver_rhs1982" localSheetId="2" hidden="1">'Run CRS'!$M$107:$V$107</definedName>
    <definedName name="solver_rhs1982" localSheetId="4" hidden="1">'Run VRS'!$M$107:$V$107</definedName>
    <definedName name="solver_rhs1983" localSheetId="2" hidden="1">'Run CRS'!$M$107:$V$107</definedName>
    <definedName name="solver_rhs1983" localSheetId="4" hidden="1">'Run VRS'!$M$107:$V$107</definedName>
    <definedName name="solver_rhs1984" localSheetId="2" hidden="1">'Run CRS'!$M$107:$V$107</definedName>
    <definedName name="solver_rhs1984" localSheetId="4" hidden="1">'Run VRS'!$M$107:$V$107</definedName>
    <definedName name="solver_rhs1985" localSheetId="2" hidden="1">'Run CRS'!$M$107:$V$107</definedName>
    <definedName name="solver_rhs1985" localSheetId="4" hidden="1">'Run VRS'!$M$107:$V$107</definedName>
    <definedName name="solver_rhs1986" localSheetId="2" hidden="1">'Run CRS'!$M$107:$V$107</definedName>
    <definedName name="solver_rhs1986" localSheetId="4" hidden="1">'Run VRS'!$M$107:$V$107</definedName>
    <definedName name="solver_rhs1987" localSheetId="2" hidden="1">'Run CRS'!$M$107:$V$107</definedName>
    <definedName name="solver_rhs1987" localSheetId="4" hidden="1">'Run VRS'!$M$107:$V$107</definedName>
    <definedName name="solver_rhs1988" localSheetId="2" hidden="1">'Run CRS'!$M$107:$V$107</definedName>
    <definedName name="solver_rhs1988" localSheetId="4" hidden="1">'Run VRS'!$M$107:$V$107</definedName>
    <definedName name="solver_rhs1989" localSheetId="2" hidden="1">'Run CRS'!$M$107:$V$107</definedName>
    <definedName name="solver_rhs1989" localSheetId="4" hidden="1">'Run VRS'!$M$107:$V$107</definedName>
    <definedName name="solver_rhs199" localSheetId="2" hidden="1">1E-100</definedName>
    <definedName name="solver_rhs199" localSheetId="4" hidden="1">1E-100</definedName>
    <definedName name="solver_rhs1990" localSheetId="2" hidden="1">'Run CRS'!$M$107:$V$107</definedName>
    <definedName name="solver_rhs1990" localSheetId="4" hidden="1">'Run VRS'!$M$107:$V$107</definedName>
    <definedName name="solver_rhs1991" localSheetId="2" hidden="1">'Run CRS'!$M$107:$V$107</definedName>
    <definedName name="solver_rhs1991" localSheetId="4" hidden="1">'Run VRS'!$M$107:$V$107</definedName>
    <definedName name="solver_rhs1992" localSheetId="2" hidden="1">'Run CRS'!$M$107:$V$107</definedName>
    <definedName name="solver_rhs1992" localSheetId="4" hidden="1">'Run VRS'!$M$107:$V$107</definedName>
    <definedName name="solver_rhs1993" localSheetId="2" hidden="1">'Run CRS'!$M$107:$V$107</definedName>
    <definedName name="solver_rhs1993" localSheetId="4" hidden="1">'Run VRS'!$M$107:$V$107</definedName>
    <definedName name="solver_rhs1994" localSheetId="2" hidden="1">'Run CRS'!$M$107:$V$107</definedName>
    <definedName name="solver_rhs1994" localSheetId="4" hidden="1">'Run VRS'!$M$107:$V$107</definedName>
    <definedName name="solver_rhs1995" localSheetId="2" hidden="1">'Run CRS'!$M$107:$V$107</definedName>
    <definedName name="solver_rhs1995" localSheetId="4" hidden="1">'Run VRS'!$M$107:$V$107</definedName>
    <definedName name="solver_rhs1996" localSheetId="2" hidden="1">'Run CRS'!$M$107:$V$107</definedName>
    <definedName name="solver_rhs1996" localSheetId="4" hidden="1">'Run VRS'!$M$107:$V$107</definedName>
    <definedName name="solver_rhs1997" localSheetId="2" hidden="1">'Run CRS'!$M$107:$V$107</definedName>
    <definedName name="solver_rhs1997" localSheetId="4" hidden="1">'Run VRS'!$M$107:$V$107</definedName>
    <definedName name="solver_rhs1998" localSheetId="2" hidden="1">'Run CRS'!$M$107:$V$107</definedName>
    <definedName name="solver_rhs1998" localSheetId="4" hidden="1">'Run VRS'!$M$107:$V$107</definedName>
    <definedName name="solver_rhs1999" localSheetId="2" hidden="1">'Run CRS'!$M$107:$V$107</definedName>
    <definedName name="solver_rhs1999" localSheetId="4" hidden="1">'Run VRS'!$M$107:$V$107</definedName>
    <definedName name="solver_rhs2" localSheetId="0" hidden="1">1E-100</definedName>
    <definedName name="solver_rhs2" localSheetId="2" hidden="1">1E-100</definedName>
    <definedName name="solver_rhs2" localSheetId="4" hidden="1">1E-100</definedName>
    <definedName name="solver_rhs20" localSheetId="0" hidden="1">'Data input'!$H$107:$I$107</definedName>
    <definedName name="solver_rhs20" localSheetId="2" hidden="1">0</definedName>
    <definedName name="solver_rhs20" localSheetId="4" hidden="1">0</definedName>
    <definedName name="solver_rhs200" localSheetId="2" hidden="1">1E-100</definedName>
    <definedName name="solver_rhs200" localSheetId="4" hidden="1">1E-100</definedName>
    <definedName name="solver_rhs2000" localSheetId="2" hidden="1">'Run CRS'!$M$107:$V$107</definedName>
    <definedName name="solver_rhs2000" localSheetId="4" hidden="1">'Run VRS'!$M$107:$V$107</definedName>
    <definedName name="solver_rhs2001" localSheetId="2" hidden="1">'Run CRS'!$M$107:$V$107</definedName>
    <definedName name="solver_rhs2001" localSheetId="4" hidden="1">'Run VRS'!$M$107:$V$107</definedName>
    <definedName name="solver_rhs2002" localSheetId="2" hidden="1">'Run CRS'!$M$107:$V$107</definedName>
    <definedName name="solver_rhs2002" localSheetId="4" hidden="1">'Run VRS'!$M$107:$V$107</definedName>
    <definedName name="solver_rhs201" localSheetId="2" hidden="1">1E-100</definedName>
    <definedName name="solver_rhs201" localSheetId="4" hidden="1">1E-100</definedName>
    <definedName name="solver_rhs202" localSheetId="2" hidden="1">1E-100</definedName>
    <definedName name="solver_rhs202" localSheetId="4" hidden="1">1E-100</definedName>
    <definedName name="solver_rhs203" localSheetId="2" hidden="1">1E-100</definedName>
    <definedName name="solver_rhs203" localSheetId="4" hidden="1">1E-100</definedName>
    <definedName name="solver_rhs204" localSheetId="2" hidden="1">1E-100</definedName>
    <definedName name="solver_rhs204" localSheetId="4" hidden="1">1E-100</definedName>
    <definedName name="solver_rhs205" localSheetId="2" hidden="1">1E-100</definedName>
    <definedName name="solver_rhs205" localSheetId="4" hidden="1">1E-100</definedName>
    <definedName name="solver_rhs206" localSheetId="2" hidden="1">1E-100</definedName>
    <definedName name="solver_rhs206" localSheetId="4" hidden="1">1E-100</definedName>
    <definedName name="solver_rhs207" localSheetId="2" hidden="1">1E-100</definedName>
    <definedName name="solver_rhs207" localSheetId="4" hidden="1">1E-100</definedName>
    <definedName name="solver_rhs208" localSheetId="2" hidden="1">1E-100</definedName>
    <definedName name="solver_rhs208" localSheetId="4" hidden="1">1E-100</definedName>
    <definedName name="solver_rhs209" localSheetId="2" hidden="1">1E-100</definedName>
    <definedName name="solver_rhs209" localSheetId="4" hidden="1">1E-100</definedName>
    <definedName name="solver_rhs21" localSheetId="0" hidden="1">1</definedName>
    <definedName name="solver_rhs21" localSheetId="2" hidden="1">'Run CRS'!$C$114</definedName>
    <definedName name="solver_rhs21" localSheetId="4" hidden="1">'Run VRS'!$C$114</definedName>
    <definedName name="solver_rhs210" localSheetId="2" hidden="1">1E-100</definedName>
    <definedName name="solver_rhs210" localSheetId="4" hidden="1">1E-100</definedName>
    <definedName name="solver_rhs211" localSheetId="2" hidden="1">1E-100</definedName>
    <definedName name="solver_rhs211" localSheetId="4" hidden="1">1E-100</definedName>
    <definedName name="solver_rhs212" localSheetId="2" hidden="1">1E-100</definedName>
    <definedName name="solver_rhs212" localSheetId="4" hidden="1">1E-100</definedName>
    <definedName name="solver_rhs213" localSheetId="2" hidden="1">1E-100</definedName>
    <definedName name="solver_rhs213" localSheetId="4" hidden="1">1E-100</definedName>
    <definedName name="solver_rhs214" localSheetId="2" hidden="1">1E-100</definedName>
    <definedName name="solver_rhs214" localSheetId="4" hidden="1">1E-100</definedName>
    <definedName name="solver_rhs215" localSheetId="2" hidden="1">1E-100</definedName>
    <definedName name="solver_rhs215" localSheetId="4" hidden="1">1E-100</definedName>
    <definedName name="solver_rhs216" localSheetId="2" hidden="1">1E-100</definedName>
    <definedName name="solver_rhs216" localSheetId="4" hidden="1">1E-100</definedName>
    <definedName name="solver_rhs217" localSheetId="2" hidden="1">1E-100</definedName>
    <definedName name="solver_rhs217" localSheetId="4" hidden="1">1E-100</definedName>
    <definedName name="solver_rhs218" localSheetId="2" hidden="1">1E-100</definedName>
    <definedName name="solver_rhs218" localSheetId="4" hidden="1">1E-100</definedName>
    <definedName name="solver_rhs219" localSheetId="2" hidden="1">1E-100</definedName>
    <definedName name="solver_rhs219" localSheetId="4" hidden="1">1E-100</definedName>
    <definedName name="solver_rhs22" localSheetId="0" hidden="1">'Data input'!$M$107:$V$107</definedName>
    <definedName name="solver_rhs22" localSheetId="2" hidden="1">'Run CRS'!$H$114:$I$114</definedName>
    <definedName name="solver_rhs22" localSheetId="4" hidden="1">'Run VRS'!$H$114:$I$114</definedName>
    <definedName name="solver_rhs220" localSheetId="2" hidden="1">1E-100</definedName>
    <definedName name="solver_rhs220" localSheetId="4" hidden="1">1E-100</definedName>
    <definedName name="solver_rhs221" localSheetId="2" hidden="1">1E-100</definedName>
    <definedName name="solver_rhs221" localSheetId="4" hidden="1">1E-100</definedName>
    <definedName name="solver_rhs222" localSheetId="2" hidden="1">1E-100</definedName>
    <definedName name="solver_rhs222" localSheetId="4" hidden="1">1E-100</definedName>
    <definedName name="solver_rhs223" localSheetId="2" hidden="1">1E-100</definedName>
    <definedName name="solver_rhs223" localSheetId="4" hidden="1">1E-100</definedName>
    <definedName name="solver_rhs224" localSheetId="2" hidden="1">1</definedName>
    <definedName name="solver_rhs224" localSheetId="4" hidden="1">1</definedName>
    <definedName name="solver_rhs225" localSheetId="2" hidden="1">1E-80</definedName>
    <definedName name="solver_rhs225" localSheetId="4" hidden="1">1E-80</definedName>
    <definedName name="solver_rhs226" localSheetId="2" hidden="1">0</definedName>
    <definedName name="solver_rhs226" localSheetId="4" hidden="1">0</definedName>
    <definedName name="solver_rhs227" localSheetId="2" hidden="1">0</definedName>
    <definedName name="solver_rhs227" localSheetId="4" hidden="1">0</definedName>
    <definedName name="solver_rhs228" localSheetId="2" hidden="1">0</definedName>
    <definedName name="solver_rhs228" localSheetId="4" hidden="1">0</definedName>
    <definedName name="solver_rhs229" localSheetId="2" hidden="1">0</definedName>
    <definedName name="solver_rhs229" localSheetId="4" hidden="1">0</definedName>
    <definedName name="solver_rhs23" localSheetId="0" hidden="1">1</definedName>
    <definedName name="solver_rhs23" localSheetId="2" hidden="1">0</definedName>
    <definedName name="solver_rhs23" localSheetId="4" hidden="1">0</definedName>
    <definedName name="solver_rhs230" localSheetId="2" hidden="1">0</definedName>
    <definedName name="solver_rhs230" localSheetId="4" hidden="1">0</definedName>
    <definedName name="solver_rhs231" localSheetId="2" hidden="1">0</definedName>
    <definedName name="solver_rhs231" localSheetId="4" hidden="1">0</definedName>
    <definedName name="solver_rhs232" localSheetId="2" hidden="1">0</definedName>
    <definedName name="solver_rhs232" localSheetId="4" hidden="1">0</definedName>
    <definedName name="solver_rhs233" localSheetId="2" hidden="1">0</definedName>
    <definedName name="solver_rhs233" localSheetId="4" hidden="1">0</definedName>
    <definedName name="solver_rhs234" localSheetId="2" hidden="1">0</definedName>
    <definedName name="solver_rhs234" localSheetId="4" hidden="1">0</definedName>
    <definedName name="solver_rhs235" localSheetId="2" hidden="1">0</definedName>
    <definedName name="solver_rhs235" localSheetId="4" hidden="1">0</definedName>
    <definedName name="solver_rhs236" localSheetId="2" hidden="1">0</definedName>
    <definedName name="solver_rhs236" localSheetId="4" hidden="1">0</definedName>
    <definedName name="solver_rhs237" localSheetId="2" hidden="1">0</definedName>
    <definedName name="solver_rhs237" localSheetId="4" hidden="1">0</definedName>
    <definedName name="solver_rhs238" localSheetId="2" hidden="1">0</definedName>
    <definedName name="solver_rhs238" localSheetId="4" hidden="1">0</definedName>
    <definedName name="solver_rhs239" localSheetId="2" hidden="1">0</definedName>
    <definedName name="solver_rhs239" localSheetId="4" hidden="1">0</definedName>
    <definedName name="solver_rhs24" localSheetId="0" hidden="1">1E-100</definedName>
    <definedName name="solver_rhs24" localSheetId="2" hidden="1">0</definedName>
    <definedName name="solver_rhs24" localSheetId="4" hidden="1">0</definedName>
    <definedName name="solver_rhs240" localSheetId="2" hidden="1">0</definedName>
    <definedName name="solver_rhs240" localSheetId="4" hidden="1">0</definedName>
    <definedName name="solver_rhs241" localSheetId="2" hidden="1">0</definedName>
    <definedName name="solver_rhs241" localSheetId="4" hidden="1">0</definedName>
    <definedName name="solver_rhs242" localSheetId="2" hidden="1">0</definedName>
    <definedName name="solver_rhs242" localSheetId="4" hidden="1">0</definedName>
    <definedName name="solver_rhs243" localSheetId="2" hidden="1">0</definedName>
    <definedName name="solver_rhs243" localSheetId="4" hidden="1">0</definedName>
    <definedName name="solver_rhs244" localSheetId="2" hidden="1">0</definedName>
    <definedName name="solver_rhs244" localSheetId="4" hidden="1">0</definedName>
    <definedName name="solver_rhs245" localSheetId="2" hidden="1">0</definedName>
    <definedName name="solver_rhs245" localSheetId="4" hidden="1">0</definedName>
    <definedName name="solver_rhs246" localSheetId="2" hidden="1">0</definedName>
    <definedName name="solver_rhs246" localSheetId="4" hidden="1">0</definedName>
    <definedName name="solver_rhs247" localSheetId="2" hidden="1">0</definedName>
    <definedName name="solver_rhs247" localSheetId="4" hidden="1">0</definedName>
    <definedName name="solver_rhs248" localSheetId="2" hidden="1">0</definedName>
    <definedName name="solver_rhs248" localSheetId="4" hidden="1">0</definedName>
    <definedName name="solver_rhs249" localSheetId="2" hidden="1">0</definedName>
    <definedName name="solver_rhs249" localSheetId="4" hidden="1">0</definedName>
    <definedName name="solver_rhs25" localSheetId="0" hidden="1">0</definedName>
    <definedName name="solver_rhs25" localSheetId="2" hidden="1">'Run CRS'!$C$107</definedName>
    <definedName name="solver_rhs25" localSheetId="4" hidden="1">'Run VRS'!$C$107</definedName>
    <definedName name="solver_rhs250" localSheetId="2" hidden="1">0</definedName>
    <definedName name="solver_rhs250" localSheetId="4" hidden="1">0</definedName>
    <definedName name="solver_rhs251" localSheetId="2" hidden="1">0</definedName>
    <definedName name="solver_rhs251" localSheetId="4" hidden="1">0</definedName>
    <definedName name="solver_rhs252" localSheetId="2" hidden="1">0</definedName>
    <definedName name="solver_rhs252" localSheetId="4" hidden="1">0</definedName>
    <definedName name="solver_rhs253" localSheetId="2" hidden="1">0</definedName>
    <definedName name="solver_rhs253" localSheetId="4" hidden="1">0</definedName>
    <definedName name="solver_rhs254" localSheetId="2" hidden="1">0</definedName>
    <definedName name="solver_rhs254" localSheetId="4" hidden="1">0</definedName>
    <definedName name="solver_rhs255" localSheetId="2" hidden="1">0</definedName>
    <definedName name="solver_rhs255" localSheetId="4" hidden="1">0</definedName>
    <definedName name="solver_rhs256" localSheetId="2" hidden="1">0</definedName>
    <definedName name="solver_rhs256" localSheetId="4" hidden="1">0</definedName>
    <definedName name="solver_rhs257" localSheetId="2" hidden="1">0</definedName>
    <definedName name="solver_rhs257" localSheetId="4" hidden="1">0</definedName>
    <definedName name="solver_rhs258" localSheetId="2" hidden="1">0</definedName>
    <definedName name="solver_rhs258" localSheetId="4" hidden="1">0</definedName>
    <definedName name="solver_rhs259" localSheetId="2" hidden="1">0</definedName>
    <definedName name="solver_rhs259" localSheetId="4" hidden="1">0</definedName>
    <definedName name="solver_rhs26" localSheetId="0" hidden="1">'Data input'!$C$114</definedName>
    <definedName name="solver_rhs26" localSheetId="2" hidden="1">'Run CRS'!$H$107:$I$107</definedName>
    <definedName name="solver_rhs26" localSheetId="4" hidden="1">'Run VRS'!$H$107:$I$107</definedName>
    <definedName name="solver_rhs260" localSheetId="2" hidden="1">0</definedName>
    <definedName name="solver_rhs260" localSheetId="4" hidden="1">0</definedName>
    <definedName name="solver_rhs261" localSheetId="2" hidden="1">0</definedName>
    <definedName name="solver_rhs261" localSheetId="4" hidden="1">0</definedName>
    <definedName name="solver_rhs262" localSheetId="2" hidden="1">0</definedName>
    <definedName name="solver_rhs262" localSheetId="4" hidden="1">0</definedName>
    <definedName name="solver_rhs263" localSheetId="2" hidden="1">0</definedName>
    <definedName name="solver_rhs263" localSheetId="4" hidden="1">0</definedName>
    <definedName name="solver_rhs264" localSheetId="2" hidden="1">0</definedName>
    <definedName name="solver_rhs264" localSheetId="4" hidden="1">0</definedName>
    <definedName name="solver_rhs265" localSheetId="2" hidden="1">0</definedName>
    <definedName name="solver_rhs265" localSheetId="4" hidden="1">0</definedName>
    <definedName name="solver_rhs266" localSheetId="2" hidden="1">0</definedName>
    <definedName name="solver_rhs266" localSheetId="4" hidden="1">0</definedName>
    <definedName name="solver_rhs267" localSheetId="2" hidden="1">0</definedName>
    <definedName name="solver_rhs267" localSheetId="4" hidden="1">0</definedName>
    <definedName name="solver_rhs268" localSheetId="2" hidden="1">0</definedName>
    <definedName name="solver_rhs268" localSheetId="4" hidden="1">0</definedName>
    <definedName name="solver_rhs269" localSheetId="2" hidden="1">0</definedName>
    <definedName name="solver_rhs269" localSheetId="4" hidden="1">0</definedName>
    <definedName name="solver_rhs27" localSheetId="0" hidden="1">'Data input'!$H$114:$I$114</definedName>
    <definedName name="solver_rhs27" localSheetId="2" hidden="1">'Run CRS'!$M$107:$V$107</definedName>
    <definedName name="solver_rhs27" localSheetId="4" hidden="1">'Run VRS'!$M$107:$V$107</definedName>
    <definedName name="solver_rhs270" localSheetId="2" hidden="1">0</definedName>
    <definedName name="solver_rhs270" localSheetId="4" hidden="1">0</definedName>
    <definedName name="solver_rhs271" localSheetId="2" hidden="1">0</definedName>
    <definedName name="solver_rhs271" localSheetId="4" hidden="1">0</definedName>
    <definedName name="solver_rhs272" localSheetId="2" hidden="1">0</definedName>
    <definedName name="solver_rhs272" localSheetId="4" hidden="1">0</definedName>
    <definedName name="solver_rhs273" localSheetId="2" hidden="1">0</definedName>
    <definedName name="solver_rhs273" localSheetId="4" hidden="1">0</definedName>
    <definedName name="solver_rhs274" localSheetId="2" hidden="1">0</definedName>
    <definedName name="solver_rhs274" localSheetId="4" hidden="1">0</definedName>
    <definedName name="solver_rhs275" localSheetId="2" hidden="1">0</definedName>
    <definedName name="solver_rhs275" localSheetId="4" hidden="1">0</definedName>
    <definedName name="solver_rhs276" localSheetId="2" hidden="1">0</definedName>
    <definedName name="solver_rhs276" localSheetId="4" hidden="1">0</definedName>
    <definedName name="solver_rhs277" localSheetId="2" hidden="1">0</definedName>
    <definedName name="solver_rhs277" localSheetId="4" hidden="1">0</definedName>
    <definedName name="solver_rhs278" localSheetId="2" hidden="1">0</definedName>
    <definedName name="solver_rhs278" localSheetId="4" hidden="1">0</definedName>
    <definedName name="solver_rhs279" localSheetId="2" hidden="1">0</definedName>
    <definedName name="solver_rhs279" localSheetId="4" hidden="1">0</definedName>
    <definedName name="solver_rhs28" localSheetId="0" hidden="1">0</definedName>
    <definedName name="solver_rhs28" localSheetId="2" hidden="1">1E-100</definedName>
    <definedName name="solver_rhs28" localSheetId="4" hidden="1">1E-100</definedName>
    <definedName name="solver_rhs280" localSheetId="2" hidden="1">0</definedName>
    <definedName name="solver_rhs280" localSheetId="4" hidden="1">0</definedName>
    <definedName name="solver_rhs281" localSheetId="2" hidden="1">0</definedName>
    <definedName name="solver_rhs281" localSheetId="4" hidden="1">0</definedName>
    <definedName name="solver_rhs282" localSheetId="2" hidden="1">0</definedName>
    <definedName name="solver_rhs282" localSheetId="4" hidden="1">0</definedName>
    <definedName name="solver_rhs283" localSheetId="2" hidden="1">0</definedName>
    <definedName name="solver_rhs283" localSheetId="4" hidden="1">0</definedName>
    <definedName name="solver_rhs284" localSheetId="2" hidden="1">0</definedName>
    <definedName name="solver_rhs284" localSheetId="4" hidden="1">0</definedName>
    <definedName name="solver_rhs285" localSheetId="2" hidden="1">0</definedName>
    <definedName name="solver_rhs285" localSheetId="4" hidden="1">0</definedName>
    <definedName name="solver_rhs286" localSheetId="2" hidden="1">0</definedName>
    <definedName name="solver_rhs286" localSheetId="4" hidden="1">0</definedName>
    <definedName name="solver_rhs287" localSheetId="2" hidden="1">0</definedName>
    <definedName name="solver_rhs287" localSheetId="4" hidden="1">0</definedName>
    <definedName name="solver_rhs288" localSheetId="2" hidden="1">0</definedName>
    <definedName name="solver_rhs288" localSheetId="4" hidden="1">0</definedName>
    <definedName name="solver_rhs289" localSheetId="2" hidden="1">0</definedName>
    <definedName name="solver_rhs289" localSheetId="4" hidden="1">0</definedName>
    <definedName name="solver_rhs29" localSheetId="0" hidden="1">0</definedName>
    <definedName name="solver_rhs29" localSheetId="2" hidden="1">1E-100</definedName>
    <definedName name="solver_rhs29" localSheetId="4" hidden="1">1E-100</definedName>
    <definedName name="solver_rhs290" localSheetId="2" hidden="1">0</definedName>
    <definedName name="solver_rhs290" localSheetId="4" hidden="1">0</definedName>
    <definedName name="solver_rhs291" localSheetId="2" hidden="1">0</definedName>
    <definedName name="solver_rhs291" localSheetId="4" hidden="1">0</definedName>
    <definedName name="solver_rhs292" localSheetId="2" hidden="1">0</definedName>
    <definedName name="solver_rhs292" localSheetId="4" hidden="1">0</definedName>
    <definedName name="solver_rhs293" localSheetId="2" hidden="1">0</definedName>
    <definedName name="solver_rhs293" localSheetId="4" hidden="1">0</definedName>
    <definedName name="solver_rhs294" localSheetId="2" hidden="1">0</definedName>
    <definedName name="solver_rhs294" localSheetId="4" hidden="1">0</definedName>
    <definedName name="solver_rhs295" localSheetId="2" hidden="1">0</definedName>
    <definedName name="solver_rhs295" localSheetId="4" hidden="1">0</definedName>
    <definedName name="solver_rhs296" localSheetId="2" hidden="1">0</definedName>
    <definedName name="solver_rhs296" localSheetId="4" hidden="1">0</definedName>
    <definedName name="solver_rhs297" localSheetId="2" hidden="1">0</definedName>
    <definedName name="solver_rhs297" localSheetId="4" hidden="1">0</definedName>
    <definedName name="solver_rhs298" localSheetId="2" hidden="1">0</definedName>
    <definedName name="solver_rhs298" localSheetId="4" hidden="1">0</definedName>
    <definedName name="solver_rhs299" localSheetId="2" hidden="1">0</definedName>
    <definedName name="solver_rhs299" localSheetId="4" hidden="1">0</definedName>
    <definedName name="solver_rhs3" localSheetId="0" hidden="1">0</definedName>
    <definedName name="solver_rhs3" localSheetId="2" hidden="1">0</definedName>
    <definedName name="solver_rhs3" localSheetId="4" hidden="1">0</definedName>
    <definedName name="solver_rhs30" localSheetId="0" hidden="1">'Data input'!$C$107</definedName>
    <definedName name="solver_rhs30" localSheetId="2" hidden="1">1E-100</definedName>
    <definedName name="solver_rhs30" localSheetId="4" hidden="1">1E-100</definedName>
    <definedName name="solver_rhs300" localSheetId="2" hidden="1">0</definedName>
    <definedName name="solver_rhs300" localSheetId="4" hidden="1">0</definedName>
    <definedName name="solver_rhs301" localSheetId="2" hidden="1">0</definedName>
    <definedName name="solver_rhs301" localSheetId="4" hidden="1">0</definedName>
    <definedName name="solver_rhs302" localSheetId="2" hidden="1">0</definedName>
    <definedName name="solver_rhs302" localSheetId="4" hidden="1">0</definedName>
    <definedName name="solver_rhs303" localSheetId="2" hidden="1">0</definedName>
    <definedName name="solver_rhs303" localSheetId="4" hidden="1">0</definedName>
    <definedName name="solver_rhs304" localSheetId="2" hidden="1">0</definedName>
    <definedName name="solver_rhs304" localSheetId="4" hidden="1">0</definedName>
    <definedName name="solver_rhs305" localSheetId="2" hidden="1">0</definedName>
    <definedName name="solver_rhs305" localSheetId="4" hidden="1">0</definedName>
    <definedName name="solver_rhs306" localSheetId="2" hidden="1">0</definedName>
    <definedName name="solver_rhs306" localSheetId="4" hidden="1">0</definedName>
    <definedName name="solver_rhs307" localSheetId="2" hidden="1">0</definedName>
    <definedName name="solver_rhs307" localSheetId="4" hidden="1">0</definedName>
    <definedName name="solver_rhs308" localSheetId="2" hidden="1">0</definedName>
    <definedName name="solver_rhs308" localSheetId="4" hidden="1">0</definedName>
    <definedName name="solver_rhs309" localSheetId="2" hidden="1">0</definedName>
    <definedName name="solver_rhs309" localSheetId="4" hidden="1">0</definedName>
    <definedName name="solver_rhs31" localSheetId="0" hidden="1">'Data input'!$H$107:$I$107</definedName>
    <definedName name="solver_rhs31" localSheetId="2" hidden="1">1E-100</definedName>
    <definedName name="solver_rhs31" localSheetId="4" hidden="1">1E-100</definedName>
    <definedName name="solver_rhs310" localSheetId="2" hidden="1">0</definedName>
    <definedName name="solver_rhs310" localSheetId="4" hidden="1">0</definedName>
    <definedName name="solver_rhs311" localSheetId="2" hidden="1">0</definedName>
    <definedName name="solver_rhs311" localSheetId="4" hidden="1">0</definedName>
    <definedName name="solver_rhs312" localSheetId="2" hidden="1">0</definedName>
    <definedName name="solver_rhs312" localSheetId="4" hidden="1">0</definedName>
    <definedName name="solver_rhs313" localSheetId="2" hidden="1">0</definedName>
    <definedName name="solver_rhs313" localSheetId="4" hidden="1">0</definedName>
    <definedName name="solver_rhs314" localSheetId="2" hidden="1">0</definedName>
    <definedName name="solver_rhs314" localSheetId="4" hidden="1">0</definedName>
    <definedName name="solver_rhs315" localSheetId="2" hidden="1">0</definedName>
    <definedName name="solver_rhs315" localSheetId="4" hidden="1">0</definedName>
    <definedName name="solver_rhs316" localSheetId="2" hidden="1">0</definedName>
    <definedName name="solver_rhs316" localSheetId="4" hidden="1">0</definedName>
    <definedName name="solver_rhs317" localSheetId="2" hidden="1">0</definedName>
    <definedName name="solver_rhs317" localSheetId="4" hidden="1">0</definedName>
    <definedName name="solver_rhs318" localSheetId="2" hidden="1">0</definedName>
    <definedName name="solver_rhs318" localSheetId="4" hidden="1">0</definedName>
    <definedName name="solver_rhs319" localSheetId="2" hidden="1">0</definedName>
    <definedName name="solver_rhs319" localSheetId="4" hidden="1">0</definedName>
    <definedName name="solver_rhs32" localSheetId="0" hidden="1">1</definedName>
    <definedName name="solver_rhs32" localSheetId="2" hidden="1">1E-100</definedName>
    <definedName name="solver_rhs32" localSheetId="4" hidden="1">1E-100</definedName>
    <definedName name="solver_rhs320" localSheetId="2" hidden="1">0</definedName>
    <definedName name="solver_rhs320" localSheetId="4" hidden="1">0</definedName>
    <definedName name="solver_rhs321" localSheetId="2" hidden="1">0</definedName>
    <definedName name="solver_rhs321" localSheetId="4" hidden="1">0</definedName>
    <definedName name="solver_rhs322" localSheetId="2" hidden="1">0</definedName>
    <definedName name="solver_rhs322" localSheetId="4" hidden="1">0</definedName>
    <definedName name="solver_rhs323" localSheetId="2" hidden="1">0</definedName>
    <definedName name="solver_rhs323" localSheetId="4" hidden="1">0</definedName>
    <definedName name="solver_rhs324" localSheetId="2" hidden="1">0</definedName>
    <definedName name="solver_rhs324" localSheetId="4" hidden="1">0</definedName>
    <definedName name="solver_rhs325" localSheetId="2" hidden="1">0</definedName>
    <definedName name="solver_rhs325" localSheetId="4" hidden="1">0</definedName>
    <definedName name="solver_rhs326" localSheetId="2" hidden="1">0</definedName>
    <definedName name="solver_rhs326" localSheetId="4" hidden="1">0</definedName>
    <definedName name="solver_rhs327" localSheetId="2" hidden="1">0</definedName>
    <definedName name="solver_rhs327" localSheetId="4" hidden="1">0</definedName>
    <definedName name="solver_rhs328" localSheetId="2" hidden="1">0</definedName>
    <definedName name="solver_rhs328" localSheetId="4" hidden="1">0</definedName>
    <definedName name="solver_rhs329" localSheetId="2" hidden="1">0</definedName>
    <definedName name="solver_rhs329" localSheetId="4" hidden="1">0</definedName>
    <definedName name="solver_rhs33" localSheetId="0" hidden="1">'Data input'!$M$107:$V$107</definedName>
    <definedName name="solver_rhs33" localSheetId="2" hidden="1">1E-100</definedName>
    <definedName name="solver_rhs33" localSheetId="4" hidden="1">1E-100</definedName>
    <definedName name="solver_rhs330" localSheetId="2" hidden="1">0</definedName>
    <definedName name="solver_rhs330" localSheetId="4" hidden="1">0</definedName>
    <definedName name="solver_rhs331" localSheetId="2" hidden="1">0</definedName>
    <definedName name="solver_rhs331" localSheetId="4" hidden="1">0</definedName>
    <definedName name="solver_rhs332" localSheetId="2" hidden="1">0</definedName>
    <definedName name="solver_rhs332" localSheetId="4" hidden="1">0</definedName>
    <definedName name="solver_rhs333" localSheetId="2" hidden="1">0</definedName>
    <definedName name="solver_rhs333" localSheetId="4" hidden="1">0</definedName>
    <definedName name="solver_rhs334" localSheetId="2" hidden="1">0</definedName>
    <definedName name="solver_rhs334" localSheetId="4" hidden="1">0</definedName>
    <definedName name="solver_rhs335" localSheetId="2" hidden="1">0</definedName>
    <definedName name="solver_rhs335" localSheetId="4" hidden="1">0</definedName>
    <definedName name="solver_rhs336" localSheetId="2" hidden="1">0</definedName>
    <definedName name="solver_rhs336" localSheetId="4" hidden="1">0</definedName>
    <definedName name="solver_rhs337" localSheetId="2" hidden="1">0</definedName>
    <definedName name="solver_rhs337" localSheetId="4" hidden="1">0</definedName>
    <definedName name="solver_rhs338" localSheetId="2" hidden="1">0</definedName>
    <definedName name="solver_rhs338" localSheetId="4" hidden="1">0</definedName>
    <definedName name="solver_rhs339" localSheetId="2" hidden="1">0</definedName>
    <definedName name="solver_rhs339" localSheetId="4" hidden="1">0</definedName>
    <definedName name="solver_rhs34" localSheetId="0" hidden="1">1</definedName>
    <definedName name="solver_rhs34" localSheetId="2" hidden="1">1E-100</definedName>
    <definedName name="solver_rhs34" localSheetId="4" hidden="1">1E-100</definedName>
    <definedName name="solver_rhs340" localSheetId="2" hidden="1">0</definedName>
    <definedName name="solver_rhs340" localSheetId="4" hidden="1">0</definedName>
    <definedName name="solver_rhs341" localSheetId="2" hidden="1">0</definedName>
    <definedName name="solver_rhs341" localSheetId="4" hidden="1">0</definedName>
    <definedName name="solver_rhs342" localSheetId="2" hidden="1">0</definedName>
    <definedName name="solver_rhs342" localSheetId="4" hidden="1">0</definedName>
    <definedName name="solver_rhs343" localSheetId="2" hidden="1">0</definedName>
    <definedName name="solver_rhs343" localSheetId="4" hidden="1">0</definedName>
    <definedName name="solver_rhs344" localSheetId="2" hidden="1">0</definedName>
    <definedName name="solver_rhs344" localSheetId="4" hidden="1">0</definedName>
    <definedName name="solver_rhs345" localSheetId="2" hidden="1">0</definedName>
    <definedName name="solver_rhs345" localSheetId="4" hidden="1">0</definedName>
    <definedName name="solver_rhs346" localSheetId="2" hidden="1">0</definedName>
    <definedName name="solver_rhs346" localSheetId="4" hidden="1">0</definedName>
    <definedName name="solver_rhs347" localSheetId="2" hidden="1">0</definedName>
    <definedName name="solver_rhs347" localSheetId="4" hidden="1">0</definedName>
    <definedName name="solver_rhs348" localSheetId="2" hidden="1">0</definedName>
    <definedName name="solver_rhs348" localSheetId="4" hidden="1">0</definedName>
    <definedName name="solver_rhs349" localSheetId="2" hidden="1">0</definedName>
    <definedName name="solver_rhs349" localSheetId="4" hidden="1">0</definedName>
    <definedName name="solver_rhs35" localSheetId="0" hidden="1">1E-100</definedName>
    <definedName name="solver_rhs35" localSheetId="2" hidden="1">1E-100</definedName>
    <definedName name="solver_rhs35" localSheetId="4" hidden="1">1E-100</definedName>
    <definedName name="solver_rhs350" localSheetId="2" hidden="1">0</definedName>
    <definedName name="solver_rhs350" localSheetId="4" hidden="1">0</definedName>
    <definedName name="solver_rhs351" localSheetId="2" hidden="1">0</definedName>
    <definedName name="solver_rhs351" localSheetId="4" hidden="1">0</definedName>
    <definedName name="solver_rhs352" localSheetId="2" hidden="1">0</definedName>
    <definedName name="solver_rhs352" localSheetId="4" hidden="1">0</definedName>
    <definedName name="solver_rhs353" localSheetId="2" hidden="1">0</definedName>
    <definedName name="solver_rhs353" localSheetId="4" hidden="1">0</definedName>
    <definedName name="solver_rhs354" localSheetId="2" hidden="1">0</definedName>
    <definedName name="solver_rhs354" localSheetId="4" hidden="1">0</definedName>
    <definedName name="solver_rhs355" localSheetId="2" hidden="1">0</definedName>
    <definedName name="solver_rhs355" localSheetId="4" hidden="1">0</definedName>
    <definedName name="solver_rhs356" localSheetId="2" hidden="1">0</definedName>
    <definedName name="solver_rhs356" localSheetId="4" hidden="1">0</definedName>
    <definedName name="solver_rhs357" localSheetId="2" hidden="1">0</definedName>
    <definedName name="solver_rhs357" localSheetId="4" hidden="1">0</definedName>
    <definedName name="solver_rhs358" localSheetId="2" hidden="1">0</definedName>
    <definedName name="solver_rhs358" localSheetId="4" hidden="1">0</definedName>
    <definedName name="solver_rhs359" localSheetId="2" hidden="1">0</definedName>
    <definedName name="solver_rhs359" localSheetId="4" hidden="1">0</definedName>
    <definedName name="solver_rhs36" localSheetId="0" hidden="1">0</definedName>
    <definedName name="solver_rhs36" localSheetId="2" hidden="1">1E-100</definedName>
    <definedName name="solver_rhs36" localSheetId="4" hidden="1">1E-100</definedName>
    <definedName name="solver_rhs360" localSheetId="2" hidden="1">0</definedName>
    <definedName name="solver_rhs360" localSheetId="4" hidden="1">0</definedName>
    <definedName name="solver_rhs361" localSheetId="2" hidden="1">0</definedName>
    <definedName name="solver_rhs361" localSheetId="4" hidden="1">0</definedName>
    <definedName name="solver_rhs362" localSheetId="2" hidden="1">0</definedName>
    <definedName name="solver_rhs362" localSheetId="4" hidden="1">0</definedName>
    <definedName name="solver_rhs363" localSheetId="2" hidden="1">0</definedName>
    <definedName name="solver_rhs363" localSheetId="4" hidden="1">0</definedName>
    <definedName name="solver_rhs364" localSheetId="2" hidden="1">0</definedName>
    <definedName name="solver_rhs364" localSheetId="4" hidden="1">0</definedName>
    <definedName name="solver_rhs365" localSheetId="2" hidden="1">0</definedName>
    <definedName name="solver_rhs365" localSheetId="4" hidden="1">0</definedName>
    <definedName name="solver_rhs366" localSheetId="2" hidden="1">0</definedName>
    <definedName name="solver_rhs366" localSheetId="4" hidden="1">0</definedName>
    <definedName name="solver_rhs367" localSheetId="2" hidden="1">0</definedName>
    <definedName name="solver_rhs367" localSheetId="4" hidden="1">0</definedName>
    <definedName name="solver_rhs368" localSheetId="2" hidden="1">0</definedName>
    <definedName name="solver_rhs368" localSheetId="4" hidden="1">0</definedName>
    <definedName name="solver_rhs369" localSheetId="2" hidden="1">0</definedName>
    <definedName name="solver_rhs369" localSheetId="4" hidden="1">0</definedName>
    <definedName name="solver_rhs37" localSheetId="0" hidden="1">'Data input'!$C$114</definedName>
    <definedName name="solver_rhs37" localSheetId="2" hidden="1">1E-100</definedName>
    <definedName name="solver_rhs37" localSheetId="4" hidden="1">1E-100</definedName>
    <definedName name="solver_rhs370" localSheetId="2" hidden="1">0</definedName>
    <definedName name="solver_rhs370" localSheetId="4" hidden="1">0</definedName>
    <definedName name="solver_rhs371" localSheetId="2" hidden="1">0</definedName>
    <definedName name="solver_rhs371" localSheetId="4" hidden="1">0</definedName>
    <definedName name="solver_rhs372" localSheetId="2" hidden="1">0</definedName>
    <definedName name="solver_rhs372" localSheetId="4" hidden="1">0</definedName>
    <definedName name="solver_rhs373" localSheetId="2" hidden="1">0</definedName>
    <definedName name="solver_rhs373" localSheetId="4" hidden="1">0</definedName>
    <definedName name="solver_rhs374" localSheetId="2" hidden="1">0</definedName>
    <definedName name="solver_rhs374" localSheetId="4" hidden="1">0</definedName>
    <definedName name="solver_rhs375" localSheetId="2" hidden="1">0</definedName>
    <definedName name="solver_rhs375" localSheetId="4" hidden="1">0</definedName>
    <definedName name="solver_rhs376" localSheetId="2" hidden="1">0</definedName>
    <definedName name="solver_rhs376" localSheetId="4" hidden="1">0</definedName>
    <definedName name="solver_rhs377" localSheetId="2" hidden="1">0</definedName>
    <definedName name="solver_rhs377" localSheetId="4" hidden="1">0</definedName>
    <definedName name="solver_rhs378" localSheetId="2" hidden="1">0</definedName>
    <definedName name="solver_rhs378" localSheetId="4" hidden="1">0</definedName>
    <definedName name="solver_rhs379" localSheetId="2" hidden="1">0</definedName>
    <definedName name="solver_rhs379" localSheetId="4" hidden="1">0</definedName>
    <definedName name="solver_rhs38" localSheetId="0" hidden="1">'Data input'!$H$114:$I$114</definedName>
    <definedName name="solver_rhs38" localSheetId="2" hidden="1">1E-100</definedName>
    <definedName name="solver_rhs38" localSheetId="4" hidden="1">1E-100</definedName>
    <definedName name="solver_rhs380" localSheetId="2" hidden="1">0</definedName>
    <definedName name="solver_rhs380" localSheetId="4" hidden="1">0</definedName>
    <definedName name="solver_rhs381" localSheetId="2" hidden="1">0</definedName>
    <definedName name="solver_rhs381" localSheetId="4" hidden="1">0</definedName>
    <definedName name="solver_rhs382" localSheetId="2" hidden="1">0</definedName>
    <definedName name="solver_rhs382" localSheetId="4" hidden="1">0</definedName>
    <definedName name="solver_rhs383" localSheetId="2" hidden="1">0</definedName>
    <definedName name="solver_rhs383" localSheetId="4" hidden="1">0</definedName>
    <definedName name="solver_rhs384" localSheetId="2" hidden="1">0</definedName>
    <definedName name="solver_rhs384" localSheetId="4" hidden="1">0</definedName>
    <definedName name="solver_rhs385" localSheetId="2" hidden="1">0</definedName>
    <definedName name="solver_rhs385" localSheetId="4" hidden="1">0</definedName>
    <definedName name="solver_rhs386" localSheetId="2" hidden="1">0</definedName>
    <definedName name="solver_rhs386" localSheetId="4" hidden="1">0</definedName>
    <definedName name="solver_rhs387" localSheetId="2" hidden="1">0</definedName>
    <definedName name="solver_rhs387" localSheetId="4" hidden="1">0</definedName>
    <definedName name="solver_rhs388" localSheetId="2" hidden="1">0</definedName>
    <definedName name="solver_rhs388" localSheetId="4" hidden="1">0</definedName>
    <definedName name="solver_rhs389" localSheetId="2" hidden="1">0</definedName>
    <definedName name="solver_rhs389" localSheetId="4" hidden="1">0</definedName>
    <definedName name="solver_rhs39" localSheetId="0" hidden="1">0</definedName>
    <definedName name="solver_rhs39" localSheetId="2" hidden="1">1E-100</definedName>
    <definedName name="solver_rhs39" localSheetId="4" hidden="1">1E-100</definedName>
    <definedName name="solver_rhs390" localSheetId="2" hidden="1">0</definedName>
    <definedName name="solver_rhs390" localSheetId="4" hidden="1">0</definedName>
    <definedName name="solver_rhs391" localSheetId="2" hidden="1">0</definedName>
    <definedName name="solver_rhs391" localSheetId="4" hidden="1">0</definedName>
    <definedName name="solver_rhs392" localSheetId="2" hidden="1">0</definedName>
    <definedName name="solver_rhs392" localSheetId="4" hidden="1">0</definedName>
    <definedName name="solver_rhs393" localSheetId="2" hidden="1">0</definedName>
    <definedName name="solver_rhs393" localSheetId="4" hidden="1">0</definedName>
    <definedName name="solver_rhs394" localSheetId="2" hidden="1">0</definedName>
    <definedName name="solver_rhs394" localSheetId="4" hidden="1">0</definedName>
    <definedName name="solver_rhs395" localSheetId="2" hidden="1">0</definedName>
    <definedName name="solver_rhs395" localSheetId="4" hidden="1">0</definedName>
    <definedName name="solver_rhs396" localSheetId="2" hidden="1">0</definedName>
    <definedName name="solver_rhs396" localSheetId="4" hidden="1">0</definedName>
    <definedName name="solver_rhs397" localSheetId="2" hidden="1">0</definedName>
    <definedName name="solver_rhs397" localSheetId="4" hidden="1">0</definedName>
    <definedName name="solver_rhs398" localSheetId="2" hidden="1">0</definedName>
    <definedName name="solver_rhs398" localSheetId="4" hidden="1">0</definedName>
    <definedName name="solver_rhs399" localSheetId="2" hidden="1">0</definedName>
    <definedName name="solver_rhs399" localSheetId="4" hidden="1">0</definedName>
    <definedName name="solver_rhs4" localSheetId="0" hidden="1">'Data input'!$C$114</definedName>
    <definedName name="solver_rhs4" localSheetId="2" hidden="1">'Run CRS'!$C$114</definedName>
    <definedName name="solver_rhs4" localSheetId="4" hidden="1">'Run VRS'!$C$114</definedName>
    <definedName name="solver_rhs40" localSheetId="0" hidden="1">0</definedName>
    <definedName name="solver_rhs40" localSheetId="2" hidden="1">1E-100</definedName>
    <definedName name="solver_rhs40" localSheetId="4" hidden="1">1E-100</definedName>
    <definedName name="solver_rhs400" localSheetId="2" hidden="1">0</definedName>
    <definedName name="solver_rhs400" localSheetId="4" hidden="1">0</definedName>
    <definedName name="solver_rhs401" localSheetId="2" hidden="1">0</definedName>
    <definedName name="solver_rhs401" localSheetId="4" hidden="1">0</definedName>
    <definedName name="solver_rhs402" localSheetId="2" hidden="1">0</definedName>
    <definedName name="solver_rhs402" localSheetId="4" hidden="1">0</definedName>
    <definedName name="solver_rhs403" localSheetId="2" hidden="1">0</definedName>
    <definedName name="solver_rhs403" localSheetId="4" hidden="1">0</definedName>
    <definedName name="solver_rhs404" localSheetId="2" hidden="1">0</definedName>
    <definedName name="solver_rhs404" localSheetId="4" hidden="1">0</definedName>
    <definedName name="solver_rhs405" localSheetId="2" hidden="1">0</definedName>
    <definedName name="solver_rhs405" localSheetId="4" hidden="1">0</definedName>
    <definedName name="solver_rhs406" localSheetId="2" hidden="1">0</definedName>
    <definedName name="solver_rhs406" localSheetId="4" hidden="1">0</definedName>
    <definedName name="solver_rhs407" localSheetId="2" hidden="1">0</definedName>
    <definedName name="solver_rhs407" localSheetId="4" hidden="1">0</definedName>
    <definedName name="solver_rhs408" localSheetId="2" hidden="1">0</definedName>
    <definedName name="solver_rhs408" localSheetId="4" hidden="1">0</definedName>
    <definedName name="solver_rhs409" localSheetId="2" hidden="1">0</definedName>
    <definedName name="solver_rhs409" localSheetId="4" hidden="1">0</definedName>
    <definedName name="solver_rhs41" localSheetId="0" hidden="1">'Data input'!$C$107</definedName>
    <definedName name="solver_rhs41" localSheetId="2" hidden="1">1E-100</definedName>
    <definedName name="solver_rhs41" localSheetId="4" hidden="1">1E-100</definedName>
    <definedName name="solver_rhs410" localSheetId="2" hidden="1">0</definedName>
    <definedName name="solver_rhs410" localSheetId="4" hidden="1">0</definedName>
    <definedName name="solver_rhs411" localSheetId="2" hidden="1">0</definedName>
    <definedName name="solver_rhs411" localSheetId="4" hidden="1">0</definedName>
    <definedName name="solver_rhs412" localSheetId="2" hidden="1">0</definedName>
    <definedName name="solver_rhs412" localSheetId="4" hidden="1">0</definedName>
    <definedName name="solver_rhs413" localSheetId="2" hidden="1">0</definedName>
    <definedName name="solver_rhs413" localSheetId="4" hidden="1">0</definedName>
    <definedName name="solver_rhs414" localSheetId="2" hidden="1">0</definedName>
    <definedName name="solver_rhs414" localSheetId="4" hidden="1">0</definedName>
    <definedName name="solver_rhs415" localSheetId="2" hidden="1">0</definedName>
    <definedName name="solver_rhs415" localSheetId="4" hidden="1">0</definedName>
    <definedName name="solver_rhs416" localSheetId="2" hidden="1">0</definedName>
    <definedName name="solver_rhs416" localSheetId="4" hidden="1">0</definedName>
    <definedName name="solver_rhs417" localSheetId="2" hidden="1">0</definedName>
    <definedName name="solver_rhs417" localSheetId="4" hidden="1">0</definedName>
    <definedName name="solver_rhs418" localSheetId="2" hidden="1">0</definedName>
    <definedName name="solver_rhs418" localSheetId="4" hidden="1">0</definedName>
    <definedName name="solver_rhs419" localSheetId="2" hidden="1">0</definedName>
    <definedName name="solver_rhs419" localSheetId="4" hidden="1">0</definedName>
    <definedName name="solver_rhs42" localSheetId="0" hidden="1">'Data input'!$H$107:$I$107</definedName>
    <definedName name="solver_rhs42" localSheetId="2" hidden="1">1E-100</definedName>
    <definedName name="solver_rhs42" localSheetId="4" hidden="1">1E-100</definedName>
    <definedName name="solver_rhs420" localSheetId="2" hidden="1">0</definedName>
    <definedName name="solver_rhs420" localSheetId="4" hidden="1">0</definedName>
    <definedName name="solver_rhs421" localSheetId="2" hidden="1">0</definedName>
    <definedName name="solver_rhs421" localSheetId="4" hidden="1">0</definedName>
    <definedName name="solver_rhs422" localSheetId="2" hidden="1">0</definedName>
    <definedName name="solver_rhs422" localSheetId="4" hidden="1">0</definedName>
    <definedName name="solver_rhs423" localSheetId="2" hidden="1">0</definedName>
    <definedName name="solver_rhs423" localSheetId="4" hidden="1">0</definedName>
    <definedName name="solver_rhs424" localSheetId="2" hidden="1">0</definedName>
    <definedName name="solver_rhs424" localSheetId="4" hidden="1">0</definedName>
    <definedName name="solver_rhs425" localSheetId="2" hidden="1">0</definedName>
    <definedName name="solver_rhs425" localSheetId="4" hidden="1">0</definedName>
    <definedName name="solver_rhs426" localSheetId="2" hidden="1">0</definedName>
    <definedName name="solver_rhs426" localSheetId="4" hidden="1">0</definedName>
    <definedName name="solver_rhs427" localSheetId="2" hidden="1">0</definedName>
    <definedName name="solver_rhs427" localSheetId="4" hidden="1">0</definedName>
    <definedName name="solver_rhs428" localSheetId="2" hidden="1">0</definedName>
    <definedName name="solver_rhs428" localSheetId="4" hidden="1">0</definedName>
    <definedName name="solver_rhs429" localSheetId="2" hidden="1">0</definedName>
    <definedName name="solver_rhs429" localSheetId="4" hidden="1">0</definedName>
    <definedName name="solver_rhs43" localSheetId="0" hidden="1">1</definedName>
    <definedName name="solver_rhs43" localSheetId="2" hidden="1">1E-100</definedName>
    <definedName name="solver_rhs43" localSheetId="4" hidden="1">1E-100</definedName>
    <definedName name="solver_rhs430" localSheetId="2" hidden="1">0</definedName>
    <definedName name="solver_rhs430" localSheetId="4" hidden="1">0</definedName>
    <definedName name="solver_rhs431" localSheetId="2" hidden="1">0</definedName>
    <definedName name="solver_rhs431" localSheetId="4" hidden="1">0</definedName>
    <definedName name="solver_rhs432" localSheetId="2" hidden="1">0</definedName>
    <definedName name="solver_rhs432" localSheetId="4" hidden="1">0</definedName>
    <definedName name="solver_rhs433" localSheetId="2" hidden="1">0</definedName>
    <definedName name="solver_rhs433" localSheetId="4" hidden="1">0</definedName>
    <definedName name="solver_rhs434" localSheetId="2" hidden="1">0</definedName>
    <definedName name="solver_rhs434" localSheetId="4" hidden="1">0</definedName>
    <definedName name="solver_rhs435" localSheetId="2" hidden="1">0</definedName>
    <definedName name="solver_rhs435" localSheetId="4" hidden="1">0</definedName>
    <definedName name="solver_rhs436" localSheetId="2" hidden="1">0</definedName>
    <definedName name="solver_rhs436" localSheetId="4" hidden="1">0</definedName>
    <definedName name="solver_rhs437" localSheetId="2" hidden="1">0</definedName>
    <definedName name="solver_rhs437" localSheetId="4" hidden="1">0</definedName>
    <definedName name="solver_rhs438" localSheetId="2" hidden="1">0</definedName>
    <definedName name="solver_rhs438" localSheetId="4" hidden="1">0</definedName>
    <definedName name="solver_rhs439" localSheetId="2" hidden="1">0</definedName>
    <definedName name="solver_rhs439" localSheetId="4" hidden="1">0</definedName>
    <definedName name="solver_rhs44" localSheetId="0" hidden="1">'Data input'!$M$107:$V$107</definedName>
    <definedName name="solver_rhs44" localSheetId="2" hidden="1">1E-100</definedName>
    <definedName name="solver_rhs44" localSheetId="4" hidden="1">1E-100</definedName>
    <definedName name="solver_rhs440" localSheetId="2" hidden="1">0</definedName>
    <definedName name="solver_rhs440" localSheetId="4" hidden="1">0</definedName>
    <definedName name="solver_rhs441" localSheetId="2" hidden="1">0</definedName>
    <definedName name="solver_rhs441" localSheetId="4" hidden="1">0</definedName>
    <definedName name="solver_rhs442" localSheetId="2" hidden="1">0</definedName>
    <definedName name="solver_rhs442" localSheetId="4" hidden="1">0</definedName>
    <definedName name="solver_rhs443" localSheetId="2" hidden="1">0</definedName>
    <definedName name="solver_rhs443" localSheetId="4" hidden="1">0</definedName>
    <definedName name="solver_rhs444" localSheetId="2" hidden="1">0</definedName>
    <definedName name="solver_rhs444" localSheetId="4" hidden="1">0</definedName>
    <definedName name="solver_rhs445" localSheetId="2" hidden="1">'Run CRS'!$B$114:$C$114</definedName>
    <definedName name="solver_rhs445" localSheetId="4" hidden="1">'Run VRS'!$B$114:$C$114</definedName>
    <definedName name="solver_rhs446" localSheetId="2" hidden="1">'Run CRS'!$B$114:$C$114</definedName>
    <definedName name="solver_rhs446" localSheetId="4" hidden="1">'Run VRS'!$B$114:$C$114</definedName>
    <definedName name="solver_rhs447" localSheetId="2" hidden="1">'Run CRS'!$B$114:$C$114</definedName>
    <definedName name="solver_rhs447" localSheetId="4" hidden="1">'Run VRS'!$B$114:$C$114</definedName>
    <definedName name="solver_rhs448" localSheetId="2" hidden="1">'Run CRS'!$B$114:$C$114</definedName>
    <definedName name="solver_rhs448" localSheetId="4" hidden="1">'Run VRS'!$B$114:$C$114</definedName>
    <definedName name="solver_rhs449" localSheetId="2" hidden="1">'Run CRS'!$B$114:$C$114</definedName>
    <definedName name="solver_rhs449" localSheetId="4" hidden="1">'Run VRS'!$B$114:$C$114</definedName>
    <definedName name="solver_rhs45" localSheetId="2" hidden="1">1E-100</definedName>
    <definedName name="solver_rhs45" localSheetId="4" hidden="1">1E-100</definedName>
    <definedName name="solver_rhs450" localSheetId="2" hidden="1">'Run CRS'!$B$114:$C$114</definedName>
    <definedName name="solver_rhs450" localSheetId="4" hidden="1">'Run VRS'!$B$114:$C$114</definedName>
    <definedName name="solver_rhs451" localSheetId="2" hidden="1">'Run CRS'!$B$114:$C$114</definedName>
    <definedName name="solver_rhs451" localSheetId="4" hidden="1">'Run VRS'!$B$114:$C$114</definedName>
    <definedName name="solver_rhs452" localSheetId="2" hidden="1">0</definedName>
    <definedName name="solver_rhs452" localSheetId="4" hidden="1">0</definedName>
    <definedName name="solver_rhs453" localSheetId="2" hidden="1">'Run CRS'!$B$114:$C$114</definedName>
    <definedName name="solver_rhs453" localSheetId="4" hidden="1">'Run VRS'!$B$114:$C$114</definedName>
    <definedName name="solver_rhs454" localSheetId="2" hidden="1">'Run CRS'!$B$114:$C$114</definedName>
    <definedName name="solver_rhs454" localSheetId="4" hidden="1">'Run VRS'!$B$114:$C$114</definedName>
    <definedName name="solver_rhs455" localSheetId="2" hidden="1">'Run CRS'!$B$114:$C$114</definedName>
    <definedName name="solver_rhs455" localSheetId="4" hidden="1">'Run VRS'!$B$114:$C$114</definedName>
    <definedName name="solver_rhs456" localSheetId="2" hidden="1">'Run CRS'!$B$114:$C$114</definedName>
    <definedName name="solver_rhs456" localSheetId="4" hidden="1">'Run VRS'!$B$114:$C$114</definedName>
    <definedName name="solver_rhs457" localSheetId="2" hidden="1">'Run CRS'!$B$114:$C$114</definedName>
    <definedName name="solver_rhs457" localSheetId="4" hidden="1">'Run VRS'!$B$114:$C$114</definedName>
    <definedName name="solver_rhs458" localSheetId="2" hidden="1">0</definedName>
    <definedName name="solver_rhs458" localSheetId="4" hidden="1">0</definedName>
    <definedName name="solver_rhs459" localSheetId="2" hidden="1">'Run CRS'!$B$114:$C$114</definedName>
    <definedName name="solver_rhs459" localSheetId="4" hidden="1">'Run VRS'!$B$114:$C$114</definedName>
    <definedName name="solver_rhs46" localSheetId="2" hidden="1">1E-100</definedName>
    <definedName name="solver_rhs46" localSheetId="4" hidden="1">1E-100</definedName>
    <definedName name="solver_rhs460" localSheetId="2" hidden="1">'Run CRS'!$B$114:$C$114</definedName>
    <definedName name="solver_rhs460" localSheetId="4" hidden="1">'Run VRS'!$B$114:$C$114</definedName>
    <definedName name="solver_rhs461" localSheetId="2" hidden="1">'Run CRS'!$B$114:$C$114</definedName>
    <definedName name="solver_rhs461" localSheetId="4" hidden="1">'Run VRS'!$B$114:$C$114</definedName>
    <definedName name="solver_rhs462" localSheetId="2" hidden="1">'Run CRS'!$B$114:$C$114</definedName>
    <definedName name="solver_rhs462" localSheetId="4" hidden="1">'Run VRS'!$B$114:$C$114</definedName>
    <definedName name="solver_rhs463" localSheetId="2" hidden="1">'Run CRS'!$B$114:$C$114</definedName>
    <definedName name="solver_rhs463" localSheetId="4" hidden="1">'Run VRS'!$B$114:$C$114</definedName>
    <definedName name="solver_rhs464" localSheetId="2" hidden="1">'Run CRS'!$B$114:$C$114</definedName>
    <definedName name="solver_rhs464" localSheetId="4" hidden="1">'Run VRS'!$B$114:$C$114</definedName>
    <definedName name="solver_rhs465" localSheetId="2" hidden="1">'Run CRS'!$B$114:$C$114</definedName>
    <definedName name="solver_rhs465" localSheetId="4" hidden="1">'Run VRS'!$B$114:$C$114</definedName>
    <definedName name="solver_rhs466" localSheetId="2" hidden="1">'Run CRS'!$B$114:$C$114</definedName>
    <definedName name="solver_rhs466" localSheetId="4" hidden="1">'Run VRS'!$B$114:$C$114</definedName>
    <definedName name="solver_rhs467" localSheetId="2" hidden="1">'Run CRS'!$B$114:$C$114</definedName>
    <definedName name="solver_rhs467" localSheetId="4" hidden="1">'Run VRS'!$B$114:$C$114</definedName>
    <definedName name="solver_rhs468" localSheetId="2" hidden="1">'Run CRS'!$B$114:$C$114</definedName>
    <definedName name="solver_rhs468" localSheetId="4" hidden="1">'Run VRS'!$B$114:$C$114</definedName>
    <definedName name="solver_rhs469" localSheetId="2" hidden="1">'Run CRS'!$B$114:$C$114</definedName>
    <definedName name="solver_rhs469" localSheetId="4" hidden="1">'Run VRS'!$B$114:$C$114</definedName>
    <definedName name="solver_rhs47" localSheetId="2" hidden="1">1E-100</definedName>
    <definedName name="solver_rhs47" localSheetId="4" hidden="1">1E-100</definedName>
    <definedName name="solver_rhs470" localSheetId="2" hidden="1">'Run CRS'!$B$114:$C$114</definedName>
    <definedName name="solver_rhs470" localSheetId="4" hidden="1">'Run VRS'!$B$114:$C$114</definedName>
    <definedName name="solver_rhs471" localSheetId="2" hidden="1">'Run CRS'!$B$114:$C$114</definedName>
    <definedName name="solver_rhs471" localSheetId="4" hidden="1">'Run VRS'!$B$114:$C$114</definedName>
    <definedName name="solver_rhs472" localSheetId="2" hidden="1">'Run CRS'!$B$114:$C$114</definedName>
    <definedName name="solver_rhs472" localSheetId="4" hidden="1">'Run VRS'!$B$114:$C$114</definedName>
    <definedName name="solver_rhs473" localSheetId="2" hidden="1">'Run CRS'!$B$114:$C$114</definedName>
    <definedName name="solver_rhs473" localSheetId="4" hidden="1">'Run VRS'!$B$114:$C$114</definedName>
    <definedName name="solver_rhs474" localSheetId="2" hidden="1">'Run CRS'!$B$114:$C$114</definedName>
    <definedName name="solver_rhs474" localSheetId="4" hidden="1">'Run VRS'!$B$114:$C$114</definedName>
    <definedName name="solver_rhs475" localSheetId="2" hidden="1">'Run CRS'!$B$114:$C$114</definedName>
    <definedName name="solver_rhs475" localSheetId="4" hidden="1">'Run VRS'!$B$114:$C$114</definedName>
    <definedName name="solver_rhs476" localSheetId="2" hidden="1">'Run CRS'!$B$114:$C$114</definedName>
    <definedName name="solver_rhs476" localSheetId="4" hidden="1">'Run VRS'!$B$114:$C$114</definedName>
    <definedName name="solver_rhs477" localSheetId="2" hidden="1">'Run CRS'!$B$114:$C$114</definedName>
    <definedName name="solver_rhs477" localSheetId="4" hidden="1">'Run VRS'!$B$114:$C$114</definedName>
    <definedName name="solver_rhs478" localSheetId="2" hidden="1">'Run CRS'!$B$114:$C$114</definedName>
    <definedName name="solver_rhs478" localSheetId="4" hidden="1">'Run VRS'!$B$114:$C$114</definedName>
    <definedName name="solver_rhs479" localSheetId="2" hidden="1">'Run CRS'!$B$114:$C$114</definedName>
    <definedName name="solver_rhs479" localSheetId="4" hidden="1">'Run VRS'!$B$114:$C$114</definedName>
    <definedName name="solver_rhs48" localSheetId="2" hidden="1">1E-100</definedName>
    <definedName name="solver_rhs48" localSheetId="4" hidden="1">1E-100</definedName>
    <definedName name="solver_rhs480" localSheetId="2" hidden="1">'Run CRS'!$B$114:$C$114</definedName>
    <definedName name="solver_rhs480" localSheetId="4" hidden="1">'Run VRS'!$B$114:$C$114</definedName>
    <definedName name="solver_rhs481" localSheetId="2" hidden="1">'Run CRS'!$B$114:$C$114</definedName>
    <definedName name="solver_rhs481" localSheetId="4" hidden="1">'Run VRS'!$B$114:$C$114</definedName>
    <definedName name="solver_rhs482" localSheetId="2" hidden="1">'Run CRS'!$B$114:$C$114</definedName>
    <definedName name="solver_rhs482" localSheetId="4" hidden="1">'Run VRS'!$B$114:$C$114</definedName>
    <definedName name="solver_rhs483" localSheetId="2" hidden="1">'Run CRS'!$B$114:$C$114</definedName>
    <definedName name="solver_rhs483" localSheetId="4" hidden="1">'Run VRS'!$B$114:$C$114</definedName>
    <definedName name="solver_rhs484" localSheetId="2" hidden="1">'Run CRS'!$B$114:$C$114</definedName>
    <definedName name="solver_rhs484" localSheetId="4" hidden="1">'Run VRS'!$B$114:$C$114</definedName>
    <definedName name="solver_rhs485" localSheetId="2" hidden="1">'Run CRS'!$B$114:$C$114</definedName>
    <definedName name="solver_rhs485" localSheetId="4" hidden="1">'Run VRS'!$B$114:$C$114</definedName>
    <definedName name="solver_rhs486" localSheetId="2" hidden="1">'Run CRS'!$B$114:$C$114</definedName>
    <definedName name="solver_rhs486" localSheetId="4" hidden="1">'Run VRS'!$B$114:$C$114</definedName>
    <definedName name="solver_rhs487" localSheetId="2" hidden="1">'Run CRS'!$B$114:$C$114</definedName>
    <definedName name="solver_rhs487" localSheetId="4" hidden="1">'Run VRS'!$B$114:$C$114</definedName>
    <definedName name="solver_rhs488" localSheetId="2" hidden="1">'Run CRS'!$B$114:$C$114</definedName>
    <definedName name="solver_rhs488" localSheetId="4" hidden="1">'Run VRS'!$B$114:$C$114</definedName>
    <definedName name="solver_rhs489" localSheetId="2" hidden="1">'Run CRS'!$B$114:$C$114</definedName>
    <definedName name="solver_rhs489" localSheetId="4" hidden="1">'Run VRS'!$B$114:$C$114</definedName>
    <definedName name="solver_rhs49" localSheetId="2" hidden="1">1E-100</definedName>
    <definedName name="solver_rhs49" localSheetId="4" hidden="1">1E-100</definedName>
    <definedName name="solver_rhs490" localSheetId="2" hidden="1">'Run CRS'!$B$114:$C$114</definedName>
    <definedName name="solver_rhs490" localSheetId="4" hidden="1">'Run VRS'!$B$114:$C$114</definedName>
    <definedName name="solver_rhs491" localSheetId="2" hidden="1">'Run CRS'!$B$114:$C$114</definedName>
    <definedName name="solver_rhs491" localSheetId="4" hidden="1">'Run VRS'!$B$114:$C$114</definedName>
    <definedName name="solver_rhs492" localSheetId="2" hidden="1">'Run CRS'!$B$114:$C$114</definedName>
    <definedName name="solver_rhs492" localSheetId="4" hidden="1">'Run VRS'!$B$114:$C$114</definedName>
    <definedName name="solver_rhs493" localSheetId="2" hidden="1">'Run CRS'!$B$114:$C$114</definedName>
    <definedName name="solver_rhs493" localSheetId="4" hidden="1">'Run VRS'!$B$114:$C$114</definedName>
    <definedName name="solver_rhs494" localSheetId="2" hidden="1">'Run CRS'!$B$114:$C$114</definedName>
    <definedName name="solver_rhs494" localSheetId="4" hidden="1">'Run VRS'!$B$114:$C$114</definedName>
    <definedName name="solver_rhs495" localSheetId="2" hidden="1">'Run CRS'!$B$114:$C$114</definedName>
    <definedName name="solver_rhs495" localSheetId="4" hidden="1">'Run VRS'!$B$114:$C$114</definedName>
    <definedName name="solver_rhs496" localSheetId="2" hidden="1">'Run CRS'!$B$114:$C$114</definedName>
    <definedName name="solver_rhs496" localSheetId="4" hidden="1">'Run VRS'!$B$114:$C$114</definedName>
    <definedName name="solver_rhs497" localSheetId="2" hidden="1">'Run CRS'!$B$114:$C$114</definedName>
    <definedName name="solver_rhs497" localSheetId="4" hidden="1">'Run VRS'!$B$114:$C$114</definedName>
    <definedName name="solver_rhs498" localSheetId="2" hidden="1">'Run CRS'!$B$114:$C$114</definedName>
    <definedName name="solver_rhs498" localSheetId="4" hidden="1">'Run VRS'!$B$114:$C$114</definedName>
    <definedName name="solver_rhs499" localSheetId="2" hidden="1">'Run CRS'!$B$114:$C$114</definedName>
    <definedName name="solver_rhs499" localSheetId="4" hidden="1">'Run VRS'!$B$114:$C$114</definedName>
    <definedName name="solver_rhs5" localSheetId="0" hidden="1">'Data input'!$H$114:$I$114</definedName>
    <definedName name="solver_rhs5" localSheetId="2" hidden="1">'Run CRS'!$H$114:$I$114</definedName>
    <definedName name="solver_rhs5" localSheetId="4" hidden="1">'Run VRS'!$H$114:$I$114</definedName>
    <definedName name="solver_rhs50" localSheetId="2" hidden="1">1E-100</definedName>
    <definedName name="solver_rhs50" localSheetId="4" hidden="1">1E-100</definedName>
    <definedName name="solver_rhs500" localSheetId="2" hidden="1">'Run CRS'!$B$114:$C$114</definedName>
    <definedName name="solver_rhs500" localSheetId="4" hidden="1">'Run VRS'!$B$114:$C$114</definedName>
    <definedName name="solver_rhs501" localSheetId="2" hidden="1">'Run CRS'!$B$114:$C$114</definedName>
    <definedName name="solver_rhs501" localSheetId="4" hidden="1">'Run VRS'!$B$114:$C$114</definedName>
    <definedName name="solver_rhs502" localSheetId="2" hidden="1">'Run CRS'!$B$114:$C$114</definedName>
    <definedName name="solver_rhs502" localSheetId="4" hidden="1">'Run VRS'!$B$114:$C$114</definedName>
    <definedName name="solver_rhs503" localSheetId="2" hidden="1">'Run CRS'!$B$114:$C$114</definedName>
    <definedName name="solver_rhs503" localSheetId="4" hidden="1">'Run VRS'!$B$114:$C$114</definedName>
    <definedName name="solver_rhs504" localSheetId="2" hidden="1">'Run CRS'!$B$114:$C$114</definedName>
    <definedName name="solver_rhs504" localSheetId="4" hidden="1">'Run VRS'!$B$114:$C$114</definedName>
    <definedName name="solver_rhs505" localSheetId="2" hidden="1">'Run CRS'!$B$114:$C$114</definedName>
    <definedName name="solver_rhs505" localSheetId="4" hidden="1">'Run VRS'!$B$114:$C$114</definedName>
    <definedName name="solver_rhs506" localSheetId="2" hidden="1">'Run CRS'!$B$114:$C$114</definedName>
    <definedName name="solver_rhs506" localSheetId="4" hidden="1">'Run VRS'!$B$114:$C$114</definedName>
    <definedName name="solver_rhs507" localSheetId="2" hidden="1">'Run CRS'!$B$114:$C$114</definedName>
    <definedName name="solver_rhs507" localSheetId="4" hidden="1">'Run VRS'!$B$114:$C$114</definedName>
    <definedName name="solver_rhs508" localSheetId="2" hidden="1">'Run CRS'!$B$114:$C$114</definedName>
    <definedName name="solver_rhs508" localSheetId="4" hidden="1">'Run VRS'!$B$114:$C$114</definedName>
    <definedName name="solver_rhs509" localSheetId="2" hidden="1">'Run CRS'!$B$114:$C$114</definedName>
    <definedName name="solver_rhs509" localSheetId="4" hidden="1">'Run VRS'!$B$114:$C$114</definedName>
    <definedName name="solver_rhs51" localSheetId="2" hidden="1">1E-100</definedName>
    <definedName name="solver_rhs51" localSheetId="4" hidden="1">1E-100</definedName>
    <definedName name="solver_rhs510" localSheetId="2" hidden="1">'Run CRS'!$B$114:$C$114</definedName>
    <definedName name="solver_rhs510" localSheetId="4" hidden="1">'Run VRS'!$B$114:$C$114</definedName>
    <definedName name="solver_rhs511" localSheetId="2" hidden="1">'Run CRS'!$B$114:$C$114</definedName>
    <definedName name="solver_rhs511" localSheetId="4" hidden="1">'Run VRS'!$B$114:$C$114</definedName>
    <definedName name="solver_rhs512" localSheetId="2" hidden="1">'Run CRS'!$B$114:$C$114</definedName>
    <definedName name="solver_rhs512" localSheetId="4" hidden="1">'Run VRS'!$B$114:$C$114</definedName>
    <definedName name="solver_rhs513" localSheetId="2" hidden="1">'Run CRS'!$B$114:$C$114</definedName>
    <definedName name="solver_rhs513" localSheetId="4" hidden="1">'Run VRS'!$B$114:$C$114</definedName>
    <definedName name="solver_rhs514" localSheetId="2" hidden="1">'Run CRS'!$B$114:$C$114</definedName>
    <definedName name="solver_rhs514" localSheetId="4" hidden="1">'Run VRS'!$B$114:$C$114</definedName>
    <definedName name="solver_rhs515" localSheetId="2" hidden="1">'Run CRS'!$B$114:$C$114</definedName>
    <definedName name="solver_rhs515" localSheetId="4" hidden="1">'Run VRS'!$B$114:$C$114</definedName>
    <definedName name="solver_rhs516" localSheetId="2" hidden="1">'Run CRS'!$B$114:$C$114</definedName>
    <definedName name="solver_rhs516" localSheetId="4" hidden="1">'Run VRS'!$B$114:$C$114</definedName>
    <definedName name="solver_rhs517" localSheetId="2" hidden="1">'Run CRS'!$B$114:$C$114</definedName>
    <definedName name="solver_rhs517" localSheetId="4" hidden="1">'Run VRS'!$B$114:$C$114</definedName>
    <definedName name="solver_rhs518" localSheetId="2" hidden="1">'Run CRS'!$B$114:$C$114</definedName>
    <definedName name="solver_rhs518" localSheetId="4" hidden="1">'Run VRS'!$B$114:$C$114</definedName>
    <definedName name="solver_rhs519" localSheetId="2" hidden="1">'Run CRS'!$B$114:$C$114</definedName>
    <definedName name="solver_rhs519" localSheetId="4" hidden="1">'Run VRS'!$B$114:$C$114</definedName>
    <definedName name="solver_rhs52" localSheetId="2" hidden="1">1E-100</definedName>
    <definedName name="solver_rhs52" localSheetId="4" hidden="1">1E-100</definedName>
    <definedName name="solver_rhs520" localSheetId="2" hidden="1">'Run CRS'!$B$114:$C$114</definedName>
    <definedName name="solver_rhs520" localSheetId="4" hidden="1">'Run VRS'!$B$114:$C$114</definedName>
    <definedName name="solver_rhs521" localSheetId="2" hidden="1">'Run CRS'!$B$114:$C$114</definedName>
    <definedName name="solver_rhs521" localSheetId="4" hidden="1">'Run VRS'!$B$114:$C$114</definedName>
    <definedName name="solver_rhs522" localSheetId="2" hidden="1">'Run CRS'!$B$114:$C$114</definedName>
    <definedName name="solver_rhs522" localSheetId="4" hidden="1">'Run VRS'!$B$114:$C$114</definedName>
    <definedName name="solver_rhs523" localSheetId="2" hidden="1">'Run CRS'!$B$114:$C$114</definedName>
    <definedName name="solver_rhs523" localSheetId="4" hidden="1">'Run VRS'!$B$114:$C$114</definedName>
    <definedName name="solver_rhs524" localSheetId="2" hidden="1">'Run CRS'!$B$114:$C$114</definedName>
    <definedName name="solver_rhs524" localSheetId="4" hidden="1">'Run VRS'!$B$114:$C$114</definedName>
    <definedName name="solver_rhs525" localSheetId="2" hidden="1">'Run CRS'!$B$114:$C$114</definedName>
    <definedName name="solver_rhs525" localSheetId="4" hidden="1">'Run VRS'!$B$114:$C$114</definedName>
    <definedName name="solver_rhs526" localSheetId="2" hidden="1">'Run CRS'!$B$114:$C$114</definedName>
    <definedName name="solver_rhs526" localSheetId="4" hidden="1">'Run VRS'!$B$114:$C$114</definedName>
    <definedName name="solver_rhs527" localSheetId="2" hidden="1">'Run CRS'!$B$114:$C$114</definedName>
    <definedName name="solver_rhs527" localSheetId="4" hidden="1">'Run VRS'!$B$114:$C$114</definedName>
    <definedName name="solver_rhs528" localSheetId="2" hidden="1">'Run CRS'!$B$114:$C$114</definedName>
    <definedName name="solver_rhs528" localSheetId="4" hidden="1">'Run VRS'!$B$114:$C$114</definedName>
    <definedName name="solver_rhs529" localSheetId="2" hidden="1">'Run CRS'!$B$114:$C$114</definedName>
    <definedName name="solver_rhs529" localSheetId="4" hidden="1">'Run VRS'!$B$114:$C$114</definedName>
    <definedName name="solver_rhs53" localSheetId="2" hidden="1">1E-100</definedName>
    <definedName name="solver_rhs53" localSheetId="4" hidden="1">1E-100</definedName>
    <definedName name="solver_rhs530" localSheetId="2" hidden="1">'Run CRS'!$B$114:$C$114</definedName>
    <definedName name="solver_rhs530" localSheetId="4" hidden="1">'Run VRS'!$B$114:$C$114</definedName>
    <definedName name="solver_rhs531" localSheetId="2" hidden="1">'Run CRS'!$B$114:$C$114</definedName>
    <definedName name="solver_rhs531" localSheetId="4" hidden="1">'Run VRS'!$B$114:$C$114</definedName>
    <definedName name="solver_rhs532" localSheetId="2" hidden="1">'Run CRS'!$B$114:$C$114</definedName>
    <definedName name="solver_rhs532" localSheetId="4" hidden="1">'Run VRS'!$B$114:$C$114</definedName>
    <definedName name="solver_rhs533" localSheetId="2" hidden="1">'Run CRS'!$B$114:$C$114</definedName>
    <definedName name="solver_rhs533" localSheetId="4" hidden="1">'Run VRS'!$B$114:$C$114</definedName>
    <definedName name="solver_rhs534" localSheetId="2" hidden="1">'Run CRS'!$B$114:$C$114</definedName>
    <definedName name="solver_rhs534" localSheetId="4" hidden="1">'Run VRS'!$B$114:$C$114</definedName>
    <definedName name="solver_rhs535" localSheetId="2" hidden="1">'Run CRS'!$B$114:$C$114</definedName>
    <definedName name="solver_rhs535" localSheetId="4" hidden="1">'Run VRS'!$B$114:$C$114</definedName>
    <definedName name="solver_rhs536" localSheetId="2" hidden="1">'Run CRS'!$B$114:$C$114</definedName>
    <definedName name="solver_rhs536" localSheetId="4" hidden="1">'Run VRS'!$B$114:$C$114</definedName>
    <definedName name="solver_rhs537" localSheetId="2" hidden="1">'Run CRS'!$B$114:$C$114</definedName>
    <definedName name="solver_rhs537" localSheetId="4" hidden="1">'Run VRS'!$B$114:$C$114</definedName>
    <definedName name="solver_rhs538" localSheetId="2" hidden="1">'Run CRS'!$B$114:$C$114</definedName>
    <definedName name="solver_rhs538" localSheetId="4" hidden="1">'Run VRS'!$B$114:$C$114</definedName>
    <definedName name="solver_rhs539" localSheetId="2" hidden="1">'Run CRS'!$B$114:$C$114</definedName>
    <definedName name="solver_rhs539" localSheetId="4" hidden="1">'Run VRS'!$B$114:$C$114</definedName>
    <definedName name="solver_rhs54" localSheetId="2" hidden="1">1E-100</definedName>
    <definedName name="solver_rhs54" localSheetId="4" hidden="1">1E-100</definedName>
    <definedName name="solver_rhs540" localSheetId="2" hidden="1">'Run CRS'!$B$114:$C$114</definedName>
    <definedName name="solver_rhs540" localSheetId="4" hidden="1">'Run VRS'!$B$114:$C$114</definedName>
    <definedName name="solver_rhs541" localSheetId="2" hidden="1">'Run CRS'!$B$114:$C$114</definedName>
    <definedName name="solver_rhs541" localSheetId="4" hidden="1">'Run VRS'!$B$114:$C$114</definedName>
    <definedName name="solver_rhs542" localSheetId="2" hidden="1">'Run CRS'!$B$114:$C$114</definedName>
    <definedName name="solver_rhs542" localSheetId="4" hidden="1">'Run VRS'!$B$114:$C$114</definedName>
    <definedName name="solver_rhs543" localSheetId="2" hidden="1">'Run CRS'!$B$114:$C$114</definedName>
    <definedName name="solver_rhs543" localSheetId="4" hidden="1">'Run VRS'!$B$114:$C$114</definedName>
    <definedName name="solver_rhs544" localSheetId="2" hidden="1">'Run CRS'!$B$114:$C$114</definedName>
    <definedName name="solver_rhs544" localSheetId="4" hidden="1">'Run VRS'!$B$114:$C$114</definedName>
    <definedName name="solver_rhs545" localSheetId="2" hidden="1">'Run CRS'!$B$114:$C$114</definedName>
    <definedName name="solver_rhs545" localSheetId="4" hidden="1">'Run VRS'!$B$114:$C$114</definedName>
    <definedName name="solver_rhs546" localSheetId="2" hidden="1">'Run CRS'!$B$114:$C$114</definedName>
    <definedName name="solver_rhs546" localSheetId="4" hidden="1">'Run VRS'!$B$114:$C$114</definedName>
    <definedName name="solver_rhs547" localSheetId="2" hidden="1">'Run CRS'!$B$114:$C$114</definedName>
    <definedName name="solver_rhs547" localSheetId="4" hidden="1">'Run VRS'!$B$114:$C$114</definedName>
    <definedName name="solver_rhs548" localSheetId="2" hidden="1">'Run CRS'!$B$114:$C$114</definedName>
    <definedName name="solver_rhs548" localSheetId="4" hidden="1">'Run VRS'!$B$114:$C$114</definedName>
    <definedName name="solver_rhs549" localSheetId="2" hidden="1">'Run CRS'!$B$114:$C$114</definedName>
    <definedName name="solver_rhs549" localSheetId="4" hidden="1">'Run VRS'!$B$114:$C$114</definedName>
    <definedName name="solver_rhs55" localSheetId="2" hidden="1">1E-100</definedName>
    <definedName name="solver_rhs55" localSheetId="4" hidden="1">1E-100</definedName>
    <definedName name="solver_rhs550" localSheetId="2" hidden="1">'Run CRS'!$B$114:$C$114</definedName>
    <definedName name="solver_rhs550" localSheetId="4" hidden="1">'Run VRS'!$B$114:$C$114</definedName>
    <definedName name="solver_rhs551" localSheetId="2" hidden="1">'Run CRS'!$B$114:$C$114</definedName>
    <definedName name="solver_rhs551" localSheetId="4" hidden="1">'Run VRS'!$B$114:$C$114</definedName>
    <definedName name="solver_rhs552" localSheetId="2" hidden="1">'Run CRS'!$B$114:$C$114</definedName>
    <definedName name="solver_rhs552" localSheetId="4" hidden="1">'Run VRS'!$B$114:$C$114</definedName>
    <definedName name="solver_rhs553" localSheetId="2" hidden="1">'Run CRS'!$B$114:$C$114</definedName>
    <definedName name="solver_rhs553" localSheetId="4" hidden="1">'Run VRS'!$B$114:$C$114</definedName>
    <definedName name="solver_rhs554" localSheetId="2" hidden="1">'Run CRS'!$B$114:$C$114</definedName>
    <definedName name="solver_rhs554" localSheetId="4" hidden="1">'Run VRS'!$B$114:$C$114</definedName>
    <definedName name="solver_rhs555" localSheetId="2" hidden="1">'Run CRS'!$B$114:$C$114</definedName>
    <definedName name="solver_rhs555" localSheetId="4" hidden="1">'Run VRS'!$B$114:$C$114</definedName>
    <definedName name="solver_rhs556" localSheetId="2" hidden="1">'Run CRS'!$B$114:$C$114</definedName>
    <definedName name="solver_rhs556" localSheetId="4" hidden="1">'Run VRS'!$B$114:$C$114</definedName>
    <definedName name="solver_rhs557" localSheetId="2" hidden="1">'Run CRS'!$B$114:$C$114</definedName>
    <definedName name="solver_rhs557" localSheetId="4" hidden="1">'Run VRS'!$B$114:$C$114</definedName>
    <definedName name="solver_rhs558" localSheetId="2" hidden="1">'Run CRS'!$B$114:$C$114</definedName>
    <definedName name="solver_rhs558" localSheetId="4" hidden="1">'Run VRS'!$B$114:$C$114</definedName>
    <definedName name="solver_rhs559" localSheetId="2" hidden="1">'Run CRS'!$B$114:$C$114</definedName>
    <definedName name="solver_rhs559" localSheetId="4" hidden="1">'Run VRS'!$B$114:$C$114</definedName>
    <definedName name="solver_rhs56" localSheetId="2" hidden="1">1E-100</definedName>
    <definedName name="solver_rhs56" localSheetId="4" hidden="1">1E-100</definedName>
    <definedName name="solver_rhs560" localSheetId="2" hidden="1">'Run CRS'!$B$114:$C$114</definedName>
    <definedName name="solver_rhs560" localSheetId="4" hidden="1">'Run VRS'!$B$114:$C$114</definedName>
    <definedName name="solver_rhs561" localSheetId="2" hidden="1">'Run CRS'!$B$114:$C$114</definedName>
    <definedName name="solver_rhs561" localSheetId="4" hidden="1">'Run VRS'!$B$114:$C$114</definedName>
    <definedName name="solver_rhs562" localSheetId="2" hidden="1">'Run CRS'!$B$114:$C$114</definedName>
    <definedName name="solver_rhs562" localSheetId="4" hidden="1">'Run VRS'!$B$114:$C$114</definedName>
    <definedName name="solver_rhs563" localSheetId="2" hidden="1">'Run CRS'!$B$114:$C$114</definedName>
    <definedName name="solver_rhs563" localSheetId="4" hidden="1">'Run VRS'!$B$114:$C$114</definedName>
    <definedName name="solver_rhs564" localSheetId="2" hidden="1">'Run CRS'!$B$114:$C$114</definedName>
    <definedName name="solver_rhs564" localSheetId="4" hidden="1">'Run VRS'!$B$114:$C$114</definedName>
    <definedName name="solver_rhs565" localSheetId="2" hidden="1">'Run CRS'!$B$114:$C$114</definedName>
    <definedName name="solver_rhs565" localSheetId="4" hidden="1">'Run VRS'!$B$114:$C$114</definedName>
    <definedName name="solver_rhs566" localSheetId="2" hidden="1">'Run CRS'!$B$114:$C$114</definedName>
    <definedName name="solver_rhs566" localSheetId="4" hidden="1">'Run VRS'!$B$114:$C$114</definedName>
    <definedName name="solver_rhs567" localSheetId="2" hidden="1">'Run CRS'!$B$114:$C$114</definedName>
    <definedName name="solver_rhs567" localSheetId="4" hidden="1">'Run VRS'!$B$114:$C$114</definedName>
    <definedName name="solver_rhs568" localSheetId="2" hidden="1">'Run CRS'!$B$114:$C$114</definedName>
    <definedName name="solver_rhs568" localSheetId="4" hidden="1">'Run VRS'!$B$114:$C$114</definedName>
    <definedName name="solver_rhs569" localSheetId="2" hidden="1">'Run CRS'!$B$114:$C$114</definedName>
    <definedName name="solver_rhs569" localSheetId="4" hidden="1">'Run VRS'!$B$114:$C$114</definedName>
    <definedName name="solver_rhs57" localSheetId="2" hidden="1">1E-100</definedName>
    <definedName name="solver_rhs57" localSheetId="4" hidden="1">1E-100</definedName>
    <definedName name="solver_rhs570" localSheetId="2" hidden="1">'Run CRS'!$B$114:$C$114</definedName>
    <definedName name="solver_rhs570" localSheetId="4" hidden="1">'Run VRS'!$B$114:$C$114</definedName>
    <definedName name="solver_rhs571" localSheetId="2" hidden="1">'Run CRS'!$B$114:$C$114</definedName>
    <definedName name="solver_rhs571" localSheetId="4" hidden="1">'Run VRS'!$B$114:$C$114</definedName>
    <definedName name="solver_rhs572" localSheetId="2" hidden="1">'Run CRS'!$B$114:$C$114</definedName>
    <definedName name="solver_rhs572" localSheetId="4" hidden="1">'Run VRS'!$B$114:$C$114</definedName>
    <definedName name="solver_rhs573" localSheetId="2" hidden="1">'Run CRS'!$B$114:$C$114</definedName>
    <definedName name="solver_rhs573" localSheetId="4" hidden="1">'Run VRS'!$B$114:$C$114</definedName>
    <definedName name="solver_rhs574" localSheetId="2" hidden="1">'Run CRS'!$B$114:$C$114</definedName>
    <definedName name="solver_rhs574" localSheetId="4" hidden="1">'Run VRS'!$B$114:$C$114</definedName>
    <definedName name="solver_rhs575" localSheetId="2" hidden="1">'Run CRS'!$B$114:$C$114</definedName>
    <definedName name="solver_rhs575" localSheetId="4" hidden="1">'Run VRS'!$B$114:$C$114</definedName>
    <definedName name="solver_rhs576" localSheetId="2" hidden="1">'Run CRS'!$B$114:$C$114</definedName>
    <definedName name="solver_rhs576" localSheetId="4" hidden="1">'Run VRS'!$B$114:$C$114</definedName>
    <definedName name="solver_rhs577" localSheetId="2" hidden="1">'Run CRS'!$B$114:$C$114</definedName>
    <definedName name="solver_rhs577" localSheetId="4" hidden="1">'Run VRS'!$B$114:$C$114</definedName>
    <definedName name="solver_rhs578" localSheetId="2" hidden="1">'Run CRS'!$B$114:$C$114</definedName>
    <definedName name="solver_rhs578" localSheetId="4" hidden="1">'Run VRS'!$B$114:$C$114</definedName>
    <definedName name="solver_rhs579" localSheetId="2" hidden="1">'Run CRS'!$B$114:$C$114</definedName>
    <definedName name="solver_rhs579" localSheetId="4" hidden="1">'Run VRS'!$B$114:$C$114</definedName>
    <definedName name="solver_rhs58" localSheetId="2" hidden="1">1E-100</definedName>
    <definedName name="solver_rhs58" localSheetId="4" hidden="1">1E-100</definedName>
    <definedName name="solver_rhs580" localSheetId="2" hidden="1">'Run CRS'!$B$114:$C$114</definedName>
    <definedName name="solver_rhs580" localSheetId="4" hidden="1">'Run VRS'!$B$114:$C$114</definedName>
    <definedName name="solver_rhs581" localSheetId="2" hidden="1">'Run CRS'!$B$114:$C$114</definedName>
    <definedName name="solver_rhs581" localSheetId="4" hidden="1">'Run VRS'!$B$114:$C$114</definedName>
    <definedName name="solver_rhs582" localSheetId="2" hidden="1">'Run CRS'!$B$114:$C$114</definedName>
    <definedName name="solver_rhs582" localSheetId="4" hidden="1">'Run VRS'!$B$114:$C$114</definedName>
    <definedName name="solver_rhs583" localSheetId="2" hidden="1">'Run CRS'!$B$114:$C$114</definedName>
    <definedName name="solver_rhs583" localSheetId="4" hidden="1">'Run VRS'!$B$114:$C$114</definedName>
    <definedName name="solver_rhs584" localSheetId="2" hidden="1">'Run CRS'!$B$114:$C$114</definedName>
    <definedName name="solver_rhs584" localSheetId="4" hidden="1">'Run VRS'!$B$114:$C$114</definedName>
    <definedName name="solver_rhs585" localSheetId="2" hidden="1">'Run CRS'!$B$114:$C$114</definedName>
    <definedName name="solver_rhs585" localSheetId="4" hidden="1">'Run VRS'!$B$114:$C$114</definedName>
    <definedName name="solver_rhs586" localSheetId="2" hidden="1">'Run CRS'!$B$114:$C$114</definedName>
    <definedName name="solver_rhs586" localSheetId="4" hidden="1">'Run VRS'!$B$114:$C$114</definedName>
    <definedName name="solver_rhs587" localSheetId="2" hidden="1">'Run CRS'!$B$114:$C$114</definedName>
    <definedName name="solver_rhs587" localSheetId="4" hidden="1">'Run VRS'!$B$114:$C$114</definedName>
    <definedName name="solver_rhs588" localSheetId="2" hidden="1">'Run CRS'!$B$114:$C$114</definedName>
    <definedName name="solver_rhs588" localSheetId="4" hidden="1">'Run VRS'!$B$114:$C$114</definedName>
    <definedName name="solver_rhs589" localSheetId="2" hidden="1">'Run CRS'!$B$114:$C$114</definedName>
    <definedName name="solver_rhs589" localSheetId="4" hidden="1">'Run VRS'!$B$114:$C$114</definedName>
    <definedName name="solver_rhs59" localSheetId="2" hidden="1">1E-100</definedName>
    <definedName name="solver_rhs59" localSheetId="4" hidden="1">1E-100</definedName>
    <definedName name="solver_rhs590" localSheetId="2" hidden="1">'Run CRS'!$B$114:$C$114</definedName>
    <definedName name="solver_rhs590" localSheetId="4" hidden="1">'Run VRS'!$B$114:$C$114</definedName>
    <definedName name="solver_rhs591" localSheetId="2" hidden="1">'Run CRS'!$B$114:$C$114</definedName>
    <definedName name="solver_rhs591" localSheetId="4" hidden="1">'Run VRS'!$B$114:$C$114</definedName>
    <definedName name="solver_rhs592" localSheetId="2" hidden="1">'Run CRS'!$B$114:$C$114</definedName>
    <definedName name="solver_rhs592" localSheetId="4" hidden="1">'Run VRS'!$B$114:$C$114</definedName>
    <definedName name="solver_rhs593" localSheetId="2" hidden="1">'Run CRS'!$B$114:$C$114</definedName>
    <definedName name="solver_rhs593" localSheetId="4" hidden="1">'Run VRS'!$B$114:$C$114</definedName>
    <definedName name="solver_rhs594" localSheetId="2" hidden="1">'Run CRS'!$B$114:$C$114</definedName>
    <definedName name="solver_rhs594" localSheetId="4" hidden="1">'Run VRS'!$B$114:$C$114</definedName>
    <definedName name="solver_rhs595" localSheetId="2" hidden="1">'Run CRS'!$B$114:$C$114</definedName>
    <definedName name="solver_rhs595" localSheetId="4" hidden="1">'Run VRS'!$B$114:$C$114</definedName>
    <definedName name="solver_rhs596" localSheetId="2" hidden="1">'Run CRS'!$B$114:$C$114</definedName>
    <definedName name="solver_rhs596" localSheetId="4" hidden="1">'Run VRS'!$B$114:$C$114</definedName>
    <definedName name="solver_rhs597" localSheetId="2" hidden="1">'Run CRS'!$B$114:$C$114</definedName>
    <definedName name="solver_rhs597" localSheetId="4" hidden="1">'Run VRS'!$B$114:$C$114</definedName>
    <definedName name="solver_rhs598" localSheetId="2" hidden="1">'Run CRS'!$B$114:$C$114</definedName>
    <definedName name="solver_rhs598" localSheetId="4" hidden="1">'Run VRS'!$B$114:$C$114</definedName>
    <definedName name="solver_rhs599" localSheetId="2" hidden="1">'Run CRS'!$B$114:$C$114</definedName>
    <definedName name="solver_rhs599" localSheetId="4" hidden="1">'Run VRS'!$B$114:$C$114</definedName>
    <definedName name="solver_rhs6" localSheetId="0" hidden="1">0</definedName>
    <definedName name="solver_rhs6" localSheetId="2" hidden="1">0</definedName>
    <definedName name="solver_rhs6" localSheetId="4" hidden="1">0</definedName>
    <definedName name="solver_rhs60" localSheetId="2" hidden="1">1E-100</definedName>
    <definedName name="solver_rhs60" localSheetId="4" hidden="1">1E-100</definedName>
    <definedName name="solver_rhs600" localSheetId="2" hidden="1">'Run CRS'!$B$114:$C$114</definedName>
    <definedName name="solver_rhs600" localSheetId="4" hidden="1">'Run VRS'!$B$114:$C$114</definedName>
    <definedName name="solver_rhs601" localSheetId="2" hidden="1">'Run CRS'!$B$114:$C$114</definedName>
    <definedName name="solver_rhs601" localSheetId="4" hidden="1">'Run VRS'!$B$114:$C$114</definedName>
    <definedName name="solver_rhs602" localSheetId="2" hidden="1">'Run CRS'!$B$114:$C$114</definedName>
    <definedName name="solver_rhs602" localSheetId="4" hidden="1">'Run VRS'!$B$114:$C$114</definedName>
    <definedName name="solver_rhs603" localSheetId="2" hidden="1">'Run CRS'!$B$114:$C$114</definedName>
    <definedName name="solver_rhs603" localSheetId="4" hidden="1">'Run VRS'!$B$114:$C$114</definedName>
    <definedName name="solver_rhs604" localSheetId="2" hidden="1">'Run CRS'!$B$114:$C$114</definedName>
    <definedName name="solver_rhs604" localSheetId="4" hidden="1">'Run VRS'!$B$114:$C$114</definedName>
    <definedName name="solver_rhs605" localSheetId="2" hidden="1">'Run CRS'!$B$114:$C$114</definedName>
    <definedName name="solver_rhs605" localSheetId="4" hidden="1">'Run VRS'!$B$114:$C$114</definedName>
    <definedName name="solver_rhs606" localSheetId="2" hidden="1">'Run CRS'!$B$114:$C$114</definedName>
    <definedName name="solver_rhs606" localSheetId="4" hidden="1">'Run VRS'!$B$114:$C$114</definedName>
    <definedName name="solver_rhs607" localSheetId="2" hidden="1">'Run CRS'!$B$114:$C$114</definedName>
    <definedName name="solver_rhs607" localSheetId="4" hidden="1">'Run VRS'!$B$114:$C$114</definedName>
    <definedName name="solver_rhs608" localSheetId="2" hidden="1">'Run CRS'!$B$114:$C$114</definedName>
    <definedName name="solver_rhs608" localSheetId="4" hidden="1">'Run VRS'!$B$114:$C$114</definedName>
    <definedName name="solver_rhs609" localSheetId="2" hidden="1">'Run CRS'!$B$114:$C$114</definedName>
    <definedName name="solver_rhs609" localSheetId="4" hidden="1">'Run VRS'!$B$114:$C$114</definedName>
    <definedName name="solver_rhs61" localSheetId="2" hidden="1">1E-100</definedName>
    <definedName name="solver_rhs61" localSheetId="4" hidden="1">1E-100</definedName>
    <definedName name="solver_rhs610" localSheetId="2" hidden="1">'Run CRS'!$B$114:$C$114</definedName>
    <definedName name="solver_rhs610" localSheetId="4" hidden="1">'Run VRS'!$B$114:$C$114</definedName>
    <definedName name="solver_rhs611" localSheetId="2" hidden="1">'Run CRS'!$B$114:$C$114</definedName>
    <definedName name="solver_rhs611" localSheetId="4" hidden="1">'Run VRS'!$B$114:$C$114</definedName>
    <definedName name="solver_rhs612" localSheetId="2" hidden="1">'Run CRS'!$B$114:$C$114</definedName>
    <definedName name="solver_rhs612" localSheetId="4" hidden="1">'Run VRS'!$B$114:$C$114</definedName>
    <definedName name="solver_rhs613" localSheetId="2" hidden="1">'Run CRS'!$B$114:$C$114</definedName>
    <definedName name="solver_rhs613" localSheetId="4" hidden="1">'Run VRS'!$B$114:$C$114</definedName>
    <definedName name="solver_rhs614" localSheetId="2" hidden="1">'Run CRS'!$B$114:$C$114</definedName>
    <definedName name="solver_rhs614" localSheetId="4" hidden="1">'Run VRS'!$B$114:$C$114</definedName>
    <definedName name="solver_rhs615" localSheetId="2" hidden="1">'Run CRS'!$B$114:$C$114</definedName>
    <definedName name="solver_rhs615" localSheetId="4" hidden="1">'Run VRS'!$B$114:$C$114</definedName>
    <definedName name="solver_rhs616" localSheetId="2" hidden="1">'Run CRS'!$B$114:$C$114</definedName>
    <definedName name="solver_rhs616" localSheetId="4" hidden="1">'Run VRS'!$B$114:$C$114</definedName>
    <definedName name="solver_rhs617" localSheetId="2" hidden="1">'Run CRS'!$B$114:$C$114</definedName>
    <definedName name="solver_rhs617" localSheetId="4" hidden="1">'Run VRS'!$B$114:$C$114</definedName>
    <definedName name="solver_rhs618" localSheetId="2" hidden="1">'Run CRS'!$B$114:$C$114</definedName>
    <definedName name="solver_rhs618" localSheetId="4" hidden="1">'Run VRS'!$B$114:$C$114</definedName>
    <definedName name="solver_rhs619" localSheetId="2" hidden="1">'Run CRS'!$B$114:$C$114</definedName>
    <definedName name="solver_rhs619" localSheetId="4" hidden="1">'Run VRS'!$B$114:$C$114</definedName>
    <definedName name="solver_rhs62" localSheetId="2" hidden="1">1E-100</definedName>
    <definedName name="solver_rhs62" localSheetId="4" hidden="1">1E-100</definedName>
    <definedName name="solver_rhs620" localSheetId="2" hidden="1">'Run CRS'!$B$114:$C$114</definedName>
    <definedName name="solver_rhs620" localSheetId="4" hidden="1">'Run VRS'!$B$114:$C$114</definedName>
    <definedName name="solver_rhs621" localSheetId="2" hidden="1">'Run CRS'!$B$114:$C$114</definedName>
    <definedName name="solver_rhs621" localSheetId="4" hidden="1">'Run VRS'!$B$114:$C$114</definedName>
    <definedName name="solver_rhs622" localSheetId="2" hidden="1">'Run CRS'!$B$114:$C$114</definedName>
    <definedName name="solver_rhs622" localSheetId="4" hidden="1">'Run VRS'!$B$114:$C$114</definedName>
    <definedName name="solver_rhs623" localSheetId="2" hidden="1">'Run CRS'!$B$114:$C$114</definedName>
    <definedName name="solver_rhs623" localSheetId="4" hidden="1">'Run VRS'!$B$114:$C$114</definedName>
    <definedName name="solver_rhs624" localSheetId="2" hidden="1">'Run CRS'!$B$114:$C$114</definedName>
    <definedName name="solver_rhs624" localSheetId="4" hidden="1">'Run VRS'!$B$114:$C$114</definedName>
    <definedName name="solver_rhs625" localSheetId="2" hidden="1">'Run CRS'!$B$114:$C$114</definedName>
    <definedName name="solver_rhs625" localSheetId="4" hidden="1">'Run VRS'!$B$114:$C$114</definedName>
    <definedName name="solver_rhs626" localSheetId="2" hidden="1">'Run CRS'!$B$114:$C$114</definedName>
    <definedName name="solver_rhs626" localSheetId="4" hidden="1">'Run VRS'!$B$114:$C$114</definedName>
    <definedName name="solver_rhs627" localSheetId="2" hidden="1">'Run CRS'!$B$114:$C$114</definedName>
    <definedName name="solver_rhs627" localSheetId="4" hidden="1">'Run VRS'!$B$114:$C$114</definedName>
    <definedName name="solver_rhs628" localSheetId="2" hidden="1">'Run CRS'!$B$114:$C$114</definedName>
    <definedName name="solver_rhs628" localSheetId="4" hidden="1">'Run VRS'!$B$114:$C$114</definedName>
    <definedName name="solver_rhs629" localSheetId="2" hidden="1">'Run CRS'!$B$114:$C$114</definedName>
    <definedName name="solver_rhs629" localSheetId="4" hidden="1">'Run VRS'!$B$114:$C$114</definedName>
    <definedName name="solver_rhs63" localSheetId="2" hidden="1">1E-100</definedName>
    <definedName name="solver_rhs63" localSheetId="4" hidden="1">1E-100</definedName>
    <definedName name="solver_rhs630" localSheetId="2" hidden="1">'Run CRS'!$B$114:$C$114</definedName>
    <definedName name="solver_rhs630" localSheetId="4" hidden="1">'Run VRS'!$B$114:$C$114</definedName>
    <definedName name="solver_rhs631" localSheetId="2" hidden="1">'Run CRS'!$B$114:$C$114</definedName>
    <definedName name="solver_rhs631" localSheetId="4" hidden="1">'Run VRS'!$B$114:$C$114</definedName>
    <definedName name="solver_rhs632" localSheetId="2" hidden="1">'Run CRS'!$B$114:$C$114</definedName>
    <definedName name="solver_rhs632" localSheetId="4" hidden="1">'Run VRS'!$B$114:$C$114</definedName>
    <definedName name="solver_rhs633" localSheetId="2" hidden="1">'Run CRS'!$B$114:$C$114</definedName>
    <definedName name="solver_rhs633" localSheetId="4" hidden="1">'Run VRS'!$B$114:$C$114</definedName>
    <definedName name="solver_rhs634" localSheetId="2" hidden="1">'Run CRS'!$B$114:$C$114</definedName>
    <definedName name="solver_rhs634" localSheetId="4" hidden="1">'Run VRS'!$B$114:$C$114</definedName>
    <definedName name="solver_rhs635" localSheetId="2" hidden="1">'Run CRS'!$B$114:$C$114</definedName>
    <definedName name="solver_rhs635" localSheetId="4" hidden="1">'Run VRS'!$B$114:$C$114</definedName>
    <definedName name="solver_rhs636" localSheetId="2" hidden="1">'Run CRS'!$B$114:$C$114</definedName>
    <definedName name="solver_rhs636" localSheetId="4" hidden="1">'Run VRS'!$B$114:$C$114</definedName>
    <definedName name="solver_rhs637" localSheetId="2" hidden="1">'Run CRS'!$B$114:$C$114</definedName>
    <definedName name="solver_rhs637" localSheetId="4" hidden="1">'Run VRS'!$B$114:$C$114</definedName>
    <definedName name="solver_rhs638" localSheetId="2" hidden="1">'Run CRS'!$B$114:$C$114</definedName>
    <definedName name="solver_rhs638" localSheetId="4" hidden="1">'Run VRS'!$B$114:$C$114</definedName>
    <definedName name="solver_rhs639" localSheetId="2" hidden="1">'Run CRS'!$B$114:$C$114</definedName>
    <definedName name="solver_rhs639" localSheetId="4" hidden="1">'Run VRS'!$B$114:$C$114</definedName>
    <definedName name="solver_rhs64" localSheetId="2" hidden="1">1E-100</definedName>
    <definedName name="solver_rhs64" localSheetId="4" hidden="1">1E-100</definedName>
    <definedName name="solver_rhs640" localSheetId="2" hidden="1">'Run CRS'!$B$114:$C$114</definedName>
    <definedName name="solver_rhs640" localSheetId="4" hidden="1">'Run VRS'!$B$114:$C$114</definedName>
    <definedName name="solver_rhs641" localSheetId="2" hidden="1">'Run CRS'!$B$114:$C$114</definedName>
    <definedName name="solver_rhs641" localSheetId="4" hidden="1">'Run VRS'!$B$114:$C$114</definedName>
    <definedName name="solver_rhs642" localSheetId="2" hidden="1">'Run CRS'!$B$114:$C$114</definedName>
    <definedName name="solver_rhs642" localSheetId="4" hidden="1">'Run VRS'!$B$114:$C$114</definedName>
    <definedName name="solver_rhs643" localSheetId="2" hidden="1">'Run CRS'!$B$114:$C$114</definedName>
    <definedName name="solver_rhs643" localSheetId="4" hidden="1">'Run VRS'!$B$114:$C$114</definedName>
    <definedName name="solver_rhs644" localSheetId="2" hidden="1">'Run CRS'!$B$114:$C$114</definedName>
    <definedName name="solver_rhs644" localSheetId="4" hidden="1">'Run VRS'!$B$114:$C$114</definedName>
    <definedName name="solver_rhs645" localSheetId="2" hidden="1">'Run CRS'!$B$114:$C$114</definedName>
    <definedName name="solver_rhs645" localSheetId="4" hidden="1">'Run VRS'!$B$114:$C$114</definedName>
    <definedName name="solver_rhs646" localSheetId="2" hidden="1">'Run CRS'!$B$114:$C$114</definedName>
    <definedName name="solver_rhs646" localSheetId="4" hidden="1">'Run VRS'!$B$114:$C$114</definedName>
    <definedName name="solver_rhs647" localSheetId="2" hidden="1">0</definedName>
    <definedName name="solver_rhs647" localSheetId="4" hidden="1">0</definedName>
    <definedName name="solver_rhs648" localSheetId="2" hidden="1">0</definedName>
    <definedName name="solver_rhs648" localSheetId="4" hidden="1">0</definedName>
    <definedName name="solver_rhs649" localSheetId="2" hidden="1">0</definedName>
    <definedName name="solver_rhs649" localSheetId="4" hidden="1">0</definedName>
    <definedName name="solver_rhs65" localSheetId="2" hidden="1">1E-100</definedName>
    <definedName name="solver_rhs65" localSheetId="4" hidden="1">1E-100</definedName>
    <definedName name="solver_rhs650" localSheetId="2" hidden="1">0</definedName>
    <definedName name="solver_rhs650" localSheetId="4" hidden="1">0</definedName>
    <definedName name="solver_rhs651" localSheetId="2" hidden="1">'Run CRS'!$B$114:$C$114</definedName>
    <definedName name="solver_rhs651" localSheetId="4" hidden="1">'Run VRS'!$B$114:$C$114</definedName>
    <definedName name="solver_rhs652" localSheetId="2" hidden="1">0</definedName>
    <definedName name="solver_rhs652" localSheetId="4" hidden="1">0</definedName>
    <definedName name="solver_rhs653" localSheetId="2" hidden="1">0</definedName>
    <definedName name="solver_rhs653" localSheetId="4" hidden="1">0</definedName>
    <definedName name="solver_rhs654" localSheetId="2" hidden="1">'Run CRS'!$B$114:$C$114</definedName>
    <definedName name="solver_rhs654" localSheetId="4" hidden="1">'Run VRS'!$B$114:$C$114</definedName>
    <definedName name="solver_rhs655" localSheetId="2" hidden="1">0</definedName>
    <definedName name="solver_rhs655" localSheetId="4" hidden="1">0</definedName>
    <definedName name="solver_rhs656" localSheetId="2" hidden="1">0</definedName>
    <definedName name="solver_rhs656" localSheetId="4" hidden="1">0</definedName>
    <definedName name="solver_rhs657" localSheetId="2" hidden="1">0</definedName>
    <definedName name="solver_rhs657" localSheetId="4" hidden="1">0</definedName>
    <definedName name="solver_rhs658" localSheetId="2" hidden="1">'Run CRS'!$B$114:$C$114</definedName>
    <definedName name="solver_rhs658" localSheetId="4" hidden="1">'Run VRS'!$B$114:$C$114</definedName>
    <definedName name="solver_rhs659" localSheetId="2" hidden="1">0</definedName>
    <definedName name="solver_rhs659" localSheetId="4" hidden="1">0</definedName>
    <definedName name="solver_rhs66" localSheetId="2" hidden="1">1E-100</definedName>
    <definedName name="solver_rhs66" localSheetId="4" hidden="1">1E-100</definedName>
    <definedName name="solver_rhs660" localSheetId="2" hidden="1">0</definedName>
    <definedName name="solver_rhs660" localSheetId="4" hidden="1">0</definedName>
    <definedName name="solver_rhs661" localSheetId="2" hidden="1">0</definedName>
    <definedName name="solver_rhs661" localSheetId="4" hidden="1">0</definedName>
    <definedName name="solver_rhs662" localSheetId="2" hidden="1">0</definedName>
    <definedName name="solver_rhs662" localSheetId="4" hidden="1">0</definedName>
    <definedName name="solver_rhs663" localSheetId="2" hidden="1">0</definedName>
    <definedName name="solver_rhs663" localSheetId="4" hidden="1">0</definedName>
    <definedName name="solver_rhs664" localSheetId="2" hidden="1">0</definedName>
    <definedName name="solver_rhs664" localSheetId="4" hidden="1">0</definedName>
    <definedName name="solver_rhs665" localSheetId="2" hidden="1">0</definedName>
    <definedName name="solver_rhs665" localSheetId="4" hidden="1">0</definedName>
    <definedName name="solver_rhs666" localSheetId="2" hidden="1">0</definedName>
    <definedName name="solver_rhs666" localSheetId="4" hidden="1">0</definedName>
    <definedName name="solver_rhs667" localSheetId="2" hidden="1">0</definedName>
    <definedName name="solver_rhs667" localSheetId="4" hidden="1">0</definedName>
    <definedName name="solver_rhs668" localSheetId="2" hidden="1">0</definedName>
    <definedName name="solver_rhs668" localSheetId="4" hidden="1">0</definedName>
    <definedName name="solver_rhs669" localSheetId="2" hidden="1">0</definedName>
    <definedName name="solver_rhs669" localSheetId="4" hidden="1">0</definedName>
    <definedName name="solver_rhs67" localSheetId="2" hidden="1">1E-100</definedName>
    <definedName name="solver_rhs67" localSheetId="4" hidden="1">1E-100</definedName>
    <definedName name="solver_rhs670" localSheetId="2" hidden="1">0</definedName>
    <definedName name="solver_rhs670" localSheetId="4" hidden="1">0</definedName>
    <definedName name="solver_rhs671" localSheetId="2" hidden="1">'Run CRS'!$B$114:$C$114</definedName>
    <definedName name="solver_rhs671" localSheetId="4" hidden="1">'Run VRS'!$B$114:$C$114</definedName>
    <definedName name="solver_rhs672" localSheetId="2" hidden="1">0</definedName>
    <definedName name="solver_rhs672" localSheetId="4" hidden="1">0</definedName>
    <definedName name="solver_rhs673" localSheetId="2" hidden="1">0</definedName>
    <definedName name="solver_rhs673" localSheetId="4" hidden="1">0</definedName>
    <definedName name="solver_rhs674" localSheetId="2" hidden="1">0</definedName>
    <definedName name="solver_rhs674" localSheetId="4" hidden="1">0</definedName>
    <definedName name="solver_rhs675" localSheetId="2" hidden="1">0</definedName>
    <definedName name="solver_rhs675" localSheetId="4" hidden="1">0</definedName>
    <definedName name="solver_rhs676" localSheetId="2" hidden="1">0</definedName>
    <definedName name="solver_rhs676" localSheetId="4" hidden="1">0</definedName>
    <definedName name="solver_rhs677" localSheetId="2" hidden="1">0</definedName>
    <definedName name="solver_rhs677" localSheetId="4" hidden="1">0</definedName>
    <definedName name="solver_rhs678" localSheetId="2" hidden="1">0</definedName>
    <definedName name="solver_rhs678" localSheetId="4" hidden="1">0</definedName>
    <definedName name="solver_rhs679" localSheetId="2" hidden="1">0</definedName>
    <definedName name="solver_rhs679" localSheetId="4" hidden="1">0</definedName>
    <definedName name="solver_rhs68" localSheetId="2" hidden="1">1E-100</definedName>
    <definedName name="solver_rhs68" localSheetId="4" hidden="1">1E-100</definedName>
    <definedName name="solver_rhs680" localSheetId="2" hidden="1">0</definedName>
    <definedName name="solver_rhs680" localSheetId="4" hidden="1">0</definedName>
    <definedName name="solver_rhs681" localSheetId="2" hidden="1">'Run CRS'!$B$114:$C$114</definedName>
    <definedName name="solver_rhs681" localSheetId="4" hidden="1">'Run VRS'!$B$114:$C$114</definedName>
    <definedName name="solver_rhs682" localSheetId="2" hidden="1">0</definedName>
    <definedName name="solver_rhs682" localSheetId="4" hidden="1">0</definedName>
    <definedName name="solver_rhs683" localSheetId="2" hidden="1">0</definedName>
    <definedName name="solver_rhs683" localSheetId="4" hidden="1">0</definedName>
    <definedName name="solver_rhs684" localSheetId="2" hidden="1">0</definedName>
    <definedName name="solver_rhs684" localSheetId="4" hidden="1">0</definedName>
    <definedName name="solver_rhs685" localSheetId="2" hidden="1">0</definedName>
    <definedName name="solver_rhs685" localSheetId="4" hidden="1">0</definedName>
    <definedName name="solver_rhs686" localSheetId="2" hidden="1">0</definedName>
    <definedName name="solver_rhs686" localSheetId="4" hidden="1">0</definedName>
    <definedName name="solver_rhs687" localSheetId="2" hidden="1">0</definedName>
    <definedName name="solver_rhs687" localSheetId="4" hidden="1">0</definedName>
    <definedName name="solver_rhs688" localSheetId="2" hidden="1">0</definedName>
    <definedName name="solver_rhs688" localSheetId="4" hidden="1">0</definedName>
    <definedName name="solver_rhs689" localSheetId="2" hidden="1">0</definedName>
    <definedName name="solver_rhs689" localSheetId="4" hidden="1">0</definedName>
    <definedName name="solver_rhs69" localSheetId="2" hidden="1">1E-100</definedName>
    <definedName name="solver_rhs69" localSheetId="4" hidden="1">1E-100</definedName>
    <definedName name="solver_rhs690" localSheetId="2" hidden="1">0</definedName>
    <definedName name="solver_rhs690" localSheetId="4" hidden="1">0</definedName>
    <definedName name="solver_rhs691" localSheetId="2" hidden="1">0</definedName>
    <definedName name="solver_rhs691" localSheetId="4" hidden="1">0</definedName>
    <definedName name="solver_rhs692" localSheetId="2" hidden="1">0</definedName>
    <definedName name="solver_rhs692" localSheetId="4" hidden="1">0</definedName>
    <definedName name="solver_rhs693" localSheetId="2" hidden="1">0</definedName>
    <definedName name="solver_rhs693" localSheetId="4" hidden="1">0</definedName>
    <definedName name="solver_rhs694" localSheetId="2" hidden="1">0</definedName>
    <definedName name="solver_rhs694" localSheetId="4" hidden="1">0</definedName>
    <definedName name="solver_rhs695" localSheetId="2" hidden="1">0</definedName>
    <definedName name="solver_rhs695" localSheetId="4" hidden="1">0</definedName>
    <definedName name="solver_rhs696" localSheetId="2" hidden="1">0</definedName>
    <definedName name="solver_rhs696" localSheetId="4" hidden="1">0</definedName>
    <definedName name="solver_rhs697" localSheetId="2" hidden="1">0</definedName>
    <definedName name="solver_rhs697" localSheetId="4" hidden="1">0</definedName>
    <definedName name="solver_rhs698" localSheetId="2" hidden="1">0</definedName>
    <definedName name="solver_rhs698" localSheetId="4" hidden="1">0</definedName>
    <definedName name="solver_rhs699" localSheetId="2" hidden="1">0</definedName>
    <definedName name="solver_rhs699" localSheetId="4" hidden="1">0</definedName>
    <definedName name="solver_rhs7" localSheetId="0" hidden="1">0</definedName>
    <definedName name="solver_rhs7" localSheetId="2" hidden="1">0</definedName>
    <definedName name="solver_rhs7" localSheetId="4" hidden="1">0</definedName>
    <definedName name="solver_rhs70" localSheetId="2" hidden="1">1E-100</definedName>
    <definedName name="solver_rhs70" localSheetId="4" hidden="1">1E-100</definedName>
    <definedName name="solver_rhs700" localSheetId="2" hidden="1">0</definedName>
    <definedName name="solver_rhs700" localSheetId="4" hidden="1">0</definedName>
    <definedName name="solver_rhs701" localSheetId="2" hidden="1">0</definedName>
    <definedName name="solver_rhs701" localSheetId="4" hidden="1">0</definedName>
    <definedName name="solver_rhs702" localSheetId="2" hidden="1">0</definedName>
    <definedName name="solver_rhs702" localSheetId="4" hidden="1">0</definedName>
    <definedName name="solver_rhs703" localSheetId="2" hidden="1">0</definedName>
    <definedName name="solver_rhs703" localSheetId="4" hidden="1">0</definedName>
    <definedName name="solver_rhs704" localSheetId="2" hidden="1">0</definedName>
    <definedName name="solver_rhs704" localSheetId="4" hidden="1">0</definedName>
    <definedName name="solver_rhs705" localSheetId="2" hidden="1">0</definedName>
    <definedName name="solver_rhs705" localSheetId="4" hidden="1">0</definedName>
    <definedName name="solver_rhs706" localSheetId="2" hidden="1">0</definedName>
    <definedName name="solver_rhs706" localSheetId="4" hidden="1">0</definedName>
    <definedName name="solver_rhs707" localSheetId="2" hidden="1">0</definedName>
    <definedName name="solver_rhs707" localSheetId="4" hidden="1">0</definedName>
    <definedName name="solver_rhs708" localSheetId="2" hidden="1">0</definedName>
    <definedName name="solver_rhs708" localSheetId="4" hidden="1">0</definedName>
    <definedName name="solver_rhs709" localSheetId="2" hidden="1">0</definedName>
    <definedName name="solver_rhs709" localSheetId="4" hidden="1">0</definedName>
    <definedName name="solver_rhs71" localSheetId="2" hidden="1">1E-100</definedName>
    <definedName name="solver_rhs71" localSheetId="4" hidden="1">1E-100</definedName>
    <definedName name="solver_rhs710" localSheetId="2" hidden="1">0</definedName>
    <definedName name="solver_rhs710" localSheetId="4" hidden="1">0</definedName>
    <definedName name="solver_rhs711" localSheetId="2" hidden="1">0</definedName>
    <definedName name="solver_rhs711" localSheetId="4" hidden="1">0</definedName>
    <definedName name="solver_rhs712" localSheetId="2" hidden="1">0</definedName>
    <definedName name="solver_rhs712" localSheetId="4" hidden="1">0</definedName>
    <definedName name="solver_rhs713" localSheetId="2" hidden="1">0</definedName>
    <definedName name="solver_rhs713" localSheetId="4" hidden="1">0</definedName>
    <definedName name="solver_rhs714" localSheetId="2" hidden="1">0</definedName>
    <definedName name="solver_rhs714" localSheetId="4" hidden="1">0</definedName>
    <definedName name="solver_rhs715" localSheetId="2" hidden="1">0</definedName>
    <definedName name="solver_rhs715" localSheetId="4" hidden="1">0</definedName>
    <definedName name="solver_rhs716" localSheetId="2" hidden="1">0</definedName>
    <definedName name="solver_rhs716" localSheetId="4" hidden="1">0</definedName>
    <definedName name="solver_rhs717" localSheetId="2" hidden="1">0</definedName>
    <definedName name="solver_rhs717" localSheetId="4" hidden="1">0</definedName>
    <definedName name="solver_rhs718" localSheetId="2" hidden="1">0</definedName>
    <definedName name="solver_rhs718" localSheetId="4" hidden="1">0</definedName>
    <definedName name="solver_rhs719" localSheetId="2" hidden="1">0</definedName>
    <definedName name="solver_rhs719" localSheetId="4" hidden="1">0</definedName>
    <definedName name="solver_rhs72" localSheetId="2" hidden="1">1E-100</definedName>
    <definedName name="solver_rhs72" localSheetId="4" hidden="1">1E-100</definedName>
    <definedName name="solver_rhs720" localSheetId="2" hidden="1">0</definedName>
    <definedName name="solver_rhs720" localSheetId="4" hidden="1">0</definedName>
    <definedName name="solver_rhs721" localSheetId="2" hidden="1">0</definedName>
    <definedName name="solver_rhs721" localSheetId="4" hidden="1">0</definedName>
    <definedName name="solver_rhs722" localSheetId="2" hidden="1">0</definedName>
    <definedName name="solver_rhs722" localSheetId="4" hidden="1">0</definedName>
    <definedName name="solver_rhs723" localSheetId="2" hidden="1">0</definedName>
    <definedName name="solver_rhs723" localSheetId="4" hidden="1">0</definedName>
    <definedName name="solver_rhs724" localSheetId="2" hidden="1">0</definedName>
    <definedName name="solver_rhs724" localSheetId="4" hidden="1">0</definedName>
    <definedName name="solver_rhs725" localSheetId="2" hidden="1">0</definedName>
    <definedName name="solver_rhs725" localSheetId="4" hidden="1">0</definedName>
    <definedName name="solver_rhs726" localSheetId="2" hidden="1">0</definedName>
    <definedName name="solver_rhs726" localSheetId="4" hidden="1">0</definedName>
    <definedName name="solver_rhs727" localSheetId="2" hidden="1">0</definedName>
    <definedName name="solver_rhs727" localSheetId="4" hidden="1">0</definedName>
    <definedName name="solver_rhs728" localSheetId="2" hidden="1">0</definedName>
    <definedName name="solver_rhs728" localSheetId="4" hidden="1">0</definedName>
    <definedName name="solver_rhs729" localSheetId="2" hidden="1">0</definedName>
    <definedName name="solver_rhs729" localSheetId="4" hidden="1">0</definedName>
    <definedName name="solver_rhs73" localSheetId="2" hidden="1">1E-100</definedName>
    <definedName name="solver_rhs73" localSheetId="4" hidden="1">1E-100</definedName>
    <definedName name="solver_rhs730" localSheetId="2" hidden="1">0</definedName>
    <definedName name="solver_rhs730" localSheetId="4" hidden="1">0</definedName>
    <definedName name="solver_rhs731" localSheetId="2" hidden="1">0</definedName>
    <definedName name="solver_rhs731" localSheetId="4" hidden="1">0</definedName>
    <definedName name="solver_rhs732" localSheetId="2" hidden="1">0</definedName>
    <definedName name="solver_rhs732" localSheetId="4" hidden="1">0</definedName>
    <definedName name="solver_rhs733" localSheetId="2" hidden="1">0</definedName>
    <definedName name="solver_rhs733" localSheetId="4" hidden="1">0</definedName>
    <definedName name="solver_rhs734" localSheetId="2" hidden="1">0</definedName>
    <definedName name="solver_rhs734" localSheetId="4" hidden="1">0</definedName>
    <definedName name="solver_rhs735" localSheetId="2" hidden="1">0</definedName>
    <definedName name="solver_rhs735" localSheetId="4" hidden="1">0</definedName>
    <definedName name="solver_rhs736" localSheetId="2" hidden="1">0</definedName>
    <definedName name="solver_rhs736" localSheetId="4" hidden="1">0</definedName>
    <definedName name="solver_rhs737" localSheetId="2" hidden="1">0</definedName>
    <definedName name="solver_rhs737" localSheetId="4" hidden="1">0</definedName>
    <definedName name="solver_rhs738" localSheetId="2" hidden="1">0</definedName>
    <definedName name="solver_rhs738" localSheetId="4" hidden="1">0</definedName>
    <definedName name="solver_rhs739" localSheetId="2" hidden="1">0</definedName>
    <definedName name="solver_rhs739" localSheetId="4" hidden="1">0</definedName>
    <definedName name="solver_rhs74" localSheetId="2" hidden="1">1E-100</definedName>
    <definedName name="solver_rhs74" localSheetId="4" hidden="1">1E-100</definedName>
    <definedName name="solver_rhs740" localSheetId="2" hidden="1">0</definedName>
    <definedName name="solver_rhs740" localSheetId="4" hidden="1">0</definedName>
    <definedName name="solver_rhs741" localSheetId="2" hidden="1">0</definedName>
    <definedName name="solver_rhs741" localSheetId="4" hidden="1">0</definedName>
    <definedName name="solver_rhs742" localSheetId="2" hidden="1">0</definedName>
    <definedName name="solver_rhs742" localSheetId="4" hidden="1">0</definedName>
    <definedName name="solver_rhs743" localSheetId="2" hidden="1">0</definedName>
    <definedName name="solver_rhs743" localSheetId="4" hidden="1">0</definedName>
    <definedName name="solver_rhs744" localSheetId="2" hidden="1">0</definedName>
    <definedName name="solver_rhs744" localSheetId="4" hidden="1">0</definedName>
    <definedName name="solver_rhs745" localSheetId="2" hidden="1">0</definedName>
    <definedName name="solver_rhs745" localSheetId="4" hidden="1">0</definedName>
    <definedName name="solver_rhs746" localSheetId="2" hidden="1">0</definedName>
    <definedName name="solver_rhs746" localSheetId="4" hidden="1">0</definedName>
    <definedName name="solver_rhs747" localSheetId="2" hidden="1">0</definedName>
    <definedName name="solver_rhs747" localSheetId="4" hidden="1">0</definedName>
    <definedName name="solver_rhs748" localSheetId="2" hidden="1">0</definedName>
    <definedName name="solver_rhs748" localSheetId="4" hidden="1">0</definedName>
    <definedName name="solver_rhs749" localSheetId="2" hidden="1">0</definedName>
    <definedName name="solver_rhs749" localSheetId="4" hidden="1">0</definedName>
    <definedName name="solver_rhs75" localSheetId="2" hidden="1">1E-100</definedName>
    <definedName name="solver_rhs75" localSheetId="4" hidden="1">1E-100</definedName>
    <definedName name="solver_rhs750" localSheetId="2" hidden="1">0</definedName>
    <definedName name="solver_rhs750" localSheetId="4" hidden="1">0</definedName>
    <definedName name="solver_rhs751" localSheetId="2" hidden="1">0</definedName>
    <definedName name="solver_rhs751" localSheetId="4" hidden="1">0</definedName>
    <definedName name="solver_rhs752" localSheetId="2" hidden="1">0</definedName>
    <definedName name="solver_rhs752" localSheetId="4" hidden="1">0</definedName>
    <definedName name="solver_rhs753" localSheetId="2" hidden="1">0</definedName>
    <definedName name="solver_rhs753" localSheetId="4" hidden="1">0</definedName>
    <definedName name="solver_rhs754" localSheetId="2" hidden="1">0</definedName>
    <definedName name="solver_rhs754" localSheetId="4" hidden="1">0</definedName>
    <definedName name="solver_rhs755" localSheetId="2" hidden="1">0</definedName>
    <definedName name="solver_rhs755" localSheetId="4" hidden="1">0</definedName>
    <definedName name="solver_rhs756" localSheetId="2" hidden="1">0</definedName>
    <definedName name="solver_rhs756" localSheetId="4" hidden="1">0</definedName>
    <definedName name="solver_rhs757" localSheetId="2" hidden="1">0</definedName>
    <definedName name="solver_rhs757" localSheetId="4" hidden="1">0</definedName>
    <definedName name="solver_rhs758" localSheetId="2" hidden="1">0</definedName>
    <definedName name="solver_rhs758" localSheetId="4" hidden="1">0</definedName>
    <definedName name="solver_rhs759" localSheetId="2" hidden="1">0</definedName>
    <definedName name="solver_rhs759" localSheetId="4" hidden="1">0</definedName>
    <definedName name="solver_rhs76" localSheetId="2" hidden="1">1E-100</definedName>
    <definedName name="solver_rhs76" localSheetId="4" hidden="1">1E-100</definedName>
    <definedName name="solver_rhs760" localSheetId="2" hidden="1">0</definedName>
    <definedName name="solver_rhs760" localSheetId="4" hidden="1">0</definedName>
    <definedName name="solver_rhs761" localSheetId="2" hidden="1">0</definedName>
    <definedName name="solver_rhs761" localSheetId="4" hidden="1">0</definedName>
    <definedName name="solver_rhs762" localSheetId="2" hidden="1">0</definedName>
    <definedName name="solver_rhs762" localSheetId="4" hidden="1">0</definedName>
    <definedName name="solver_rhs763" localSheetId="2" hidden="1">0</definedName>
    <definedName name="solver_rhs763" localSheetId="4" hidden="1">0</definedName>
    <definedName name="solver_rhs764" localSheetId="2" hidden="1">0</definedName>
    <definedName name="solver_rhs764" localSheetId="4" hidden="1">0</definedName>
    <definedName name="solver_rhs765" localSheetId="2" hidden="1">0</definedName>
    <definedName name="solver_rhs765" localSheetId="4" hidden="1">0</definedName>
    <definedName name="solver_rhs766" localSheetId="2" hidden="1">0</definedName>
    <definedName name="solver_rhs766" localSheetId="4" hidden="1">0</definedName>
    <definedName name="solver_rhs767" localSheetId="2" hidden="1">0</definedName>
    <definedName name="solver_rhs767" localSheetId="4" hidden="1">0</definedName>
    <definedName name="solver_rhs768" localSheetId="2" hidden="1">0</definedName>
    <definedName name="solver_rhs768" localSheetId="4" hidden="1">0</definedName>
    <definedName name="solver_rhs769" localSheetId="2" hidden="1">0</definedName>
    <definedName name="solver_rhs769" localSheetId="4" hidden="1">0</definedName>
    <definedName name="solver_rhs77" localSheetId="2" hidden="1">1E-100</definedName>
    <definedName name="solver_rhs77" localSheetId="4" hidden="1">1E-100</definedName>
    <definedName name="solver_rhs770" localSheetId="2" hidden="1">0</definedName>
    <definedName name="solver_rhs770" localSheetId="4" hidden="1">0</definedName>
    <definedName name="solver_rhs771" localSheetId="2" hidden="1">0</definedName>
    <definedName name="solver_rhs771" localSheetId="4" hidden="1">0</definedName>
    <definedName name="solver_rhs772" localSheetId="2" hidden="1">0</definedName>
    <definedName name="solver_rhs772" localSheetId="4" hidden="1">0</definedName>
    <definedName name="solver_rhs773" localSheetId="2" hidden="1">0</definedName>
    <definedName name="solver_rhs773" localSheetId="4" hidden="1">0</definedName>
    <definedName name="solver_rhs774" localSheetId="2" hidden="1">0</definedName>
    <definedName name="solver_rhs774" localSheetId="4" hidden="1">0</definedName>
    <definedName name="solver_rhs775" localSheetId="2" hidden="1">0</definedName>
    <definedName name="solver_rhs775" localSheetId="4" hidden="1">0</definedName>
    <definedName name="solver_rhs776" localSheetId="2" hidden="1">0</definedName>
    <definedName name="solver_rhs776" localSheetId="4" hidden="1">0</definedName>
    <definedName name="solver_rhs777" localSheetId="2" hidden="1">0</definedName>
    <definedName name="solver_rhs777" localSheetId="4" hidden="1">0</definedName>
    <definedName name="solver_rhs778" localSheetId="2" hidden="1">0</definedName>
    <definedName name="solver_rhs778" localSheetId="4" hidden="1">0</definedName>
    <definedName name="solver_rhs779" localSheetId="2" hidden="1">0</definedName>
    <definedName name="solver_rhs779" localSheetId="4" hidden="1">0</definedName>
    <definedName name="solver_rhs78" localSheetId="2" hidden="1">1E-100</definedName>
    <definedName name="solver_rhs78" localSheetId="4" hidden="1">1E-100</definedName>
    <definedName name="solver_rhs780" localSheetId="2" hidden="1">0</definedName>
    <definedName name="solver_rhs780" localSheetId="4" hidden="1">0</definedName>
    <definedName name="solver_rhs781" localSheetId="2" hidden="1">0</definedName>
    <definedName name="solver_rhs781" localSheetId="4" hidden="1">0</definedName>
    <definedName name="solver_rhs782" localSheetId="2" hidden="1">0</definedName>
    <definedName name="solver_rhs782" localSheetId="4" hidden="1">0</definedName>
    <definedName name="solver_rhs783" localSheetId="2" hidden="1">0</definedName>
    <definedName name="solver_rhs783" localSheetId="4" hidden="1">0</definedName>
    <definedName name="solver_rhs784" localSheetId="2" hidden="1">0</definedName>
    <definedName name="solver_rhs784" localSheetId="4" hidden="1">0</definedName>
    <definedName name="solver_rhs785" localSheetId="2" hidden="1">0</definedName>
    <definedName name="solver_rhs785" localSheetId="4" hidden="1">0</definedName>
    <definedName name="solver_rhs786" localSheetId="2" hidden="1">0</definedName>
    <definedName name="solver_rhs786" localSheetId="4" hidden="1">0</definedName>
    <definedName name="solver_rhs787" localSheetId="2" hidden="1">0</definedName>
    <definedName name="solver_rhs787" localSheetId="4" hidden="1">0</definedName>
    <definedName name="solver_rhs788" localSheetId="2" hidden="1">0</definedName>
    <definedName name="solver_rhs788" localSheetId="4" hidden="1">0</definedName>
    <definedName name="solver_rhs789" localSheetId="2" hidden="1">0</definedName>
    <definedName name="solver_rhs789" localSheetId="4" hidden="1">0</definedName>
    <definedName name="solver_rhs79" localSheetId="2" hidden="1">1E-100</definedName>
    <definedName name="solver_rhs79" localSheetId="4" hidden="1">1E-100</definedName>
    <definedName name="solver_rhs790" localSheetId="2" hidden="1">0</definedName>
    <definedName name="solver_rhs790" localSheetId="4" hidden="1">0</definedName>
    <definedName name="solver_rhs791" localSheetId="2" hidden="1">0</definedName>
    <definedName name="solver_rhs791" localSheetId="4" hidden="1">0</definedName>
    <definedName name="solver_rhs792" localSheetId="2" hidden="1">0</definedName>
    <definedName name="solver_rhs792" localSheetId="4" hidden="1">0</definedName>
    <definedName name="solver_rhs793" localSheetId="2" hidden="1">0</definedName>
    <definedName name="solver_rhs793" localSheetId="4" hidden="1">0</definedName>
    <definedName name="solver_rhs794" localSheetId="2" hidden="1">0</definedName>
    <definedName name="solver_rhs794" localSheetId="4" hidden="1">0</definedName>
    <definedName name="solver_rhs795" localSheetId="2" hidden="1">0</definedName>
    <definedName name="solver_rhs795" localSheetId="4" hidden="1">0</definedName>
    <definedName name="solver_rhs796" localSheetId="2" hidden="1">0</definedName>
    <definedName name="solver_rhs796" localSheetId="4" hidden="1">0</definedName>
    <definedName name="solver_rhs797" localSheetId="2" hidden="1">0</definedName>
    <definedName name="solver_rhs797" localSheetId="4" hidden="1">0</definedName>
    <definedName name="solver_rhs798" localSheetId="2" hidden="1">0</definedName>
    <definedName name="solver_rhs798" localSheetId="4" hidden="1">0</definedName>
    <definedName name="solver_rhs799" localSheetId="2" hidden="1">0</definedName>
    <definedName name="solver_rhs799" localSheetId="4" hidden="1">0</definedName>
    <definedName name="solver_rhs8" localSheetId="0" hidden="1">'Data input'!$C$107</definedName>
    <definedName name="solver_rhs8" localSheetId="2" hidden="1">'Run CRS'!$C$107</definedName>
    <definedName name="solver_rhs8" localSheetId="4" hidden="1">'Run VRS'!$C$107</definedName>
    <definedName name="solver_rhs80" localSheetId="2" hidden="1">1E-100</definedName>
    <definedName name="solver_rhs80" localSheetId="4" hidden="1">1E-100</definedName>
    <definedName name="solver_rhs800" localSheetId="2" hidden="1">0</definedName>
    <definedName name="solver_rhs800" localSheetId="4" hidden="1">0</definedName>
    <definedName name="solver_rhs801" localSheetId="2" hidden="1">0</definedName>
    <definedName name="solver_rhs801" localSheetId="4" hidden="1">0</definedName>
    <definedName name="solver_rhs802" localSheetId="2" hidden="1">0</definedName>
    <definedName name="solver_rhs802" localSheetId="4" hidden="1">0</definedName>
    <definedName name="solver_rhs803" localSheetId="2" hidden="1">0</definedName>
    <definedName name="solver_rhs803" localSheetId="4" hidden="1">0</definedName>
    <definedName name="solver_rhs804" localSheetId="2" hidden="1">0</definedName>
    <definedName name="solver_rhs804" localSheetId="4" hidden="1">0</definedName>
    <definedName name="solver_rhs805" localSheetId="2" hidden="1">0</definedName>
    <definedName name="solver_rhs805" localSheetId="4" hidden="1">0</definedName>
    <definedName name="solver_rhs806" localSheetId="2" hidden="1">0</definedName>
    <definedName name="solver_rhs806" localSheetId="4" hidden="1">0</definedName>
    <definedName name="solver_rhs807" localSheetId="2" hidden="1">0</definedName>
    <definedName name="solver_rhs807" localSheetId="4" hidden="1">0</definedName>
    <definedName name="solver_rhs808" localSheetId="2" hidden="1">0</definedName>
    <definedName name="solver_rhs808" localSheetId="4" hidden="1">0</definedName>
    <definedName name="solver_rhs809" localSheetId="2" hidden="1">0</definedName>
    <definedName name="solver_rhs809" localSheetId="4" hidden="1">0</definedName>
    <definedName name="solver_rhs81" localSheetId="2" hidden="1">1E-100</definedName>
    <definedName name="solver_rhs81" localSheetId="4" hidden="1">1E-100</definedName>
    <definedName name="solver_rhs810" localSheetId="2" hidden="1">0</definedName>
    <definedName name="solver_rhs810" localSheetId="4" hidden="1">0</definedName>
    <definedName name="solver_rhs811" localSheetId="2" hidden="1">0</definedName>
    <definedName name="solver_rhs811" localSheetId="4" hidden="1">0</definedName>
    <definedName name="solver_rhs812" localSheetId="2" hidden="1">0</definedName>
    <definedName name="solver_rhs812" localSheetId="4" hidden="1">0</definedName>
    <definedName name="solver_rhs813" localSheetId="2" hidden="1">0</definedName>
    <definedName name="solver_rhs813" localSheetId="4" hidden="1">0</definedName>
    <definedName name="solver_rhs814" localSheetId="2" hidden="1">0</definedName>
    <definedName name="solver_rhs814" localSheetId="4" hidden="1">0</definedName>
    <definedName name="solver_rhs815" localSheetId="2" hidden="1">0</definedName>
    <definedName name="solver_rhs815" localSheetId="4" hidden="1">0</definedName>
    <definedName name="solver_rhs816" localSheetId="2" hidden="1">0</definedName>
    <definedName name="solver_rhs816" localSheetId="4" hidden="1">0</definedName>
    <definedName name="solver_rhs817" localSheetId="2" hidden="1">0</definedName>
    <definedName name="solver_rhs817" localSheetId="4" hidden="1">0</definedName>
    <definedName name="solver_rhs818" localSheetId="2" hidden="1">0</definedName>
    <definedName name="solver_rhs818" localSheetId="4" hidden="1">0</definedName>
    <definedName name="solver_rhs819" localSheetId="2" hidden="1">0</definedName>
    <definedName name="solver_rhs819" localSheetId="4" hidden="1">0</definedName>
    <definedName name="solver_rhs82" localSheetId="2" hidden="1">1E-100</definedName>
    <definedName name="solver_rhs82" localSheetId="4" hidden="1">1E-100</definedName>
    <definedName name="solver_rhs820" localSheetId="2" hidden="1">0</definedName>
    <definedName name="solver_rhs820" localSheetId="4" hidden="1">0</definedName>
    <definedName name="solver_rhs821" localSheetId="2" hidden="1">0</definedName>
    <definedName name="solver_rhs821" localSheetId="4" hidden="1">0</definedName>
    <definedName name="solver_rhs822" localSheetId="2" hidden="1">0</definedName>
    <definedName name="solver_rhs822" localSheetId="4" hidden="1">0</definedName>
    <definedName name="solver_rhs823" localSheetId="2" hidden="1">0</definedName>
    <definedName name="solver_rhs823" localSheetId="4" hidden="1">0</definedName>
    <definedName name="solver_rhs824" localSheetId="2" hidden="1">0</definedName>
    <definedName name="solver_rhs824" localSheetId="4" hidden="1">0</definedName>
    <definedName name="solver_rhs825" localSheetId="2" hidden="1">0</definedName>
    <definedName name="solver_rhs825" localSheetId="4" hidden="1">0</definedName>
    <definedName name="solver_rhs826" localSheetId="2" hidden="1">0</definedName>
    <definedName name="solver_rhs826" localSheetId="4" hidden="1">0</definedName>
    <definedName name="solver_rhs827" localSheetId="2" hidden="1">0</definedName>
    <definedName name="solver_rhs827" localSheetId="4" hidden="1">0</definedName>
    <definedName name="solver_rhs828" localSheetId="2" hidden="1">0</definedName>
    <definedName name="solver_rhs828" localSheetId="4" hidden="1">0</definedName>
    <definedName name="solver_rhs829" localSheetId="2" hidden="1">0</definedName>
    <definedName name="solver_rhs829" localSheetId="4" hidden="1">0</definedName>
    <definedName name="solver_rhs83" localSheetId="2" hidden="1">1E-100</definedName>
    <definedName name="solver_rhs83" localSheetId="4" hidden="1">1E-100</definedName>
    <definedName name="solver_rhs830" localSheetId="2" hidden="1">0</definedName>
    <definedName name="solver_rhs830" localSheetId="4" hidden="1">0</definedName>
    <definedName name="solver_rhs831" localSheetId="2" hidden="1">0</definedName>
    <definedName name="solver_rhs831" localSheetId="4" hidden="1">0</definedName>
    <definedName name="solver_rhs832" localSheetId="2" hidden="1">0</definedName>
    <definedName name="solver_rhs832" localSheetId="4" hidden="1">0</definedName>
    <definedName name="solver_rhs833" localSheetId="2" hidden="1">0</definedName>
    <definedName name="solver_rhs833" localSheetId="4" hidden="1">0</definedName>
    <definedName name="solver_rhs834" localSheetId="2" hidden="1">0</definedName>
    <definedName name="solver_rhs834" localSheetId="4" hidden="1">0</definedName>
    <definedName name="solver_rhs835" localSheetId="2" hidden="1">0</definedName>
    <definedName name="solver_rhs835" localSheetId="4" hidden="1">0</definedName>
    <definedName name="solver_rhs836" localSheetId="2" hidden="1">0</definedName>
    <definedName name="solver_rhs836" localSheetId="4" hidden="1">0</definedName>
    <definedName name="solver_rhs837" localSheetId="2" hidden="1">0</definedName>
    <definedName name="solver_rhs837" localSheetId="4" hidden="1">0</definedName>
    <definedName name="solver_rhs838" localSheetId="2" hidden="1">0</definedName>
    <definedName name="solver_rhs838" localSheetId="4" hidden="1">0</definedName>
    <definedName name="solver_rhs839" localSheetId="2" hidden="1">0</definedName>
    <definedName name="solver_rhs839" localSheetId="4" hidden="1">0</definedName>
    <definedName name="solver_rhs84" localSheetId="2" hidden="1">1E-100</definedName>
    <definedName name="solver_rhs84" localSheetId="4" hidden="1">1E-100</definedName>
    <definedName name="solver_rhs840" localSheetId="2" hidden="1">0</definedName>
    <definedName name="solver_rhs840" localSheetId="4" hidden="1">0</definedName>
    <definedName name="solver_rhs841" localSheetId="2" hidden="1">0</definedName>
    <definedName name="solver_rhs841" localSheetId="4" hidden="1">0</definedName>
    <definedName name="solver_rhs842" localSheetId="2" hidden="1">0</definedName>
    <definedName name="solver_rhs842" localSheetId="4" hidden="1">0</definedName>
    <definedName name="solver_rhs843" localSheetId="2" hidden="1">0</definedName>
    <definedName name="solver_rhs843" localSheetId="4" hidden="1">0</definedName>
    <definedName name="solver_rhs844" localSheetId="2" hidden="1">0</definedName>
    <definedName name="solver_rhs844" localSheetId="4" hidden="1">0</definedName>
    <definedName name="solver_rhs845" localSheetId="2" hidden="1">0</definedName>
    <definedName name="solver_rhs845" localSheetId="4" hidden="1">0</definedName>
    <definedName name="solver_rhs846" localSheetId="2" hidden="1">0</definedName>
    <definedName name="solver_rhs846" localSheetId="4" hidden="1">0</definedName>
    <definedName name="solver_rhs847" localSheetId="2" hidden="1">0</definedName>
    <definedName name="solver_rhs847" localSheetId="4" hidden="1">0</definedName>
    <definedName name="solver_rhs848" localSheetId="2" hidden="1">0</definedName>
    <definedName name="solver_rhs848" localSheetId="4" hidden="1">0</definedName>
    <definedName name="solver_rhs849" localSheetId="2" hidden="1">'Run CRS'!$B$107:$C$107</definedName>
    <definedName name="solver_rhs849" localSheetId="4" hidden="1">'Run VRS'!$B$107:$C$107</definedName>
    <definedName name="solver_rhs85" localSheetId="2" hidden="1">1E-100</definedName>
    <definedName name="solver_rhs85" localSheetId="4" hidden="1">1E-100</definedName>
    <definedName name="solver_rhs850" localSheetId="2" hidden="1">'Run CRS'!$B$107:$C$107</definedName>
    <definedName name="solver_rhs850" localSheetId="4" hidden="1">'Run VRS'!$B$107:$C$107</definedName>
    <definedName name="solver_rhs851" localSheetId="2" hidden="1">'Run CRS'!$B$107:$C$107</definedName>
    <definedName name="solver_rhs851" localSheetId="4" hidden="1">'Run VRS'!$B$107:$C$107</definedName>
    <definedName name="solver_rhs852" localSheetId="2" hidden="1">0</definedName>
    <definedName name="solver_rhs852" localSheetId="4" hidden="1">0</definedName>
    <definedName name="solver_rhs853" localSheetId="2" hidden="1">'Run CRS'!$B$107:$C$107</definedName>
    <definedName name="solver_rhs853" localSheetId="4" hidden="1">'Run VRS'!$B$107:$C$107</definedName>
    <definedName name="solver_rhs854" localSheetId="2" hidden="1">0</definedName>
    <definedName name="solver_rhs854" localSheetId="4" hidden="1">0</definedName>
    <definedName name="solver_rhs855" localSheetId="2" hidden="1">'Run CRS'!$B$107:$C$107</definedName>
    <definedName name="solver_rhs855" localSheetId="4" hidden="1">'Run VRS'!$B$107:$C$107</definedName>
    <definedName name="solver_rhs856" localSheetId="2" hidden="1">'Run CRS'!$B$107:$C$107</definedName>
    <definedName name="solver_rhs856" localSheetId="4" hidden="1">'Run VRS'!$B$107:$C$107</definedName>
    <definedName name="solver_rhs857" localSheetId="2" hidden="1">0</definedName>
    <definedName name="solver_rhs857" localSheetId="4" hidden="1">0</definedName>
    <definedName name="solver_rhs858" localSheetId="2" hidden="1">'Run CRS'!$B$107:$C$107</definedName>
    <definedName name="solver_rhs858" localSheetId="4" hidden="1">'Run VRS'!$B$107:$C$107</definedName>
    <definedName name="solver_rhs859" localSheetId="2" hidden="1">0</definedName>
    <definedName name="solver_rhs859" localSheetId="4" hidden="1">0</definedName>
    <definedName name="solver_rhs86" localSheetId="2" hidden="1">1E-100</definedName>
    <definedName name="solver_rhs86" localSheetId="4" hidden="1">1E-100</definedName>
    <definedName name="solver_rhs860" localSheetId="2" hidden="1">'Run CRS'!$B$107:$C$107</definedName>
    <definedName name="solver_rhs860" localSheetId="4" hidden="1">'Run VRS'!$B$107:$C$107</definedName>
    <definedName name="solver_rhs861" localSheetId="2" hidden="1">0</definedName>
    <definedName name="solver_rhs861" localSheetId="4" hidden="1">0</definedName>
    <definedName name="solver_rhs862" localSheetId="2" hidden="1">'Run CRS'!$B$107:$C$107</definedName>
    <definedName name="solver_rhs862" localSheetId="4" hidden="1">'Run VRS'!$B$107:$C$107</definedName>
    <definedName name="solver_rhs863" localSheetId="2" hidden="1">0</definedName>
    <definedName name="solver_rhs863" localSheetId="4" hidden="1">0</definedName>
    <definedName name="solver_rhs864" localSheetId="2" hidden="1">'Run CRS'!$B$107:$C$107</definedName>
    <definedName name="solver_rhs864" localSheetId="4" hidden="1">'Run VRS'!$B$107:$C$107</definedName>
    <definedName name="solver_rhs865" localSheetId="2" hidden="1">0</definedName>
    <definedName name="solver_rhs865" localSheetId="4" hidden="1">0</definedName>
    <definedName name="solver_rhs866" localSheetId="2" hidden="1">'Run CRS'!$B$107:$C$107</definedName>
    <definedName name="solver_rhs866" localSheetId="4" hidden="1">'Run VRS'!$B$107:$C$107</definedName>
    <definedName name="solver_rhs867" localSheetId="2" hidden="1">'Run CRS'!$B$107:$C$107</definedName>
    <definedName name="solver_rhs867" localSheetId="4" hidden="1">'Run VRS'!$B$107:$C$107</definedName>
    <definedName name="solver_rhs868" localSheetId="2" hidden="1">'Run CRS'!$B$107:$C$107</definedName>
    <definedName name="solver_rhs868" localSheetId="4" hidden="1">'Run VRS'!$B$107:$C$107</definedName>
    <definedName name="solver_rhs869" localSheetId="2" hidden="1">'Run CRS'!$B$107:$C$107</definedName>
    <definedName name="solver_rhs869" localSheetId="4" hidden="1">'Run VRS'!$B$107:$C$107</definedName>
    <definedName name="solver_rhs87" localSheetId="2" hidden="1">1E-100</definedName>
    <definedName name="solver_rhs87" localSheetId="4" hidden="1">1E-100</definedName>
    <definedName name="solver_rhs870" localSheetId="2" hidden="1">'Run CRS'!$B$107:$C$107</definedName>
    <definedName name="solver_rhs870" localSheetId="4" hidden="1">'Run VRS'!$B$107:$C$107</definedName>
    <definedName name="solver_rhs871" localSheetId="2" hidden="1">'Run CRS'!$B$107:$C$107</definedName>
    <definedName name="solver_rhs871" localSheetId="4" hidden="1">'Run VRS'!$B$107:$C$107</definedName>
    <definedName name="solver_rhs872" localSheetId="2" hidden="1">'Run CRS'!$B$107:$C$107</definedName>
    <definedName name="solver_rhs872" localSheetId="4" hidden="1">'Run VRS'!$B$107:$C$107</definedName>
    <definedName name="solver_rhs873" localSheetId="2" hidden="1">'Run CRS'!$B$107:$C$107</definedName>
    <definedName name="solver_rhs873" localSheetId="4" hidden="1">'Run VRS'!$B$107:$C$107</definedName>
    <definedName name="solver_rhs874" localSheetId="2" hidden="1">'Run CRS'!$B$107:$C$107</definedName>
    <definedName name="solver_rhs874" localSheetId="4" hidden="1">'Run VRS'!$B$107:$C$107</definedName>
    <definedName name="solver_rhs875" localSheetId="2" hidden="1">'Run CRS'!$B$107:$C$107</definedName>
    <definedName name="solver_rhs875" localSheetId="4" hidden="1">'Run VRS'!$B$107:$C$107</definedName>
    <definedName name="solver_rhs876" localSheetId="2" hidden="1">'Run CRS'!$B$107:$C$107</definedName>
    <definedName name="solver_rhs876" localSheetId="4" hidden="1">'Run VRS'!$B$107:$C$107</definedName>
    <definedName name="solver_rhs877" localSheetId="2" hidden="1">'Run CRS'!$B$107:$C$107</definedName>
    <definedName name="solver_rhs877" localSheetId="4" hidden="1">'Run VRS'!$B$107:$C$107</definedName>
    <definedName name="solver_rhs878" localSheetId="2" hidden="1">'Run CRS'!$B$107:$C$107</definedName>
    <definedName name="solver_rhs878" localSheetId="4" hidden="1">'Run VRS'!$B$107:$C$107</definedName>
    <definedName name="solver_rhs879" localSheetId="2" hidden="1">'Run CRS'!$B$107:$C$107</definedName>
    <definedName name="solver_rhs879" localSheetId="4" hidden="1">'Run VRS'!$B$107:$C$107</definedName>
    <definedName name="solver_rhs88" localSheetId="2" hidden="1">1E-100</definedName>
    <definedName name="solver_rhs88" localSheetId="4" hidden="1">1E-100</definedName>
    <definedName name="solver_rhs880" localSheetId="2" hidden="1">'Run CRS'!$B$107:$C$107</definedName>
    <definedName name="solver_rhs880" localSheetId="4" hidden="1">'Run VRS'!$B$107:$C$107</definedName>
    <definedName name="solver_rhs881" localSheetId="2" hidden="1">'Run CRS'!$B$107:$C$107</definedName>
    <definedName name="solver_rhs881" localSheetId="4" hidden="1">'Run VRS'!$B$107:$C$107</definedName>
    <definedName name="solver_rhs882" localSheetId="2" hidden="1">'Run CRS'!$B$107:$C$107</definedName>
    <definedName name="solver_rhs882" localSheetId="4" hidden="1">'Run VRS'!$B$107:$C$107</definedName>
    <definedName name="solver_rhs883" localSheetId="2" hidden="1">'Run CRS'!$B$107:$C$107</definedName>
    <definedName name="solver_rhs883" localSheetId="4" hidden="1">'Run VRS'!$B$107:$C$107</definedName>
    <definedName name="solver_rhs884" localSheetId="2" hidden="1">'Run CRS'!$B$107:$C$107</definedName>
    <definedName name="solver_rhs884" localSheetId="4" hidden="1">'Run VRS'!$B$107:$C$107</definedName>
    <definedName name="solver_rhs885" localSheetId="2" hidden="1">'Run CRS'!$B$107:$C$107</definedName>
    <definedName name="solver_rhs885" localSheetId="4" hidden="1">'Run VRS'!$B$107:$C$107</definedName>
    <definedName name="solver_rhs886" localSheetId="2" hidden="1">'Run CRS'!$B$107:$C$107</definedName>
    <definedName name="solver_rhs886" localSheetId="4" hidden="1">'Run VRS'!$B$107:$C$107</definedName>
    <definedName name="solver_rhs887" localSheetId="2" hidden="1">'Run CRS'!$B$107:$C$107</definedName>
    <definedName name="solver_rhs887" localSheetId="4" hidden="1">'Run VRS'!$B$107:$C$107</definedName>
    <definedName name="solver_rhs888" localSheetId="2" hidden="1">'Run CRS'!$B$107:$C$107</definedName>
    <definedName name="solver_rhs888" localSheetId="4" hidden="1">'Run VRS'!$B$107:$C$107</definedName>
    <definedName name="solver_rhs889" localSheetId="2" hidden="1">'Run CRS'!$B$107:$C$107</definedName>
    <definedName name="solver_rhs889" localSheetId="4" hidden="1">'Run VRS'!$B$107:$C$107</definedName>
    <definedName name="solver_rhs89" localSheetId="2" hidden="1">1E-100</definedName>
    <definedName name="solver_rhs89" localSheetId="4" hidden="1">1E-100</definedName>
    <definedName name="solver_rhs890" localSheetId="2" hidden="1">'Run CRS'!$B$107:$C$107</definedName>
    <definedName name="solver_rhs890" localSheetId="4" hidden="1">'Run VRS'!$B$107:$C$107</definedName>
    <definedName name="solver_rhs891" localSheetId="2" hidden="1">'Run CRS'!$B$107:$C$107</definedName>
    <definedName name="solver_rhs891" localSheetId="4" hidden="1">'Run VRS'!$B$107:$C$107</definedName>
    <definedName name="solver_rhs892" localSheetId="2" hidden="1">'Run CRS'!$B$107:$C$107</definedName>
    <definedName name="solver_rhs892" localSheetId="4" hidden="1">'Run VRS'!$B$107:$C$107</definedName>
    <definedName name="solver_rhs893" localSheetId="2" hidden="1">'Run CRS'!$B$107:$C$107</definedName>
    <definedName name="solver_rhs893" localSheetId="4" hidden="1">'Run VRS'!$B$107:$C$107</definedName>
    <definedName name="solver_rhs894" localSheetId="2" hidden="1">'Run CRS'!$B$107:$C$107</definedName>
    <definedName name="solver_rhs894" localSheetId="4" hidden="1">'Run VRS'!$B$107:$C$107</definedName>
    <definedName name="solver_rhs895" localSheetId="2" hidden="1">'Run CRS'!$B$107:$C$107</definedName>
    <definedName name="solver_rhs895" localSheetId="4" hidden="1">'Run VRS'!$B$107:$C$107</definedName>
    <definedName name="solver_rhs896" localSheetId="2" hidden="1">'Run CRS'!$B$107:$C$107</definedName>
    <definedName name="solver_rhs896" localSheetId="4" hidden="1">'Run VRS'!$B$107:$C$107</definedName>
    <definedName name="solver_rhs897" localSheetId="2" hidden="1">'Run CRS'!$B$107:$C$107</definedName>
    <definedName name="solver_rhs897" localSheetId="4" hidden="1">'Run VRS'!$B$107:$C$107</definedName>
    <definedName name="solver_rhs898" localSheetId="2" hidden="1">'Run CRS'!$B$107:$C$107</definedName>
    <definedName name="solver_rhs898" localSheetId="4" hidden="1">'Run VRS'!$B$107:$C$107</definedName>
    <definedName name="solver_rhs899" localSheetId="2" hidden="1">'Run CRS'!$B$107:$C$107</definedName>
    <definedName name="solver_rhs899" localSheetId="4" hidden="1">'Run VRS'!$B$107:$C$107</definedName>
    <definedName name="solver_rhs9" localSheetId="0" hidden="1">'Data input'!$H$107:$I$107</definedName>
    <definedName name="solver_rhs9" localSheetId="2" hidden="1">'Run CRS'!$H$107:$I$107</definedName>
    <definedName name="solver_rhs9" localSheetId="4" hidden="1">'Run VRS'!$H$107:$I$107</definedName>
    <definedName name="solver_rhs90" localSheetId="2" hidden="1">1E-100</definedName>
    <definedName name="solver_rhs90" localSheetId="4" hidden="1">1E-100</definedName>
    <definedName name="solver_rhs900" localSheetId="2" hidden="1">'Run CRS'!$B$107:$C$107</definedName>
    <definedName name="solver_rhs900" localSheetId="4" hidden="1">'Run VRS'!$B$107:$C$107</definedName>
    <definedName name="solver_rhs901" localSheetId="2" hidden="1">'Run CRS'!$B$107:$C$107</definedName>
    <definedName name="solver_rhs901" localSheetId="4" hidden="1">'Run VRS'!$B$107:$C$107</definedName>
    <definedName name="solver_rhs902" localSheetId="2" hidden="1">'Run CRS'!$B$107:$C$107</definedName>
    <definedName name="solver_rhs902" localSheetId="4" hidden="1">'Run VRS'!$B$107:$C$107</definedName>
    <definedName name="solver_rhs903" localSheetId="2" hidden="1">'Run CRS'!$B$107:$C$107</definedName>
    <definedName name="solver_rhs903" localSheetId="4" hidden="1">'Run VRS'!$B$107:$C$107</definedName>
    <definedName name="solver_rhs904" localSheetId="2" hidden="1">'Run CRS'!$B$107:$C$107</definedName>
    <definedName name="solver_rhs904" localSheetId="4" hidden="1">'Run VRS'!$B$107:$C$107</definedName>
    <definedName name="solver_rhs905" localSheetId="2" hidden="1">'Run CRS'!$B$107:$C$107</definedName>
    <definedName name="solver_rhs905" localSheetId="4" hidden="1">'Run VRS'!$B$107:$C$107</definedName>
    <definedName name="solver_rhs906" localSheetId="2" hidden="1">'Run CRS'!$B$107:$C$107</definedName>
    <definedName name="solver_rhs906" localSheetId="4" hidden="1">'Run VRS'!$B$107:$C$107</definedName>
    <definedName name="solver_rhs907" localSheetId="2" hidden="1">'Run CRS'!$B$107:$C$107</definedName>
    <definedName name="solver_rhs907" localSheetId="4" hidden="1">'Run VRS'!$B$107:$C$107</definedName>
    <definedName name="solver_rhs908" localSheetId="2" hidden="1">'Run CRS'!$B$107:$C$107</definedName>
    <definedName name="solver_rhs908" localSheetId="4" hidden="1">'Run VRS'!$B$107:$C$107</definedName>
    <definedName name="solver_rhs909" localSheetId="2" hidden="1">'Run CRS'!$B$107:$C$107</definedName>
    <definedName name="solver_rhs909" localSheetId="4" hidden="1">'Run VRS'!$B$107:$C$107</definedName>
    <definedName name="solver_rhs91" localSheetId="2" hidden="1">1E-100</definedName>
    <definedName name="solver_rhs91" localSheetId="4" hidden="1">1E-100</definedName>
    <definedName name="solver_rhs910" localSheetId="2" hidden="1">'Run CRS'!$B$107:$C$107</definedName>
    <definedName name="solver_rhs910" localSheetId="4" hidden="1">'Run VRS'!$B$107:$C$107</definedName>
    <definedName name="solver_rhs911" localSheetId="2" hidden="1">'Run CRS'!$B$107:$C$107</definedName>
    <definedName name="solver_rhs911" localSheetId="4" hidden="1">'Run VRS'!$B$107:$C$107</definedName>
    <definedName name="solver_rhs912" localSheetId="2" hidden="1">'Run CRS'!$B$107:$C$107</definedName>
    <definedName name="solver_rhs912" localSheetId="4" hidden="1">'Run VRS'!$B$107:$C$107</definedName>
    <definedName name="solver_rhs913" localSheetId="2" hidden="1">'Run CRS'!$B$107:$C$107</definedName>
    <definedName name="solver_rhs913" localSheetId="4" hidden="1">'Run VRS'!$B$107:$C$107</definedName>
    <definedName name="solver_rhs914" localSheetId="2" hidden="1">'Run CRS'!$B$107:$C$107</definedName>
    <definedName name="solver_rhs914" localSheetId="4" hidden="1">'Run VRS'!$B$107:$C$107</definedName>
    <definedName name="solver_rhs915" localSheetId="2" hidden="1">'Run CRS'!$B$107:$C$107</definedName>
    <definedName name="solver_rhs915" localSheetId="4" hidden="1">'Run VRS'!$B$107:$C$107</definedName>
    <definedName name="solver_rhs916" localSheetId="2" hidden="1">'Run CRS'!$B$107:$C$107</definedName>
    <definedName name="solver_rhs916" localSheetId="4" hidden="1">'Run VRS'!$B$107:$C$107</definedName>
    <definedName name="solver_rhs917" localSheetId="2" hidden="1">'Run CRS'!$B$107:$C$107</definedName>
    <definedName name="solver_rhs917" localSheetId="4" hidden="1">'Run VRS'!$B$107:$C$107</definedName>
    <definedName name="solver_rhs918" localSheetId="2" hidden="1">'Run CRS'!$B$107:$C$107</definedName>
    <definedName name="solver_rhs918" localSheetId="4" hidden="1">'Run VRS'!$B$107:$C$107</definedName>
    <definedName name="solver_rhs919" localSheetId="2" hidden="1">'Run CRS'!$B$107:$C$107</definedName>
    <definedName name="solver_rhs919" localSheetId="4" hidden="1">'Run VRS'!$B$107:$C$107</definedName>
    <definedName name="solver_rhs92" localSheetId="2" hidden="1">1E-100</definedName>
    <definedName name="solver_rhs92" localSheetId="4" hidden="1">1E-100</definedName>
    <definedName name="solver_rhs920" localSheetId="2" hidden="1">'Run CRS'!$B$107:$C$107</definedName>
    <definedName name="solver_rhs920" localSheetId="4" hidden="1">'Run VRS'!$B$107:$C$107</definedName>
    <definedName name="solver_rhs921" localSheetId="2" hidden="1">'Run CRS'!$B$107:$C$107</definedName>
    <definedName name="solver_rhs921" localSheetId="4" hidden="1">'Run VRS'!$B$107:$C$107</definedName>
    <definedName name="solver_rhs922" localSheetId="2" hidden="1">'Run CRS'!$B$107:$C$107</definedName>
    <definedName name="solver_rhs922" localSheetId="4" hidden="1">'Run VRS'!$B$107:$C$107</definedName>
    <definedName name="solver_rhs923" localSheetId="2" hidden="1">'Run CRS'!$B$107:$C$107</definedName>
    <definedName name="solver_rhs923" localSheetId="4" hidden="1">'Run VRS'!$B$107:$C$107</definedName>
    <definedName name="solver_rhs924" localSheetId="2" hidden="1">'Run CRS'!$B$107:$C$107</definedName>
    <definedName name="solver_rhs924" localSheetId="4" hidden="1">'Run VRS'!$B$107:$C$107</definedName>
    <definedName name="solver_rhs925" localSheetId="2" hidden="1">'Run CRS'!$B$107:$C$107</definedName>
    <definedName name="solver_rhs925" localSheetId="4" hidden="1">'Run VRS'!$B$107:$C$107</definedName>
    <definedName name="solver_rhs926" localSheetId="2" hidden="1">'Run CRS'!$B$107:$C$107</definedName>
    <definedName name="solver_rhs926" localSheetId="4" hidden="1">'Run VRS'!$B$107:$C$107</definedName>
    <definedName name="solver_rhs927" localSheetId="2" hidden="1">'Run CRS'!$B$107:$C$107</definedName>
    <definedName name="solver_rhs927" localSheetId="4" hidden="1">'Run VRS'!$B$107:$C$107</definedName>
    <definedName name="solver_rhs928" localSheetId="2" hidden="1">'Run CRS'!$B$107:$C$107</definedName>
    <definedName name="solver_rhs928" localSheetId="4" hidden="1">'Run VRS'!$B$107:$C$107</definedName>
    <definedName name="solver_rhs929" localSheetId="2" hidden="1">'Run CRS'!$B$107:$C$107</definedName>
    <definedName name="solver_rhs929" localSheetId="4" hidden="1">'Run VRS'!$B$107:$C$107</definedName>
    <definedName name="solver_rhs93" localSheetId="2" hidden="1">1E-100</definedName>
    <definedName name="solver_rhs93" localSheetId="4" hidden="1">1E-100</definedName>
    <definedName name="solver_rhs930" localSheetId="2" hidden="1">'Run CRS'!$B$107:$C$107</definedName>
    <definedName name="solver_rhs930" localSheetId="4" hidden="1">'Run VRS'!$B$107:$C$107</definedName>
    <definedName name="solver_rhs931" localSheetId="2" hidden="1">'Run CRS'!$B$107:$C$107</definedName>
    <definedName name="solver_rhs931" localSheetId="4" hidden="1">'Run VRS'!$B$107:$C$107</definedName>
    <definedName name="solver_rhs932" localSheetId="2" hidden="1">'Run CRS'!$B$107:$C$107</definedName>
    <definedName name="solver_rhs932" localSheetId="4" hidden="1">'Run VRS'!$B$107:$C$107</definedName>
    <definedName name="solver_rhs933" localSheetId="2" hidden="1">'Run CRS'!$B$107:$C$107</definedName>
    <definedName name="solver_rhs933" localSheetId="4" hidden="1">'Run VRS'!$B$107:$C$107</definedName>
    <definedName name="solver_rhs934" localSheetId="2" hidden="1">'Run CRS'!$B$107:$C$107</definedName>
    <definedName name="solver_rhs934" localSheetId="4" hidden="1">'Run VRS'!$B$107:$C$107</definedName>
    <definedName name="solver_rhs935" localSheetId="2" hidden="1">'Run CRS'!$B$107:$C$107</definedName>
    <definedName name="solver_rhs935" localSheetId="4" hidden="1">'Run VRS'!$B$107:$C$107</definedName>
    <definedName name="solver_rhs936" localSheetId="2" hidden="1">'Run CRS'!$B$107:$C$107</definedName>
    <definedName name="solver_rhs936" localSheetId="4" hidden="1">'Run VRS'!$B$107:$C$107</definedName>
    <definedName name="solver_rhs937" localSheetId="2" hidden="1">'Run CRS'!$B$107:$C$107</definedName>
    <definedName name="solver_rhs937" localSheetId="4" hidden="1">'Run VRS'!$B$107:$C$107</definedName>
    <definedName name="solver_rhs938" localSheetId="2" hidden="1">'Run CRS'!$B$107:$C$107</definedName>
    <definedName name="solver_rhs938" localSheetId="4" hidden="1">'Run VRS'!$B$107:$C$107</definedName>
    <definedName name="solver_rhs939" localSheetId="2" hidden="1">'Run CRS'!$B$107:$C$107</definedName>
    <definedName name="solver_rhs939" localSheetId="4" hidden="1">'Run VRS'!$B$107:$C$107</definedName>
    <definedName name="solver_rhs94" localSheetId="2" hidden="1">1E-100</definedName>
    <definedName name="solver_rhs94" localSheetId="4" hidden="1">1E-100</definedName>
    <definedName name="solver_rhs940" localSheetId="2" hidden="1">'Run CRS'!$B$107:$C$107</definedName>
    <definedName name="solver_rhs940" localSheetId="4" hidden="1">'Run VRS'!$B$107:$C$107</definedName>
    <definedName name="solver_rhs941" localSheetId="2" hidden="1">'Run CRS'!$B$107:$C$107</definedName>
    <definedName name="solver_rhs941" localSheetId="4" hidden="1">'Run VRS'!$B$107:$C$107</definedName>
    <definedName name="solver_rhs942" localSheetId="2" hidden="1">'Run CRS'!$B$107:$C$107</definedName>
    <definedName name="solver_rhs942" localSheetId="4" hidden="1">'Run VRS'!$B$107:$C$107</definedName>
    <definedName name="solver_rhs943" localSheetId="2" hidden="1">'Run CRS'!$B$107:$C$107</definedName>
    <definedName name="solver_rhs943" localSheetId="4" hidden="1">'Run VRS'!$B$107:$C$107</definedName>
    <definedName name="solver_rhs944" localSheetId="2" hidden="1">'Run CRS'!$B$107:$C$107</definedName>
    <definedName name="solver_rhs944" localSheetId="4" hidden="1">'Run VRS'!$B$107:$C$107</definedName>
    <definedName name="solver_rhs945" localSheetId="2" hidden="1">'Run CRS'!$B$107:$C$107</definedName>
    <definedName name="solver_rhs945" localSheetId="4" hidden="1">'Run VRS'!$B$107:$C$107</definedName>
    <definedName name="solver_rhs946" localSheetId="2" hidden="1">'Run CRS'!$B$107:$C$107</definedName>
    <definedName name="solver_rhs946" localSheetId="4" hidden="1">'Run VRS'!$B$107:$C$107</definedName>
    <definedName name="solver_rhs947" localSheetId="2" hidden="1">'Run CRS'!$B$107:$C$107</definedName>
    <definedName name="solver_rhs947" localSheetId="4" hidden="1">'Run VRS'!$B$107:$C$107</definedName>
    <definedName name="solver_rhs948" localSheetId="2" hidden="1">'Run CRS'!$B$107:$C$107</definedName>
    <definedName name="solver_rhs948" localSheetId="4" hidden="1">'Run VRS'!$B$107:$C$107</definedName>
    <definedName name="solver_rhs949" localSheetId="2" hidden="1">'Run CRS'!$B$107:$C$107</definedName>
    <definedName name="solver_rhs949" localSheetId="4" hidden="1">'Run VRS'!$B$107:$C$107</definedName>
    <definedName name="solver_rhs95" localSheetId="2" hidden="1">1E-100</definedName>
    <definedName name="solver_rhs95" localSheetId="4" hidden="1">1E-100</definedName>
    <definedName name="solver_rhs950" localSheetId="2" hidden="1">'Run CRS'!$B$107:$C$107</definedName>
    <definedName name="solver_rhs950" localSheetId="4" hidden="1">'Run VRS'!$B$107:$C$107</definedName>
    <definedName name="solver_rhs951" localSheetId="2" hidden="1">'Run CRS'!$B$107:$C$107</definedName>
    <definedName name="solver_rhs951" localSheetId="4" hidden="1">'Run VRS'!$B$107:$C$107</definedName>
    <definedName name="solver_rhs952" localSheetId="2" hidden="1">'Run CRS'!$B$107:$C$107</definedName>
    <definedName name="solver_rhs952" localSheetId="4" hidden="1">'Run VRS'!$B$107:$C$107</definedName>
    <definedName name="solver_rhs953" localSheetId="2" hidden="1">'Run CRS'!$B$107:$C$107</definedName>
    <definedName name="solver_rhs953" localSheetId="4" hidden="1">'Run VRS'!$B$107:$C$107</definedName>
    <definedName name="solver_rhs954" localSheetId="2" hidden="1">'Run CRS'!$B$107:$C$107</definedName>
    <definedName name="solver_rhs954" localSheetId="4" hidden="1">'Run VRS'!$B$107:$C$107</definedName>
    <definedName name="solver_rhs955" localSheetId="2" hidden="1">'Run CRS'!$B$107:$C$107</definedName>
    <definedName name="solver_rhs955" localSheetId="4" hidden="1">'Run VRS'!$B$107:$C$107</definedName>
    <definedName name="solver_rhs956" localSheetId="2" hidden="1">'Run CRS'!$B$107:$C$107</definedName>
    <definedName name="solver_rhs956" localSheetId="4" hidden="1">'Run VRS'!$B$107:$C$107</definedName>
    <definedName name="solver_rhs957" localSheetId="2" hidden="1">'Run CRS'!$B$107:$C$107</definedName>
    <definedName name="solver_rhs957" localSheetId="4" hidden="1">'Run VRS'!$B$107:$C$107</definedName>
    <definedName name="solver_rhs958" localSheetId="2" hidden="1">'Run CRS'!$B$107:$C$107</definedName>
    <definedName name="solver_rhs958" localSheetId="4" hidden="1">'Run VRS'!$B$107:$C$107</definedName>
    <definedName name="solver_rhs959" localSheetId="2" hidden="1">'Run CRS'!$B$107:$C$107</definedName>
    <definedName name="solver_rhs959" localSheetId="4" hidden="1">'Run VRS'!$B$107:$C$107</definedName>
    <definedName name="solver_rhs96" localSheetId="2" hidden="1">1E-100</definedName>
    <definedName name="solver_rhs96" localSheetId="4" hidden="1">1E-100</definedName>
    <definedName name="solver_rhs960" localSheetId="2" hidden="1">'Run CRS'!$B$107:$C$107</definedName>
    <definedName name="solver_rhs960" localSheetId="4" hidden="1">'Run VRS'!$B$107:$C$107</definedName>
    <definedName name="solver_rhs961" localSheetId="2" hidden="1">'Run CRS'!$B$107:$C$107</definedName>
    <definedName name="solver_rhs961" localSheetId="4" hidden="1">'Run VRS'!$B$107:$C$107</definedName>
    <definedName name="solver_rhs962" localSheetId="2" hidden="1">'Run CRS'!$B$107:$C$107</definedName>
    <definedName name="solver_rhs962" localSheetId="4" hidden="1">'Run VRS'!$B$107:$C$107</definedName>
    <definedName name="solver_rhs963" localSheetId="2" hidden="1">'Run CRS'!$B$107:$C$107</definedName>
    <definedName name="solver_rhs963" localSheetId="4" hidden="1">'Run VRS'!$B$107:$C$107</definedName>
    <definedName name="solver_rhs964" localSheetId="2" hidden="1">'Run CRS'!$B$107:$C$107</definedName>
    <definedName name="solver_rhs964" localSheetId="4" hidden="1">'Run VRS'!$B$107:$C$107</definedName>
    <definedName name="solver_rhs965" localSheetId="2" hidden="1">'Run CRS'!$B$107:$C$107</definedName>
    <definedName name="solver_rhs965" localSheetId="4" hidden="1">'Run VRS'!$B$107:$C$107</definedName>
    <definedName name="solver_rhs966" localSheetId="2" hidden="1">'Run CRS'!$B$107:$C$107</definedName>
    <definedName name="solver_rhs966" localSheetId="4" hidden="1">'Run VRS'!$B$107:$C$107</definedName>
    <definedName name="solver_rhs967" localSheetId="2" hidden="1">'Run CRS'!$B$107:$C$107</definedName>
    <definedName name="solver_rhs967" localSheetId="4" hidden="1">'Run VRS'!$B$107:$C$107</definedName>
    <definedName name="solver_rhs968" localSheetId="2" hidden="1">'Run CRS'!$B$107:$C$107</definedName>
    <definedName name="solver_rhs968" localSheetId="4" hidden="1">'Run VRS'!$B$107:$C$107</definedName>
    <definedName name="solver_rhs969" localSheetId="2" hidden="1">'Run CRS'!$B$107:$C$107</definedName>
    <definedName name="solver_rhs969" localSheetId="4" hidden="1">'Run VRS'!$B$107:$C$107</definedName>
    <definedName name="solver_rhs97" localSheetId="2" hidden="1">1E-100</definedName>
    <definedName name="solver_rhs97" localSheetId="4" hidden="1">1E-100</definedName>
    <definedName name="solver_rhs970" localSheetId="2" hidden="1">'Run CRS'!$B$107:$C$107</definedName>
    <definedName name="solver_rhs970" localSheetId="4" hidden="1">'Run VRS'!$B$107:$C$107</definedName>
    <definedName name="solver_rhs971" localSheetId="2" hidden="1">'Run CRS'!$B$107:$C$107</definedName>
    <definedName name="solver_rhs971" localSheetId="4" hidden="1">'Run VRS'!$B$107:$C$107</definedName>
    <definedName name="solver_rhs972" localSheetId="2" hidden="1">'Run CRS'!$B$107:$C$107</definedName>
    <definedName name="solver_rhs972" localSheetId="4" hidden="1">'Run VRS'!$B$107:$C$107</definedName>
    <definedName name="solver_rhs973" localSheetId="2" hidden="1">'Run CRS'!$B$107:$C$107</definedName>
    <definedName name="solver_rhs973" localSheetId="4" hidden="1">'Run VRS'!$B$107:$C$107</definedName>
    <definedName name="solver_rhs974" localSheetId="2" hidden="1">'Run CRS'!$B$107:$C$107</definedName>
    <definedName name="solver_rhs974" localSheetId="4" hidden="1">'Run VRS'!$B$107:$C$107</definedName>
    <definedName name="solver_rhs975" localSheetId="2" hidden="1">'Run CRS'!$B$107:$C$107</definedName>
    <definedName name="solver_rhs975" localSheetId="4" hidden="1">'Run VRS'!$B$107:$C$107</definedName>
    <definedName name="solver_rhs976" localSheetId="2" hidden="1">'Run CRS'!$B$107:$C$107</definedName>
    <definedName name="solver_rhs976" localSheetId="4" hidden="1">'Run VRS'!$B$107:$C$107</definedName>
    <definedName name="solver_rhs977" localSheetId="2" hidden="1">'Run CRS'!$B$107:$C$107</definedName>
    <definedName name="solver_rhs977" localSheetId="4" hidden="1">'Run VRS'!$B$107:$C$107</definedName>
    <definedName name="solver_rhs978" localSheetId="2" hidden="1">'Run CRS'!$B$107:$C$107</definedName>
    <definedName name="solver_rhs978" localSheetId="4" hidden="1">'Run VRS'!$B$107:$C$107</definedName>
    <definedName name="solver_rhs979" localSheetId="2" hidden="1">'Run CRS'!$B$107:$C$107</definedName>
    <definedName name="solver_rhs979" localSheetId="4" hidden="1">'Run VRS'!$B$107:$C$107</definedName>
    <definedName name="solver_rhs98" localSheetId="2" hidden="1">1E-100</definedName>
    <definedName name="solver_rhs98" localSheetId="4" hidden="1">1E-100</definedName>
    <definedName name="solver_rhs980" localSheetId="2" hidden="1">'Run CRS'!$B$107:$C$107</definedName>
    <definedName name="solver_rhs980" localSheetId="4" hidden="1">'Run VRS'!$B$107:$C$107</definedName>
    <definedName name="solver_rhs981" localSheetId="2" hidden="1">'Run CRS'!$B$107:$C$107</definedName>
    <definedName name="solver_rhs981" localSheetId="4" hidden="1">'Run VRS'!$B$107:$C$107</definedName>
    <definedName name="solver_rhs982" localSheetId="2" hidden="1">'Run CRS'!$B$107:$C$107</definedName>
    <definedName name="solver_rhs982" localSheetId="4" hidden="1">'Run VRS'!$B$107:$C$107</definedName>
    <definedName name="solver_rhs983" localSheetId="2" hidden="1">'Run CRS'!$B$107:$C$107</definedName>
    <definedName name="solver_rhs983" localSheetId="4" hidden="1">'Run VRS'!$B$107:$C$107</definedName>
    <definedName name="solver_rhs984" localSheetId="2" hidden="1">'Run CRS'!$B$107:$C$107</definedName>
    <definedName name="solver_rhs984" localSheetId="4" hidden="1">'Run VRS'!$B$107:$C$107</definedName>
    <definedName name="solver_rhs985" localSheetId="2" hidden="1">'Run CRS'!$B$107:$C$107</definedName>
    <definedName name="solver_rhs985" localSheetId="4" hidden="1">'Run VRS'!$B$107:$C$107</definedName>
    <definedName name="solver_rhs986" localSheetId="2" hidden="1">'Run CRS'!$B$107:$C$107</definedName>
    <definedName name="solver_rhs986" localSheetId="4" hidden="1">'Run VRS'!$B$107:$C$107</definedName>
    <definedName name="solver_rhs987" localSheetId="2" hidden="1">'Run CRS'!$B$107:$C$107</definedName>
    <definedName name="solver_rhs987" localSheetId="4" hidden="1">'Run VRS'!$B$107:$C$107</definedName>
    <definedName name="solver_rhs988" localSheetId="2" hidden="1">'Run CRS'!$B$107:$C$107</definedName>
    <definedName name="solver_rhs988" localSheetId="4" hidden="1">'Run VRS'!$B$107:$C$107</definedName>
    <definedName name="solver_rhs989" localSheetId="2" hidden="1">'Run CRS'!$B$107:$C$107</definedName>
    <definedName name="solver_rhs989" localSheetId="4" hidden="1">'Run VRS'!$B$107:$C$107</definedName>
    <definedName name="solver_rhs99" localSheetId="2" hidden="1">1E-100</definedName>
    <definedName name="solver_rhs99" localSheetId="4" hidden="1">1E-100</definedName>
    <definedName name="solver_rhs990" localSheetId="2" hidden="1">'Run CRS'!$B$107:$C$107</definedName>
    <definedName name="solver_rhs990" localSheetId="4" hidden="1">'Run VRS'!$B$107:$C$107</definedName>
    <definedName name="solver_rhs991" localSheetId="2" hidden="1">'Run CRS'!$B$107:$C$107</definedName>
    <definedName name="solver_rhs991" localSheetId="4" hidden="1">'Run VRS'!$B$107:$C$107</definedName>
    <definedName name="solver_rhs992" localSheetId="2" hidden="1">'Run CRS'!$B$107:$C$107</definedName>
    <definedName name="solver_rhs992" localSheetId="4" hidden="1">'Run VRS'!$B$107:$C$107</definedName>
    <definedName name="solver_rhs993" localSheetId="2" hidden="1">'Run CRS'!$B$107:$C$107</definedName>
    <definedName name="solver_rhs993" localSheetId="4" hidden="1">'Run VRS'!$B$107:$C$107</definedName>
    <definedName name="solver_rhs994" localSheetId="2" hidden="1">'Run CRS'!$B$107:$C$107</definedName>
    <definedName name="solver_rhs994" localSheetId="4" hidden="1">'Run VRS'!$B$107:$C$107</definedName>
    <definedName name="solver_rhs995" localSheetId="2" hidden="1">'Run CRS'!$B$107:$C$107</definedName>
    <definedName name="solver_rhs995" localSheetId="4" hidden="1">'Run VRS'!$B$107:$C$107</definedName>
    <definedName name="solver_rhs996" localSheetId="2" hidden="1">'Run CRS'!$B$107:$C$107</definedName>
    <definedName name="solver_rhs996" localSheetId="4" hidden="1">'Run VRS'!$B$107:$C$107</definedName>
    <definedName name="solver_rhs997" localSheetId="2" hidden="1">'Run CRS'!$B$107:$C$107</definedName>
    <definedName name="solver_rhs997" localSheetId="4" hidden="1">'Run VRS'!$B$107:$C$107</definedName>
    <definedName name="solver_rhs998" localSheetId="2" hidden="1">'Run CRS'!$B$107:$C$107</definedName>
    <definedName name="solver_rhs998" localSheetId="4" hidden="1">'Run VRS'!$B$107:$C$107</definedName>
    <definedName name="solver_rhs999" localSheetId="2" hidden="1">'Run CRS'!$B$107:$C$107</definedName>
    <definedName name="solver_rhs999" localSheetId="4" hidden="1">'Run VRS'!$B$107:$C$107</definedName>
    <definedName name="solver_rlx" localSheetId="2" hidden="1">2</definedName>
    <definedName name="solver_rlx" localSheetId="4" hidden="1">2</definedName>
    <definedName name="solver_rsd" localSheetId="2" hidden="1">0</definedName>
    <definedName name="solver_rsd" localSheetId="4" hidden="1">0</definedName>
    <definedName name="solver_scl" localSheetId="2" hidden="1">1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2" hidden="1">100</definedName>
    <definedName name="solver_ssz" localSheetId="4" hidden="1">100</definedName>
    <definedName name="solver_tim" localSheetId="2" hidden="1">2147483647</definedName>
    <definedName name="solver_tim" localSheetId="4" hidden="1">2147483647</definedName>
    <definedName name="solver_tol" localSheetId="2" hidden="1">0.01</definedName>
    <definedName name="solver_tol" localSheetId="4" hidden="1">0.01</definedName>
    <definedName name="solver_typ" localSheetId="0" hidden="1">2</definedName>
    <definedName name="solver_typ" localSheetId="3" hidden="1">1</definedName>
    <definedName name="solver_typ" localSheetId="5" hidden="1">1</definedName>
    <definedName name="solver_typ" localSheetId="2" hidden="1">2</definedName>
    <definedName name="solver_typ" localSheetId="4" hidden="1">2</definedName>
    <definedName name="solver_typ" localSheetId="1" hidden="1">2</definedName>
    <definedName name="solver_val" localSheetId="0" hidden="1">0</definedName>
    <definedName name="solver_val" localSheetId="3" hidden="1">0</definedName>
    <definedName name="solver_val" localSheetId="5" hidden="1">0</definedName>
    <definedName name="solver_val" localSheetId="2" hidden="1">0</definedName>
    <definedName name="solver_val" localSheetId="4" hidden="1">0</definedName>
    <definedName name="solver_val" localSheetId="1" hidden="1">0</definedName>
    <definedName name="solver_ver" localSheetId="3" hidden="1">3</definedName>
    <definedName name="solver_ver" localSheetId="5" hidden="1">3</definedName>
    <definedName name="solver_ver" localSheetId="2" hidden="1">3</definedName>
    <definedName name="solver_ver" localSheetId="4" hidden="1">3</definedName>
    <definedName name="solver_ver" localSheetId="1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R102" i="57" l="1"/>
  <c r="AQ102" i="57"/>
  <c r="AP102" i="57"/>
  <c r="AO102" i="57"/>
  <c r="AN102" i="57"/>
  <c r="AM102" i="57"/>
  <c r="AL102" i="57"/>
  <c r="AK102" i="57"/>
  <c r="AJ102" i="57"/>
  <c r="AI102" i="57"/>
  <c r="AR101" i="57"/>
  <c r="AQ101" i="57"/>
  <c r="AP101" i="57"/>
  <c r="AO101" i="57"/>
  <c r="AN101" i="57"/>
  <c r="AM101" i="57"/>
  <c r="AL101" i="57"/>
  <c r="AK101" i="57"/>
  <c r="AJ101" i="57"/>
  <c r="AI101" i="57"/>
  <c r="AR100" i="57"/>
  <c r="AQ100" i="57"/>
  <c r="AP100" i="57"/>
  <c r="AO100" i="57"/>
  <c r="AN100" i="57"/>
  <c r="AM100" i="57"/>
  <c r="AL100" i="57"/>
  <c r="AK100" i="57"/>
  <c r="AJ100" i="57"/>
  <c r="AI100" i="57"/>
  <c r="AR99" i="57"/>
  <c r="AQ99" i="57"/>
  <c r="AP99" i="57"/>
  <c r="AO99" i="57"/>
  <c r="AN99" i="57"/>
  <c r="AM99" i="57"/>
  <c r="AL99" i="57"/>
  <c r="AK99" i="57"/>
  <c r="AJ99" i="57"/>
  <c r="AI99" i="57"/>
  <c r="AR98" i="57"/>
  <c r="AQ98" i="57"/>
  <c r="AP98" i="57"/>
  <c r="AO98" i="57"/>
  <c r="AN98" i="57"/>
  <c r="AM98" i="57"/>
  <c r="AL98" i="57"/>
  <c r="AK98" i="57"/>
  <c r="AJ98" i="57"/>
  <c r="AI98" i="57"/>
  <c r="AR97" i="57"/>
  <c r="AQ97" i="57"/>
  <c r="AP97" i="57"/>
  <c r="AO97" i="57"/>
  <c r="AN97" i="57"/>
  <c r="AM97" i="57"/>
  <c r="AL97" i="57"/>
  <c r="AK97" i="57"/>
  <c r="AJ97" i="57"/>
  <c r="AI97" i="57"/>
  <c r="AR96" i="57"/>
  <c r="AQ96" i="57"/>
  <c r="AP96" i="57"/>
  <c r="AO96" i="57"/>
  <c r="AN96" i="57"/>
  <c r="AM96" i="57"/>
  <c r="AL96" i="57"/>
  <c r="AK96" i="57"/>
  <c r="AJ96" i="57"/>
  <c r="AI96" i="57"/>
  <c r="AR95" i="57"/>
  <c r="AQ95" i="57"/>
  <c r="AP95" i="57"/>
  <c r="AO95" i="57"/>
  <c r="AN95" i="57"/>
  <c r="AM95" i="57"/>
  <c r="AL95" i="57"/>
  <c r="AK95" i="57"/>
  <c r="AJ95" i="57"/>
  <c r="AI95" i="57"/>
  <c r="AR94" i="57"/>
  <c r="AQ94" i="57"/>
  <c r="AP94" i="57"/>
  <c r="AO94" i="57"/>
  <c r="AN94" i="57"/>
  <c r="AM94" i="57"/>
  <c r="AL94" i="57"/>
  <c r="AK94" i="57"/>
  <c r="AJ94" i="57"/>
  <c r="AI94" i="57"/>
  <c r="AR93" i="57"/>
  <c r="AQ93" i="57"/>
  <c r="AP93" i="57"/>
  <c r="AO93" i="57"/>
  <c r="AN93" i="57"/>
  <c r="AM93" i="57"/>
  <c r="AL93" i="57"/>
  <c r="AK93" i="57"/>
  <c r="AJ93" i="57"/>
  <c r="AI93" i="57"/>
  <c r="AR92" i="57"/>
  <c r="AQ92" i="57"/>
  <c r="AP92" i="57"/>
  <c r="AO92" i="57"/>
  <c r="AN92" i="57"/>
  <c r="AM92" i="57"/>
  <c r="AL92" i="57"/>
  <c r="AK92" i="57"/>
  <c r="AJ92" i="57"/>
  <c r="AI92" i="57"/>
  <c r="AR91" i="57"/>
  <c r="AQ91" i="57"/>
  <c r="AP91" i="57"/>
  <c r="AO91" i="57"/>
  <c r="AN91" i="57"/>
  <c r="AM91" i="57"/>
  <c r="AL91" i="57"/>
  <c r="AK91" i="57"/>
  <c r="AJ91" i="57"/>
  <c r="AI91" i="57"/>
  <c r="AR90" i="57"/>
  <c r="AQ90" i="57"/>
  <c r="AP90" i="57"/>
  <c r="AO90" i="57"/>
  <c r="AN90" i="57"/>
  <c r="AM90" i="57"/>
  <c r="AL90" i="57"/>
  <c r="AK90" i="57"/>
  <c r="AJ90" i="57"/>
  <c r="AI90" i="57"/>
  <c r="AR89" i="57"/>
  <c r="AQ89" i="57"/>
  <c r="AP89" i="57"/>
  <c r="AO89" i="57"/>
  <c r="AN89" i="57"/>
  <c r="AM89" i="57"/>
  <c r="AL89" i="57"/>
  <c r="AK89" i="57"/>
  <c r="AJ89" i="57"/>
  <c r="AI89" i="57"/>
  <c r="AR88" i="57"/>
  <c r="AQ88" i="57"/>
  <c r="AP88" i="57"/>
  <c r="AO88" i="57"/>
  <c r="AN88" i="57"/>
  <c r="AM88" i="57"/>
  <c r="AL88" i="57"/>
  <c r="AK88" i="57"/>
  <c r="AJ88" i="57"/>
  <c r="AI88" i="57"/>
  <c r="AR87" i="57"/>
  <c r="AQ87" i="57"/>
  <c r="AP87" i="57"/>
  <c r="AO87" i="57"/>
  <c r="AN87" i="57"/>
  <c r="AM87" i="57"/>
  <c r="AL87" i="57"/>
  <c r="AK87" i="57"/>
  <c r="AJ87" i="57"/>
  <c r="AI87" i="57"/>
  <c r="AR86" i="57"/>
  <c r="AQ86" i="57"/>
  <c r="AP86" i="57"/>
  <c r="AO86" i="57"/>
  <c r="AN86" i="57"/>
  <c r="AM86" i="57"/>
  <c r="AL86" i="57"/>
  <c r="AK86" i="57"/>
  <c r="AJ86" i="57"/>
  <c r="AI86" i="57"/>
  <c r="AR85" i="57"/>
  <c r="AQ85" i="57"/>
  <c r="AP85" i="57"/>
  <c r="AO85" i="57"/>
  <c r="AN85" i="57"/>
  <c r="AM85" i="57"/>
  <c r="AL85" i="57"/>
  <c r="AK85" i="57"/>
  <c r="AJ85" i="57"/>
  <c r="AI85" i="57"/>
  <c r="AR84" i="57"/>
  <c r="AQ84" i="57"/>
  <c r="AP84" i="57"/>
  <c r="AO84" i="57"/>
  <c r="AN84" i="57"/>
  <c r="AM84" i="57"/>
  <c r="AL84" i="57"/>
  <c r="AK84" i="57"/>
  <c r="AJ84" i="57"/>
  <c r="AI84" i="57"/>
  <c r="AR83" i="57"/>
  <c r="AQ83" i="57"/>
  <c r="AP83" i="57"/>
  <c r="AO83" i="57"/>
  <c r="AN83" i="57"/>
  <c r="AM83" i="57"/>
  <c r="AL83" i="57"/>
  <c r="AK83" i="57"/>
  <c r="AJ83" i="57"/>
  <c r="AI83" i="57"/>
  <c r="AR82" i="57"/>
  <c r="AQ82" i="57"/>
  <c r="AP82" i="57"/>
  <c r="AO82" i="57"/>
  <c r="AN82" i="57"/>
  <c r="AM82" i="57"/>
  <c r="AL82" i="57"/>
  <c r="AK82" i="57"/>
  <c r="AJ82" i="57"/>
  <c r="AI82" i="57"/>
  <c r="AR81" i="57"/>
  <c r="AQ81" i="57"/>
  <c r="AP81" i="57"/>
  <c r="AO81" i="57"/>
  <c r="AN81" i="57"/>
  <c r="AM81" i="57"/>
  <c r="AL81" i="57"/>
  <c r="AK81" i="57"/>
  <c r="AJ81" i="57"/>
  <c r="AI81" i="57"/>
  <c r="AR80" i="57"/>
  <c r="AQ80" i="57"/>
  <c r="AP80" i="57"/>
  <c r="AO80" i="57"/>
  <c r="AN80" i="57"/>
  <c r="AM80" i="57"/>
  <c r="AL80" i="57"/>
  <c r="AK80" i="57"/>
  <c r="AJ80" i="57"/>
  <c r="AI80" i="57"/>
  <c r="AR79" i="57"/>
  <c r="AQ79" i="57"/>
  <c r="AP79" i="57"/>
  <c r="AO79" i="57"/>
  <c r="AN79" i="57"/>
  <c r="AM79" i="57"/>
  <c r="AL79" i="57"/>
  <c r="AK79" i="57"/>
  <c r="AJ79" i="57"/>
  <c r="AI79" i="57"/>
  <c r="AR78" i="57"/>
  <c r="AQ78" i="57"/>
  <c r="AP78" i="57"/>
  <c r="AO78" i="57"/>
  <c r="AN78" i="57"/>
  <c r="AM78" i="57"/>
  <c r="AL78" i="57"/>
  <c r="AK78" i="57"/>
  <c r="AJ78" i="57"/>
  <c r="AI78" i="57"/>
  <c r="AR77" i="57"/>
  <c r="AQ77" i="57"/>
  <c r="AP77" i="57"/>
  <c r="AO77" i="57"/>
  <c r="AN77" i="57"/>
  <c r="AM77" i="57"/>
  <c r="AL77" i="57"/>
  <c r="AK77" i="57"/>
  <c r="AJ77" i="57"/>
  <c r="AI77" i="57"/>
  <c r="AR76" i="57"/>
  <c r="AQ76" i="57"/>
  <c r="AP76" i="57"/>
  <c r="AO76" i="57"/>
  <c r="AN76" i="57"/>
  <c r="AM76" i="57"/>
  <c r="AL76" i="57"/>
  <c r="AK76" i="57"/>
  <c r="AJ76" i="57"/>
  <c r="AI76" i="57"/>
  <c r="AR75" i="57"/>
  <c r="AQ75" i="57"/>
  <c r="AP75" i="57"/>
  <c r="AO75" i="57"/>
  <c r="AN75" i="57"/>
  <c r="AM75" i="57"/>
  <c r="AL75" i="57"/>
  <c r="AK75" i="57"/>
  <c r="AJ75" i="57"/>
  <c r="AI75" i="57"/>
  <c r="AR74" i="57"/>
  <c r="AQ74" i="57"/>
  <c r="AP74" i="57"/>
  <c r="AO74" i="57"/>
  <c r="AN74" i="57"/>
  <c r="AM74" i="57"/>
  <c r="AL74" i="57"/>
  <c r="AK74" i="57"/>
  <c r="AJ74" i="57"/>
  <c r="AI74" i="57"/>
  <c r="AR73" i="57"/>
  <c r="AQ73" i="57"/>
  <c r="AP73" i="57"/>
  <c r="AO73" i="57"/>
  <c r="AN73" i="57"/>
  <c r="AM73" i="57"/>
  <c r="AL73" i="57"/>
  <c r="AK73" i="57"/>
  <c r="AJ73" i="57"/>
  <c r="AI73" i="57"/>
  <c r="AR72" i="57"/>
  <c r="AQ72" i="57"/>
  <c r="AP72" i="57"/>
  <c r="AO72" i="57"/>
  <c r="AN72" i="57"/>
  <c r="AM72" i="57"/>
  <c r="AL72" i="57"/>
  <c r="AK72" i="57"/>
  <c r="AJ72" i="57"/>
  <c r="AI72" i="57"/>
  <c r="AR71" i="57"/>
  <c r="AQ71" i="57"/>
  <c r="AP71" i="57"/>
  <c r="AO71" i="57"/>
  <c r="AN71" i="57"/>
  <c r="AM71" i="57"/>
  <c r="AL71" i="57"/>
  <c r="AK71" i="57"/>
  <c r="AJ71" i="57"/>
  <c r="AI71" i="57"/>
  <c r="AR70" i="57"/>
  <c r="AQ70" i="57"/>
  <c r="AP70" i="57"/>
  <c r="AO70" i="57"/>
  <c r="AN70" i="57"/>
  <c r="AM70" i="57"/>
  <c r="AL70" i="57"/>
  <c r="AK70" i="57"/>
  <c r="AJ70" i="57"/>
  <c r="AI70" i="57"/>
  <c r="AR69" i="57"/>
  <c r="AQ69" i="57"/>
  <c r="AP69" i="57"/>
  <c r="AO69" i="57"/>
  <c r="AN69" i="57"/>
  <c r="AM69" i="57"/>
  <c r="AL69" i="57"/>
  <c r="AK69" i="57"/>
  <c r="AJ69" i="57"/>
  <c r="AI69" i="57"/>
  <c r="AR68" i="57"/>
  <c r="AQ68" i="57"/>
  <c r="AP68" i="57"/>
  <c r="AO68" i="57"/>
  <c r="AN68" i="57"/>
  <c r="AM68" i="57"/>
  <c r="AL68" i="57"/>
  <c r="AK68" i="57"/>
  <c r="AJ68" i="57"/>
  <c r="AI68" i="57"/>
  <c r="AR67" i="57"/>
  <c r="AQ67" i="57"/>
  <c r="AP67" i="57"/>
  <c r="AO67" i="57"/>
  <c r="AN67" i="57"/>
  <c r="AM67" i="57"/>
  <c r="AL67" i="57"/>
  <c r="AK67" i="57"/>
  <c r="AJ67" i="57"/>
  <c r="AI67" i="57"/>
  <c r="AR66" i="57"/>
  <c r="AQ66" i="57"/>
  <c r="AP66" i="57"/>
  <c r="AO66" i="57"/>
  <c r="AN66" i="57"/>
  <c r="AM66" i="57"/>
  <c r="AL66" i="57"/>
  <c r="AK66" i="57"/>
  <c r="AJ66" i="57"/>
  <c r="AI66" i="57"/>
  <c r="AR65" i="57"/>
  <c r="AQ65" i="57"/>
  <c r="AP65" i="57"/>
  <c r="AO65" i="57"/>
  <c r="AN65" i="57"/>
  <c r="AM65" i="57"/>
  <c r="AL65" i="57"/>
  <c r="AK65" i="57"/>
  <c r="AJ65" i="57"/>
  <c r="AI65" i="57"/>
  <c r="AR64" i="57"/>
  <c r="AQ64" i="57"/>
  <c r="AP64" i="57"/>
  <c r="AO64" i="57"/>
  <c r="AN64" i="57"/>
  <c r="AM64" i="57"/>
  <c r="AL64" i="57"/>
  <c r="AK64" i="57"/>
  <c r="AJ64" i="57"/>
  <c r="AI64" i="57"/>
  <c r="AR63" i="57"/>
  <c r="AQ63" i="57"/>
  <c r="AP63" i="57"/>
  <c r="AO63" i="57"/>
  <c r="AN63" i="57"/>
  <c r="AM63" i="57"/>
  <c r="AL63" i="57"/>
  <c r="AK63" i="57"/>
  <c r="AJ63" i="57"/>
  <c r="AI63" i="57"/>
  <c r="AR62" i="57"/>
  <c r="AQ62" i="57"/>
  <c r="AP62" i="57"/>
  <c r="AO62" i="57"/>
  <c r="AN62" i="57"/>
  <c r="AM62" i="57"/>
  <c r="AL62" i="57"/>
  <c r="AK62" i="57"/>
  <c r="AJ62" i="57"/>
  <c r="AI62" i="57"/>
  <c r="AR61" i="57"/>
  <c r="AQ61" i="57"/>
  <c r="AP61" i="57"/>
  <c r="AO61" i="57"/>
  <c r="AN61" i="57"/>
  <c r="AM61" i="57"/>
  <c r="AL61" i="57"/>
  <c r="AK61" i="57"/>
  <c r="AJ61" i="57"/>
  <c r="AI61" i="57"/>
  <c r="AR60" i="57"/>
  <c r="AQ60" i="57"/>
  <c r="AP60" i="57"/>
  <c r="AO60" i="57"/>
  <c r="AN60" i="57"/>
  <c r="AM60" i="57"/>
  <c r="AL60" i="57"/>
  <c r="AK60" i="57"/>
  <c r="AJ60" i="57"/>
  <c r="AI60" i="57"/>
  <c r="AR59" i="57"/>
  <c r="AQ59" i="57"/>
  <c r="AP59" i="57"/>
  <c r="AO59" i="57"/>
  <c r="AN59" i="57"/>
  <c r="AM59" i="57"/>
  <c r="AL59" i="57"/>
  <c r="AK59" i="57"/>
  <c r="AJ59" i="57"/>
  <c r="AI59" i="57"/>
  <c r="AR58" i="57"/>
  <c r="AQ58" i="57"/>
  <c r="AP58" i="57"/>
  <c r="AO58" i="57"/>
  <c r="AN58" i="57"/>
  <c r="AM58" i="57"/>
  <c r="AL58" i="57"/>
  <c r="AK58" i="57"/>
  <c r="AJ58" i="57"/>
  <c r="AI58" i="57"/>
  <c r="AR57" i="57"/>
  <c r="AQ57" i="57"/>
  <c r="AP57" i="57"/>
  <c r="AO57" i="57"/>
  <c r="AN57" i="57"/>
  <c r="AM57" i="57"/>
  <c r="AL57" i="57"/>
  <c r="AK57" i="57"/>
  <c r="AJ57" i="57"/>
  <c r="AI57" i="57"/>
  <c r="AR56" i="57"/>
  <c r="AQ56" i="57"/>
  <c r="AP56" i="57"/>
  <c r="AO56" i="57"/>
  <c r="AN56" i="57"/>
  <c r="AM56" i="57"/>
  <c r="AL56" i="57"/>
  <c r="AK56" i="57"/>
  <c r="AJ56" i="57"/>
  <c r="AI56" i="57"/>
  <c r="AR55" i="57"/>
  <c r="AQ55" i="57"/>
  <c r="AP55" i="57"/>
  <c r="AO55" i="57"/>
  <c r="AN55" i="57"/>
  <c r="AM55" i="57"/>
  <c r="AL55" i="57"/>
  <c r="AK55" i="57"/>
  <c r="AJ55" i="57"/>
  <c r="AI55" i="57"/>
  <c r="AR54" i="57"/>
  <c r="AQ54" i="57"/>
  <c r="AP54" i="57"/>
  <c r="AO54" i="57"/>
  <c r="AN54" i="57"/>
  <c r="AM54" i="57"/>
  <c r="AL54" i="57"/>
  <c r="AK54" i="57"/>
  <c r="AJ54" i="57"/>
  <c r="AI54" i="57"/>
  <c r="AR53" i="57"/>
  <c r="AQ53" i="57"/>
  <c r="AP53" i="57"/>
  <c r="AO53" i="57"/>
  <c r="AN53" i="57"/>
  <c r="AM53" i="57"/>
  <c r="AL53" i="57"/>
  <c r="AK53" i="57"/>
  <c r="AJ53" i="57"/>
  <c r="AI53" i="57"/>
  <c r="AR52" i="57"/>
  <c r="AQ52" i="57"/>
  <c r="AP52" i="57"/>
  <c r="AM52" i="57"/>
  <c r="AL52" i="57"/>
  <c r="AK52" i="57"/>
  <c r="AJ52" i="57"/>
  <c r="AR51" i="57"/>
  <c r="AQ51" i="57"/>
  <c r="AP51" i="57"/>
  <c r="AM51" i="57"/>
  <c r="AL51" i="57"/>
  <c r="AK51" i="57"/>
  <c r="AJ51" i="57"/>
  <c r="AR50" i="57"/>
  <c r="AQ50" i="57"/>
  <c r="AP50" i="57"/>
  <c r="AM50" i="57"/>
  <c r="AL50" i="57"/>
  <c r="AK50" i="57"/>
  <c r="AJ50" i="57"/>
  <c r="AR49" i="57"/>
  <c r="AQ49" i="57"/>
  <c r="AP49" i="57"/>
  <c r="AM49" i="57"/>
  <c r="AL49" i="57"/>
  <c r="AK49" i="57"/>
  <c r="AJ49" i="57"/>
  <c r="AR48" i="57"/>
  <c r="AQ48" i="57"/>
  <c r="AP48" i="57"/>
  <c r="AM48" i="57"/>
  <c r="AL48" i="57"/>
  <c r="AK48" i="57"/>
  <c r="AJ48" i="57"/>
  <c r="AR47" i="57"/>
  <c r="AQ47" i="57"/>
  <c r="AP47" i="57"/>
  <c r="AM47" i="57"/>
  <c r="AL47" i="57"/>
  <c r="AK47" i="57"/>
  <c r="AJ47" i="57"/>
  <c r="AR46" i="57"/>
  <c r="AQ46" i="57"/>
  <c r="AP46" i="57"/>
  <c r="AM46" i="57"/>
  <c r="AL46" i="57"/>
  <c r="AK46" i="57"/>
  <c r="AJ46" i="57"/>
  <c r="AR45" i="57"/>
  <c r="AQ45" i="57"/>
  <c r="AP45" i="57"/>
  <c r="AM45" i="57"/>
  <c r="AL45" i="57"/>
  <c r="AK45" i="57"/>
  <c r="AJ45" i="57"/>
  <c r="AR44" i="57"/>
  <c r="AQ44" i="57"/>
  <c r="AP44" i="57"/>
  <c r="AM44" i="57"/>
  <c r="AL44" i="57"/>
  <c r="AK44" i="57"/>
  <c r="AJ44" i="57"/>
  <c r="AR43" i="57"/>
  <c r="AQ43" i="57"/>
  <c r="AP43" i="57"/>
  <c r="AM43" i="57"/>
  <c r="AL43" i="57"/>
  <c r="AK43" i="57"/>
  <c r="AJ43" i="57"/>
  <c r="AR42" i="57"/>
  <c r="AQ42" i="57"/>
  <c r="AP42" i="57"/>
  <c r="AM42" i="57"/>
  <c r="AL42" i="57"/>
  <c r="AK42" i="57"/>
  <c r="AJ42" i="57"/>
  <c r="AR41" i="57"/>
  <c r="AQ41" i="57"/>
  <c r="AP41" i="57"/>
  <c r="AM41" i="57"/>
  <c r="AL41" i="57"/>
  <c r="AK41" i="57"/>
  <c r="AJ41" i="57"/>
  <c r="AR40" i="57"/>
  <c r="AQ40" i="57"/>
  <c r="AP40" i="57"/>
  <c r="AM40" i="57"/>
  <c r="AL40" i="57"/>
  <c r="AK40" i="57"/>
  <c r="AJ40" i="57"/>
  <c r="AR39" i="57"/>
  <c r="AQ39" i="57"/>
  <c r="AP39" i="57"/>
  <c r="AM39" i="57"/>
  <c r="AL39" i="57"/>
  <c r="AK39" i="57"/>
  <c r="AJ39" i="57"/>
  <c r="AR38" i="57"/>
  <c r="AQ38" i="57"/>
  <c r="AP38" i="57"/>
  <c r="AM38" i="57"/>
  <c r="AL38" i="57"/>
  <c r="AK38" i="57"/>
  <c r="AJ38" i="57"/>
  <c r="AR37" i="57"/>
  <c r="AQ37" i="57"/>
  <c r="AP37" i="57"/>
  <c r="AM37" i="57"/>
  <c r="AL37" i="57"/>
  <c r="AK37" i="57"/>
  <c r="AJ37" i="57"/>
  <c r="AR36" i="57"/>
  <c r="AQ36" i="57"/>
  <c r="AP36" i="57"/>
  <c r="AM36" i="57"/>
  <c r="AL36" i="57"/>
  <c r="AK36" i="57"/>
  <c r="AJ36" i="57"/>
  <c r="AR35" i="57"/>
  <c r="AQ35" i="57"/>
  <c r="AP35" i="57"/>
  <c r="AM35" i="57"/>
  <c r="AL35" i="57"/>
  <c r="AK35" i="57"/>
  <c r="AJ35" i="57"/>
  <c r="AR34" i="57"/>
  <c r="AQ34" i="57"/>
  <c r="AP34" i="57"/>
  <c r="AM34" i="57"/>
  <c r="AL34" i="57"/>
  <c r="AK34" i="57"/>
  <c r="AJ34" i="57"/>
  <c r="AR33" i="57"/>
  <c r="AQ33" i="57"/>
  <c r="AP33" i="57"/>
  <c r="AM33" i="57"/>
  <c r="AL33" i="57"/>
  <c r="AK33" i="57"/>
  <c r="AJ33" i="57"/>
  <c r="AR32" i="57"/>
  <c r="AQ32" i="57"/>
  <c r="AP32" i="57"/>
  <c r="AM32" i="57"/>
  <c r="AL32" i="57"/>
  <c r="AK32" i="57"/>
  <c r="AJ32" i="57"/>
  <c r="AR31" i="57"/>
  <c r="AQ31" i="57"/>
  <c r="AP31" i="57"/>
  <c r="AM31" i="57"/>
  <c r="AL31" i="57"/>
  <c r="AK31" i="57"/>
  <c r="AJ31" i="57"/>
  <c r="AR30" i="57"/>
  <c r="AQ30" i="57"/>
  <c r="AP30" i="57"/>
  <c r="AM30" i="57"/>
  <c r="AL30" i="57"/>
  <c r="AK30" i="57"/>
  <c r="AJ30" i="57"/>
  <c r="AR29" i="57"/>
  <c r="AQ29" i="57"/>
  <c r="AP29" i="57"/>
  <c r="AM29" i="57"/>
  <c r="AL29" i="57"/>
  <c r="AK29" i="57"/>
  <c r="AJ29" i="57"/>
  <c r="AR28" i="57"/>
  <c r="AQ28" i="57"/>
  <c r="AP28" i="57"/>
  <c r="AM28" i="57"/>
  <c r="AL28" i="57"/>
  <c r="AK28" i="57"/>
  <c r="AJ28" i="57"/>
  <c r="AR27" i="57"/>
  <c r="AQ27" i="57"/>
  <c r="AP27" i="57"/>
  <c r="AM27" i="57"/>
  <c r="AL27" i="57"/>
  <c r="AK27" i="57"/>
  <c r="AJ27" i="57"/>
  <c r="AR26" i="57"/>
  <c r="AQ26" i="57"/>
  <c r="AP26" i="57"/>
  <c r="AM26" i="57"/>
  <c r="AL26" i="57"/>
  <c r="AK26" i="57"/>
  <c r="AJ26" i="57"/>
  <c r="AR25" i="57"/>
  <c r="AQ25" i="57"/>
  <c r="AP25" i="57"/>
  <c r="AM25" i="57"/>
  <c r="AL25" i="57"/>
  <c r="AK25" i="57"/>
  <c r="AJ25" i="57"/>
  <c r="AR24" i="57"/>
  <c r="AQ24" i="57"/>
  <c r="AP24" i="57"/>
  <c r="AM24" i="57"/>
  <c r="AL24" i="57"/>
  <c r="AK24" i="57"/>
  <c r="AJ24" i="57"/>
  <c r="AR23" i="57"/>
  <c r="AQ23" i="57"/>
  <c r="AP23" i="57"/>
  <c r="AM23" i="57"/>
  <c r="AL23" i="57"/>
  <c r="AK23" i="57"/>
  <c r="AJ23" i="57"/>
  <c r="AR22" i="57"/>
  <c r="AQ22" i="57"/>
  <c r="AP22" i="57"/>
  <c r="AM22" i="57"/>
  <c r="AL22" i="57"/>
  <c r="AK22" i="57"/>
  <c r="AJ22" i="57"/>
  <c r="AR21" i="57"/>
  <c r="AQ21" i="57"/>
  <c r="AP21" i="57"/>
  <c r="AM21" i="57"/>
  <c r="AL21" i="57"/>
  <c r="AK21" i="57"/>
  <c r="AJ21" i="57"/>
  <c r="AR20" i="57"/>
  <c r="AQ20" i="57"/>
  <c r="AP20" i="57"/>
  <c r="AM20" i="57"/>
  <c r="AL20" i="57"/>
  <c r="AK20" i="57"/>
  <c r="AJ20" i="57"/>
  <c r="AR19" i="57"/>
  <c r="AQ19" i="57"/>
  <c r="AP19" i="57"/>
  <c r="AM19" i="57"/>
  <c r="AL19" i="57"/>
  <c r="AK19" i="57"/>
  <c r="AJ19" i="57"/>
  <c r="AR18" i="57"/>
  <c r="AQ18" i="57"/>
  <c r="AP18" i="57"/>
  <c r="AM18" i="57"/>
  <c r="AL18" i="57"/>
  <c r="AK18" i="57"/>
  <c r="AJ18" i="57"/>
  <c r="AR17" i="57"/>
  <c r="AQ17" i="57"/>
  <c r="AP17" i="57"/>
  <c r="AM17" i="57"/>
  <c r="AL17" i="57"/>
  <c r="AK17" i="57"/>
  <c r="AJ17" i="57"/>
  <c r="AR16" i="57"/>
  <c r="AQ16" i="57"/>
  <c r="AP16" i="57"/>
  <c r="AM16" i="57"/>
  <c r="AL16" i="57"/>
  <c r="AK16" i="57"/>
  <c r="AJ16" i="57"/>
  <c r="AR15" i="57"/>
  <c r="AQ15" i="57"/>
  <c r="AP15" i="57"/>
  <c r="AM15" i="57"/>
  <c r="AL15" i="57"/>
  <c r="AK15" i="57"/>
  <c r="AJ15" i="57"/>
  <c r="AR14" i="57"/>
  <c r="AQ14" i="57"/>
  <c r="AP14" i="57"/>
  <c r="AM14" i="57"/>
  <c r="AL14" i="57"/>
  <c r="AK14" i="57"/>
  <c r="AJ14" i="57"/>
  <c r="AR13" i="57"/>
  <c r="AQ13" i="57"/>
  <c r="AP13" i="57"/>
  <c r="AM13" i="57"/>
  <c r="AL13" i="57"/>
  <c r="AK13" i="57"/>
  <c r="AJ13" i="57"/>
  <c r="AR12" i="57"/>
  <c r="AQ12" i="57"/>
  <c r="AP12" i="57"/>
  <c r="AM12" i="57"/>
  <c r="AL12" i="57"/>
  <c r="AK12" i="57"/>
  <c r="AJ12" i="57"/>
  <c r="AR11" i="57"/>
  <c r="AQ11" i="57"/>
  <c r="AP11" i="57"/>
  <c r="AM11" i="57"/>
  <c r="AL11" i="57"/>
  <c r="AK11" i="57"/>
  <c r="AJ11" i="57"/>
  <c r="AR10" i="57"/>
  <c r="AQ10" i="57"/>
  <c r="AP10" i="57"/>
  <c r="AM10" i="57"/>
  <c r="AL10" i="57"/>
  <c r="AK10" i="57"/>
  <c r="AJ10" i="57"/>
  <c r="AR9" i="57"/>
  <c r="AQ9" i="57"/>
  <c r="AP9" i="57"/>
  <c r="AM9" i="57"/>
  <c r="AL9" i="57"/>
  <c r="AK9" i="57"/>
  <c r="AJ9" i="57"/>
  <c r="AR8" i="57"/>
  <c r="AQ8" i="57"/>
  <c r="AP8" i="57"/>
  <c r="AM8" i="57"/>
  <c r="AL8" i="57"/>
  <c r="AK8" i="57"/>
  <c r="AJ8" i="57"/>
  <c r="AR7" i="57"/>
  <c r="AQ7" i="57"/>
  <c r="AP7" i="57"/>
  <c r="AM7" i="57"/>
  <c r="AL7" i="57"/>
  <c r="AK7" i="57"/>
  <c r="AJ7" i="57"/>
  <c r="AR6" i="57"/>
  <c r="AQ6" i="57"/>
  <c r="AP6" i="57"/>
  <c r="AM6" i="57"/>
  <c r="AL6" i="57"/>
  <c r="AK6" i="57"/>
  <c r="AJ6" i="57"/>
  <c r="AR5" i="57"/>
  <c r="AQ5" i="57"/>
  <c r="AP5" i="57"/>
  <c r="AM5" i="57"/>
  <c r="AL5" i="57"/>
  <c r="AK5" i="57"/>
  <c r="AJ5" i="57"/>
  <c r="AR4" i="57"/>
  <c r="AQ4" i="57"/>
  <c r="AP4" i="57"/>
  <c r="AM4" i="57"/>
  <c r="AL4" i="57"/>
  <c r="AK4" i="57"/>
  <c r="AJ4" i="57"/>
  <c r="AR3" i="57"/>
  <c r="AQ3" i="57"/>
  <c r="AP3" i="57"/>
  <c r="AM3" i="57"/>
  <c r="AL3" i="57"/>
  <c r="AK3" i="57"/>
  <c r="AJ3" i="57"/>
  <c r="AR1" i="57"/>
  <c r="AQ1" i="57"/>
  <c r="AP1" i="57"/>
  <c r="AO1" i="57"/>
  <c r="AN1" i="57"/>
  <c r="AM1" i="57"/>
  <c r="AL1" i="57"/>
  <c r="AK1" i="57"/>
  <c r="AJ1" i="57"/>
  <c r="AI1" i="57"/>
  <c r="AR102" i="56"/>
  <c r="AQ102" i="56"/>
  <c r="AP102" i="56"/>
  <c r="AO102" i="56"/>
  <c r="AN102" i="56"/>
  <c r="AM102" i="56"/>
  <c r="AL102" i="56"/>
  <c r="AK102" i="56"/>
  <c r="AJ102" i="56"/>
  <c r="AR101" i="56"/>
  <c r="AQ101" i="56"/>
  <c r="AP101" i="56"/>
  <c r="AO101" i="56"/>
  <c r="AN101" i="56"/>
  <c r="AM101" i="56"/>
  <c r="AL101" i="56"/>
  <c r="AK101" i="56"/>
  <c r="AJ101" i="56"/>
  <c r="AR100" i="56"/>
  <c r="AQ100" i="56"/>
  <c r="AP100" i="56"/>
  <c r="AO100" i="56"/>
  <c r="AN100" i="56"/>
  <c r="AM100" i="56"/>
  <c r="AL100" i="56"/>
  <c r="AK100" i="56"/>
  <c r="AJ100" i="56"/>
  <c r="AR99" i="56"/>
  <c r="AQ99" i="56"/>
  <c r="AP99" i="56"/>
  <c r="AO99" i="56"/>
  <c r="AN99" i="56"/>
  <c r="AM99" i="56"/>
  <c r="AL99" i="56"/>
  <c r="AK99" i="56"/>
  <c r="AJ99" i="56"/>
  <c r="AR98" i="56"/>
  <c r="AQ98" i="56"/>
  <c r="AP98" i="56"/>
  <c r="AO98" i="56"/>
  <c r="AN98" i="56"/>
  <c r="AM98" i="56"/>
  <c r="AL98" i="56"/>
  <c r="AK98" i="56"/>
  <c r="AJ98" i="56"/>
  <c r="AR97" i="56"/>
  <c r="AQ97" i="56"/>
  <c r="AP97" i="56"/>
  <c r="AO97" i="56"/>
  <c r="AN97" i="56"/>
  <c r="AM97" i="56"/>
  <c r="AL97" i="56"/>
  <c r="AK97" i="56"/>
  <c r="AJ97" i="56"/>
  <c r="AR96" i="56"/>
  <c r="AQ96" i="56"/>
  <c r="AP96" i="56"/>
  <c r="AO96" i="56"/>
  <c r="AN96" i="56"/>
  <c r="AM96" i="56"/>
  <c r="AL96" i="56"/>
  <c r="AK96" i="56"/>
  <c r="AJ96" i="56"/>
  <c r="AR95" i="56"/>
  <c r="AQ95" i="56"/>
  <c r="AP95" i="56"/>
  <c r="AO95" i="56"/>
  <c r="AN95" i="56"/>
  <c r="AM95" i="56"/>
  <c r="AL95" i="56"/>
  <c r="AK95" i="56"/>
  <c r="AJ95" i="56"/>
  <c r="AR94" i="56"/>
  <c r="AQ94" i="56"/>
  <c r="AP94" i="56"/>
  <c r="AO94" i="56"/>
  <c r="AN94" i="56"/>
  <c r="AM94" i="56"/>
  <c r="AL94" i="56"/>
  <c r="AK94" i="56"/>
  <c r="AJ94" i="56"/>
  <c r="AR93" i="56"/>
  <c r="AQ93" i="56"/>
  <c r="AP93" i="56"/>
  <c r="AO93" i="56"/>
  <c r="AN93" i="56"/>
  <c r="AM93" i="56"/>
  <c r="AL93" i="56"/>
  <c r="AK93" i="56"/>
  <c r="AJ93" i="56"/>
  <c r="AR92" i="56"/>
  <c r="AQ92" i="56"/>
  <c r="AP92" i="56"/>
  <c r="AO92" i="56"/>
  <c r="AN92" i="56"/>
  <c r="AM92" i="56"/>
  <c r="AL92" i="56"/>
  <c r="AK92" i="56"/>
  <c r="AJ92" i="56"/>
  <c r="AR91" i="56"/>
  <c r="AQ91" i="56"/>
  <c r="AP91" i="56"/>
  <c r="AO91" i="56"/>
  <c r="AN91" i="56"/>
  <c r="AM91" i="56"/>
  <c r="AL91" i="56"/>
  <c r="AK91" i="56"/>
  <c r="AJ91" i="56"/>
  <c r="AR90" i="56"/>
  <c r="AQ90" i="56"/>
  <c r="AP90" i="56"/>
  <c r="AO90" i="56"/>
  <c r="AN90" i="56"/>
  <c r="AM90" i="56"/>
  <c r="AL90" i="56"/>
  <c r="AK90" i="56"/>
  <c r="AJ90" i="56"/>
  <c r="AR89" i="56"/>
  <c r="AQ89" i="56"/>
  <c r="AP89" i="56"/>
  <c r="AO89" i="56"/>
  <c r="AN89" i="56"/>
  <c r="AM89" i="56"/>
  <c r="AL89" i="56"/>
  <c r="AK89" i="56"/>
  <c r="AJ89" i="56"/>
  <c r="AR88" i="56"/>
  <c r="AQ88" i="56"/>
  <c r="AP88" i="56"/>
  <c r="AO88" i="56"/>
  <c r="AN88" i="56"/>
  <c r="AM88" i="56"/>
  <c r="AL88" i="56"/>
  <c r="AK88" i="56"/>
  <c r="AJ88" i="56"/>
  <c r="AR87" i="56"/>
  <c r="AQ87" i="56"/>
  <c r="AP87" i="56"/>
  <c r="AO87" i="56"/>
  <c r="AN87" i="56"/>
  <c r="AM87" i="56"/>
  <c r="AL87" i="56"/>
  <c r="AK87" i="56"/>
  <c r="AJ87" i="56"/>
  <c r="AR86" i="56"/>
  <c r="AQ86" i="56"/>
  <c r="AP86" i="56"/>
  <c r="AO86" i="56"/>
  <c r="AN86" i="56"/>
  <c r="AM86" i="56"/>
  <c r="AL86" i="56"/>
  <c r="AK86" i="56"/>
  <c r="AJ86" i="56"/>
  <c r="AR85" i="56"/>
  <c r="AQ85" i="56"/>
  <c r="AP85" i="56"/>
  <c r="AO85" i="56"/>
  <c r="AN85" i="56"/>
  <c r="AM85" i="56"/>
  <c r="AL85" i="56"/>
  <c r="AK85" i="56"/>
  <c r="AJ85" i="56"/>
  <c r="AR84" i="56"/>
  <c r="AQ84" i="56"/>
  <c r="AP84" i="56"/>
  <c r="AO84" i="56"/>
  <c r="AN84" i="56"/>
  <c r="AM84" i="56"/>
  <c r="AL84" i="56"/>
  <c r="AK84" i="56"/>
  <c r="AJ84" i="56"/>
  <c r="AR83" i="56"/>
  <c r="AQ83" i="56"/>
  <c r="AP83" i="56"/>
  <c r="AO83" i="56"/>
  <c r="AN83" i="56"/>
  <c r="AM83" i="56"/>
  <c r="AL83" i="56"/>
  <c r="AK83" i="56"/>
  <c r="AJ83" i="56"/>
  <c r="AR82" i="56"/>
  <c r="AQ82" i="56"/>
  <c r="AP82" i="56"/>
  <c r="AO82" i="56"/>
  <c r="AN82" i="56"/>
  <c r="AM82" i="56"/>
  <c r="AL82" i="56"/>
  <c r="AK82" i="56"/>
  <c r="AJ82" i="56"/>
  <c r="AR81" i="56"/>
  <c r="AQ81" i="56"/>
  <c r="AP81" i="56"/>
  <c r="AO81" i="56"/>
  <c r="AN81" i="56"/>
  <c r="AM81" i="56"/>
  <c r="AL81" i="56"/>
  <c r="AK81" i="56"/>
  <c r="AJ81" i="56"/>
  <c r="AR80" i="56"/>
  <c r="AQ80" i="56"/>
  <c r="AP80" i="56"/>
  <c r="AO80" i="56"/>
  <c r="AN80" i="56"/>
  <c r="AM80" i="56"/>
  <c r="AL80" i="56"/>
  <c r="AK80" i="56"/>
  <c r="AJ80" i="56"/>
  <c r="AR79" i="56"/>
  <c r="AQ79" i="56"/>
  <c r="AP79" i="56"/>
  <c r="AO79" i="56"/>
  <c r="AN79" i="56"/>
  <c r="AM79" i="56"/>
  <c r="AL79" i="56"/>
  <c r="AK79" i="56"/>
  <c r="AJ79" i="56"/>
  <c r="AR78" i="56"/>
  <c r="AQ78" i="56"/>
  <c r="AP78" i="56"/>
  <c r="AO78" i="56"/>
  <c r="AN78" i="56"/>
  <c r="AM78" i="56"/>
  <c r="AL78" i="56"/>
  <c r="AK78" i="56"/>
  <c r="AJ78" i="56"/>
  <c r="AR77" i="56"/>
  <c r="AQ77" i="56"/>
  <c r="AP77" i="56"/>
  <c r="AO77" i="56"/>
  <c r="AN77" i="56"/>
  <c r="AM77" i="56"/>
  <c r="AL77" i="56"/>
  <c r="AK77" i="56"/>
  <c r="AJ77" i="56"/>
  <c r="AR76" i="56"/>
  <c r="AQ76" i="56"/>
  <c r="AP76" i="56"/>
  <c r="AO76" i="56"/>
  <c r="AN76" i="56"/>
  <c r="AM76" i="56"/>
  <c r="AL76" i="56"/>
  <c r="AK76" i="56"/>
  <c r="AJ76" i="56"/>
  <c r="AR75" i="56"/>
  <c r="AQ75" i="56"/>
  <c r="AP75" i="56"/>
  <c r="AO75" i="56"/>
  <c r="AN75" i="56"/>
  <c r="AM75" i="56"/>
  <c r="AL75" i="56"/>
  <c r="AK75" i="56"/>
  <c r="AJ75" i="56"/>
  <c r="AR74" i="56"/>
  <c r="AQ74" i="56"/>
  <c r="AP74" i="56"/>
  <c r="AO74" i="56"/>
  <c r="AN74" i="56"/>
  <c r="AM74" i="56"/>
  <c r="AL74" i="56"/>
  <c r="AK74" i="56"/>
  <c r="AJ74" i="56"/>
  <c r="AR73" i="56"/>
  <c r="AQ73" i="56"/>
  <c r="AP73" i="56"/>
  <c r="AO73" i="56"/>
  <c r="AN73" i="56"/>
  <c r="AM73" i="56"/>
  <c r="AL73" i="56"/>
  <c r="AK73" i="56"/>
  <c r="AJ73" i="56"/>
  <c r="AR72" i="56"/>
  <c r="AQ72" i="56"/>
  <c r="AP72" i="56"/>
  <c r="AO72" i="56"/>
  <c r="AN72" i="56"/>
  <c r="AM72" i="56"/>
  <c r="AL72" i="56"/>
  <c r="AK72" i="56"/>
  <c r="AJ72" i="56"/>
  <c r="AR71" i="56"/>
  <c r="AQ71" i="56"/>
  <c r="AP71" i="56"/>
  <c r="AO71" i="56"/>
  <c r="AN71" i="56"/>
  <c r="AM71" i="56"/>
  <c r="AL71" i="56"/>
  <c r="AK71" i="56"/>
  <c r="AJ71" i="56"/>
  <c r="AR70" i="56"/>
  <c r="AQ70" i="56"/>
  <c r="AP70" i="56"/>
  <c r="AO70" i="56"/>
  <c r="AN70" i="56"/>
  <c r="AM70" i="56"/>
  <c r="AL70" i="56"/>
  <c r="AK70" i="56"/>
  <c r="AJ70" i="56"/>
  <c r="AR69" i="56"/>
  <c r="AQ69" i="56"/>
  <c r="AP69" i="56"/>
  <c r="AO69" i="56"/>
  <c r="AN69" i="56"/>
  <c r="AM69" i="56"/>
  <c r="AL69" i="56"/>
  <c r="AK69" i="56"/>
  <c r="AJ69" i="56"/>
  <c r="AR68" i="56"/>
  <c r="AQ68" i="56"/>
  <c r="AP68" i="56"/>
  <c r="AO68" i="56"/>
  <c r="AN68" i="56"/>
  <c r="AM68" i="56"/>
  <c r="AL68" i="56"/>
  <c r="AK68" i="56"/>
  <c r="AJ68" i="56"/>
  <c r="AR67" i="56"/>
  <c r="AQ67" i="56"/>
  <c r="AP67" i="56"/>
  <c r="AO67" i="56"/>
  <c r="AN67" i="56"/>
  <c r="AM67" i="56"/>
  <c r="AL67" i="56"/>
  <c r="AK67" i="56"/>
  <c r="AJ67" i="56"/>
  <c r="AR66" i="56"/>
  <c r="AQ66" i="56"/>
  <c r="AP66" i="56"/>
  <c r="AO66" i="56"/>
  <c r="AN66" i="56"/>
  <c r="AM66" i="56"/>
  <c r="AL66" i="56"/>
  <c r="AK66" i="56"/>
  <c r="AJ66" i="56"/>
  <c r="AR65" i="56"/>
  <c r="AQ65" i="56"/>
  <c r="AP65" i="56"/>
  <c r="AO65" i="56"/>
  <c r="AN65" i="56"/>
  <c r="AM65" i="56"/>
  <c r="AL65" i="56"/>
  <c r="AK65" i="56"/>
  <c r="AJ65" i="56"/>
  <c r="AR64" i="56"/>
  <c r="AQ64" i="56"/>
  <c r="AP64" i="56"/>
  <c r="AO64" i="56"/>
  <c r="AN64" i="56"/>
  <c r="AM64" i="56"/>
  <c r="AL64" i="56"/>
  <c r="AK64" i="56"/>
  <c r="AJ64" i="56"/>
  <c r="AR63" i="56"/>
  <c r="AQ63" i="56"/>
  <c r="AP63" i="56"/>
  <c r="AO63" i="56"/>
  <c r="AN63" i="56"/>
  <c r="AM63" i="56"/>
  <c r="AL63" i="56"/>
  <c r="AK63" i="56"/>
  <c r="AJ63" i="56"/>
  <c r="AR62" i="56"/>
  <c r="AQ62" i="56"/>
  <c r="AP62" i="56"/>
  <c r="AO62" i="56"/>
  <c r="AN62" i="56"/>
  <c r="AM62" i="56"/>
  <c r="AL62" i="56"/>
  <c r="AK62" i="56"/>
  <c r="AJ62" i="56"/>
  <c r="AR61" i="56"/>
  <c r="AQ61" i="56"/>
  <c r="AP61" i="56"/>
  <c r="AO61" i="56"/>
  <c r="AN61" i="56"/>
  <c r="AM61" i="56"/>
  <c r="AL61" i="56"/>
  <c r="AK61" i="56"/>
  <c r="AJ61" i="56"/>
  <c r="AR60" i="56"/>
  <c r="AQ60" i="56"/>
  <c r="AP60" i="56"/>
  <c r="AO60" i="56"/>
  <c r="AN60" i="56"/>
  <c r="AM60" i="56"/>
  <c r="AL60" i="56"/>
  <c r="AK60" i="56"/>
  <c r="AJ60" i="56"/>
  <c r="AR59" i="56"/>
  <c r="AQ59" i="56"/>
  <c r="AP59" i="56"/>
  <c r="AO59" i="56"/>
  <c r="AN59" i="56"/>
  <c r="AM59" i="56"/>
  <c r="AL59" i="56"/>
  <c r="AK59" i="56"/>
  <c r="AJ59" i="56"/>
  <c r="AR58" i="56"/>
  <c r="AQ58" i="56"/>
  <c r="AP58" i="56"/>
  <c r="AO58" i="56"/>
  <c r="AN58" i="56"/>
  <c r="AM58" i="56"/>
  <c r="AL58" i="56"/>
  <c r="AK58" i="56"/>
  <c r="AJ58" i="56"/>
  <c r="AR57" i="56"/>
  <c r="AQ57" i="56"/>
  <c r="AP57" i="56"/>
  <c r="AO57" i="56"/>
  <c r="AN57" i="56"/>
  <c r="AM57" i="56"/>
  <c r="AL57" i="56"/>
  <c r="AK57" i="56"/>
  <c r="AJ57" i="56"/>
  <c r="AR56" i="56"/>
  <c r="AQ56" i="56"/>
  <c r="AP56" i="56"/>
  <c r="AO56" i="56"/>
  <c r="AN56" i="56"/>
  <c r="AM56" i="56"/>
  <c r="AL56" i="56"/>
  <c r="AK56" i="56"/>
  <c r="AJ56" i="56"/>
  <c r="AR55" i="56"/>
  <c r="AQ55" i="56"/>
  <c r="AP55" i="56"/>
  <c r="AO55" i="56"/>
  <c r="AN55" i="56"/>
  <c r="AM55" i="56"/>
  <c r="AL55" i="56"/>
  <c r="AK55" i="56"/>
  <c r="AJ55" i="56"/>
  <c r="AR54" i="56"/>
  <c r="AQ54" i="56"/>
  <c r="AP54" i="56"/>
  <c r="AO54" i="56"/>
  <c r="AN54" i="56"/>
  <c r="AM54" i="56"/>
  <c r="AL54" i="56"/>
  <c r="AK54" i="56"/>
  <c r="AJ54" i="56"/>
  <c r="AR53" i="56"/>
  <c r="AQ53" i="56"/>
  <c r="AP53" i="56"/>
  <c r="AO53" i="56"/>
  <c r="AN53" i="56"/>
  <c r="AM53" i="56"/>
  <c r="AL53" i="56"/>
  <c r="AK53" i="56"/>
  <c r="AJ53" i="56"/>
  <c r="AR52" i="56"/>
  <c r="AQ52" i="56"/>
  <c r="AP52" i="56"/>
  <c r="AM52" i="56"/>
  <c r="AL52" i="56"/>
  <c r="AK52" i="56"/>
  <c r="AJ52" i="56"/>
  <c r="AR51" i="56"/>
  <c r="AQ51" i="56"/>
  <c r="AP51" i="56"/>
  <c r="AM51" i="56"/>
  <c r="AL51" i="56"/>
  <c r="AK51" i="56"/>
  <c r="AJ51" i="56"/>
  <c r="AR50" i="56"/>
  <c r="AQ50" i="56"/>
  <c r="AP50" i="56"/>
  <c r="AM50" i="56"/>
  <c r="AL50" i="56"/>
  <c r="AK50" i="56"/>
  <c r="AJ50" i="56"/>
  <c r="AR49" i="56"/>
  <c r="AQ49" i="56"/>
  <c r="AP49" i="56"/>
  <c r="AM49" i="56"/>
  <c r="AL49" i="56"/>
  <c r="AK49" i="56"/>
  <c r="AJ49" i="56"/>
  <c r="AR48" i="56"/>
  <c r="AQ48" i="56"/>
  <c r="AP48" i="56"/>
  <c r="AM48" i="56"/>
  <c r="AL48" i="56"/>
  <c r="AK48" i="56"/>
  <c r="AJ48" i="56"/>
  <c r="AR47" i="56"/>
  <c r="AQ47" i="56"/>
  <c r="AP47" i="56"/>
  <c r="AM47" i="56"/>
  <c r="AL47" i="56"/>
  <c r="AK47" i="56"/>
  <c r="AJ47" i="56"/>
  <c r="AR46" i="56"/>
  <c r="AQ46" i="56"/>
  <c r="AP46" i="56"/>
  <c r="AM46" i="56"/>
  <c r="AL46" i="56"/>
  <c r="AK46" i="56"/>
  <c r="AJ46" i="56"/>
  <c r="AR45" i="56"/>
  <c r="AQ45" i="56"/>
  <c r="AP45" i="56"/>
  <c r="AM45" i="56"/>
  <c r="AL45" i="56"/>
  <c r="AK45" i="56"/>
  <c r="AJ45" i="56"/>
  <c r="AR44" i="56"/>
  <c r="AQ44" i="56"/>
  <c r="AP44" i="56"/>
  <c r="AM44" i="56"/>
  <c r="AL44" i="56"/>
  <c r="AK44" i="56"/>
  <c r="AJ44" i="56"/>
  <c r="AR43" i="56"/>
  <c r="AQ43" i="56"/>
  <c r="AP43" i="56"/>
  <c r="AM43" i="56"/>
  <c r="AL43" i="56"/>
  <c r="AK43" i="56"/>
  <c r="AJ43" i="56"/>
  <c r="AR42" i="56"/>
  <c r="AQ42" i="56"/>
  <c r="AP42" i="56"/>
  <c r="AM42" i="56"/>
  <c r="AL42" i="56"/>
  <c r="AK42" i="56"/>
  <c r="AJ42" i="56"/>
  <c r="AR41" i="56"/>
  <c r="AQ41" i="56"/>
  <c r="AP41" i="56"/>
  <c r="AM41" i="56"/>
  <c r="AL41" i="56"/>
  <c r="AK41" i="56"/>
  <c r="AJ41" i="56"/>
  <c r="AR40" i="56"/>
  <c r="AQ40" i="56"/>
  <c r="AP40" i="56"/>
  <c r="AM40" i="56"/>
  <c r="AL40" i="56"/>
  <c r="AK40" i="56"/>
  <c r="AJ40" i="56"/>
  <c r="AR39" i="56"/>
  <c r="AQ39" i="56"/>
  <c r="AP39" i="56"/>
  <c r="AM39" i="56"/>
  <c r="AL39" i="56"/>
  <c r="AK39" i="56"/>
  <c r="AJ39" i="56"/>
  <c r="AR38" i="56"/>
  <c r="AQ38" i="56"/>
  <c r="AP38" i="56"/>
  <c r="AM38" i="56"/>
  <c r="AL38" i="56"/>
  <c r="AK38" i="56"/>
  <c r="AJ38" i="56"/>
  <c r="AR37" i="56"/>
  <c r="AQ37" i="56"/>
  <c r="AP37" i="56"/>
  <c r="AM37" i="56"/>
  <c r="AL37" i="56"/>
  <c r="AK37" i="56"/>
  <c r="AJ37" i="56"/>
  <c r="AR36" i="56"/>
  <c r="AQ36" i="56"/>
  <c r="AP36" i="56"/>
  <c r="AM36" i="56"/>
  <c r="AL36" i="56"/>
  <c r="AK36" i="56"/>
  <c r="AJ36" i="56"/>
  <c r="AR35" i="56"/>
  <c r="AQ35" i="56"/>
  <c r="AP35" i="56"/>
  <c r="AM35" i="56"/>
  <c r="AL35" i="56"/>
  <c r="AK35" i="56"/>
  <c r="AJ35" i="56"/>
  <c r="AR34" i="56"/>
  <c r="AQ34" i="56"/>
  <c r="AP34" i="56"/>
  <c r="AM34" i="56"/>
  <c r="AL34" i="56"/>
  <c r="AK34" i="56"/>
  <c r="AJ34" i="56"/>
  <c r="AR33" i="56"/>
  <c r="AQ33" i="56"/>
  <c r="AP33" i="56"/>
  <c r="AM33" i="56"/>
  <c r="AL33" i="56"/>
  <c r="AK33" i="56"/>
  <c r="AJ33" i="56"/>
  <c r="AR32" i="56"/>
  <c r="AQ32" i="56"/>
  <c r="AP32" i="56"/>
  <c r="AM32" i="56"/>
  <c r="AL32" i="56"/>
  <c r="AK32" i="56"/>
  <c r="AJ32" i="56"/>
  <c r="AR31" i="56"/>
  <c r="AQ31" i="56"/>
  <c r="AP31" i="56"/>
  <c r="AM31" i="56"/>
  <c r="AL31" i="56"/>
  <c r="AK31" i="56"/>
  <c r="AJ31" i="56"/>
  <c r="AR30" i="56"/>
  <c r="AQ30" i="56"/>
  <c r="AP30" i="56"/>
  <c r="AM30" i="56"/>
  <c r="AL30" i="56"/>
  <c r="AK30" i="56"/>
  <c r="AJ30" i="56"/>
  <c r="AR29" i="56"/>
  <c r="AQ29" i="56"/>
  <c r="AP29" i="56"/>
  <c r="AM29" i="56"/>
  <c r="AL29" i="56"/>
  <c r="AK29" i="56"/>
  <c r="AJ29" i="56"/>
  <c r="AR28" i="56"/>
  <c r="AQ28" i="56"/>
  <c r="AP28" i="56"/>
  <c r="AM28" i="56"/>
  <c r="AL28" i="56"/>
  <c r="AK28" i="56"/>
  <c r="AJ28" i="56"/>
  <c r="AR27" i="56"/>
  <c r="AQ27" i="56"/>
  <c r="AP27" i="56"/>
  <c r="AM27" i="56"/>
  <c r="AL27" i="56"/>
  <c r="AK27" i="56"/>
  <c r="AJ27" i="56"/>
  <c r="AR26" i="56"/>
  <c r="AQ26" i="56"/>
  <c r="AP26" i="56"/>
  <c r="AM26" i="56"/>
  <c r="AL26" i="56"/>
  <c r="AK26" i="56"/>
  <c r="AJ26" i="56"/>
  <c r="AR25" i="56"/>
  <c r="AQ25" i="56"/>
  <c r="AP25" i="56"/>
  <c r="AM25" i="56"/>
  <c r="AL25" i="56"/>
  <c r="AK25" i="56"/>
  <c r="AJ25" i="56"/>
  <c r="AR24" i="56"/>
  <c r="AQ24" i="56"/>
  <c r="AP24" i="56"/>
  <c r="AM24" i="56"/>
  <c r="AL24" i="56"/>
  <c r="AK24" i="56"/>
  <c r="AJ24" i="56"/>
  <c r="AR23" i="56"/>
  <c r="AQ23" i="56"/>
  <c r="AP23" i="56"/>
  <c r="AM23" i="56"/>
  <c r="AL23" i="56"/>
  <c r="AK23" i="56"/>
  <c r="AJ23" i="56"/>
  <c r="AR22" i="56"/>
  <c r="AQ22" i="56"/>
  <c r="AP22" i="56"/>
  <c r="AM22" i="56"/>
  <c r="AL22" i="56"/>
  <c r="AK22" i="56"/>
  <c r="AJ22" i="56"/>
  <c r="AR21" i="56"/>
  <c r="AQ21" i="56"/>
  <c r="AP21" i="56"/>
  <c r="AM21" i="56"/>
  <c r="AL21" i="56"/>
  <c r="AK21" i="56"/>
  <c r="AJ21" i="56"/>
  <c r="AR20" i="56"/>
  <c r="AQ20" i="56"/>
  <c r="AP20" i="56"/>
  <c r="AM20" i="56"/>
  <c r="AL20" i="56"/>
  <c r="AK20" i="56"/>
  <c r="AJ20" i="56"/>
  <c r="AR19" i="56"/>
  <c r="AQ19" i="56"/>
  <c r="AP19" i="56"/>
  <c r="AM19" i="56"/>
  <c r="AL19" i="56"/>
  <c r="AK19" i="56"/>
  <c r="AJ19" i="56"/>
  <c r="AR18" i="56"/>
  <c r="AQ18" i="56"/>
  <c r="AP18" i="56"/>
  <c r="AM18" i="56"/>
  <c r="AL18" i="56"/>
  <c r="AK18" i="56"/>
  <c r="AJ18" i="56"/>
  <c r="AR17" i="56"/>
  <c r="AQ17" i="56"/>
  <c r="AP17" i="56"/>
  <c r="AM17" i="56"/>
  <c r="AL17" i="56"/>
  <c r="AK17" i="56"/>
  <c r="AJ17" i="56"/>
  <c r="AR16" i="56"/>
  <c r="AQ16" i="56"/>
  <c r="AP16" i="56"/>
  <c r="AM16" i="56"/>
  <c r="AL16" i="56"/>
  <c r="AK16" i="56"/>
  <c r="AJ16" i="56"/>
  <c r="AR15" i="56"/>
  <c r="AQ15" i="56"/>
  <c r="AP15" i="56"/>
  <c r="AM15" i="56"/>
  <c r="AL15" i="56"/>
  <c r="AK15" i="56"/>
  <c r="AJ15" i="56"/>
  <c r="AR14" i="56"/>
  <c r="AQ14" i="56"/>
  <c r="AP14" i="56"/>
  <c r="AM14" i="56"/>
  <c r="AL14" i="56"/>
  <c r="AK14" i="56"/>
  <c r="AJ14" i="56"/>
  <c r="AR13" i="56"/>
  <c r="AQ13" i="56"/>
  <c r="AP13" i="56"/>
  <c r="AM13" i="56"/>
  <c r="AL13" i="56"/>
  <c r="AK13" i="56"/>
  <c r="AJ13" i="56"/>
  <c r="AR12" i="56"/>
  <c r="AQ12" i="56"/>
  <c r="AP12" i="56"/>
  <c r="AM12" i="56"/>
  <c r="AL12" i="56"/>
  <c r="AK12" i="56"/>
  <c r="AJ12" i="56"/>
  <c r="AR11" i="56"/>
  <c r="AQ11" i="56"/>
  <c r="AP11" i="56"/>
  <c r="AM11" i="56"/>
  <c r="AL11" i="56"/>
  <c r="AK11" i="56"/>
  <c r="AJ11" i="56"/>
  <c r="AR10" i="56"/>
  <c r="AQ10" i="56"/>
  <c r="AP10" i="56"/>
  <c r="AM10" i="56"/>
  <c r="AL10" i="56"/>
  <c r="AK10" i="56"/>
  <c r="AJ10" i="56"/>
  <c r="AR9" i="56"/>
  <c r="AQ9" i="56"/>
  <c r="AP9" i="56"/>
  <c r="AM9" i="56"/>
  <c r="AL9" i="56"/>
  <c r="AK9" i="56"/>
  <c r="AJ9" i="56"/>
  <c r="AR8" i="56"/>
  <c r="AQ8" i="56"/>
  <c r="AP8" i="56"/>
  <c r="AM8" i="56"/>
  <c r="AL8" i="56"/>
  <c r="AK8" i="56"/>
  <c r="AJ8" i="56"/>
  <c r="AR7" i="56"/>
  <c r="AQ7" i="56"/>
  <c r="AP7" i="56"/>
  <c r="AM7" i="56"/>
  <c r="AL7" i="56"/>
  <c r="AK7" i="56"/>
  <c r="AJ7" i="56"/>
  <c r="AR6" i="56"/>
  <c r="AQ6" i="56"/>
  <c r="AP6" i="56"/>
  <c r="AM6" i="56"/>
  <c r="AL6" i="56"/>
  <c r="AK6" i="56"/>
  <c r="AJ6" i="56"/>
  <c r="AR5" i="56"/>
  <c r="AQ5" i="56"/>
  <c r="AP5" i="56"/>
  <c r="AM5" i="56"/>
  <c r="AL5" i="56"/>
  <c r="AK5" i="56"/>
  <c r="AJ5" i="56"/>
  <c r="AR4" i="56"/>
  <c r="AQ4" i="56"/>
  <c r="AP4" i="56"/>
  <c r="AM4" i="56"/>
  <c r="AL4" i="56"/>
  <c r="AK4" i="56"/>
  <c r="AJ4" i="56"/>
  <c r="AR3" i="56"/>
  <c r="AQ3" i="56"/>
  <c r="AP3" i="56"/>
  <c r="AM3" i="56"/>
  <c r="AL3" i="56"/>
  <c r="AK3" i="56"/>
  <c r="AJ3" i="56"/>
  <c r="AI53" i="56"/>
  <c r="AI54" i="56"/>
  <c r="AI55" i="56"/>
  <c r="AI56" i="56"/>
  <c r="AI57" i="56"/>
  <c r="AI58" i="56"/>
  <c r="AI59" i="56"/>
  <c r="AI60" i="56"/>
  <c r="AI61" i="56"/>
  <c r="AI62" i="56"/>
  <c r="AI63" i="56"/>
  <c r="AI64" i="56"/>
  <c r="AI65" i="56"/>
  <c r="AI66" i="56"/>
  <c r="AI67" i="56"/>
  <c r="AI68" i="56"/>
  <c r="AI69" i="56"/>
  <c r="AI70" i="56"/>
  <c r="AI71" i="56"/>
  <c r="AI72" i="56"/>
  <c r="AI73" i="56"/>
  <c r="AI74" i="56"/>
  <c r="AI75" i="56"/>
  <c r="AI76" i="56"/>
  <c r="AI77" i="56"/>
  <c r="AI78" i="56"/>
  <c r="AI79" i="56"/>
  <c r="AI80" i="56"/>
  <c r="AI81" i="56"/>
  <c r="AI82" i="56"/>
  <c r="AI83" i="56"/>
  <c r="AI84" i="56"/>
  <c r="AI85" i="56"/>
  <c r="AI86" i="56"/>
  <c r="AI87" i="56"/>
  <c r="AI88" i="56"/>
  <c r="AI89" i="56"/>
  <c r="AI90" i="56"/>
  <c r="AI91" i="56"/>
  <c r="AI92" i="56"/>
  <c r="AI93" i="56"/>
  <c r="AI94" i="56"/>
  <c r="AI95" i="56"/>
  <c r="AI96" i="56"/>
  <c r="AI97" i="56"/>
  <c r="AI98" i="56"/>
  <c r="AI99" i="56"/>
  <c r="AI100" i="56"/>
  <c r="AI101" i="56"/>
  <c r="AI102" i="56"/>
  <c r="AR1" i="56"/>
  <c r="AQ1" i="56"/>
  <c r="AP1" i="56"/>
  <c r="AO1" i="56"/>
  <c r="AN1" i="56"/>
  <c r="AM1" i="56"/>
  <c r="AL1" i="56"/>
  <c r="AK1" i="56"/>
  <c r="AJ1" i="56"/>
  <c r="AI1" i="56"/>
  <c r="C102" i="57" l="1"/>
  <c r="D102" i="57" s="1"/>
  <c r="C101" i="57"/>
  <c r="D101" i="57" s="1"/>
  <c r="C100" i="57"/>
  <c r="D100" i="57" s="1"/>
  <c r="C99" i="57"/>
  <c r="D99" i="57" s="1"/>
  <c r="C98" i="57"/>
  <c r="D98" i="57" s="1"/>
  <c r="C97" i="57"/>
  <c r="D97" i="57" s="1"/>
  <c r="C96" i="57"/>
  <c r="D96" i="57" s="1"/>
  <c r="C95" i="57"/>
  <c r="D95" i="57" s="1"/>
  <c r="C94" i="57"/>
  <c r="D94" i="57" s="1"/>
  <c r="C93" i="57"/>
  <c r="D93" i="57" s="1"/>
  <c r="C92" i="57"/>
  <c r="D92" i="57" s="1"/>
  <c r="C91" i="57"/>
  <c r="D91" i="57" s="1"/>
  <c r="C90" i="57"/>
  <c r="D90" i="57" s="1"/>
  <c r="C89" i="57"/>
  <c r="D89" i="57" s="1"/>
  <c r="C88" i="57"/>
  <c r="D88" i="57" s="1"/>
  <c r="C87" i="57"/>
  <c r="D87" i="57" s="1"/>
  <c r="C86" i="57"/>
  <c r="D86" i="57" s="1"/>
  <c r="C85" i="57"/>
  <c r="D85" i="57" s="1"/>
  <c r="C84" i="57"/>
  <c r="D84" i="57" s="1"/>
  <c r="C83" i="57"/>
  <c r="D83" i="57" s="1"/>
  <c r="C82" i="57"/>
  <c r="D82" i="57" s="1"/>
  <c r="C81" i="57"/>
  <c r="D81" i="57" s="1"/>
  <c r="C80" i="57"/>
  <c r="D80" i="57" s="1"/>
  <c r="C79" i="57"/>
  <c r="D79" i="57" s="1"/>
  <c r="C78" i="57"/>
  <c r="D78" i="57" s="1"/>
  <c r="C77" i="57"/>
  <c r="D77" i="57" s="1"/>
  <c r="C76" i="57"/>
  <c r="D76" i="57" s="1"/>
  <c r="C75" i="57"/>
  <c r="D75" i="57" s="1"/>
  <c r="C74" i="57"/>
  <c r="D74" i="57" s="1"/>
  <c r="C73" i="57"/>
  <c r="D73" i="57" s="1"/>
  <c r="C72" i="57"/>
  <c r="D72" i="57" s="1"/>
  <c r="C71" i="57"/>
  <c r="D71" i="57" s="1"/>
  <c r="C70" i="57"/>
  <c r="D70" i="57" s="1"/>
  <c r="C69" i="57"/>
  <c r="D69" i="57" s="1"/>
  <c r="C68" i="57"/>
  <c r="D68" i="57" s="1"/>
  <c r="C67" i="57"/>
  <c r="D67" i="57" s="1"/>
  <c r="C66" i="57"/>
  <c r="D66" i="57" s="1"/>
  <c r="C65" i="57"/>
  <c r="D65" i="57" s="1"/>
  <c r="C64" i="57"/>
  <c r="D64" i="57" s="1"/>
  <c r="C63" i="57"/>
  <c r="D63" i="57" s="1"/>
  <c r="C62" i="57"/>
  <c r="D62" i="57" s="1"/>
  <c r="C61" i="57"/>
  <c r="D61" i="57" s="1"/>
  <c r="C60" i="57"/>
  <c r="D60" i="57" s="1"/>
  <c r="C59" i="57"/>
  <c r="D59" i="57" s="1"/>
  <c r="C58" i="57"/>
  <c r="D58" i="57" s="1"/>
  <c r="C57" i="57"/>
  <c r="D57" i="57" s="1"/>
  <c r="C56" i="57"/>
  <c r="D56" i="57" s="1"/>
  <c r="C55" i="57"/>
  <c r="D55" i="57" s="1"/>
  <c r="C54" i="57"/>
  <c r="D54" i="57" s="1"/>
  <c r="C53" i="57"/>
  <c r="C52" i="57"/>
  <c r="C51" i="57"/>
  <c r="C50" i="57"/>
  <c r="C49" i="57"/>
  <c r="C48" i="57"/>
  <c r="C47" i="57"/>
  <c r="C46" i="57"/>
  <c r="D46" i="57" s="1"/>
  <c r="C45" i="57"/>
  <c r="C44" i="57"/>
  <c r="C43" i="57"/>
  <c r="C42" i="57"/>
  <c r="C41" i="57"/>
  <c r="C40" i="57"/>
  <c r="C39" i="57"/>
  <c r="C38" i="57"/>
  <c r="C37" i="57"/>
  <c r="C36" i="57"/>
  <c r="C35" i="57"/>
  <c r="C34" i="57"/>
  <c r="C33" i="57"/>
  <c r="C32" i="57"/>
  <c r="C31" i="57"/>
  <c r="C30" i="57"/>
  <c r="C29" i="57"/>
  <c r="C28" i="57"/>
  <c r="C27" i="57"/>
  <c r="C26" i="57"/>
  <c r="C25" i="57"/>
  <c r="C24" i="57"/>
  <c r="C23" i="57"/>
  <c r="C22" i="57"/>
  <c r="C21" i="57"/>
  <c r="C20" i="57"/>
  <c r="C19" i="57"/>
  <c r="C18" i="57"/>
  <c r="C17" i="57"/>
  <c r="C16" i="57"/>
  <c r="D16" i="57" s="1"/>
  <c r="C15" i="57"/>
  <c r="C14" i="57"/>
  <c r="C13" i="57"/>
  <c r="C12" i="57"/>
  <c r="C11" i="57"/>
  <c r="C10" i="57"/>
  <c r="C9" i="57"/>
  <c r="C8" i="57"/>
  <c r="C7" i="57"/>
  <c r="D7" i="57" s="1"/>
  <c r="C6" i="57"/>
  <c r="C5" i="57"/>
  <c r="C4" i="57"/>
  <c r="C3" i="57"/>
  <c r="D1" i="57"/>
  <c r="C1" i="57"/>
  <c r="C102" i="56"/>
  <c r="D102" i="56" s="1"/>
  <c r="C101" i="56"/>
  <c r="D101" i="56" s="1"/>
  <c r="C100" i="56"/>
  <c r="D100" i="56" s="1"/>
  <c r="C99" i="56"/>
  <c r="D99" i="56" s="1"/>
  <c r="C98" i="56"/>
  <c r="D98" i="56" s="1"/>
  <c r="C97" i="56"/>
  <c r="D97" i="56" s="1"/>
  <c r="C96" i="56"/>
  <c r="D96" i="56" s="1"/>
  <c r="C95" i="56"/>
  <c r="D95" i="56" s="1"/>
  <c r="C94" i="56"/>
  <c r="D94" i="56" s="1"/>
  <c r="C93" i="56"/>
  <c r="D93" i="56" s="1"/>
  <c r="C92" i="56"/>
  <c r="D92" i="56" s="1"/>
  <c r="C91" i="56"/>
  <c r="D91" i="56" s="1"/>
  <c r="C90" i="56"/>
  <c r="D90" i="56" s="1"/>
  <c r="C89" i="56"/>
  <c r="D89" i="56" s="1"/>
  <c r="C88" i="56"/>
  <c r="D88" i="56" s="1"/>
  <c r="C87" i="56"/>
  <c r="D87" i="56" s="1"/>
  <c r="C86" i="56"/>
  <c r="D86" i="56" s="1"/>
  <c r="C85" i="56"/>
  <c r="D85" i="56" s="1"/>
  <c r="C84" i="56"/>
  <c r="D84" i="56" s="1"/>
  <c r="C83" i="56"/>
  <c r="D83" i="56" s="1"/>
  <c r="C82" i="56"/>
  <c r="D82" i="56" s="1"/>
  <c r="C81" i="56"/>
  <c r="D81" i="56" s="1"/>
  <c r="C80" i="56"/>
  <c r="D80" i="56" s="1"/>
  <c r="C79" i="56"/>
  <c r="D79" i="56" s="1"/>
  <c r="C78" i="56"/>
  <c r="D78" i="56" s="1"/>
  <c r="C77" i="56"/>
  <c r="D77" i="56" s="1"/>
  <c r="C76" i="56"/>
  <c r="D76" i="56" s="1"/>
  <c r="C75" i="56"/>
  <c r="D75" i="56" s="1"/>
  <c r="C74" i="56"/>
  <c r="D74" i="56" s="1"/>
  <c r="C73" i="56"/>
  <c r="D73" i="56" s="1"/>
  <c r="C72" i="56"/>
  <c r="D72" i="56" s="1"/>
  <c r="C71" i="56"/>
  <c r="D71" i="56" s="1"/>
  <c r="C70" i="56"/>
  <c r="D70" i="56" s="1"/>
  <c r="C69" i="56"/>
  <c r="D69" i="56" s="1"/>
  <c r="C68" i="56"/>
  <c r="D68" i="56" s="1"/>
  <c r="C67" i="56"/>
  <c r="D67" i="56" s="1"/>
  <c r="C66" i="56"/>
  <c r="D66" i="56" s="1"/>
  <c r="C65" i="56"/>
  <c r="D65" i="56" s="1"/>
  <c r="C64" i="56"/>
  <c r="D64" i="56" s="1"/>
  <c r="C63" i="56"/>
  <c r="D63" i="56" s="1"/>
  <c r="C62" i="56"/>
  <c r="D62" i="56" s="1"/>
  <c r="C61" i="56"/>
  <c r="D61" i="56" s="1"/>
  <c r="C60" i="56"/>
  <c r="D60" i="56" s="1"/>
  <c r="C59" i="56"/>
  <c r="D59" i="56" s="1"/>
  <c r="C58" i="56"/>
  <c r="D58" i="56" s="1"/>
  <c r="C57" i="56"/>
  <c r="D57" i="56" s="1"/>
  <c r="C56" i="56"/>
  <c r="D56" i="56" s="1"/>
  <c r="C55" i="56"/>
  <c r="D55" i="56" s="1"/>
  <c r="C54" i="56"/>
  <c r="D54" i="56" s="1"/>
  <c r="C53" i="56"/>
  <c r="C52" i="56"/>
  <c r="C51" i="56"/>
  <c r="C50" i="56"/>
  <c r="C49" i="56"/>
  <c r="C48" i="56"/>
  <c r="C47" i="56"/>
  <c r="C46" i="56"/>
  <c r="D46" i="56" s="1"/>
  <c r="C45" i="56"/>
  <c r="C44" i="56"/>
  <c r="C43" i="56"/>
  <c r="C42" i="56"/>
  <c r="C41" i="56"/>
  <c r="C40" i="56"/>
  <c r="C39" i="56"/>
  <c r="C38" i="56"/>
  <c r="C37" i="56"/>
  <c r="C36" i="56"/>
  <c r="C35" i="56"/>
  <c r="C34" i="56"/>
  <c r="C33" i="56"/>
  <c r="C32" i="56"/>
  <c r="C31" i="56"/>
  <c r="C30" i="56"/>
  <c r="C29" i="56"/>
  <c r="C28" i="56"/>
  <c r="C27" i="56"/>
  <c r="C26" i="56"/>
  <c r="C25" i="56"/>
  <c r="C24" i="56"/>
  <c r="C23" i="56"/>
  <c r="C22" i="56"/>
  <c r="C21" i="56"/>
  <c r="C20" i="56"/>
  <c r="C19" i="56"/>
  <c r="C18" i="56"/>
  <c r="C17" i="56"/>
  <c r="C16" i="56"/>
  <c r="C15" i="56"/>
  <c r="C14" i="56"/>
  <c r="C13" i="56"/>
  <c r="C12" i="56"/>
  <c r="C11" i="56"/>
  <c r="C10" i="56"/>
  <c r="C9" i="56"/>
  <c r="C8" i="56"/>
  <c r="C7" i="56"/>
  <c r="C6" i="56"/>
  <c r="C5" i="56"/>
  <c r="C4" i="56"/>
  <c r="C3" i="56"/>
  <c r="D1" i="56"/>
  <c r="C1" i="56"/>
  <c r="AH102" i="57"/>
  <c r="AG102" i="57"/>
  <c r="AF102" i="57"/>
  <c r="AE102" i="57"/>
  <c r="AD102" i="57"/>
  <c r="AC102" i="57"/>
  <c r="AB102" i="57"/>
  <c r="AA102" i="57"/>
  <c r="Z102" i="57"/>
  <c r="Y102" i="57"/>
  <c r="AH101" i="57"/>
  <c r="AG101" i="57"/>
  <c r="AF101" i="57"/>
  <c r="AE101" i="57"/>
  <c r="AD101" i="57"/>
  <c r="AC101" i="57"/>
  <c r="AB101" i="57"/>
  <c r="AA101" i="57"/>
  <c r="Z101" i="57"/>
  <c r="Y101" i="57"/>
  <c r="AH100" i="57"/>
  <c r="AG100" i="57"/>
  <c r="AF100" i="57"/>
  <c r="AE100" i="57"/>
  <c r="AD100" i="57"/>
  <c r="AC100" i="57"/>
  <c r="AB100" i="57"/>
  <c r="AA100" i="57"/>
  <c r="Z100" i="57"/>
  <c r="Y100" i="57"/>
  <c r="AH99" i="57"/>
  <c r="AG99" i="57"/>
  <c r="AF99" i="57"/>
  <c r="AE99" i="57"/>
  <c r="AD99" i="57"/>
  <c r="AC99" i="57"/>
  <c r="AB99" i="57"/>
  <c r="AA99" i="57"/>
  <c r="Z99" i="57"/>
  <c r="Y99" i="57"/>
  <c r="AH98" i="57"/>
  <c r="AG98" i="57"/>
  <c r="AF98" i="57"/>
  <c r="AE98" i="57"/>
  <c r="AD98" i="57"/>
  <c r="AC98" i="57"/>
  <c r="AB98" i="57"/>
  <c r="AA98" i="57"/>
  <c r="Z98" i="57"/>
  <c r="Y98" i="57"/>
  <c r="AH97" i="57"/>
  <c r="AG97" i="57"/>
  <c r="AF97" i="57"/>
  <c r="AE97" i="57"/>
  <c r="AD97" i="57"/>
  <c r="AC97" i="57"/>
  <c r="AB97" i="57"/>
  <c r="AA97" i="57"/>
  <c r="Z97" i="57"/>
  <c r="Y97" i="57"/>
  <c r="AH96" i="57"/>
  <c r="AG96" i="57"/>
  <c r="AF96" i="57"/>
  <c r="AE96" i="57"/>
  <c r="AD96" i="57"/>
  <c r="AC96" i="57"/>
  <c r="AB96" i="57"/>
  <c r="AA96" i="57"/>
  <c r="Z96" i="57"/>
  <c r="Y96" i="57"/>
  <c r="AH95" i="57"/>
  <c r="AG95" i="57"/>
  <c r="AF95" i="57"/>
  <c r="AE95" i="57"/>
  <c r="AD95" i="57"/>
  <c r="AC95" i="57"/>
  <c r="AB95" i="57"/>
  <c r="AA95" i="57"/>
  <c r="Z95" i="57"/>
  <c r="Y95" i="57"/>
  <c r="AH94" i="57"/>
  <c r="AG94" i="57"/>
  <c r="AF94" i="57"/>
  <c r="AE94" i="57"/>
  <c r="AD94" i="57"/>
  <c r="AC94" i="57"/>
  <c r="AB94" i="57"/>
  <c r="AA94" i="57"/>
  <c r="Z94" i="57"/>
  <c r="Y94" i="57"/>
  <c r="AH93" i="57"/>
  <c r="AG93" i="57"/>
  <c r="AF93" i="57"/>
  <c r="AE93" i="57"/>
  <c r="AD93" i="57"/>
  <c r="AC93" i="57"/>
  <c r="AB93" i="57"/>
  <c r="AA93" i="57"/>
  <c r="Z93" i="57"/>
  <c r="Y93" i="57"/>
  <c r="AH92" i="57"/>
  <c r="AG92" i="57"/>
  <c r="AF92" i="57"/>
  <c r="AE92" i="57"/>
  <c r="AD92" i="57"/>
  <c r="AC92" i="57"/>
  <c r="AB92" i="57"/>
  <c r="AA92" i="57"/>
  <c r="Z92" i="57"/>
  <c r="Y92" i="57"/>
  <c r="AH91" i="57"/>
  <c r="AG91" i="57"/>
  <c r="AF91" i="57"/>
  <c r="AE91" i="57"/>
  <c r="AD91" i="57"/>
  <c r="AC91" i="57"/>
  <c r="AB91" i="57"/>
  <c r="AA91" i="57"/>
  <c r="Z91" i="57"/>
  <c r="Y91" i="57"/>
  <c r="AH90" i="57"/>
  <c r="AG90" i="57"/>
  <c r="AF90" i="57"/>
  <c r="AE90" i="57"/>
  <c r="AD90" i="57"/>
  <c r="AC90" i="57"/>
  <c r="AB90" i="57"/>
  <c r="AA90" i="57"/>
  <c r="Z90" i="57"/>
  <c r="Y90" i="57"/>
  <c r="AH89" i="57"/>
  <c r="AG89" i="57"/>
  <c r="AF89" i="57"/>
  <c r="AE89" i="57"/>
  <c r="AD89" i="57"/>
  <c r="AC89" i="57"/>
  <c r="AB89" i="57"/>
  <c r="AA89" i="57"/>
  <c r="Z89" i="57"/>
  <c r="Y89" i="57"/>
  <c r="AH88" i="57"/>
  <c r="AG88" i="57"/>
  <c r="AF88" i="57"/>
  <c r="AE88" i="57"/>
  <c r="AD88" i="57"/>
  <c r="AC88" i="57"/>
  <c r="AB88" i="57"/>
  <c r="AA88" i="57"/>
  <c r="Z88" i="57"/>
  <c r="Y88" i="57"/>
  <c r="AH87" i="57"/>
  <c r="AG87" i="57"/>
  <c r="AF87" i="57"/>
  <c r="AE87" i="57"/>
  <c r="AD87" i="57"/>
  <c r="AC87" i="57"/>
  <c r="AB87" i="57"/>
  <c r="AA87" i="57"/>
  <c r="Z87" i="57"/>
  <c r="Y87" i="57"/>
  <c r="AH86" i="57"/>
  <c r="AG86" i="57"/>
  <c r="AF86" i="57"/>
  <c r="AE86" i="57"/>
  <c r="AD86" i="57"/>
  <c r="AC86" i="57"/>
  <c r="AB86" i="57"/>
  <c r="AA86" i="57"/>
  <c r="Z86" i="57"/>
  <c r="Y86" i="57"/>
  <c r="AH85" i="57"/>
  <c r="AG85" i="57"/>
  <c r="AF85" i="57"/>
  <c r="AE85" i="57"/>
  <c r="AD85" i="57"/>
  <c r="AC85" i="57"/>
  <c r="AB85" i="57"/>
  <c r="AA85" i="57"/>
  <c r="Z85" i="57"/>
  <c r="Y85" i="57"/>
  <c r="AH84" i="57"/>
  <c r="AG84" i="57"/>
  <c r="AF84" i="57"/>
  <c r="AE84" i="57"/>
  <c r="AD84" i="57"/>
  <c r="AC84" i="57"/>
  <c r="AB84" i="57"/>
  <c r="AA84" i="57"/>
  <c r="Z84" i="57"/>
  <c r="Y84" i="57"/>
  <c r="AH83" i="57"/>
  <c r="AG83" i="57"/>
  <c r="AF83" i="57"/>
  <c r="AE83" i="57"/>
  <c r="AD83" i="57"/>
  <c r="AC83" i="57"/>
  <c r="AB83" i="57"/>
  <c r="AA83" i="57"/>
  <c r="Z83" i="57"/>
  <c r="Y83" i="57"/>
  <c r="AH82" i="57"/>
  <c r="AG82" i="57"/>
  <c r="AF82" i="57"/>
  <c r="AE82" i="57"/>
  <c r="AD82" i="57"/>
  <c r="AC82" i="57"/>
  <c r="AB82" i="57"/>
  <c r="AA82" i="57"/>
  <c r="Z82" i="57"/>
  <c r="Y82" i="57"/>
  <c r="AH81" i="57"/>
  <c r="AG81" i="57"/>
  <c r="AF81" i="57"/>
  <c r="AE81" i="57"/>
  <c r="AD81" i="57"/>
  <c r="AC81" i="57"/>
  <c r="AB81" i="57"/>
  <c r="AA81" i="57"/>
  <c r="Z81" i="57"/>
  <c r="Y81" i="57"/>
  <c r="AH80" i="57"/>
  <c r="AG80" i="57"/>
  <c r="AF80" i="57"/>
  <c r="AE80" i="57"/>
  <c r="AD80" i="57"/>
  <c r="AC80" i="57"/>
  <c r="AB80" i="57"/>
  <c r="AA80" i="57"/>
  <c r="Z80" i="57"/>
  <c r="Y80" i="57"/>
  <c r="AH79" i="57"/>
  <c r="AG79" i="57"/>
  <c r="AF79" i="57"/>
  <c r="AE79" i="57"/>
  <c r="AD79" i="57"/>
  <c r="AC79" i="57"/>
  <c r="AB79" i="57"/>
  <c r="AA79" i="57"/>
  <c r="Z79" i="57"/>
  <c r="Y79" i="57"/>
  <c r="AH78" i="57"/>
  <c r="AG78" i="57"/>
  <c r="AF78" i="57"/>
  <c r="AE78" i="57"/>
  <c r="AD78" i="57"/>
  <c r="AC78" i="57"/>
  <c r="AB78" i="57"/>
  <c r="AA78" i="57"/>
  <c r="Z78" i="57"/>
  <c r="Y78" i="57"/>
  <c r="AH77" i="57"/>
  <c r="AG77" i="57"/>
  <c r="AF77" i="57"/>
  <c r="AE77" i="57"/>
  <c r="AD77" i="57"/>
  <c r="AC77" i="57"/>
  <c r="AB77" i="57"/>
  <c r="AA77" i="57"/>
  <c r="Z77" i="57"/>
  <c r="Y77" i="57"/>
  <c r="AH76" i="57"/>
  <c r="AG76" i="57"/>
  <c r="AF76" i="57"/>
  <c r="AE76" i="57"/>
  <c r="AD76" i="57"/>
  <c r="AC76" i="57"/>
  <c r="AB76" i="57"/>
  <c r="AA76" i="57"/>
  <c r="Z76" i="57"/>
  <c r="Y76" i="57"/>
  <c r="AH75" i="57"/>
  <c r="AG75" i="57"/>
  <c r="AF75" i="57"/>
  <c r="AE75" i="57"/>
  <c r="AD75" i="57"/>
  <c r="AC75" i="57"/>
  <c r="AB75" i="57"/>
  <c r="AA75" i="57"/>
  <c r="Z75" i="57"/>
  <c r="Y75" i="57"/>
  <c r="AH74" i="57"/>
  <c r="AG74" i="57"/>
  <c r="AF74" i="57"/>
  <c r="AE74" i="57"/>
  <c r="AD74" i="57"/>
  <c r="AC74" i="57"/>
  <c r="AB74" i="57"/>
  <c r="AA74" i="57"/>
  <c r="Z74" i="57"/>
  <c r="Y74" i="57"/>
  <c r="AH73" i="57"/>
  <c r="AG73" i="57"/>
  <c r="AF73" i="57"/>
  <c r="AE73" i="57"/>
  <c r="AD73" i="57"/>
  <c r="AC73" i="57"/>
  <c r="AB73" i="57"/>
  <c r="AA73" i="57"/>
  <c r="Z73" i="57"/>
  <c r="Y73" i="57"/>
  <c r="AH72" i="57"/>
  <c r="AG72" i="57"/>
  <c r="AF72" i="57"/>
  <c r="AE72" i="57"/>
  <c r="AD72" i="57"/>
  <c r="AC72" i="57"/>
  <c r="AB72" i="57"/>
  <c r="AA72" i="57"/>
  <c r="Z72" i="57"/>
  <c r="Y72" i="57"/>
  <c r="AH71" i="57"/>
  <c r="AG71" i="57"/>
  <c r="AF71" i="57"/>
  <c r="AE71" i="57"/>
  <c r="AD71" i="57"/>
  <c r="AC71" i="57"/>
  <c r="AB71" i="57"/>
  <c r="AA71" i="57"/>
  <c r="Z71" i="57"/>
  <c r="Y71" i="57"/>
  <c r="AH70" i="57"/>
  <c r="AG70" i="57"/>
  <c r="AF70" i="57"/>
  <c r="AE70" i="57"/>
  <c r="AD70" i="57"/>
  <c r="AC70" i="57"/>
  <c r="AB70" i="57"/>
  <c r="AA70" i="57"/>
  <c r="Z70" i="57"/>
  <c r="Y70" i="57"/>
  <c r="AH69" i="57"/>
  <c r="AG69" i="57"/>
  <c r="AF69" i="57"/>
  <c r="AE69" i="57"/>
  <c r="AD69" i="57"/>
  <c r="AC69" i="57"/>
  <c r="AB69" i="57"/>
  <c r="AA69" i="57"/>
  <c r="Z69" i="57"/>
  <c r="Y69" i="57"/>
  <c r="AH68" i="57"/>
  <c r="AG68" i="57"/>
  <c r="AF68" i="57"/>
  <c r="AE68" i="57"/>
  <c r="AD68" i="57"/>
  <c r="AC68" i="57"/>
  <c r="AB68" i="57"/>
  <c r="AA68" i="57"/>
  <c r="Z68" i="57"/>
  <c r="Y68" i="57"/>
  <c r="AH67" i="57"/>
  <c r="AG67" i="57"/>
  <c r="AF67" i="57"/>
  <c r="AE67" i="57"/>
  <c r="AD67" i="57"/>
  <c r="AC67" i="57"/>
  <c r="AB67" i="57"/>
  <c r="AA67" i="57"/>
  <c r="Z67" i="57"/>
  <c r="Y67" i="57"/>
  <c r="AH66" i="57"/>
  <c r="AG66" i="57"/>
  <c r="AF66" i="57"/>
  <c r="AE66" i="57"/>
  <c r="AD66" i="57"/>
  <c r="AC66" i="57"/>
  <c r="AB66" i="57"/>
  <c r="AA66" i="57"/>
  <c r="Z66" i="57"/>
  <c r="Y66" i="57"/>
  <c r="AH65" i="57"/>
  <c r="AG65" i="57"/>
  <c r="AF65" i="57"/>
  <c r="AE65" i="57"/>
  <c r="AD65" i="57"/>
  <c r="AC65" i="57"/>
  <c r="AB65" i="57"/>
  <c r="AA65" i="57"/>
  <c r="Z65" i="57"/>
  <c r="Y65" i="57"/>
  <c r="AH64" i="57"/>
  <c r="AG64" i="57"/>
  <c r="AF64" i="57"/>
  <c r="AE64" i="57"/>
  <c r="AD64" i="57"/>
  <c r="AC64" i="57"/>
  <c r="AB64" i="57"/>
  <c r="AA64" i="57"/>
  <c r="Z64" i="57"/>
  <c r="Y64" i="57"/>
  <c r="AH63" i="57"/>
  <c r="AG63" i="57"/>
  <c r="AF63" i="57"/>
  <c r="AE63" i="57"/>
  <c r="AD63" i="57"/>
  <c r="AC63" i="57"/>
  <c r="AB63" i="57"/>
  <c r="AA63" i="57"/>
  <c r="Z63" i="57"/>
  <c r="Y63" i="57"/>
  <c r="AH62" i="57"/>
  <c r="AG62" i="57"/>
  <c r="AF62" i="57"/>
  <c r="AE62" i="57"/>
  <c r="AD62" i="57"/>
  <c r="AC62" i="57"/>
  <c r="AB62" i="57"/>
  <c r="AA62" i="57"/>
  <c r="Z62" i="57"/>
  <c r="Y62" i="57"/>
  <c r="AH61" i="57"/>
  <c r="AG61" i="57"/>
  <c r="AF61" i="57"/>
  <c r="AE61" i="57"/>
  <c r="AD61" i="57"/>
  <c r="AC61" i="57"/>
  <c r="AB61" i="57"/>
  <c r="AA61" i="57"/>
  <c r="Z61" i="57"/>
  <c r="Y61" i="57"/>
  <c r="AH60" i="57"/>
  <c r="AG60" i="57"/>
  <c r="AF60" i="57"/>
  <c r="AE60" i="57"/>
  <c r="AD60" i="57"/>
  <c r="AC60" i="57"/>
  <c r="AB60" i="57"/>
  <c r="AA60" i="57"/>
  <c r="Z60" i="57"/>
  <c r="Y60" i="57"/>
  <c r="AH59" i="57"/>
  <c r="AG59" i="57"/>
  <c r="AF59" i="57"/>
  <c r="AE59" i="57"/>
  <c r="AD59" i="57"/>
  <c r="AC59" i="57"/>
  <c r="AB59" i="57"/>
  <c r="AA59" i="57"/>
  <c r="Z59" i="57"/>
  <c r="Y59" i="57"/>
  <c r="AH58" i="57"/>
  <c r="AG58" i="57"/>
  <c r="AF58" i="57"/>
  <c r="AE58" i="57"/>
  <c r="AD58" i="57"/>
  <c r="AC58" i="57"/>
  <c r="AB58" i="57"/>
  <c r="AA58" i="57"/>
  <c r="Z58" i="57"/>
  <c r="Y58" i="57"/>
  <c r="AH57" i="57"/>
  <c r="AG57" i="57"/>
  <c r="AF57" i="57"/>
  <c r="AE57" i="57"/>
  <c r="AD57" i="57"/>
  <c r="AC57" i="57"/>
  <c r="AB57" i="57"/>
  <c r="AA57" i="57"/>
  <c r="Z57" i="57"/>
  <c r="Y57" i="57"/>
  <c r="AH56" i="57"/>
  <c r="AG56" i="57"/>
  <c r="AF56" i="57"/>
  <c r="AE56" i="57"/>
  <c r="AD56" i="57"/>
  <c r="AC56" i="57"/>
  <c r="AB56" i="57"/>
  <c r="AA56" i="57"/>
  <c r="Z56" i="57"/>
  <c r="Y56" i="57"/>
  <c r="AH55" i="57"/>
  <c r="AG55" i="57"/>
  <c r="AF55" i="57"/>
  <c r="AE55" i="57"/>
  <c r="AD55" i="57"/>
  <c r="AC55" i="57"/>
  <c r="AB55" i="57"/>
  <c r="AA55" i="57"/>
  <c r="Z55" i="57"/>
  <c r="Y55" i="57"/>
  <c r="AH54" i="57"/>
  <c r="AG54" i="57"/>
  <c r="AF54" i="57"/>
  <c r="AE54" i="57"/>
  <c r="AD54" i="57"/>
  <c r="AC54" i="57"/>
  <c r="AB54" i="57"/>
  <c r="AA54" i="57"/>
  <c r="Z54" i="57"/>
  <c r="Y54" i="57"/>
  <c r="AH53" i="57"/>
  <c r="AG53" i="57"/>
  <c r="AF53" i="57"/>
  <c r="AE53" i="57"/>
  <c r="AC53" i="57"/>
  <c r="AB53" i="57"/>
  <c r="AA53" i="57"/>
  <c r="Z53" i="57"/>
  <c r="AH52" i="57"/>
  <c r="AG52" i="57"/>
  <c r="AF52" i="57"/>
  <c r="AC52" i="57"/>
  <c r="AB52" i="57"/>
  <c r="AA52" i="57"/>
  <c r="Z52" i="57"/>
  <c r="AH51" i="57"/>
  <c r="AG51" i="57"/>
  <c r="AF51" i="57"/>
  <c r="AC51" i="57"/>
  <c r="AB51" i="57"/>
  <c r="AA51" i="57"/>
  <c r="Z51" i="57"/>
  <c r="AH50" i="57"/>
  <c r="AG50" i="57"/>
  <c r="AF50" i="57"/>
  <c r="AC50" i="57"/>
  <c r="AB50" i="57"/>
  <c r="AA50" i="57"/>
  <c r="Z50" i="57"/>
  <c r="AH49" i="57"/>
  <c r="AG49" i="57"/>
  <c r="AF49" i="57"/>
  <c r="AC49" i="57"/>
  <c r="AB49" i="57"/>
  <c r="AA49" i="57"/>
  <c r="Z49" i="57"/>
  <c r="AH48" i="57"/>
  <c r="AG48" i="57"/>
  <c r="AF48" i="57"/>
  <c r="AC48" i="57"/>
  <c r="AB48" i="57"/>
  <c r="AA48" i="57"/>
  <c r="Z48" i="57"/>
  <c r="AH47" i="57"/>
  <c r="AG47" i="57"/>
  <c r="AF47" i="57"/>
  <c r="AC47" i="57"/>
  <c r="AB47" i="57"/>
  <c r="AA47" i="57"/>
  <c r="Z47" i="57"/>
  <c r="AH46" i="57"/>
  <c r="AG46" i="57"/>
  <c r="AF46" i="57"/>
  <c r="AC46" i="57"/>
  <c r="AB46" i="57"/>
  <c r="AA46" i="57"/>
  <c r="Z46" i="57"/>
  <c r="AH45" i="57"/>
  <c r="AG45" i="57"/>
  <c r="AF45" i="57"/>
  <c r="AC45" i="57"/>
  <c r="AB45" i="57"/>
  <c r="AA45" i="57"/>
  <c r="Z45" i="57"/>
  <c r="AH44" i="57"/>
  <c r="AG44" i="57"/>
  <c r="AF44" i="57"/>
  <c r="AC44" i="57"/>
  <c r="AB44" i="57"/>
  <c r="AA44" i="57"/>
  <c r="Z44" i="57"/>
  <c r="AH43" i="57"/>
  <c r="AG43" i="57"/>
  <c r="AF43" i="57"/>
  <c r="AC43" i="57"/>
  <c r="AB43" i="57"/>
  <c r="AA43" i="57"/>
  <c r="Z43" i="57"/>
  <c r="AH42" i="57"/>
  <c r="AG42" i="57"/>
  <c r="AF42" i="57"/>
  <c r="AC42" i="57"/>
  <c r="AB42" i="57"/>
  <c r="AA42" i="57"/>
  <c r="Z42" i="57"/>
  <c r="AH41" i="57"/>
  <c r="AG41" i="57"/>
  <c r="AF41" i="57"/>
  <c r="AC41" i="57"/>
  <c r="AB41" i="57"/>
  <c r="AA41" i="57"/>
  <c r="Z41" i="57"/>
  <c r="AH40" i="57"/>
  <c r="AG40" i="57"/>
  <c r="AF40" i="57"/>
  <c r="AC40" i="57"/>
  <c r="AB40" i="57"/>
  <c r="AA40" i="57"/>
  <c r="Z40" i="57"/>
  <c r="AH39" i="57"/>
  <c r="AG39" i="57"/>
  <c r="AF39" i="57"/>
  <c r="AC39" i="57"/>
  <c r="AB39" i="57"/>
  <c r="AA39" i="57"/>
  <c r="Z39" i="57"/>
  <c r="AH38" i="57"/>
  <c r="AG38" i="57"/>
  <c r="AF38" i="57"/>
  <c r="AC38" i="57"/>
  <c r="AB38" i="57"/>
  <c r="AA38" i="57"/>
  <c r="Z38" i="57"/>
  <c r="AH37" i="57"/>
  <c r="AG37" i="57"/>
  <c r="AF37" i="57"/>
  <c r="AC37" i="57"/>
  <c r="AB37" i="57"/>
  <c r="AA37" i="57"/>
  <c r="Z37" i="57"/>
  <c r="AH36" i="57"/>
  <c r="AG36" i="57"/>
  <c r="AF36" i="57"/>
  <c r="AC36" i="57"/>
  <c r="AB36" i="57"/>
  <c r="AA36" i="57"/>
  <c r="Z36" i="57"/>
  <c r="AH35" i="57"/>
  <c r="AG35" i="57"/>
  <c r="AF35" i="57"/>
  <c r="AC35" i="57"/>
  <c r="AB35" i="57"/>
  <c r="AA35" i="57"/>
  <c r="Z35" i="57"/>
  <c r="AH34" i="57"/>
  <c r="AG34" i="57"/>
  <c r="AF34" i="57"/>
  <c r="AC34" i="57"/>
  <c r="AB34" i="57"/>
  <c r="AA34" i="57"/>
  <c r="Z34" i="57"/>
  <c r="AH33" i="57"/>
  <c r="AG33" i="57"/>
  <c r="AF33" i="57"/>
  <c r="AC33" i="57"/>
  <c r="AB33" i="57"/>
  <c r="AA33" i="57"/>
  <c r="Z33" i="57"/>
  <c r="AH32" i="57"/>
  <c r="AG32" i="57"/>
  <c r="AF32" i="57"/>
  <c r="AC32" i="57"/>
  <c r="AB32" i="57"/>
  <c r="AA32" i="57"/>
  <c r="Z32" i="57"/>
  <c r="AH31" i="57"/>
  <c r="AG31" i="57"/>
  <c r="AF31" i="57"/>
  <c r="AC31" i="57"/>
  <c r="AB31" i="57"/>
  <c r="AA31" i="57"/>
  <c r="Z31" i="57"/>
  <c r="AH30" i="57"/>
  <c r="AG30" i="57"/>
  <c r="AF30" i="57"/>
  <c r="AC30" i="57"/>
  <c r="AB30" i="57"/>
  <c r="AA30" i="57"/>
  <c r="Z30" i="57"/>
  <c r="AH29" i="57"/>
  <c r="AG29" i="57"/>
  <c r="AF29" i="57"/>
  <c r="AC29" i="57"/>
  <c r="AB29" i="57"/>
  <c r="AA29" i="57"/>
  <c r="Z29" i="57"/>
  <c r="AH28" i="57"/>
  <c r="AG28" i="57"/>
  <c r="AF28" i="57"/>
  <c r="AC28" i="57"/>
  <c r="AB28" i="57"/>
  <c r="AA28" i="57"/>
  <c r="Z28" i="57"/>
  <c r="AH27" i="57"/>
  <c r="AG27" i="57"/>
  <c r="AF27" i="57"/>
  <c r="AC27" i="57"/>
  <c r="AB27" i="57"/>
  <c r="AA27" i="57"/>
  <c r="Z27" i="57"/>
  <c r="AH26" i="57"/>
  <c r="AG26" i="57"/>
  <c r="AF26" i="57"/>
  <c r="AC26" i="57"/>
  <c r="AB26" i="57"/>
  <c r="AA26" i="57"/>
  <c r="Z26" i="57"/>
  <c r="AH25" i="57"/>
  <c r="AG25" i="57"/>
  <c r="AF25" i="57"/>
  <c r="AC25" i="57"/>
  <c r="AB25" i="57"/>
  <c r="AA25" i="57"/>
  <c r="Z25" i="57"/>
  <c r="AH24" i="57"/>
  <c r="AG24" i="57"/>
  <c r="AF24" i="57"/>
  <c r="AC24" i="57"/>
  <c r="AB24" i="57"/>
  <c r="AA24" i="57"/>
  <c r="Z24" i="57"/>
  <c r="AH23" i="57"/>
  <c r="AG23" i="57"/>
  <c r="AF23" i="57"/>
  <c r="AC23" i="57"/>
  <c r="AB23" i="57"/>
  <c r="AA23" i="57"/>
  <c r="Z23" i="57"/>
  <c r="AH22" i="57"/>
  <c r="AG22" i="57"/>
  <c r="AF22" i="57"/>
  <c r="AC22" i="57"/>
  <c r="AB22" i="57"/>
  <c r="AA22" i="57"/>
  <c r="Z22" i="57"/>
  <c r="AH21" i="57"/>
  <c r="AG21" i="57"/>
  <c r="AF21" i="57"/>
  <c r="AC21" i="57"/>
  <c r="AB21" i="57"/>
  <c r="AA21" i="57"/>
  <c r="Z21" i="57"/>
  <c r="AH20" i="57"/>
  <c r="AG20" i="57"/>
  <c r="AF20" i="57"/>
  <c r="AC20" i="57"/>
  <c r="AB20" i="57"/>
  <c r="AA20" i="57"/>
  <c r="Z20" i="57"/>
  <c r="AH19" i="57"/>
  <c r="AG19" i="57"/>
  <c r="AF19" i="57"/>
  <c r="AC19" i="57"/>
  <c r="AB19" i="57"/>
  <c r="AA19" i="57"/>
  <c r="Z19" i="57"/>
  <c r="AH18" i="57"/>
  <c r="AG18" i="57"/>
  <c r="AF18" i="57"/>
  <c r="AC18" i="57"/>
  <c r="AB18" i="57"/>
  <c r="AA18" i="57"/>
  <c r="Z18" i="57"/>
  <c r="AH17" i="57"/>
  <c r="AG17" i="57"/>
  <c r="AF17" i="57"/>
  <c r="AC17" i="57"/>
  <c r="AB17" i="57"/>
  <c r="AA17" i="57"/>
  <c r="Z17" i="57"/>
  <c r="AH16" i="57"/>
  <c r="AG16" i="57"/>
  <c r="AF16" i="57"/>
  <c r="AC16" i="57"/>
  <c r="AB16" i="57"/>
  <c r="AA16" i="57"/>
  <c r="Z16" i="57"/>
  <c r="AH15" i="57"/>
  <c r="AG15" i="57"/>
  <c r="AF15" i="57"/>
  <c r="AC15" i="57"/>
  <c r="AB15" i="57"/>
  <c r="AA15" i="57"/>
  <c r="Z15" i="57"/>
  <c r="AH14" i="57"/>
  <c r="AG14" i="57"/>
  <c r="AF14" i="57"/>
  <c r="AC14" i="57"/>
  <c r="AB14" i="57"/>
  <c r="AA14" i="57"/>
  <c r="Z14" i="57"/>
  <c r="AH13" i="57"/>
  <c r="AG13" i="57"/>
  <c r="AF13" i="57"/>
  <c r="AC13" i="57"/>
  <c r="AB13" i="57"/>
  <c r="AA13" i="57"/>
  <c r="Z13" i="57"/>
  <c r="AH12" i="57"/>
  <c r="AG12" i="57"/>
  <c r="AF12" i="57"/>
  <c r="AC12" i="57"/>
  <c r="AB12" i="57"/>
  <c r="AA12" i="57"/>
  <c r="Z12" i="57"/>
  <c r="AH11" i="57"/>
  <c r="AG11" i="57"/>
  <c r="AF11" i="57"/>
  <c r="AC11" i="57"/>
  <c r="AB11" i="57"/>
  <c r="AA11" i="57"/>
  <c r="Z11" i="57"/>
  <c r="AH10" i="57"/>
  <c r="AG10" i="57"/>
  <c r="AF10" i="57"/>
  <c r="AC10" i="57"/>
  <c r="AB10" i="57"/>
  <c r="AA10" i="57"/>
  <c r="Z10" i="57"/>
  <c r="AH9" i="57"/>
  <c r="AG9" i="57"/>
  <c r="AF9" i="57"/>
  <c r="AC9" i="57"/>
  <c r="AB9" i="57"/>
  <c r="AA9" i="57"/>
  <c r="Z9" i="57"/>
  <c r="AH8" i="57"/>
  <c r="AG8" i="57"/>
  <c r="AF8" i="57"/>
  <c r="AC8" i="57"/>
  <c r="AB8" i="57"/>
  <c r="AA8" i="57"/>
  <c r="Z8" i="57"/>
  <c r="AH7" i="57"/>
  <c r="AG7" i="57"/>
  <c r="AF7" i="57"/>
  <c r="AC7" i="57"/>
  <c r="AB7" i="57"/>
  <c r="AA7" i="57"/>
  <c r="Z7" i="57"/>
  <c r="AH6" i="57"/>
  <c r="AG6" i="57"/>
  <c r="AF6" i="57"/>
  <c r="AC6" i="57"/>
  <c r="AB6" i="57"/>
  <c r="AA6" i="57"/>
  <c r="Z6" i="57"/>
  <c r="AH5" i="57"/>
  <c r="AG5" i="57"/>
  <c r="AF5" i="57"/>
  <c r="AC5" i="57"/>
  <c r="AB5" i="57"/>
  <c r="AA5" i="57"/>
  <c r="Z5" i="57"/>
  <c r="AH4" i="57"/>
  <c r="AG4" i="57"/>
  <c r="AF4" i="57"/>
  <c r="AC4" i="57"/>
  <c r="AB4" i="57"/>
  <c r="AA4" i="57"/>
  <c r="Z4" i="57"/>
  <c r="AH3" i="57"/>
  <c r="AG3" i="57"/>
  <c r="AF3" i="57"/>
  <c r="AC3" i="57"/>
  <c r="AB3" i="57"/>
  <c r="AA3" i="57"/>
  <c r="Z3" i="57"/>
  <c r="AH1" i="57"/>
  <c r="AG1" i="57"/>
  <c r="AF1" i="57"/>
  <c r="AE1" i="57"/>
  <c r="AD1" i="57"/>
  <c r="AC1" i="57"/>
  <c r="AB1" i="57"/>
  <c r="AA1" i="57"/>
  <c r="Z1" i="57"/>
  <c r="Y1" i="57"/>
  <c r="AH102" i="56"/>
  <c r="AG102" i="56"/>
  <c r="AF102" i="56"/>
  <c r="AE102" i="56"/>
  <c r="AD102" i="56"/>
  <c r="AC102" i="56"/>
  <c r="AB102" i="56"/>
  <c r="AA102" i="56"/>
  <c r="Z102" i="56"/>
  <c r="Y102" i="56"/>
  <c r="AH101" i="56"/>
  <c r="AG101" i="56"/>
  <c r="AF101" i="56"/>
  <c r="AE101" i="56"/>
  <c r="AD101" i="56"/>
  <c r="AC101" i="56"/>
  <c r="AB101" i="56"/>
  <c r="AA101" i="56"/>
  <c r="Z101" i="56"/>
  <c r="Y101" i="56"/>
  <c r="AH100" i="56"/>
  <c r="AG100" i="56"/>
  <c r="AF100" i="56"/>
  <c r="AE100" i="56"/>
  <c r="AD100" i="56"/>
  <c r="AC100" i="56"/>
  <c r="AB100" i="56"/>
  <c r="AA100" i="56"/>
  <c r="Z100" i="56"/>
  <c r="Y100" i="56"/>
  <c r="AH99" i="56"/>
  <c r="AG99" i="56"/>
  <c r="AF99" i="56"/>
  <c r="AE99" i="56"/>
  <c r="AD99" i="56"/>
  <c r="AC99" i="56"/>
  <c r="AB99" i="56"/>
  <c r="AA99" i="56"/>
  <c r="Z99" i="56"/>
  <c r="Y99" i="56"/>
  <c r="AH98" i="56"/>
  <c r="AG98" i="56"/>
  <c r="AF98" i="56"/>
  <c r="AE98" i="56"/>
  <c r="AD98" i="56"/>
  <c r="AC98" i="56"/>
  <c r="AB98" i="56"/>
  <c r="AA98" i="56"/>
  <c r="Z98" i="56"/>
  <c r="Y98" i="56"/>
  <c r="AH97" i="56"/>
  <c r="AG97" i="56"/>
  <c r="AF97" i="56"/>
  <c r="AE97" i="56"/>
  <c r="AD97" i="56"/>
  <c r="AC97" i="56"/>
  <c r="AB97" i="56"/>
  <c r="AA97" i="56"/>
  <c r="Z97" i="56"/>
  <c r="Y97" i="56"/>
  <c r="AH96" i="56"/>
  <c r="AG96" i="56"/>
  <c r="AF96" i="56"/>
  <c r="AE96" i="56"/>
  <c r="AD96" i="56"/>
  <c r="AC96" i="56"/>
  <c r="AB96" i="56"/>
  <c r="AA96" i="56"/>
  <c r="Z96" i="56"/>
  <c r="Y96" i="56"/>
  <c r="AH95" i="56"/>
  <c r="AG95" i="56"/>
  <c r="AF95" i="56"/>
  <c r="AE95" i="56"/>
  <c r="AD95" i="56"/>
  <c r="AC95" i="56"/>
  <c r="AB95" i="56"/>
  <c r="AA95" i="56"/>
  <c r="Z95" i="56"/>
  <c r="Y95" i="56"/>
  <c r="AH94" i="56"/>
  <c r="AG94" i="56"/>
  <c r="AF94" i="56"/>
  <c r="AE94" i="56"/>
  <c r="AD94" i="56"/>
  <c r="AC94" i="56"/>
  <c r="AB94" i="56"/>
  <c r="AA94" i="56"/>
  <c r="Z94" i="56"/>
  <c r="Y94" i="56"/>
  <c r="AH93" i="56"/>
  <c r="AG93" i="56"/>
  <c r="AF93" i="56"/>
  <c r="AE93" i="56"/>
  <c r="AD93" i="56"/>
  <c r="AC93" i="56"/>
  <c r="AB93" i="56"/>
  <c r="AA93" i="56"/>
  <c r="Z93" i="56"/>
  <c r="Y93" i="56"/>
  <c r="AH92" i="56"/>
  <c r="AG92" i="56"/>
  <c r="AF92" i="56"/>
  <c r="AE92" i="56"/>
  <c r="AD92" i="56"/>
  <c r="AC92" i="56"/>
  <c r="AB92" i="56"/>
  <c r="AA92" i="56"/>
  <c r="Z92" i="56"/>
  <c r="Y92" i="56"/>
  <c r="AH91" i="56"/>
  <c r="AG91" i="56"/>
  <c r="AF91" i="56"/>
  <c r="AE91" i="56"/>
  <c r="AD91" i="56"/>
  <c r="AC91" i="56"/>
  <c r="AB91" i="56"/>
  <c r="AA91" i="56"/>
  <c r="Z91" i="56"/>
  <c r="Y91" i="56"/>
  <c r="AH90" i="56"/>
  <c r="AG90" i="56"/>
  <c r="AF90" i="56"/>
  <c r="AE90" i="56"/>
  <c r="AD90" i="56"/>
  <c r="AC90" i="56"/>
  <c r="AB90" i="56"/>
  <c r="AA90" i="56"/>
  <c r="Z90" i="56"/>
  <c r="Y90" i="56"/>
  <c r="AH89" i="56"/>
  <c r="AG89" i="56"/>
  <c r="AF89" i="56"/>
  <c r="AE89" i="56"/>
  <c r="AD89" i="56"/>
  <c r="AC89" i="56"/>
  <c r="AB89" i="56"/>
  <c r="AA89" i="56"/>
  <c r="Z89" i="56"/>
  <c r="Y89" i="56"/>
  <c r="AH88" i="56"/>
  <c r="AG88" i="56"/>
  <c r="AF88" i="56"/>
  <c r="AE88" i="56"/>
  <c r="AD88" i="56"/>
  <c r="AC88" i="56"/>
  <c r="AB88" i="56"/>
  <c r="AA88" i="56"/>
  <c r="Z88" i="56"/>
  <c r="Y88" i="56"/>
  <c r="AH87" i="56"/>
  <c r="AG87" i="56"/>
  <c r="AF87" i="56"/>
  <c r="AE87" i="56"/>
  <c r="AD87" i="56"/>
  <c r="AC87" i="56"/>
  <c r="AB87" i="56"/>
  <c r="AA87" i="56"/>
  <c r="Z87" i="56"/>
  <c r="Y87" i="56"/>
  <c r="AH86" i="56"/>
  <c r="AG86" i="56"/>
  <c r="AF86" i="56"/>
  <c r="AE86" i="56"/>
  <c r="AD86" i="56"/>
  <c r="AC86" i="56"/>
  <c r="AB86" i="56"/>
  <c r="AA86" i="56"/>
  <c r="Z86" i="56"/>
  <c r="Y86" i="56"/>
  <c r="AH85" i="56"/>
  <c r="AG85" i="56"/>
  <c r="AF85" i="56"/>
  <c r="AE85" i="56"/>
  <c r="AD85" i="56"/>
  <c r="AC85" i="56"/>
  <c r="AB85" i="56"/>
  <c r="AA85" i="56"/>
  <c r="Z85" i="56"/>
  <c r="Y85" i="56"/>
  <c r="AH84" i="56"/>
  <c r="AG84" i="56"/>
  <c r="AF84" i="56"/>
  <c r="AE84" i="56"/>
  <c r="AD84" i="56"/>
  <c r="AC84" i="56"/>
  <c r="AB84" i="56"/>
  <c r="AA84" i="56"/>
  <c r="Z84" i="56"/>
  <c r="Y84" i="56"/>
  <c r="AH83" i="56"/>
  <c r="AG83" i="56"/>
  <c r="AF83" i="56"/>
  <c r="AE83" i="56"/>
  <c r="AD83" i="56"/>
  <c r="AC83" i="56"/>
  <c r="AB83" i="56"/>
  <c r="AA83" i="56"/>
  <c r="Z83" i="56"/>
  <c r="Y83" i="56"/>
  <c r="AH82" i="56"/>
  <c r="AG82" i="56"/>
  <c r="AF82" i="56"/>
  <c r="AE82" i="56"/>
  <c r="AD82" i="56"/>
  <c r="AC82" i="56"/>
  <c r="AB82" i="56"/>
  <c r="AA82" i="56"/>
  <c r="Z82" i="56"/>
  <c r="Y82" i="56"/>
  <c r="AH81" i="56"/>
  <c r="AG81" i="56"/>
  <c r="AF81" i="56"/>
  <c r="AE81" i="56"/>
  <c r="AD81" i="56"/>
  <c r="AC81" i="56"/>
  <c r="AB81" i="56"/>
  <c r="AA81" i="56"/>
  <c r="Z81" i="56"/>
  <c r="Y81" i="56"/>
  <c r="AH80" i="56"/>
  <c r="AG80" i="56"/>
  <c r="AF80" i="56"/>
  <c r="AE80" i="56"/>
  <c r="AD80" i="56"/>
  <c r="AC80" i="56"/>
  <c r="AB80" i="56"/>
  <c r="AA80" i="56"/>
  <c r="Z80" i="56"/>
  <c r="Y80" i="56"/>
  <c r="AH79" i="56"/>
  <c r="AG79" i="56"/>
  <c r="AF79" i="56"/>
  <c r="AE79" i="56"/>
  <c r="AD79" i="56"/>
  <c r="AC79" i="56"/>
  <c r="AB79" i="56"/>
  <c r="AA79" i="56"/>
  <c r="Z79" i="56"/>
  <c r="Y79" i="56"/>
  <c r="AH78" i="56"/>
  <c r="AG78" i="56"/>
  <c r="AF78" i="56"/>
  <c r="AE78" i="56"/>
  <c r="AD78" i="56"/>
  <c r="AC78" i="56"/>
  <c r="AB78" i="56"/>
  <c r="AA78" i="56"/>
  <c r="Z78" i="56"/>
  <c r="Y78" i="56"/>
  <c r="AH77" i="56"/>
  <c r="AG77" i="56"/>
  <c r="AF77" i="56"/>
  <c r="AE77" i="56"/>
  <c r="AD77" i="56"/>
  <c r="AC77" i="56"/>
  <c r="AB77" i="56"/>
  <c r="AA77" i="56"/>
  <c r="Z77" i="56"/>
  <c r="Y77" i="56"/>
  <c r="AH76" i="56"/>
  <c r="AG76" i="56"/>
  <c r="AF76" i="56"/>
  <c r="AE76" i="56"/>
  <c r="AD76" i="56"/>
  <c r="AC76" i="56"/>
  <c r="AB76" i="56"/>
  <c r="AA76" i="56"/>
  <c r="Z76" i="56"/>
  <c r="Y76" i="56"/>
  <c r="AH75" i="56"/>
  <c r="AG75" i="56"/>
  <c r="AF75" i="56"/>
  <c r="AE75" i="56"/>
  <c r="AD75" i="56"/>
  <c r="AC75" i="56"/>
  <c r="AB75" i="56"/>
  <c r="AA75" i="56"/>
  <c r="Z75" i="56"/>
  <c r="Y75" i="56"/>
  <c r="AH74" i="56"/>
  <c r="AG74" i="56"/>
  <c r="AF74" i="56"/>
  <c r="AE74" i="56"/>
  <c r="AD74" i="56"/>
  <c r="AC74" i="56"/>
  <c r="AB74" i="56"/>
  <c r="AA74" i="56"/>
  <c r="Z74" i="56"/>
  <c r="Y74" i="56"/>
  <c r="AH73" i="56"/>
  <c r="AG73" i="56"/>
  <c r="AF73" i="56"/>
  <c r="AE73" i="56"/>
  <c r="AD73" i="56"/>
  <c r="AC73" i="56"/>
  <c r="AB73" i="56"/>
  <c r="AA73" i="56"/>
  <c r="Z73" i="56"/>
  <c r="Y73" i="56"/>
  <c r="AH72" i="56"/>
  <c r="AG72" i="56"/>
  <c r="AF72" i="56"/>
  <c r="AE72" i="56"/>
  <c r="AD72" i="56"/>
  <c r="AC72" i="56"/>
  <c r="AB72" i="56"/>
  <c r="AA72" i="56"/>
  <c r="Z72" i="56"/>
  <c r="Y72" i="56"/>
  <c r="AH71" i="56"/>
  <c r="AG71" i="56"/>
  <c r="AF71" i="56"/>
  <c r="AE71" i="56"/>
  <c r="AD71" i="56"/>
  <c r="AC71" i="56"/>
  <c r="AB71" i="56"/>
  <c r="AA71" i="56"/>
  <c r="Z71" i="56"/>
  <c r="Y71" i="56"/>
  <c r="AH70" i="56"/>
  <c r="AG70" i="56"/>
  <c r="AF70" i="56"/>
  <c r="AE70" i="56"/>
  <c r="AD70" i="56"/>
  <c r="AC70" i="56"/>
  <c r="AB70" i="56"/>
  <c r="AA70" i="56"/>
  <c r="Z70" i="56"/>
  <c r="Y70" i="56"/>
  <c r="AH69" i="56"/>
  <c r="AG69" i="56"/>
  <c r="AF69" i="56"/>
  <c r="AE69" i="56"/>
  <c r="AD69" i="56"/>
  <c r="AC69" i="56"/>
  <c r="AB69" i="56"/>
  <c r="AA69" i="56"/>
  <c r="Z69" i="56"/>
  <c r="Y69" i="56"/>
  <c r="AH68" i="56"/>
  <c r="AG68" i="56"/>
  <c r="AF68" i="56"/>
  <c r="AE68" i="56"/>
  <c r="AD68" i="56"/>
  <c r="AC68" i="56"/>
  <c r="AB68" i="56"/>
  <c r="AA68" i="56"/>
  <c r="Z68" i="56"/>
  <c r="Y68" i="56"/>
  <c r="AH67" i="56"/>
  <c r="AG67" i="56"/>
  <c r="AF67" i="56"/>
  <c r="AE67" i="56"/>
  <c r="AD67" i="56"/>
  <c r="AC67" i="56"/>
  <c r="AB67" i="56"/>
  <c r="AA67" i="56"/>
  <c r="Z67" i="56"/>
  <c r="Y67" i="56"/>
  <c r="AH66" i="56"/>
  <c r="AG66" i="56"/>
  <c r="AF66" i="56"/>
  <c r="AE66" i="56"/>
  <c r="AD66" i="56"/>
  <c r="AC66" i="56"/>
  <c r="AB66" i="56"/>
  <c r="AA66" i="56"/>
  <c r="Z66" i="56"/>
  <c r="Y66" i="56"/>
  <c r="AH65" i="56"/>
  <c r="AG65" i="56"/>
  <c r="AF65" i="56"/>
  <c r="AE65" i="56"/>
  <c r="AD65" i="56"/>
  <c r="AC65" i="56"/>
  <c r="AB65" i="56"/>
  <c r="AA65" i="56"/>
  <c r="Z65" i="56"/>
  <c r="Y65" i="56"/>
  <c r="AH64" i="56"/>
  <c r="AG64" i="56"/>
  <c r="AF64" i="56"/>
  <c r="AE64" i="56"/>
  <c r="AD64" i="56"/>
  <c r="AC64" i="56"/>
  <c r="AB64" i="56"/>
  <c r="AA64" i="56"/>
  <c r="Z64" i="56"/>
  <c r="Y64" i="56"/>
  <c r="AH63" i="56"/>
  <c r="AG63" i="56"/>
  <c r="AF63" i="56"/>
  <c r="AE63" i="56"/>
  <c r="AD63" i="56"/>
  <c r="AC63" i="56"/>
  <c r="AB63" i="56"/>
  <c r="AA63" i="56"/>
  <c r="Z63" i="56"/>
  <c r="Y63" i="56"/>
  <c r="AH62" i="56"/>
  <c r="AG62" i="56"/>
  <c r="AF62" i="56"/>
  <c r="AE62" i="56"/>
  <c r="AD62" i="56"/>
  <c r="AC62" i="56"/>
  <c r="AB62" i="56"/>
  <c r="AA62" i="56"/>
  <c r="Z62" i="56"/>
  <c r="Y62" i="56"/>
  <c r="AH61" i="56"/>
  <c r="AG61" i="56"/>
  <c r="AF61" i="56"/>
  <c r="AE61" i="56"/>
  <c r="AD61" i="56"/>
  <c r="AC61" i="56"/>
  <c r="AB61" i="56"/>
  <c r="AA61" i="56"/>
  <c r="Z61" i="56"/>
  <c r="Y61" i="56"/>
  <c r="AH60" i="56"/>
  <c r="AG60" i="56"/>
  <c r="AF60" i="56"/>
  <c r="AE60" i="56"/>
  <c r="AD60" i="56"/>
  <c r="AC60" i="56"/>
  <c r="AB60" i="56"/>
  <c r="AA60" i="56"/>
  <c r="Z60" i="56"/>
  <c r="Y60" i="56"/>
  <c r="AH59" i="56"/>
  <c r="AG59" i="56"/>
  <c r="AF59" i="56"/>
  <c r="AE59" i="56"/>
  <c r="AD59" i="56"/>
  <c r="AC59" i="56"/>
  <c r="AB59" i="56"/>
  <c r="AA59" i="56"/>
  <c r="Z59" i="56"/>
  <c r="Y59" i="56"/>
  <c r="AH58" i="56"/>
  <c r="AG58" i="56"/>
  <c r="AF58" i="56"/>
  <c r="AE58" i="56"/>
  <c r="AD58" i="56"/>
  <c r="AC58" i="56"/>
  <c r="AB58" i="56"/>
  <c r="AA58" i="56"/>
  <c r="Z58" i="56"/>
  <c r="Y58" i="56"/>
  <c r="AH57" i="56"/>
  <c r="AG57" i="56"/>
  <c r="AF57" i="56"/>
  <c r="AE57" i="56"/>
  <c r="AD57" i="56"/>
  <c r="AC57" i="56"/>
  <c r="AB57" i="56"/>
  <c r="AA57" i="56"/>
  <c r="Z57" i="56"/>
  <c r="Y57" i="56"/>
  <c r="AH56" i="56"/>
  <c r="AG56" i="56"/>
  <c r="AF56" i="56"/>
  <c r="AE56" i="56"/>
  <c r="AD56" i="56"/>
  <c r="AC56" i="56"/>
  <c r="AB56" i="56"/>
  <c r="AA56" i="56"/>
  <c r="Z56" i="56"/>
  <c r="Y56" i="56"/>
  <c r="AH55" i="56"/>
  <c r="AG55" i="56"/>
  <c r="AF55" i="56"/>
  <c r="AE55" i="56"/>
  <c r="AD55" i="56"/>
  <c r="AC55" i="56"/>
  <c r="AB55" i="56"/>
  <c r="AA55" i="56"/>
  <c r="Z55" i="56"/>
  <c r="Y55" i="56"/>
  <c r="AH54" i="56"/>
  <c r="AG54" i="56"/>
  <c r="AF54" i="56"/>
  <c r="AE54" i="56"/>
  <c r="AD54" i="56"/>
  <c r="AC54" i="56"/>
  <c r="AB54" i="56"/>
  <c r="AA54" i="56"/>
  <c r="Z54" i="56"/>
  <c r="Y54" i="56"/>
  <c r="AH53" i="56"/>
  <c r="AG53" i="56"/>
  <c r="AF53" i="56"/>
  <c r="AE53" i="56"/>
  <c r="AC53" i="56"/>
  <c r="AB53" i="56"/>
  <c r="AA53" i="56"/>
  <c r="Z53" i="56"/>
  <c r="AH52" i="56"/>
  <c r="AG52" i="56"/>
  <c r="AF52" i="56"/>
  <c r="AC52" i="56"/>
  <c r="AB52" i="56"/>
  <c r="AA52" i="56"/>
  <c r="Z52" i="56"/>
  <c r="AH51" i="56"/>
  <c r="AG51" i="56"/>
  <c r="AF51" i="56"/>
  <c r="AC51" i="56"/>
  <c r="AB51" i="56"/>
  <c r="AA51" i="56"/>
  <c r="Z51" i="56"/>
  <c r="AH50" i="56"/>
  <c r="AG50" i="56"/>
  <c r="AF50" i="56"/>
  <c r="AC50" i="56"/>
  <c r="AB50" i="56"/>
  <c r="AA50" i="56"/>
  <c r="Z50" i="56"/>
  <c r="AH49" i="56"/>
  <c r="AG49" i="56"/>
  <c r="AF49" i="56"/>
  <c r="AC49" i="56"/>
  <c r="AB49" i="56"/>
  <c r="AA49" i="56"/>
  <c r="Z49" i="56"/>
  <c r="AH48" i="56"/>
  <c r="AG48" i="56"/>
  <c r="AF48" i="56"/>
  <c r="AC48" i="56"/>
  <c r="AB48" i="56"/>
  <c r="AA48" i="56"/>
  <c r="Z48" i="56"/>
  <c r="AH47" i="56"/>
  <c r="AG47" i="56"/>
  <c r="AF47" i="56"/>
  <c r="AC47" i="56"/>
  <c r="AB47" i="56"/>
  <c r="AA47" i="56"/>
  <c r="Z47" i="56"/>
  <c r="AH46" i="56"/>
  <c r="AG46" i="56"/>
  <c r="AF46" i="56"/>
  <c r="AC46" i="56"/>
  <c r="AB46" i="56"/>
  <c r="AA46" i="56"/>
  <c r="Z46" i="56"/>
  <c r="AH45" i="56"/>
  <c r="AG45" i="56"/>
  <c r="AF45" i="56"/>
  <c r="AC45" i="56"/>
  <c r="AB45" i="56"/>
  <c r="AA45" i="56"/>
  <c r="Z45" i="56"/>
  <c r="AH44" i="56"/>
  <c r="AG44" i="56"/>
  <c r="AF44" i="56"/>
  <c r="AC44" i="56"/>
  <c r="AB44" i="56"/>
  <c r="AA44" i="56"/>
  <c r="Z44" i="56"/>
  <c r="AH43" i="56"/>
  <c r="AG43" i="56"/>
  <c r="AF43" i="56"/>
  <c r="AC43" i="56"/>
  <c r="AB43" i="56"/>
  <c r="AA43" i="56"/>
  <c r="Z43" i="56"/>
  <c r="AH42" i="56"/>
  <c r="AG42" i="56"/>
  <c r="AF42" i="56"/>
  <c r="AC42" i="56"/>
  <c r="AB42" i="56"/>
  <c r="AA42" i="56"/>
  <c r="Z42" i="56"/>
  <c r="AH41" i="56"/>
  <c r="AG41" i="56"/>
  <c r="AF41" i="56"/>
  <c r="AC41" i="56"/>
  <c r="AB41" i="56"/>
  <c r="AA41" i="56"/>
  <c r="Z41" i="56"/>
  <c r="AH40" i="56"/>
  <c r="AG40" i="56"/>
  <c r="AF40" i="56"/>
  <c r="AC40" i="56"/>
  <c r="AB40" i="56"/>
  <c r="AA40" i="56"/>
  <c r="Z40" i="56"/>
  <c r="AH39" i="56"/>
  <c r="AG39" i="56"/>
  <c r="AF39" i="56"/>
  <c r="AC39" i="56"/>
  <c r="AB39" i="56"/>
  <c r="AA39" i="56"/>
  <c r="Z39" i="56"/>
  <c r="AH38" i="56"/>
  <c r="AG38" i="56"/>
  <c r="AF38" i="56"/>
  <c r="AC38" i="56"/>
  <c r="AB38" i="56"/>
  <c r="AA38" i="56"/>
  <c r="Z38" i="56"/>
  <c r="AH37" i="56"/>
  <c r="AG37" i="56"/>
  <c r="AF37" i="56"/>
  <c r="AC37" i="56"/>
  <c r="AB37" i="56"/>
  <c r="AA37" i="56"/>
  <c r="Z37" i="56"/>
  <c r="AH36" i="56"/>
  <c r="AG36" i="56"/>
  <c r="AF36" i="56"/>
  <c r="AC36" i="56"/>
  <c r="AB36" i="56"/>
  <c r="AA36" i="56"/>
  <c r="Z36" i="56"/>
  <c r="AH35" i="56"/>
  <c r="AG35" i="56"/>
  <c r="AF35" i="56"/>
  <c r="AC35" i="56"/>
  <c r="AB35" i="56"/>
  <c r="AA35" i="56"/>
  <c r="Z35" i="56"/>
  <c r="AH34" i="56"/>
  <c r="AG34" i="56"/>
  <c r="AF34" i="56"/>
  <c r="AC34" i="56"/>
  <c r="AB34" i="56"/>
  <c r="AA34" i="56"/>
  <c r="Z34" i="56"/>
  <c r="AH33" i="56"/>
  <c r="AG33" i="56"/>
  <c r="AF33" i="56"/>
  <c r="AC33" i="56"/>
  <c r="AB33" i="56"/>
  <c r="AA33" i="56"/>
  <c r="Z33" i="56"/>
  <c r="AH32" i="56"/>
  <c r="AG32" i="56"/>
  <c r="AF32" i="56"/>
  <c r="AC32" i="56"/>
  <c r="AB32" i="56"/>
  <c r="AA32" i="56"/>
  <c r="Z32" i="56"/>
  <c r="AH31" i="56"/>
  <c r="AG31" i="56"/>
  <c r="AF31" i="56"/>
  <c r="AC31" i="56"/>
  <c r="AB31" i="56"/>
  <c r="AA31" i="56"/>
  <c r="Z31" i="56"/>
  <c r="AH30" i="56"/>
  <c r="AG30" i="56"/>
  <c r="AF30" i="56"/>
  <c r="AC30" i="56"/>
  <c r="AB30" i="56"/>
  <c r="AA30" i="56"/>
  <c r="Z30" i="56"/>
  <c r="AH29" i="56"/>
  <c r="AG29" i="56"/>
  <c r="AF29" i="56"/>
  <c r="AC29" i="56"/>
  <c r="AB29" i="56"/>
  <c r="AA29" i="56"/>
  <c r="Z29" i="56"/>
  <c r="AH28" i="56"/>
  <c r="AG28" i="56"/>
  <c r="AF28" i="56"/>
  <c r="AC28" i="56"/>
  <c r="AB28" i="56"/>
  <c r="AA28" i="56"/>
  <c r="Z28" i="56"/>
  <c r="AH27" i="56"/>
  <c r="AG27" i="56"/>
  <c r="AF27" i="56"/>
  <c r="AC27" i="56"/>
  <c r="AB27" i="56"/>
  <c r="AA27" i="56"/>
  <c r="Z27" i="56"/>
  <c r="AH26" i="56"/>
  <c r="AG26" i="56"/>
  <c r="AF26" i="56"/>
  <c r="AC26" i="56"/>
  <c r="AB26" i="56"/>
  <c r="AA26" i="56"/>
  <c r="Z26" i="56"/>
  <c r="AH25" i="56"/>
  <c r="AG25" i="56"/>
  <c r="AF25" i="56"/>
  <c r="AC25" i="56"/>
  <c r="AB25" i="56"/>
  <c r="AA25" i="56"/>
  <c r="Z25" i="56"/>
  <c r="AH24" i="56"/>
  <c r="AG24" i="56"/>
  <c r="AF24" i="56"/>
  <c r="AC24" i="56"/>
  <c r="AB24" i="56"/>
  <c r="AA24" i="56"/>
  <c r="Z24" i="56"/>
  <c r="AH23" i="56"/>
  <c r="AG23" i="56"/>
  <c r="AF23" i="56"/>
  <c r="AC23" i="56"/>
  <c r="AB23" i="56"/>
  <c r="AA23" i="56"/>
  <c r="Z23" i="56"/>
  <c r="AH22" i="56"/>
  <c r="AG22" i="56"/>
  <c r="AF22" i="56"/>
  <c r="AC22" i="56"/>
  <c r="AB22" i="56"/>
  <c r="AA22" i="56"/>
  <c r="Z22" i="56"/>
  <c r="AH21" i="56"/>
  <c r="AG21" i="56"/>
  <c r="AF21" i="56"/>
  <c r="AC21" i="56"/>
  <c r="AB21" i="56"/>
  <c r="AA21" i="56"/>
  <c r="Z21" i="56"/>
  <c r="AH20" i="56"/>
  <c r="AG20" i="56"/>
  <c r="AF20" i="56"/>
  <c r="AC20" i="56"/>
  <c r="AB20" i="56"/>
  <c r="AA20" i="56"/>
  <c r="Z20" i="56"/>
  <c r="AH19" i="56"/>
  <c r="AG19" i="56"/>
  <c r="AF19" i="56"/>
  <c r="AC19" i="56"/>
  <c r="AB19" i="56"/>
  <c r="AA19" i="56"/>
  <c r="Z19" i="56"/>
  <c r="AH18" i="56"/>
  <c r="AG18" i="56"/>
  <c r="AF18" i="56"/>
  <c r="AC18" i="56"/>
  <c r="AB18" i="56"/>
  <c r="AA18" i="56"/>
  <c r="Z18" i="56"/>
  <c r="AH17" i="56"/>
  <c r="AG17" i="56"/>
  <c r="AF17" i="56"/>
  <c r="AC17" i="56"/>
  <c r="AB17" i="56"/>
  <c r="AA17" i="56"/>
  <c r="Z17" i="56"/>
  <c r="AH16" i="56"/>
  <c r="AG16" i="56"/>
  <c r="AF16" i="56"/>
  <c r="AC16" i="56"/>
  <c r="AB16" i="56"/>
  <c r="AA16" i="56"/>
  <c r="Z16" i="56"/>
  <c r="AH15" i="56"/>
  <c r="AG15" i="56"/>
  <c r="AF15" i="56"/>
  <c r="AC15" i="56"/>
  <c r="AB15" i="56"/>
  <c r="AA15" i="56"/>
  <c r="Z15" i="56"/>
  <c r="AH14" i="56"/>
  <c r="AG14" i="56"/>
  <c r="AF14" i="56"/>
  <c r="AC14" i="56"/>
  <c r="AB14" i="56"/>
  <c r="AA14" i="56"/>
  <c r="Z14" i="56"/>
  <c r="AH13" i="56"/>
  <c r="AG13" i="56"/>
  <c r="AF13" i="56"/>
  <c r="AC13" i="56"/>
  <c r="AB13" i="56"/>
  <c r="AA13" i="56"/>
  <c r="Z13" i="56"/>
  <c r="AH12" i="56"/>
  <c r="AG12" i="56"/>
  <c r="AF12" i="56"/>
  <c r="AC12" i="56"/>
  <c r="AB12" i="56"/>
  <c r="AA12" i="56"/>
  <c r="Z12" i="56"/>
  <c r="AH11" i="56"/>
  <c r="AG11" i="56"/>
  <c r="AF11" i="56"/>
  <c r="AC11" i="56"/>
  <c r="AB11" i="56"/>
  <c r="AA11" i="56"/>
  <c r="Z11" i="56"/>
  <c r="AH10" i="56"/>
  <c r="AG10" i="56"/>
  <c r="AF10" i="56"/>
  <c r="AC10" i="56"/>
  <c r="AB10" i="56"/>
  <c r="AA10" i="56"/>
  <c r="Z10" i="56"/>
  <c r="AH9" i="56"/>
  <c r="AG9" i="56"/>
  <c r="AF9" i="56"/>
  <c r="AC9" i="56"/>
  <c r="AB9" i="56"/>
  <c r="AA9" i="56"/>
  <c r="Z9" i="56"/>
  <c r="AH8" i="56"/>
  <c r="AG8" i="56"/>
  <c r="AF8" i="56"/>
  <c r="AC8" i="56"/>
  <c r="AB8" i="56"/>
  <c r="AA8" i="56"/>
  <c r="Z8" i="56"/>
  <c r="AH7" i="56"/>
  <c r="AG7" i="56"/>
  <c r="AF7" i="56"/>
  <c r="AC7" i="56"/>
  <c r="AB7" i="56"/>
  <c r="AA7" i="56"/>
  <c r="Z7" i="56"/>
  <c r="AH6" i="56"/>
  <c r="AG6" i="56"/>
  <c r="AF6" i="56"/>
  <c r="AC6" i="56"/>
  <c r="AB6" i="56"/>
  <c r="AA6" i="56"/>
  <c r="Z6" i="56"/>
  <c r="AH5" i="56"/>
  <c r="AG5" i="56"/>
  <c r="AF5" i="56"/>
  <c r="AC5" i="56"/>
  <c r="AB5" i="56"/>
  <c r="AA5" i="56"/>
  <c r="Z5" i="56"/>
  <c r="AH4" i="56"/>
  <c r="AG4" i="56"/>
  <c r="AF4" i="56"/>
  <c r="AC4" i="56"/>
  <c r="AB4" i="56"/>
  <c r="AA4" i="56"/>
  <c r="Z4" i="56"/>
  <c r="AH3" i="56"/>
  <c r="AG3" i="56"/>
  <c r="AF3" i="56"/>
  <c r="AC3" i="56"/>
  <c r="AB3" i="56"/>
  <c r="AA3" i="56"/>
  <c r="Z3" i="56"/>
  <c r="AH1" i="56"/>
  <c r="AG1" i="56"/>
  <c r="AF1" i="56"/>
  <c r="AE1" i="56"/>
  <c r="AD1" i="56"/>
  <c r="AC1" i="56"/>
  <c r="AB1" i="56"/>
  <c r="AA1" i="56"/>
  <c r="Z1" i="56"/>
  <c r="Y1" i="56"/>
  <c r="B115" i="55"/>
  <c r="AC105" i="55"/>
  <c r="JO102" i="55"/>
  <c r="JN102" i="55"/>
  <c r="JM102" i="55"/>
  <c r="JL102" i="55"/>
  <c r="JK102" i="55"/>
  <c r="JJ102" i="55"/>
  <c r="JI102" i="55"/>
  <c r="JH102" i="55"/>
  <c r="JG102" i="55"/>
  <c r="JF102" i="55"/>
  <c r="JE102" i="55"/>
  <c r="JD102" i="55"/>
  <c r="JC102" i="55"/>
  <c r="JB102" i="55"/>
  <c r="JA102" i="55"/>
  <c r="IZ102" i="55"/>
  <c r="IY102" i="55"/>
  <c r="IX102" i="55"/>
  <c r="IW102" i="55"/>
  <c r="IV102" i="55"/>
  <c r="IU102" i="55"/>
  <c r="IT102" i="55"/>
  <c r="IS102" i="55"/>
  <c r="IR102" i="55"/>
  <c r="IQ102" i="55"/>
  <c r="IP102" i="55"/>
  <c r="IO102" i="55"/>
  <c r="IN102" i="55"/>
  <c r="IM102" i="55"/>
  <c r="IL102" i="55"/>
  <c r="IK102" i="55"/>
  <c r="IJ102" i="55"/>
  <c r="II102" i="55"/>
  <c r="IH102" i="55"/>
  <c r="IG102" i="55"/>
  <c r="IF102" i="55"/>
  <c r="IE102" i="55"/>
  <c r="ID102" i="55"/>
  <c r="IC102" i="55"/>
  <c r="IB102" i="55"/>
  <c r="IA102" i="55"/>
  <c r="HZ102" i="55"/>
  <c r="HY102" i="55"/>
  <c r="HX102" i="55"/>
  <c r="HW102" i="55"/>
  <c r="HV102" i="55"/>
  <c r="HU102" i="55"/>
  <c r="HT102" i="55"/>
  <c r="HS102" i="55"/>
  <c r="HR102" i="55"/>
  <c r="HQ102" i="55"/>
  <c r="HP102" i="55"/>
  <c r="HO102" i="55"/>
  <c r="HN102" i="55"/>
  <c r="HM102" i="55"/>
  <c r="HL102" i="55"/>
  <c r="HK102" i="55"/>
  <c r="HJ102" i="55"/>
  <c r="HI102" i="55"/>
  <c r="HH102" i="55"/>
  <c r="HG102" i="55"/>
  <c r="HF102" i="55"/>
  <c r="HE102" i="55"/>
  <c r="HD102" i="55"/>
  <c r="HC102" i="55"/>
  <c r="HB102" i="55"/>
  <c r="HA102" i="55"/>
  <c r="GZ102" i="55"/>
  <c r="GY102" i="55"/>
  <c r="GX102" i="55"/>
  <c r="GW102" i="55"/>
  <c r="GV102" i="55"/>
  <c r="GU102" i="55"/>
  <c r="GT102" i="55"/>
  <c r="GS102" i="55"/>
  <c r="GR102" i="55"/>
  <c r="GQ102" i="55"/>
  <c r="GP102" i="55"/>
  <c r="GO102" i="55"/>
  <c r="GN102" i="55"/>
  <c r="GM102" i="55"/>
  <c r="GL102" i="55"/>
  <c r="GK102" i="55"/>
  <c r="GJ102" i="55"/>
  <c r="GI102" i="55"/>
  <c r="GH102" i="55"/>
  <c r="GG102" i="55"/>
  <c r="GF102" i="55"/>
  <c r="GE102" i="55"/>
  <c r="GD102" i="55"/>
  <c r="GC102" i="55"/>
  <c r="GB102" i="55"/>
  <c r="GA102" i="55"/>
  <c r="FZ102" i="55"/>
  <c r="FY102" i="55"/>
  <c r="FX102" i="55"/>
  <c r="FW102" i="55"/>
  <c r="FV102" i="55"/>
  <c r="FU102" i="55"/>
  <c r="FT102" i="55"/>
  <c r="AD102" i="55"/>
  <c r="AA102" i="55"/>
  <c r="Z102" i="55"/>
  <c r="Y102" i="55"/>
  <c r="X102" i="55"/>
  <c r="W102" i="55"/>
  <c r="V102" i="55"/>
  <c r="U102" i="55"/>
  <c r="T102" i="55"/>
  <c r="S102" i="55"/>
  <c r="R102" i="55"/>
  <c r="Q102" i="55"/>
  <c r="P102" i="55"/>
  <c r="O102" i="55"/>
  <c r="N102" i="55"/>
  <c r="M102" i="55"/>
  <c r="L102" i="55"/>
  <c r="BV102" i="55" s="1"/>
  <c r="X102" i="57" s="1"/>
  <c r="K102" i="55"/>
  <c r="BU102" i="55" s="1"/>
  <c r="W102" i="57" s="1"/>
  <c r="J102" i="55"/>
  <c r="AZ102" i="55" s="1"/>
  <c r="I102" i="55"/>
  <c r="AY102" i="55" s="1"/>
  <c r="H102" i="55"/>
  <c r="G102" i="55"/>
  <c r="BQ102" i="55" s="1"/>
  <c r="S102" i="57" s="1"/>
  <c r="F102" i="55"/>
  <c r="BP102" i="55" s="1"/>
  <c r="R102" i="57" s="1"/>
  <c r="E102" i="55"/>
  <c r="D102" i="55"/>
  <c r="BN102" i="55" s="1"/>
  <c r="P102" i="57" s="1"/>
  <c r="C102" i="55"/>
  <c r="BM102" i="55" s="1"/>
  <c r="O102" i="57" s="1"/>
  <c r="B102" i="55"/>
  <c r="AG102" i="55" s="1"/>
  <c r="B102" i="57" s="1"/>
  <c r="A102" i="55"/>
  <c r="AF102" i="55" s="1"/>
  <c r="A102" i="57" s="1"/>
  <c r="JO101" i="55"/>
  <c r="JN101" i="55"/>
  <c r="JM101" i="55"/>
  <c r="JL101" i="55"/>
  <c r="JK101" i="55"/>
  <c r="JJ101" i="55"/>
  <c r="JI101" i="55"/>
  <c r="JH101" i="55"/>
  <c r="JG101" i="55"/>
  <c r="JF101" i="55"/>
  <c r="JE101" i="55"/>
  <c r="JD101" i="55"/>
  <c r="JC101" i="55"/>
  <c r="JB101" i="55"/>
  <c r="JA101" i="55"/>
  <c r="IZ101" i="55"/>
  <c r="IY101" i="55"/>
  <c r="IX101" i="55"/>
  <c r="IW101" i="55"/>
  <c r="IV101" i="55"/>
  <c r="IU101" i="55"/>
  <c r="IT101" i="55"/>
  <c r="IS101" i="55"/>
  <c r="IR101" i="55"/>
  <c r="IQ101" i="55"/>
  <c r="IP101" i="55"/>
  <c r="IO101" i="55"/>
  <c r="IN101" i="55"/>
  <c r="IM101" i="55"/>
  <c r="IL101" i="55"/>
  <c r="IK101" i="55"/>
  <c r="IJ101" i="55"/>
  <c r="II101" i="55"/>
  <c r="IH101" i="55"/>
  <c r="IG101" i="55"/>
  <c r="IF101" i="55"/>
  <c r="IE101" i="55"/>
  <c r="ID101" i="55"/>
  <c r="IC101" i="55"/>
  <c r="IB101" i="55"/>
  <c r="IA101" i="55"/>
  <c r="HZ101" i="55"/>
  <c r="HY101" i="55"/>
  <c r="HX101" i="55"/>
  <c r="HW101" i="55"/>
  <c r="HV101" i="55"/>
  <c r="HU101" i="55"/>
  <c r="HT101" i="55"/>
  <c r="HS101" i="55"/>
  <c r="HR101" i="55"/>
  <c r="HQ101" i="55"/>
  <c r="HP101" i="55"/>
  <c r="HO101" i="55"/>
  <c r="HN101" i="55"/>
  <c r="HM101" i="55"/>
  <c r="HL101" i="55"/>
  <c r="HK101" i="55"/>
  <c r="HJ101" i="55"/>
  <c r="HI101" i="55"/>
  <c r="HH101" i="55"/>
  <c r="HG101" i="55"/>
  <c r="HF101" i="55"/>
  <c r="HE101" i="55"/>
  <c r="HD101" i="55"/>
  <c r="HC101" i="55"/>
  <c r="HB101" i="55"/>
  <c r="HA101" i="55"/>
  <c r="GZ101" i="55"/>
  <c r="GY101" i="55"/>
  <c r="GX101" i="55"/>
  <c r="GW101" i="55"/>
  <c r="GV101" i="55"/>
  <c r="GU101" i="55"/>
  <c r="GT101" i="55"/>
  <c r="GS101" i="55"/>
  <c r="GR101" i="55"/>
  <c r="GQ101" i="55"/>
  <c r="GP101" i="55"/>
  <c r="GO101" i="55"/>
  <c r="GN101" i="55"/>
  <c r="GM101" i="55"/>
  <c r="GL101" i="55"/>
  <c r="GK101" i="55"/>
  <c r="GJ101" i="55"/>
  <c r="GI101" i="55"/>
  <c r="GH101" i="55"/>
  <c r="GG101" i="55"/>
  <c r="GF101" i="55"/>
  <c r="GE101" i="55"/>
  <c r="GD101" i="55"/>
  <c r="GC101" i="55"/>
  <c r="GB101" i="55"/>
  <c r="GA101" i="55"/>
  <c r="FZ101" i="55"/>
  <c r="FY101" i="55"/>
  <c r="FX101" i="55"/>
  <c r="FW101" i="55"/>
  <c r="FV101" i="55"/>
  <c r="FU101" i="55"/>
  <c r="FT101" i="55"/>
  <c r="BB101" i="55"/>
  <c r="AD101" i="55"/>
  <c r="AA101" i="55"/>
  <c r="Z101" i="55"/>
  <c r="Y101" i="55"/>
  <c r="X101" i="55"/>
  <c r="W101" i="55"/>
  <c r="V101" i="55"/>
  <c r="U101" i="55"/>
  <c r="T101" i="55"/>
  <c r="S101" i="55"/>
  <c r="R101" i="55"/>
  <c r="Q101" i="55"/>
  <c r="P101" i="55"/>
  <c r="O101" i="55"/>
  <c r="N101" i="55"/>
  <c r="M101" i="55"/>
  <c r="L101" i="55"/>
  <c r="BV101" i="55" s="1"/>
  <c r="X101" i="57" s="1"/>
  <c r="K101" i="55"/>
  <c r="BA101" i="55" s="1"/>
  <c r="J101" i="55"/>
  <c r="I101" i="55"/>
  <c r="BI101" i="55" s="1"/>
  <c r="K101" i="57" s="1"/>
  <c r="H101" i="55"/>
  <c r="BR101" i="55" s="1"/>
  <c r="T101" i="57" s="1"/>
  <c r="G101" i="55"/>
  <c r="BQ101" i="55" s="1"/>
  <c r="S101" i="57" s="1"/>
  <c r="F101" i="55"/>
  <c r="E101" i="55"/>
  <c r="BO101" i="55" s="1"/>
  <c r="Q101" i="57" s="1"/>
  <c r="D101" i="55"/>
  <c r="BN101" i="55" s="1"/>
  <c r="P101" i="57" s="1"/>
  <c r="C101" i="55"/>
  <c r="AS101" i="55" s="1"/>
  <c r="B101" i="55"/>
  <c r="AG101" i="55" s="1"/>
  <c r="B101" i="57" s="1"/>
  <c r="A101" i="55"/>
  <c r="AF101" i="55" s="1"/>
  <c r="A101" i="57" s="1"/>
  <c r="JO100" i="55"/>
  <c r="JN100" i="55"/>
  <c r="JM100" i="55"/>
  <c r="JL100" i="55"/>
  <c r="JK100" i="55"/>
  <c r="JJ100" i="55"/>
  <c r="JI100" i="55"/>
  <c r="JH100" i="55"/>
  <c r="JG100" i="55"/>
  <c r="JF100" i="55"/>
  <c r="JE100" i="55"/>
  <c r="JD100" i="55"/>
  <c r="JC100" i="55"/>
  <c r="JB100" i="55"/>
  <c r="JA100" i="55"/>
  <c r="IZ100" i="55"/>
  <c r="IY100" i="55"/>
  <c r="IX100" i="55"/>
  <c r="IW100" i="55"/>
  <c r="IV100" i="55"/>
  <c r="IU100" i="55"/>
  <c r="IT100" i="55"/>
  <c r="IS100" i="55"/>
  <c r="IR100" i="55"/>
  <c r="IQ100" i="55"/>
  <c r="IP100" i="55"/>
  <c r="IO100" i="55"/>
  <c r="IN100" i="55"/>
  <c r="IM100" i="55"/>
  <c r="IL100" i="55"/>
  <c r="IK100" i="55"/>
  <c r="IJ100" i="55"/>
  <c r="II100" i="55"/>
  <c r="IH100" i="55"/>
  <c r="IG100" i="55"/>
  <c r="IF100" i="55"/>
  <c r="IE100" i="55"/>
  <c r="ID100" i="55"/>
  <c r="IC100" i="55"/>
  <c r="IB100" i="55"/>
  <c r="IA100" i="55"/>
  <c r="HZ100" i="55"/>
  <c r="HY100" i="55"/>
  <c r="HX100" i="55"/>
  <c r="HW100" i="55"/>
  <c r="HV100" i="55"/>
  <c r="HU100" i="55"/>
  <c r="HT100" i="55"/>
  <c r="HS100" i="55"/>
  <c r="HR100" i="55"/>
  <c r="HQ100" i="55"/>
  <c r="HP100" i="55"/>
  <c r="HO100" i="55"/>
  <c r="HN100" i="55"/>
  <c r="HM100" i="55"/>
  <c r="HL100" i="55"/>
  <c r="HK100" i="55"/>
  <c r="HJ100" i="55"/>
  <c r="HI100" i="55"/>
  <c r="HH100" i="55"/>
  <c r="HG100" i="55"/>
  <c r="HF100" i="55"/>
  <c r="HE100" i="55"/>
  <c r="HD100" i="55"/>
  <c r="HC100" i="55"/>
  <c r="HB100" i="55"/>
  <c r="HA100" i="55"/>
  <c r="GZ100" i="55"/>
  <c r="GY100" i="55"/>
  <c r="GX100" i="55"/>
  <c r="GW100" i="55"/>
  <c r="GV100" i="55"/>
  <c r="GU100" i="55"/>
  <c r="GT100" i="55"/>
  <c r="GS100" i="55"/>
  <c r="GR100" i="55"/>
  <c r="GQ100" i="55"/>
  <c r="GP100" i="55"/>
  <c r="GO100" i="55"/>
  <c r="GN100" i="55"/>
  <c r="GM100" i="55"/>
  <c r="GL100" i="55"/>
  <c r="GK100" i="55"/>
  <c r="GJ100" i="55"/>
  <c r="GI100" i="55"/>
  <c r="GH100" i="55"/>
  <c r="GG100" i="55"/>
  <c r="GF100" i="55"/>
  <c r="GE100" i="55"/>
  <c r="GD100" i="55"/>
  <c r="GC100" i="55"/>
  <c r="GB100" i="55"/>
  <c r="GA100" i="55"/>
  <c r="FZ100" i="55"/>
  <c r="FY100" i="55"/>
  <c r="FX100" i="55"/>
  <c r="FW100" i="55"/>
  <c r="FV100" i="55"/>
  <c r="FU100" i="55"/>
  <c r="FT100" i="55"/>
  <c r="AD100" i="55"/>
  <c r="AA100" i="55"/>
  <c r="Z100" i="55"/>
  <c r="Y100" i="55"/>
  <c r="X100" i="55"/>
  <c r="W100" i="55"/>
  <c r="V100" i="55"/>
  <c r="U100" i="55"/>
  <c r="T100" i="55"/>
  <c r="S100" i="55"/>
  <c r="R100" i="55"/>
  <c r="Q100" i="55"/>
  <c r="P100" i="55"/>
  <c r="O100" i="55"/>
  <c r="N100" i="55"/>
  <c r="M100" i="55"/>
  <c r="L100" i="55"/>
  <c r="BB100" i="55" s="1"/>
  <c r="K100" i="55"/>
  <c r="BA100" i="55" s="1"/>
  <c r="J100" i="55"/>
  <c r="I100" i="55"/>
  <c r="BS100" i="55" s="1"/>
  <c r="U100" i="57" s="1"/>
  <c r="H100" i="55"/>
  <c r="BR100" i="55" s="1"/>
  <c r="T100" i="57" s="1"/>
  <c r="G100" i="55"/>
  <c r="BQ100" i="55" s="1"/>
  <c r="S100" i="57" s="1"/>
  <c r="F100" i="55"/>
  <c r="E100" i="55"/>
  <c r="BO100" i="55" s="1"/>
  <c r="Q100" i="57" s="1"/>
  <c r="D100" i="55"/>
  <c r="AT100" i="55" s="1"/>
  <c r="C100" i="55"/>
  <c r="B100" i="55"/>
  <c r="AG100" i="55" s="1"/>
  <c r="B100" i="57" s="1"/>
  <c r="A100" i="55"/>
  <c r="AF100" i="55" s="1"/>
  <c r="A100" i="57" s="1"/>
  <c r="JO99" i="55"/>
  <c r="JN99" i="55"/>
  <c r="JM99" i="55"/>
  <c r="JL99" i="55"/>
  <c r="JK99" i="55"/>
  <c r="JJ99" i="55"/>
  <c r="JI99" i="55"/>
  <c r="JH99" i="55"/>
  <c r="JG99" i="55"/>
  <c r="JF99" i="55"/>
  <c r="JE99" i="55"/>
  <c r="JD99" i="55"/>
  <c r="JC99" i="55"/>
  <c r="JB99" i="55"/>
  <c r="JA99" i="55"/>
  <c r="IZ99" i="55"/>
  <c r="IY99" i="55"/>
  <c r="IX99" i="55"/>
  <c r="IW99" i="55"/>
  <c r="IV99" i="55"/>
  <c r="IU99" i="55"/>
  <c r="IT99" i="55"/>
  <c r="IS99" i="55"/>
  <c r="IR99" i="55"/>
  <c r="IQ99" i="55"/>
  <c r="IP99" i="55"/>
  <c r="IO99" i="55"/>
  <c r="IN99" i="55"/>
  <c r="IM99" i="55"/>
  <c r="IL99" i="55"/>
  <c r="IK99" i="55"/>
  <c r="IJ99" i="55"/>
  <c r="II99" i="55"/>
  <c r="IH99" i="55"/>
  <c r="IG99" i="55"/>
  <c r="IF99" i="55"/>
  <c r="IE99" i="55"/>
  <c r="ID99" i="55"/>
  <c r="IC99" i="55"/>
  <c r="IB99" i="55"/>
  <c r="IA99" i="55"/>
  <c r="HZ99" i="55"/>
  <c r="HY99" i="55"/>
  <c r="HX99" i="55"/>
  <c r="HW99" i="55"/>
  <c r="HV99" i="55"/>
  <c r="HU99" i="55"/>
  <c r="HT99" i="55"/>
  <c r="HS99" i="55"/>
  <c r="HR99" i="55"/>
  <c r="HQ99" i="55"/>
  <c r="HP99" i="55"/>
  <c r="HO99" i="55"/>
  <c r="HN99" i="55"/>
  <c r="HM99" i="55"/>
  <c r="HL99" i="55"/>
  <c r="HK99" i="55"/>
  <c r="HJ99" i="55"/>
  <c r="HI99" i="55"/>
  <c r="HH99" i="55"/>
  <c r="HG99" i="55"/>
  <c r="HF99" i="55"/>
  <c r="HE99" i="55"/>
  <c r="HD99" i="55"/>
  <c r="HC99" i="55"/>
  <c r="HB99" i="55"/>
  <c r="HA99" i="55"/>
  <c r="GZ99" i="55"/>
  <c r="GY99" i="55"/>
  <c r="GX99" i="55"/>
  <c r="GW99" i="55"/>
  <c r="GV99" i="55"/>
  <c r="GU99" i="55"/>
  <c r="GT99" i="55"/>
  <c r="GS99" i="55"/>
  <c r="GR99" i="55"/>
  <c r="GQ99" i="55"/>
  <c r="GP99" i="55"/>
  <c r="GO99" i="55"/>
  <c r="GN99" i="55"/>
  <c r="GM99" i="55"/>
  <c r="GL99" i="55"/>
  <c r="GK99" i="55"/>
  <c r="GJ99" i="55"/>
  <c r="GI99" i="55"/>
  <c r="GH99" i="55"/>
  <c r="GG99" i="55"/>
  <c r="GF99" i="55"/>
  <c r="GE99" i="55"/>
  <c r="GD99" i="55"/>
  <c r="GC99" i="55"/>
  <c r="GB99" i="55"/>
  <c r="GA99" i="55"/>
  <c r="FZ99" i="55"/>
  <c r="FY99" i="55"/>
  <c r="FX99" i="55"/>
  <c r="FW99" i="55"/>
  <c r="FV99" i="55"/>
  <c r="FU99" i="55"/>
  <c r="FT99" i="55"/>
  <c r="AD99" i="55"/>
  <c r="AA99" i="55"/>
  <c r="Z99" i="55"/>
  <c r="Y99" i="55"/>
  <c r="X99" i="55"/>
  <c r="W99" i="55"/>
  <c r="V99" i="55"/>
  <c r="U99" i="55"/>
  <c r="T99" i="55"/>
  <c r="S99" i="55"/>
  <c r="R99" i="55"/>
  <c r="Q99" i="55"/>
  <c r="P99" i="55"/>
  <c r="O99" i="55"/>
  <c r="N99" i="55"/>
  <c r="M99" i="55"/>
  <c r="L99" i="55"/>
  <c r="BV99" i="55" s="1"/>
  <c r="X99" i="57" s="1"/>
  <c r="K99" i="55"/>
  <c r="J99" i="55"/>
  <c r="AZ99" i="55" s="1"/>
  <c r="I99" i="55"/>
  <c r="BS99" i="55" s="1"/>
  <c r="U99" i="57" s="1"/>
  <c r="H99" i="55"/>
  <c r="BR99" i="55" s="1"/>
  <c r="T99" i="57" s="1"/>
  <c r="G99" i="55"/>
  <c r="F99" i="55"/>
  <c r="BP99" i="55" s="1"/>
  <c r="R99" i="57" s="1"/>
  <c r="E99" i="55"/>
  <c r="AU99" i="55" s="1"/>
  <c r="D99" i="55"/>
  <c r="BN99" i="55" s="1"/>
  <c r="P99" i="57" s="1"/>
  <c r="C99" i="55"/>
  <c r="B99" i="55"/>
  <c r="AG99" i="55" s="1"/>
  <c r="B99" i="57" s="1"/>
  <c r="A99" i="55"/>
  <c r="AF99" i="55" s="1"/>
  <c r="A99" i="57" s="1"/>
  <c r="JO98" i="55"/>
  <c r="JN98" i="55"/>
  <c r="JM98" i="55"/>
  <c r="JL98" i="55"/>
  <c r="JK98" i="55"/>
  <c r="JJ98" i="55"/>
  <c r="JI98" i="55"/>
  <c r="JH98" i="55"/>
  <c r="JG98" i="55"/>
  <c r="JF98" i="55"/>
  <c r="JE98" i="55"/>
  <c r="JD98" i="55"/>
  <c r="JC98" i="55"/>
  <c r="JB98" i="55"/>
  <c r="JA98" i="55"/>
  <c r="IZ98" i="55"/>
  <c r="IY98" i="55"/>
  <c r="IX98" i="55"/>
  <c r="IW98" i="55"/>
  <c r="IV98" i="55"/>
  <c r="IU98" i="55"/>
  <c r="IT98" i="55"/>
  <c r="IS98" i="55"/>
  <c r="IR98" i="55"/>
  <c r="IQ98" i="55"/>
  <c r="IP98" i="55"/>
  <c r="IO98" i="55"/>
  <c r="IN98" i="55"/>
  <c r="IM98" i="55"/>
  <c r="IL98" i="55"/>
  <c r="IK98" i="55"/>
  <c r="IJ98" i="55"/>
  <c r="II98" i="55"/>
  <c r="IH98" i="55"/>
  <c r="IG98" i="55"/>
  <c r="IF98" i="55"/>
  <c r="IE98" i="55"/>
  <c r="ID98" i="55"/>
  <c r="IC98" i="55"/>
  <c r="IB98" i="55"/>
  <c r="IA98" i="55"/>
  <c r="HZ98" i="55"/>
  <c r="HY98" i="55"/>
  <c r="HX98" i="55"/>
  <c r="HW98" i="55"/>
  <c r="HV98" i="55"/>
  <c r="HU98" i="55"/>
  <c r="HT98" i="55"/>
  <c r="HS98" i="55"/>
  <c r="HR98" i="55"/>
  <c r="HQ98" i="55"/>
  <c r="HP98" i="55"/>
  <c r="HO98" i="55"/>
  <c r="HN98" i="55"/>
  <c r="HM98" i="55"/>
  <c r="HL98" i="55"/>
  <c r="HK98" i="55"/>
  <c r="HJ98" i="55"/>
  <c r="HI98" i="55"/>
  <c r="HH98" i="55"/>
  <c r="HG98" i="55"/>
  <c r="HF98" i="55"/>
  <c r="HE98" i="55"/>
  <c r="HD98" i="55"/>
  <c r="HC98" i="55"/>
  <c r="HB98" i="55"/>
  <c r="HA98" i="55"/>
  <c r="GZ98" i="55"/>
  <c r="GY98" i="55"/>
  <c r="GX98" i="55"/>
  <c r="GW98" i="55"/>
  <c r="GV98" i="55"/>
  <c r="GU98" i="55"/>
  <c r="GT98" i="55"/>
  <c r="GS98" i="55"/>
  <c r="GR98" i="55"/>
  <c r="GQ98" i="55"/>
  <c r="GP98" i="55"/>
  <c r="GO98" i="55"/>
  <c r="GN98" i="55"/>
  <c r="GM98" i="55"/>
  <c r="GL98" i="55"/>
  <c r="GK98" i="55"/>
  <c r="GJ98" i="55"/>
  <c r="GI98" i="55"/>
  <c r="GH98" i="55"/>
  <c r="GG98" i="55"/>
  <c r="GF98" i="55"/>
  <c r="GE98" i="55"/>
  <c r="GD98" i="55"/>
  <c r="GC98" i="55"/>
  <c r="GB98" i="55"/>
  <c r="GA98" i="55"/>
  <c r="FZ98" i="55"/>
  <c r="FY98" i="55"/>
  <c r="FX98" i="55"/>
  <c r="FW98" i="55"/>
  <c r="FV98" i="55"/>
  <c r="FU98" i="55"/>
  <c r="FT98" i="55"/>
  <c r="AD98" i="55"/>
  <c r="AA98" i="55"/>
  <c r="Z98" i="55"/>
  <c r="Y98" i="55"/>
  <c r="X98" i="55"/>
  <c r="W98" i="55"/>
  <c r="V98" i="55"/>
  <c r="U98" i="55"/>
  <c r="T98" i="55"/>
  <c r="S98" i="55"/>
  <c r="R98" i="55"/>
  <c r="Q98" i="55"/>
  <c r="P98" i="55"/>
  <c r="O98" i="55"/>
  <c r="N98" i="55"/>
  <c r="M98" i="55"/>
  <c r="L98" i="55"/>
  <c r="BB98" i="55" s="1"/>
  <c r="K98" i="55"/>
  <c r="J98" i="55"/>
  <c r="AZ98" i="55" s="1"/>
  <c r="I98" i="55"/>
  <c r="BS98" i="55" s="1"/>
  <c r="U98" i="57" s="1"/>
  <c r="H98" i="55"/>
  <c r="G98" i="55"/>
  <c r="BQ98" i="55" s="1"/>
  <c r="S98" i="57" s="1"/>
  <c r="F98" i="55"/>
  <c r="BP98" i="55" s="1"/>
  <c r="R98" i="57" s="1"/>
  <c r="E98" i="55"/>
  <c r="BO98" i="55" s="1"/>
  <c r="Q98" i="57" s="1"/>
  <c r="D98" i="55"/>
  <c r="C98" i="55"/>
  <c r="B98" i="55"/>
  <c r="AG98" i="55" s="1"/>
  <c r="B98" i="57" s="1"/>
  <c r="A98" i="55"/>
  <c r="AF98" i="55" s="1"/>
  <c r="A98" i="57" s="1"/>
  <c r="JO97" i="55"/>
  <c r="JN97" i="55"/>
  <c r="JM97" i="55"/>
  <c r="JL97" i="55"/>
  <c r="JK97" i="55"/>
  <c r="JJ97" i="55"/>
  <c r="JI97" i="55"/>
  <c r="JH97" i="55"/>
  <c r="JG97" i="55"/>
  <c r="JF97" i="55"/>
  <c r="JE97" i="55"/>
  <c r="JD97" i="55"/>
  <c r="JC97" i="55"/>
  <c r="JB97" i="55"/>
  <c r="JA97" i="55"/>
  <c r="IZ97" i="55"/>
  <c r="IY97" i="55"/>
  <c r="IX97" i="55"/>
  <c r="IW97" i="55"/>
  <c r="IV97" i="55"/>
  <c r="IU97" i="55"/>
  <c r="IT97" i="55"/>
  <c r="IS97" i="55"/>
  <c r="IR97" i="55"/>
  <c r="IQ97" i="55"/>
  <c r="IP97" i="55"/>
  <c r="IO97" i="55"/>
  <c r="IN97" i="55"/>
  <c r="IM97" i="55"/>
  <c r="IL97" i="55"/>
  <c r="IK97" i="55"/>
  <c r="IJ97" i="55"/>
  <c r="II97" i="55"/>
  <c r="IH97" i="55"/>
  <c r="IG97" i="55"/>
  <c r="IF97" i="55"/>
  <c r="IE97" i="55"/>
  <c r="ID97" i="55"/>
  <c r="IC97" i="55"/>
  <c r="IB97" i="55"/>
  <c r="IA97" i="55"/>
  <c r="HZ97" i="55"/>
  <c r="HY97" i="55"/>
  <c r="HX97" i="55"/>
  <c r="HW97" i="55"/>
  <c r="HV97" i="55"/>
  <c r="HU97" i="55"/>
  <c r="HT97" i="55"/>
  <c r="HS97" i="55"/>
  <c r="HR97" i="55"/>
  <c r="HQ97" i="55"/>
  <c r="HP97" i="55"/>
  <c r="HO97" i="55"/>
  <c r="HN97" i="55"/>
  <c r="HM97" i="55"/>
  <c r="HL97" i="55"/>
  <c r="HK97" i="55"/>
  <c r="HJ97" i="55"/>
  <c r="HI97" i="55"/>
  <c r="HH97" i="55"/>
  <c r="HG97" i="55"/>
  <c r="HF97" i="55"/>
  <c r="HE97" i="55"/>
  <c r="HD97" i="55"/>
  <c r="HC97" i="55"/>
  <c r="HB97" i="55"/>
  <c r="HA97" i="55"/>
  <c r="GZ97" i="55"/>
  <c r="GY97" i="55"/>
  <c r="GX97" i="55"/>
  <c r="GW97" i="55"/>
  <c r="GV97" i="55"/>
  <c r="GU97" i="55"/>
  <c r="GT97" i="55"/>
  <c r="GS97" i="55"/>
  <c r="GR97" i="55"/>
  <c r="GQ97" i="55"/>
  <c r="GP97" i="55"/>
  <c r="GO97" i="55"/>
  <c r="GN97" i="55"/>
  <c r="GM97" i="55"/>
  <c r="GL97" i="55"/>
  <c r="GK97" i="55"/>
  <c r="GJ97" i="55"/>
  <c r="GI97" i="55"/>
  <c r="GH97" i="55"/>
  <c r="GG97" i="55"/>
  <c r="GF97" i="55"/>
  <c r="GE97" i="55"/>
  <c r="GD97" i="55"/>
  <c r="GC97" i="55"/>
  <c r="GB97" i="55"/>
  <c r="GA97" i="55"/>
  <c r="FZ97" i="55"/>
  <c r="FY97" i="55"/>
  <c r="FX97" i="55"/>
  <c r="FW97" i="55"/>
  <c r="FV97" i="55"/>
  <c r="FU97" i="55"/>
  <c r="FT97" i="55"/>
  <c r="AD97" i="55"/>
  <c r="AA97" i="55"/>
  <c r="Z97" i="55"/>
  <c r="Y97" i="55"/>
  <c r="X97" i="55"/>
  <c r="W97" i="55"/>
  <c r="V97" i="55"/>
  <c r="U97" i="55"/>
  <c r="T97" i="55"/>
  <c r="S97" i="55"/>
  <c r="R97" i="55"/>
  <c r="Q97" i="55"/>
  <c r="P97" i="55"/>
  <c r="O97" i="55"/>
  <c r="N97" i="55"/>
  <c r="M97" i="55"/>
  <c r="L97" i="55"/>
  <c r="BB97" i="55" s="1"/>
  <c r="K97" i="55"/>
  <c r="J97" i="55"/>
  <c r="I97" i="55"/>
  <c r="H97" i="55"/>
  <c r="BR97" i="55" s="1"/>
  <c r="T97" i="57" s="1"/>
  <c r="G97" i="55"/>
  <c r="BQ97" i="55" s="1"/>
  <c r="S97" i="57" s="1"/>
  <c r="F97" i="55"/>
  <c r="BP97" i="55" s="1"/>
  <c r="R97" i="57" s="1"/>
  <c r="E97" i="55"/>
  <c r="D97" i="55"/>
  <c r="BN97" i="55" s="1"/>
  <c r="P97" i="57" s="1"/>
  <c r="C97" i="55"/>
  <c r="B97" i="55"/>
  <c r="AG97" i="55" s="1"/>
  <c r="B97" i="57" s="1"/>
  <c r="A97" i="55"/>
  <c r="AF97" i="55" s="1"/>
  <c r="A97" i="57" s="1"/>
  <c r="JO96" i="55"/>
  <c r="JN96" i="55"/>
  <c r="JM96" i="55"/>
  <c r="JL96" i="55"/>
  <c r="JK96" i="55"/>
  <c r="JJ96" i="55"/>
  <c r="JI96" i="55"/>
  <c r="JH96" i="55"/>
  <c r="JG96" i="55"/>
  <c r="JF96" i="55"/>
  <c r="JE96" i="55"/>
  <c r="JD96" i="55"/>
  <c r="JC96" i="55"/>
  <c r="JB96" i="55"/>
  <c r="JA96" i="55"/>
  <c r="IZ96" i="55"/>
  <c r="IY96" i="55"/>
  <c r="IX96" i="55"/>
  <c r="IW96" i="55"/>
  <c r="IV96" i="55"/>
  <c r="IU96" i="55"/>
  <c r="IT96" i="55"/>
  <c r="IS96" i="55"/>
  <c r="IR96" i="55"/>
  <c r="IQ96" i="55"/>
  <c r="IP96" i="55"/>
  <c r="IO96" i="55"/>
  <c r="IN96" i="55"/>
  <c r="IM96" i="55"/>
  <c r="IL96" i="55"/>
  <c r="IK96" i="55"/>
  <c r="IJ96" i="55"/>
  <c r="II96" i="55"/>
  <c r="IH96" i="55"/>
  <c r="IG96" i="55"/>
  <c r="IF96" i="55"/>
  <c r="IE96" i="55"/>
  <c r="ID96" i="55"/>
  <c r="IC96" i="55"/>
  <c r="IB96" i="55"/>
  <c r="IA96" i="55"/>
  <c r="HZ96" i="55"/>
  <c r="HY96" i="55"/>
  <c r="HX96" i="55"/>
  <c r="HW96" i="55"/>
  <c r="HV96" i="55"/>
  <c r="HU96" i="55"/>
  <c r="HT96" i="55"/>
  <c r="HS96" i="55"/>
  <c r="HR96" i="55"/>
  <c r="HQ96" i="55"/>
  <c r="HP96" i="55"/>
  <c r="HO96" i="55"/>
  <c r="HN96" i="55"/>
  <c r="HM96" i="55"/>
  <c r="HL96" i="55"/>
  <c r="HK96" i="55"/>
  <c r="HJ96" i="55"/>
  <c r="HI96" i="55"/>
  <c r="HH96" i="55"/>
  <c r="HG96" i="55"/>
  <c r="HF96" i="55"/>
  <c r="HE96" i="55"/>
  <c r="HD96" i="55"/>
  <c r="HC96" i="55"/>
  <c r="HB96" i="55"/>
  <c r="HA96" i="55"/>
  <c r="GZ96" i="55"/>
  <c r="GY96" i="55"/>
  <c r="GX96" i="55"/>
  <c r="GW96" i="55"/>
  <c r="GV96" i="55"/>
  <c r="GU96" i="55"/>
  <c r="GT96" i="55"/>
  <c r="GS96" i="55"/>
  <c r="GR96" i="55"/>
  <c r="GQ96" i="55"/>
  <c r="GP96" i="55"/>
  <c r="GO96" i="55"/>
  <c r="GN96" i="55"/>
  <c r="GM96" i="55"/>
  <c r="GL96" i="55"/>
  <c r="GK96" i="55"/>
  <c r="GJ96" i="55"/>
  <c r="GI96" i="55"/>
  <c r="GH96" i="55"/>
  <c r="GG96" i="55"/>
  <c r="GF96" i="55"/>
  <c r="GE96" i="55"/>
  <c r="GD96" i="55"/>
  <c r="GC96" i="55"/>
  <c r="GB96" i="55"/>
  <c r="GA96" i="55"/>
  <c r="FZ96" i="55"/>
  <c r="FY96" i="55"/>
  <c r="FX96" i="55"/>
  <c r="FW96" i="55"/>
  <c r="FV96" i="55"/>
  <c r="FU96" i="55"/>
  <c r="FT96" i="55"/>
  <c r="AD96" i="55"/>
  <c r="AA96" i="55"/>
  <c r="Z96" i="55"/>
  <c r="Y96" i="55"/>
  <c r="X96" i="55"/>
  <c r="W96" i="55"/>
  <c r="V96" i="55"/>
  <c r="U96" i="55"/>
  <c r="T96" i="55"/>
  <c r="S96" i="55"/>
  <c r="R96" i="55"/>
  <c r="Q96" i="55"/>
  <c r="P96" i="55"/>
  <c r="O96" i="55"/>
  <c r="N96" i="55"/>
  <c r="M96" i="55"/>
  <c r="L96" i="55"/>
  <c r="K96" i="55"/>
  <c r="J96" i="55"/>
  <c r="I96" i="55"/>
  <c r="H96" i="55"/>
  <c r="BR96" i="55" s="1"/>
  <c r="T96" i="57" s="1"/>
  <c r="G96" i="55"/>
  <c r="BQ96" i="55" s="1"/>
  <c r="S96" i="57" s="1"/>
  <c r="F96" i="55"/>
  <c r="BP96" i="55" s="1"/>
  <c r="R96" i="57" s="1"/>
  <c r="E96" i="55"/>
  <c r="BE96" i="55" s="1"/>
  <c r="G96" i="57" s="1"/>
  <c r="D96" i="55"/>
  <c r="C96" i="55"/>
  <c r="B96" i="55"/>
  <c r="AG96" i="55" s="1"/>
  <c r="B96" i="57" s="1"/>
  <c r="A96" i="55"/>
  <c r="AF96" i="55" s="1"/>
  <c r="A96" i="57" s="1"/>
  <c r="JO95" i="55"/>
  <c r="JN95" i="55"/>
  <c r="JM95" i="55"/>
  <c r="JL95" i="55"/>
  <c r="JK95" i="55"/>
  <c r="JJ95" i="55"/>
  <c r="JI95" i="55"/>
  <c r="JH95" i="55"/>
  <c r="JG95" i="55"/>
  <c r="JF95" i="55"/>
  <c r="JE95" i="55"/>
  <c r="JD95" i="55"/>
  <c r="JC95" i="55"/>
  <c r="JB95" i="55"/>
  <c r="JA95" i="55"/>
  <c r="IZ95" i="55"/>
  <c r="IY95" i="55"/>
  <c r="IX95" i="55"/>
  <c r="IW95" i="55"/>
  <c r="IV95" i="55"/>
  <c r="IU95" i="55"/>
  <c r="IT95" i="55"/>
  <c r="IS95" i="55"/>
  <c r="IR95" i="55"/>
  <c r="IQ95" i="55"/>
  <c r="IP95" i="55"/>
  <c r="IO95" i="55"/>
  <c r="IN95" i="55"/>
  <c r="IM95" i="55"/>
  <c r="IL95" i="55"/>
  <c r="IK95" i="55"/>
  <c r="IJ95" i="55"/>
  <c r="II95" i="55"/>
  <c r="IH95" i="55"/>
  <c r="IG95" i="55"/>
  <c r="IF95" i="55"/>
  <c r="IE95" i="55"/>
  <c r="ID95" i="55"/>
  <c r="IC95" i="55"/>
  <c r="IB95" i="55"/>
  <c r="IA95" i="55"/>
  <c r="HZ95" i="55"/>
  <c r="HY95" i="55"/>
  <c r="HX95" i="55"/>
  <c r="HW95" i="55"/>
  <c r="HV95" i="55"/>
  <c r="HU95" i="55"/>
  <c r="HT95" i="55"/>
  <c r="HS95" i="55"/>
  <c r="HR95" i="55"/>
  <c r="HQ95" i="55"/>
  <c r="HP95" i="55"/>
  <c r="HO95" i="55"/>
  <c r="HN95" i="55"/>
  <c r="HM95" i="55"/>
  <c r="HL95" i="55"/>
  <c r="HK95" i="55"/>
  <c r="HJ95" i="55"/>
  <c r="HI95" i="55"/>
  <c r="HH95" i="55"/>
  <c r="HG95" i="55"/>
  <c r="HF95" i="55"/>
  <c r="HE95" i="55"/>
  <c r="HD95" i="55"/>
  <c r="HC95" i="55"/>
  <c r="HB95" i="55"/>
  <c r="HA95" i="55"/>
  <c r="GZ95" i="55"/>
  <c r="GY95" i="55"/>
  <c r="GX95" i="55"/>
  <c r="GW95" i="55"/>
  <c r="GV95" i="55"/>
  <c r="GU95" i="55"/>
  <c r="GT95" i="55"/>
  <c r="GS95" i="55"/>
  <c r="GR95" i="55"/>
  <c r="GQ95" i="55"/>
  <c r="GP95" i="55"/>
  <c r="GO95" i="55"/>
  <c r="GN95" i="55"/>
  <c r="GM95" i="55"/>
  <c r="GL95" i="55"/>
  <c r="GK95" i="55"/>
  <c r="GJ95" i="55"/>
  <c r="GI95" i="55"/>
  <c r="GH95" i="55"/>
  <c r="GG95" i="55"/>
  <c r="GF95" i="55"/>
  <c r="GE95" i="55"/>
  <c r="GD95" i="55"/>
  <c r="GC95" i="55"/>
  <c r="GB95" i="55"/>
  <c r="GA95" i="55"/>
  <c r="FZ95" i="55"/>
  <c r="FY95" i="55"/>
  <c r="FX95" i="55"/>
  <c r="FW95" i="55"/>
  <c r="FV95" i="55"/>
  <c r="FU95" i="55"/>
  <c r="FT95" i="55"/>
  <c r="AF95" i="55"/>
  <c r="A95" i="57" s="1"/>
  <c r="AD95" i="55"/>
  <c r="AA95" i="55"/>
  <c r="Z95" i="55"/>
  <c r="Y95" i="55"/>
  <c r="X95" i="55"/>
  <c r="W95" i="55"/>
  <c r="V95" i="55"/>
  <c r="U95" i="55"/>
  <c r="T95" i="55"/>
  <c r="S95" i="55"/>
  <c r="R95" i="55"/>
  <c r="Q95" i="55"/>
  <c r="P95" i="55"/>
  <c r="O95" i="55"/>
  <c r="N95" i="55"/>
  <c r="M95" i="55"/>
  <c r="L95" i="55"/>
  <c r="K95" i="55"/>
  <c r="J95" i="55"/>
  <c r="BT95" i="55" s="1"/>
  <c r="V95" i="57" s="1"/>
  <c r="I95" i="55"/>
  <c r="H95" i="55"/>
  <c r="G95" i="55"/>
  <c r="BQ95" i="55" s="1"/>
  <c r="S95" i="57" s="1"/>
  <c r="F95" i="55"/>
  <c r="E95" i="55"/>
  <c r="D95" i="55"/>
  <c r="C95" i="55"/>
  <c r="B95" i="55"/>
  <c r="AG95" i="55" s="1"/>
  <c r="B95" i="57" s="1"/>
  <c r="A95" i="55"/>
  <c r="JO94" i="55"/>
  <c r="JN94" i="55"/>
  <c r="JM94" i="55"/>
  <c r="JL94" i="55"/>
  <c r="JK94" i="55"/>
  <c r="JJ94" i="55"/>
  <c r="JI94" i="55"/>
  <c r="JH94" i="55"/>
  <c r="JG94" i="55"/>
  <c r="JF94" i="55"/>
  <c r="JE94" i="55"/>
  <c r="JD94" i="55"/>
  <c r="JC94" i="55"/>
  <c r="JB94" i="55"/>
  <c r="JA94" i="55"/>
  <c r="IZ94" i="55"/>
  <c r="IY94" i="55"/>
  <c r="IX94" i="55"/>
  <c r="IW94" i="55"/>
  <c r="IV94" i="55"/>
  <c r="IU94" i="55"/>
  <c r="IT94" i="55"/>
  <c r="IS94" i="55"/>
  <c r="IR94" i="55"/>
  <c r="IQ94" i="55"/>
  <c r="IP94" i="55"/>
  <c r="IO94" i="55"/>
  <c r="IN94" i="55"/>
  <c r="IM94" i="55"/>
  <c r="IL94" i="55"/>
  <c r="IK94" i="55"/>
  <c r="IJ94" i="55"/>
  <c r="II94" i="55"/>
  <c r="IH94" i="55"/>
  <c r="IG94" i="55"/>
  <c r="IF94" i="55"/>
  <c r="IE94" i="55"/>
  <c r="ID94" i="55"/>
  <c r="IC94" i="55"/>
  <c r="IB94" i="55"/>
  <c r="IA94" i="55"/>
  <c r="HZ94" i="55"/>
  <c r="HY94" i="55"/>
  <c r="HX94" i="55"/>
  <c r="HW94" i="55"/>
  <c r="HV94" i="55"/>
  <c r="HU94" i="55"/>
  <c r="HT94" i="55"/>
  <c r="HS94" i="55"/>
  <c r="HR94" i="55"/>
  <c r="HQ94" i="55"/>
  <c r="HP94" i="55"/>
  <c r="HO94" i="55"/>
  <c r="HN94" i="55"/>
  <c r="HM94" i="55"/>
  <c r="HL94" i="55"/>
  <c r="HK94" i="55"/>
  <c r="HJ94" i="55"/>
  <c r="HI94" i="55"/>
  <c r="HH94" i="55"/>
  <c r="HG94" i="55"/>
  <c r="HF94" i="55"/>
  <c r="HE94" i="55"/>
  <c r="HD94" i="55"/>
  <c r="HC94" i="55"/>
  <c r="HB94" i="55"/>
  <c r="HA94" i="55"/>
  <c r="GZ94" i="55"/>
  <c r="GY94" i="55"/>
  <c r="GX94" i="55"/>
  <c r="GW94" i="55"/>
  <c r="GV94" i="55"/>
  <c r="GU94" i="55"/>
  <c r="GT94" i="55"/>
  <c r="GS94" i="55"/>
  <c r="GR94" i="55"/>
  <c r="GQ94" i="55"/>
  <c r="GP94" i="55"/>
  <c r="GO94" i="55"/>
  <c r="GN94" i="55"/>
  <c r="GM94" i="55"/>
  <c r="GL94" i="55"/>
  <c r="GK94" i="55"/>
  <c r="GJ94" i="55"/>
  <c r="GI94" i="55"/>
  <c r="GH94" i="55"/>
  <c r="GG94" i="55"/>
  <c r="GF94" i="55"/>
  <c r="GE94" i="55"/>
  <c r="GD94" i="55"/>
  <c r="GC94" i="55"/>
  <c r="GB94" i="55"/>
  <c r="GA94" i="55"/>
  <c r="FZ94" i="55"/>
  <c r="FY94" i="55"/>
  <c r="FX94" i="55"/>
  <c r="FW94" i="55"/>
  <c r="FV94" i="55"/>
  <c r="FU94" i="55"/>
  <c r="FT94" i="55"/>
  <c r="BG94" i="55"/>
  <c r="I94" i="57" s="1"/>
  <c r="AD94" i="55"/>
  <c r="AA94" i="55"/>
  <c r="Z94" i="55"/>
  <c r="Y94" i="55"/>
  <c r="X94" i="55"/>
  <c r="W94" i="55"/>
  <c r="V94" i="55"/>
  <c r="U94" i="55"/>
  <c r="T94" i="55"/>
  <c r="S94" i="55"/>
  <c r="R94" i="55"/>
  <c r="Q94" i="55"/>
  <c r="P94" i="55"/>
  <c r="O94" i="55"/>
  <c r="N94" i="55"/>
  <c r="M94" i="55"/>
  <c r="L94" i="55"/>
  <c r="K94" i="55"/>
  <c r="BU94" i="55" s="1"/>
  <c r="W94" i="57" s="1"/>
  <c r="J94" i="55"/>
  <c r="I94" i="55"/>
  <c r="H94" i="55"/>
  <c r="BR94" i="55" s="1"/>
  <c r="T94" i="57" s="1"/>
  <c r="G94" i="55"/>
  <c r="AW94" i="55" s="1"/>
  <c r="F94" i="55"/>
  <c r="E94" i="55"/>
  <c r="D94" i="55"/>
  <c r="C94" i="55"/>
  <c r="B94" i="55"/>
  <c r="AG94" i="55" s="1"/>
  <c r="B94" i="57" s="1"/>
  <c r="A94" i="55"/>
  <c r="AF94" i="55" s="1"/>
  <c r="A94" i="57" s="1"/>
  <c r="JO93" i="55"/>
  <c r="JN93" i="55"/>
  <c r="JM93" i="55"/>
  <c r="JL93" i="55"/>
  <c r="JK93" i="55"/>
  <c r="JJ93" i="55"/>
  <c r="JI93" i="55"/>
  <c r="JH93" i="55"/>
  <c r="JG93" i="55"/>
  <c r="JF93" i="55"/>
  <c r="JE93" i="55"/>
  <c r="JD93" i="55"/>
  <c r="JC93" i="55"/>
  <c r="JB93" i="55"/>
  <c r="JA93" i="55"/>
  <c r="IZ93" i="55"/>
  <c r="IY93" i="55"/>
  <c r="IX93" i="55"/>
  <c r="IW93" i="55"/>
  <c r="IV93" i="55"/>
  <c r="IU93" i="55"/>
  <c r="IT93" i="55"/>
  <c r="IS93" i="55"/>
  <c r="IR93" i="55"/>
  <c r="IQ93" i="55"/>
  <c r="IP93" i="55"/>
  <c r="IO93" i="55"/>
  <c r="IN93" i="55"/>
  <c r="IM93" i="55"/>
  <c r="IL93" i="55"/>
  <c r="IK93" i="55"/>
  <c r="IJ93" i="55"/>
  <c r="II93" i="55"/>
  <c r="IH93" i="55"/>
  <c r="IG93" i="55"/>
  <c r="IF93" i="55"/>
  <c r="IE93" i="55"/>
  <c r="ID93" i="55"/>
  <c r="IC93" i="55"/>
  <c r="IB93" i="55"/>
  <c r="IA93" i="55"/>
  <c r="HZ93" i="55"/>
  <c r="HY93" i="55"/>
  <c r="HX93" i="55"/>
  <c r="HW93" i="55"/>
  <c r="HV93" i="55"/>
  <c r="HU93" i="55"/>
  <c r="HT93" i="55"/>
  <c r="HS93" i="55"/>
  <c r="HR93" i="55"/>
  <c r="HQ93" i="55"/>
  <c r="HP93" i="55"/>
  <c r="HO93" i="55"/>
  <c r="HN93" i="55"/>
  <c r="HM93" i="55"/>
  <c r="HL93" i="55"/>
  <c r="HK93" i="55"/>
  <c r="HJ93" i="55"/>
  <c r="HI93" i="55"/>
  <c r="HH93" i="55"/>
  <c r="HG93" i="55"/>
  <c r="HF93" i="55"/>
  <c r="HE93" i="55"/>
  <c r="HD93" i="55"/>
  <c r="HC93" i="55"/>
  <c r="HB93" i="55"/>
  <c r="HA93" i="55"/>
  <c r="GZ93" i="55"/>
  <c r="GY93" i="55"/>
  <c r="GX93" i="55"/>
  <c r="GW93" i="55"/>
  <c r="GV93" i="55"/>
  <c r="GU93" i="55"/>
  <c r="GT93" i="55"/>
  <c r="GS93" i="55"/>
  <c r="GR93" i="55"/>
  <c r="GQ93" i="55"/>
  <c r="GP93" i="55"/>
  <c r="GO93" i="55"/>
  <c r="GN93" i="55"/>
  <c r="GM93" i="55"/>
  <c r="GL93" i="55"/>
  <c r="GK93" i="55"/>
  <c r="GJ93" i="55"/>
  <c r="GI93" i="55"/>
  <c r="GH93" i="55"/>
  <c r="GG93" i="55"/>
  <c r="GF93" i="55"/>
  <c r="GE93" i="55"/>
  <c r="GD93" i="55"/>
  <c r="GC93" i="55"/>
  <c r="GB93" i="55"/>
  <c r="GA93" i="55"/>
  <c r="FZ93" i="55"/>
  <c r="FY93" i="55"/>
  <c r="FX93" i="55"/>
  <c r="FW93" i="55"/>
  <c r="FV93" i="55"/>
  <c r="FU93" i="55"/>
  <c r="FT93" i="55"/>
  <c r="BA93" i="55"/>
  <c r="AG93" i="55"/>
  <c r="B93" i="57" s="1"/>
  <c r="AD93" i="55"/>
  <c r="AA93" i="55"/>
  <c r="Z93" i="55"/>
  <c r="Y93" i="55"/>
  <c r="X93" i="55"/>
  <c r="W93" i="55"/>
  <c r="V93" i="55"/>
  <c r="U93" i="55"/>
  <c r="T93" i="55"/>
  <c r="S93" i="55"/>
  <c r="R93" i="55"/>
  <c r="Q93" i="55"/>
  <c r="P93" i="55"/>
  <c r="O93" i="55"/>
  <c r="N93" i="55"/>
  <c r="M93" i="55"/>
  <c r="L93" i="55"/>
  <c r="K93" i="55"/>
  <c r="J93" i="55"/>
  <c r="BT93" i="55" s="1"/>
  <c r="V93" i="57" s="1"/>
  <c r="I93" i="55"/>
  <c r="BS93" i="55" s="1"/>
  <c r="U93" i="57" s="1"/>
  <c r="H93" i="55"/>
  <c r="AX93" i="55" s="1"/>
  <c r="G93" i="55"/>
  <c r="F93" i="55"/>
  <c r="E93" i="55"/>
  <c r="D93" i="55"/>
  <c r="C93" i="55"/>
  <c r="BM93" i="55" s="1"/>
  <c r="O93" i="57" s="1"/>
  <c r="B93" i="55"/>
  <c r="A93" i="55"/>
  <c r="AF93" i="55" s="1"/>
  <c r="A93" i="57" s="1"/>
  <c r="JO92" i="55"/>
  <c r="JN92" i="55"/>
  <c r="JM92" i="55"/>
  <c r="JL92" i="55"/>
  <c r="JK92" i="55"/>
  <c r="JJ92" i="55"/>
  <c r="JI92" i="55"/>
  <c r="JH92" i="55"/>
  <c r="JG92" i="55"/>
  <c r="JF92" i="55"/>
  <c r="JE92" i="55"/>
  <c r="JD92" i="55"/>
  <c r="JC92" i="55"/>
  <c r="JB92" i="55"/>
  <c r="JA92" i="55"/>
  <c r="IZ92" i="55"/>
  <c r="IY92" i="55"/>
  <c r="IX92" i="55"/>
  <c r="IW92" i="55"/>
  <c r="IV92" i="55"/>
  <c r="IU92" i="55"/>
  <c r="IT92" i="55"/>
  <c r="IS92" i="55"/>
  <c r="IR92" i="55"/>
  <c r="IQ92" i="55"/>
  <c r="IP92" i="55"/>
  <c r="IO92" i="55"/>
  <c r="IN92" i="55"/>
  <c r="IM92" i="55"/>
  <c r="IL92" i="55"/>
  <c r="IK92" i="55"/>
  <c r="IJ92" i="55"/>
  <c r="II92" i="55"/>
  <c r="IH92" i="55"/>
  <c r="IG92" i="55"/>
  <c r="IF92" i="55"/>
  <c r="IE92" i="55"/>
  <c r="ID92" i="55"/>
  <c r="IC92" i="55"/>
  <c r="IB92" i="55"/>
  <c r="IA92" i="55"/>
  <c r="HZ92" i="55"/>
  <c r="HY92" i="55"/>
  <c r="HX92" i="55"/>
  <c r="HW92" i="55"/>
  <c r="HV92" i="55"/>
  <c r="HU92" i="55"/>
  <c r="HT92" i="55"/>
  <c r="HS92" i="55"/>
  <c r="HR92" i="55"/>
  <c r="HQ92" i="55"/>
  <c r="HP92" i="55"/>
  <c r="HO92" i="55"/>
  <c r="HN92" i="55"/>
  <c r="HM92" i="55"/>
  <c r="HL92" i="55"/>
  <c r="HK92" i="55"/>
  <c r="HJ92" i="55"/>
  <c r="HI92" i="55"/>
  <c r="HH92" i="55"/>
  <c r="HG92" i="55"/>
  <c r="HF92" i="55"/>
  <c r="HE92" i="55"/>
  <c r="HD92" i="55"/>
  <c r="HC92" i="55"/>
  <c r="HB92" i="55"/>
  <c r="HA92" i="55"/>
  <c r="GZ92" i="55"/>
  <c r="GY92" i="55"/>
  <c r="GX92" i="55"/>
  <c r="GW92" i="55"/>
  <c r="GV92" i="55"/>
  <c r="GU92" i="55"/>
  <c r="GT92" i="55"/>
  <c r="GS92" i="55"/>
  <c r="GR92" i="55"/>
  <c r="GQ92" i="55"/>
  <c r="GP92" i="55"/>
  <c r="GO92" i="55"/>
  <c r="GN92" i="55"/>
  <c r="GM92" i="55"/>
  <c r="GL92" i="55"/>
  <c r="GK92" i="55"/>
  <c r="GJ92" i="55"/>
  <c r="GI92" i="55"/>
  <c r="GH92" i="55"/>
  <c r="GG92" i="55"/>
  <c r="GF92" i="55"/>
  <c r="GE92" i="55"/>
  <c r="GD92" i="55"/>
  <c r="GC92" i="55"/>
  <c r="GB92" i="55"/>
  <c r="GA92" i="55"/>
  <c r="FZ92" i="55"/>
  <c r="FY92" i="55"/>
  <c r="FX92" i="55"/>
  <c r="FW92" i="55"/>
  <c r="FV92" i="55"/>
  <c r="FU92" i="55"/>
  <c r="FT92" i="55"/>
  <c r="BB92" i="55"/>
  <c r="AD92" i="55"/>
  <c r="AA92" i="55"/>
  <c r="Z92" i="55"/>
  <c r="Y92" i="55"/>
  <c r="X92" i="55"/>
  <c r="W92" i="55"/>
  <c r="V92" i="55"/>
  <c r="U92" i="55"/>
  <c r="T92" i="55"/>
  <c r="S92" i="55"/>
  <c r="R92" i="55"/>
  <c r="Q92" i="55"/>
  <c r="P92" i="55"/>
  <c r="O92" i="55"/>
  <c r="N92" i="55"/>
  <c r="M92" i="55"/>
  <c r="L92" i="55"/>
  <c r="BV92" i="55" s="1"/>
  <c r="X92" i="57" s="1"/>
  <c r="K92" i="55"/>
  <c r="BU92" i="55" s="1"/>
  <c r="W92" i="57" s="1"/>
  <c r="J92" i="55"/>
  <c r="BT92" i="55" s="1"/>
  <c r="V92" i="57" s="1"/>
  <c r="I92" i="55"/>
  <c r="AY92" i="55" s="1"/>
  <c r="H92" i="55"/>
  <c r="AX92" i="55" s="1"/>
  <c r="G92" i="55"/>
  <c r="F92" i="55"/>
  <c r="BP92" i="55" s="1"/>
  <c r="R92" i="57" s="1"/>
  <c r="E92" i="55"/>
  <c r="BO92" i="55" s="1"/>
  <c r="Q92" i="57" s="1"/>
  <c r="D92" i="55"/>
  <c r="C92" i="55"/>
  <c r="BM92" i="55" s="1"/>
  <c r="O92" i="57" s="1"/>
  <c r="B92" i="55"/>
  <c r="AG92" i="55" s="1"/>
  <c r="B92" i="57" s="1"/>
  <c r="A92" i="55"/>
  <c r="AF92" i="55" s="1"/>
  <c r="A92" i="57" s="1"/>
  <c r="JO91" i="55"/>
  <c r="JN91" i="55"/>
  <c r="JM91" i="55"/>
  <c r="JL91" i="55"/>
  <c r="JK91" i="55"/>
  <c r="JJ91" i="55"/>
  <c r="JI91" i="55"/>
  <c r="JH91" i="55"/>
  <c r="JG91" i="55"/>
  <c r="JF91" i="55"/>
  <c r="JE91" i="55"/>
  <c r="JD91" i="55"/>
  <c r="JC91" i="55"/>
  <c r="JB91" i="55"/>
  <c r="JA91" i="55"/>
  <c r="IZ91" i="55"/>
  <c r="IY91" i="55"/>
  <c r="IX91" i="55"/>
  <c r="IW91" i="55"/>
  <c r="IV91" i="55"/>
  <c r="IU91" i="55"/>
  <c r="IT91" i="55"/>
  <c r="IS91" i="55"/>
  <c r="IR91" i="55"/>
  <c r="IQ91" i="55"/>
  <c r="IP91" i="55"/>
  <c r="IO91" i="55"/>
  <c r="IN91" i="55"/>
  <c r="IM91" i="55"/>
  <c r="IL91" i="55"/>
  <c r="IK91" i="55"/>
  <c r="IJ91" i="55"/>
  <c r="II91" i="55"/>
  <c r="IH91" i="55"/>
  <c r="IG91" i="55"/>
  <c r="IF91" i="55"/>
  <c r="IE91" i="55"/>
  <c r="ID91" i="55"/>
  <c r="IC91" i="55"/>
  <c r="IB91" i="55"/>
  <c r="IA91" i="55"/>
  <c r="HZ91" i="55"/>
  <c r="HY91" i="55"/>
  <c r="HX91" i="55"/>
  <c r="HW91" i="55"/>
  <c r="HV91" i="55"/>
  <c r="HU91" i="55"/>
  <c r="HT91" i="55"/>
  <c r="HS91" i="55"/>
  <c r="HR91" i="55"/>
  <c r="HQ91" i="55"/>
  <c r="HP91" i="55"/>
  <c r="HO91" i="55"/>
  <c r="HN91" i="55"/>
  <c r="HM91" i="55"/>
  <c r="HL91" i="55"/>
  <c r="HK91" i="55"/>
  <c r="HJ91" i="55"/>
  <c r="HI91" i="55"/>
  <c r="HH91" i="55"/>
  <c r="HG91" i="55"/>
  <c r="HF91" i="55"/>
  <c r="HE91" i="55"/>
  <c r="HD91" i="55"/>
  <c r="HC91" i="55"/>
  <c r="HB91" i="55"/>
  <c r="HA91" i="55"/>
  <c r="GZ91" i="55"/>
  <c r="GY91" i="55"/>
  <c r="GX91" i="55"/>
  <c r="GW91" i="55"/>
  <c r="GV91" i="55"/>
  <c r="GU91" i="55"/>
  <c r="GT91" i="55"/>
  <c r="GS91" i="55"/>
  <c r="GR91" i="55"/>
  <c r="GQ91" i="55"/>
  <c r="GP91" i="55"/>
  <c r="GO91" i="55"/>
  <c r="GN91" i="55"/>
  <c r="GM91" i="55"/>
  <c r="GL91" i="55"/>
  <c r="GK91" i="55"/>
  <c r="GJ91" i="55"/>
  <c r="GI91" i="55"/>
  <c r="GH91" i="55"/>
  <c r="GG91" i="55"/>
  <c r="GF91" i="55"/>
  <c r="GE91" i="55"/>
  <c r="GD91" i="55"/>
  <c r="GC91" i="55"/>
  <c r="GB91" i="55"/>
  <c r="GA91" i="55"/>
  <c r="FZ91" i="55"/>
  <c r="FY91" i="55"/>
  <c r="FX91" i="55"/>
  <c r="FW91" i="55"/>
  <c r="FV91" i="55"/>
  <c r="FU91" i="55"/>
  <c r="FT91" i="55"/>
  <c r="AD91" i="55"/>
  <c r="AA91" i="55"/>
  <c r="Z91" i="55"/>
  <c r="Y91" i="55"/>
  <c r="X91" i="55"/>
  <c r="W91" i="55"/>
  <c r="V91" i="55"/>
  <c r="U91" i="55"/>
  <c r="T91" i="55"/>
  <c r="S91" i="55"/>
  <c r="R91" i="55"/>
  <c r="Q91" i="55"/>
  <c r="P91" i="55"/>
  <c r="O91" i="55"/>
  <c r="N91" i="55"/>
  <c r="M91" i="55"/>
  <c r="L91" i="55"/>
  <c r="BV91" i="55" s="1"/>
  <c r="X91" i="57" s="1"/>
  <c r="K91" i="55"/>
  <c r="BU91" i="55" s="1"/>
  <c r="W91" i="57" s="1"/>
  <c r="J91" i="55"/>
  <c r="AZ91" i="55" s="1"/>
  <c r="I91" i="55"/>
  <c r="AY91" i="55" s="1"/>
  <c r="H91" i="55"/>
  <c r="G91" i="55"/>
  <c r="BQ91" i="55" s="1"/>
  <c r="S91" i="57" s="1"/>
  <c r="F91" i="55"/>
  <c r="BP91" i="55" s="1"/>
  <c r="R91" i="57" s="1"/>
  <c r="E91" i="55"/>
  <c r="BO91" i="55" s="1"/>
  <c r="Q91" i="57" s="1"/>
  <c r="D91" i="55"/>
  <c r="C91" i="55"/>
  <c r="B91" i="55"/>
  <c r="AG91" i="55" s="1"/>
  <c r="B91" i="57" s="1"/>
  <c r="A91" i="55"/>
  <c r="AF91" i="55" s="1"/>
  <c r="A91" i="57" s="1"/>
  <c r="JO90" i="55"/>
  <c r="JN90" i="55"/>
  <c r="JM90" i="55"/>
  <c r="JL90" i="55"/>
  <c r="JK90" i="55"/>
  <c r="JJ90" i="55"/>
  <c r="JI90" i="55"/>
  <c r="JH90" i="55"/>
  <c r="JG90" i="55"/>
  <c r="JF90" i="55"/>
  <c r="JE90" i="55"/>
  <c r="JD90" i="55"/>
  <c r="JC90" i="55"/>
  <c r="JB90" i="55"/>
  <c r="JA90" i="55"/>
  <c r="IZ90" i="55"/>
  <c r="IY90" i="55"/>
  <c r="IX90" i="55"/>
  <c r="IW90" i="55"/>
  <c r="IV90" i="55"/>
  <c r="IU90" i="55"/>
  <c r="IT90" i="55"/>
  <c r="IS90" i="55"/>
  <c r="IR90" i="55"/>
  <c r="IQ90" i="55"/>
  <c r="IP90" i="55"/>
  <c r="IO90" i="55"/>
  <c r="IN90" i="55"/>
  <c r="IM90" i="55"/>
  <c r="IL90" i="55"/>
  <c r="IK90" i="55"/>
  <c r="IJ90" i="55"/>
  <c r="II90" i="55"/>
  <c r="IH90" i="55"/>
  <c r="IG90" i="55"/>
  <c r="IF90" i="55"/>
  <c r="IE90" i="55"/>
  <c r="ID90" i="55"/>
  <c r="IC90" i="55"/>
  <c r="IB90" i="55"/>
  <c r="IA90" i="55"/>
  <c r="HZ90" i="55"/>
  <c r="HY90" i="55"/>
  <c r="HX90" i="55"/>
  <c r="HW90" i="55"/>
  <c r="HV90" i="55"/>
  <c r="HU90" i="55"/>
  <c r="HT90" i="55"/>
  <c r="HS90" i="55"/>
  <c r="HR90" i="55"/>
  <c r="HQ90" i="55"/>
  <c r="HP90" i="55"/>
  <c r="HO90" i="55"/>
  <c r="HN90" i="55"/>
  <c r="HM90" i="55"/>
  <c r="HL90" i="55"/>
  <c r="HK90" i="55"/>
  <c r="HJ90" i="55"/>
  <c r="HI90" i="55"/>
  <c r="HH90" i="55"/>
  <c r="HG90" i="55"/>
  <c r="HF90" i="55"/>
  <c r="HE90" i="55"/>
  <c r="HD90" i="55"/>
  <c r="HC90" i="55"/>
  <c r="HB90" i="55"/>
  <c r="HA90" i="55"/>
  <c r="GZ90" i="55"/>
  <c r="GY90" i="55"/>
  <c r="GX90" i="55"/>
  <c r="GW90" i="55"/>
  <c r="GV90" i="55"/>
  <c r="GU90" i="55"/>
  <c r="GT90" i="55"/>
  <c r="GS90" i="55"/>
  <c r="GR90" i="55"/>
  <c r="GQ90" i="55"/>
  <c r="GP90" i="55"/>
  <c r="GO90" i="55"/>
  <c r="GN90" i="55"/>
  <c r="GM90" i="55"/>
  <c r="GL90" i="55"/>
  <c r="GK90" i="55"/>
  <c r="GJ90" i="55"/>
  <c r="GI90" i="55"/>
  <c r="GH90" i="55"/>
  <c r="GG90" i="55"/>
  <c r="GF90" i="55"/>
  <c r="GE90" i="55"/>
  <c r="GD90" i="55"/>
  <c r="GC90" i="55"/>
  <c r="GB90" i="55"/>
  <c r="GA90" i="55"/>
  <c r="FZ90" i="55"/>
  <c r="FY90" i="55"/>
  <c r="FX90" i="55"/>
  <c r="FW90" i="55"/>
  <c r="FV90" i="55"/>
  <c r="FU90" i="55"/>
  <c r="FT90" i="55"/>
  <c r="BU90" i="55"/>
  <c r="W90" i="57" s="1"/>
  <c r="AD90" i="55"/>
  <c r="AA90" i="55"/>
  <c r="Z90" i="55"/>
  <c r="Y90" i="55"/>
  <c r="X90" i="55"/>
  <c r="W90" i="55"/>
  <c r="V90" i="55"/>
  <c r="U90" i="55"/>
  <c r="T90" i="55"/>
  <c r="S90" i="55"/>
  <c r="R90" i="55"/>
  <c r="Q90" i="55"/>
  <c r="P90" i="55"/>
  <c r="O90" i="55"/>
  <c r="N90" i="55"/>
  <c r="M90" i="55"/>
  <c r="L90" i="55"/>
  <c r="BV90" i="55" s="1"/>
  <c r="X90" i="57" s="1"/>
  <c r="K90" i="55"/>
  <c r="BA90" i="55" s="1"/>
  <c r="J90" i="55"/>
  <c r="AZ90" i="55" s="1"/>
  <c r="I90" i="55"/>
  <c r="H90" i="55"/>
  <c r="BR90" i="55" s="1"/>
  <c r="T90" i="57" s="1"/>
  <c r="G90" i="55"/>
  <c r="BQ90" i="55" s="1"/>
  <c r="S90" i="57" s="1"/>
  <c r="F90" i="55"/>
  <c r="BP90" i="55" s="1"/>
  <c r="R90" i="57" s="1"/>
  <c r="E90" i="55"/>
  <c r="BO90" i="55" s="1"/>
  <c r="Q90" i="57" s="1"/>
  <c r="D90" i="55"/>
  <c r="BN90" i="55" s="1"/>
  <c r="P90" i="57" s="1"/>
  <c r="C90" i="55"/>
  <c r="AS90" i="55" s="1"/>
  <c r="B90" i="55"/>
  <c r="AG90" i="55" s="1"/>
  <c r="B90" i="57" s="1"/>
  <c r="A90" i="55"/>
  <c r="AF90" i="55" s="1"/>
  <c r="A90" i="57" s="1"/>
  <c r="JO89" i="55"/>
  <c r="JN89" i="55"/>
  <c r="JM89" i="55"/>
  <c r="JL89" i="55"/>
  <c r="JK89" i="55"/>
  <c r="JJ89" i="55"/>
  <c r="JI89" i="55"/>
  <c r="JH89" i="55"/>
  <c r="JG89" i="55"/>
  <c r="JF89" i="55"/>
  <c r="JE89" i="55"/>
  <c r="JD89" i="55"/>
  <c r="JC89" i="55"/>
  <c r="JB89" i="55"/>
  <c r="JA89" i="55"/>
  <c r="IZ89" i="55"/>
  <c r="IY89" i="55"/>
  <c r="IX89" i="55"/>
  <c r="IW89" i="55"/>
  <c r="IV89" i="55"/>
  <c r="IU89" i="55"/>
  <c r="IT89" i="55"/>
  <c r="IS89" i="55"/>
  <c r="IR89" i="55"/>
  <c r="IQ89" i="55"/>
  <c r="IP89" i="55"/>
  <c r="IO89" i="55"/>
  <c r="IN89" i="55"/>
  <c r="IM89" i="55"/>
  <c r="IL89" i="55"/>
  <c r="IK89" i="55"/>
  <c r="IJ89" i="55"/>
  <c r="II89" i="55"/>
  <c r="IH89" i="55"/>
  <c r="IG89" i="55"/>
  <c r="IF89" i="55"/>
  <c r="IE89" i="55"/>
  <c r="ID89" i="55"/>
  <c r="IC89" i="55"/>
  <c r="IB89" i="55"/>
  <c r="IA89" i="55"/>
  <c r="HZ89" i="55"/>
  <c r="HY89" i="55"/>
  <c r="HX89" i="55"/>
  <c r="HW89" i="55"/>
  <c r="HV89" i="55"/>
  <c r="HU89" i="55"/>
  <c r="HT89" i="55"/>
  <c r="HS89" i="55"/>
  <c r="HR89" i="55"/>
  <c r="HQ89" i="55"/>
  <c r="HP89" i="55"/>
  <c r="HO89" i="55"/>
  <c r="HN89" i="55"/>
  <c r="HM89" i="55"/>
  <c r="HL89" i="55"/>
  <c r="HK89" i="55"/>
  <c r="HJ89" i="55"/>
  <c r="HI89" i="55"/>
  <c r="HH89" i="55"/>
  <c r="HG89" i="55"/>
  <c r="HF89" i="55"/>
  <c r="HE89" i="55"/>
  <c r="HD89" i="55"/>
  <c r="HC89" i="55"/>
  <c r="HB89" i="55"/>
  <c r="HA89" i="55"/>
  <c r="GZ89" i="55"/>
  <c r="GY89" i="55"/>
  <c r="GX89" i="55"/>
  <c r="GW89" i="55"/>
  <c r="GV89" i="55"/>
  <c r="GU89" i="55"/>
  <c r="GT89" i="55"/>
  <c r="GS89" i="55"/>
  <c r="GR89" i="55"/>
  <c r="GQ89" i="55"/>
  <c r="GP89" i="55"/>
  <c r="GO89" i="55"/>
  <c r="GN89" i="55"/>
  <c r="GM89" i="55"/>
  <c r="GL89" i="55"/>
  <c r="GK89" i="55"/>
  <c r="GJ89" i="55"/>
  <c r="GI89" i="55"/>
  <c r="GH89" i="55"/>
  <c r="GG89" i="55"/>
  <c r="GF89" i="55"/>
  <c r="GE89" i="55"/>
  <c r="GD89" i="55"/>
  <c r="GC89" i="55"/>
  <c r="GB89" i="55"/>
  <c r="GA89" i="55"/>
  <c r="FZ89" i="55"/>
  <c r="FY89" i="55"/>
  <c r="FX89" i="55"/>
  <c r="FW89" i="55"/>
  <c r="FV89" i="55"/>
  <c r="FU89" i="55"/>
  <c r="FT89" i="55"/>
  <c r="BG89" i="55"/>
  <c r="I89" i="57" s="1"/>
  <c r="AD89" i="55"/>
  <c r="AA89" i="55"/>
  <c r="Z89" i="55"/>
  <c r="Y89" i="55"/>
  <c r="X89" i="55"/>
  <c r="W89" i="55"/>
  <c r="V89" i="55"/>
  <c r="U89" i="55"/>
  <c r="T89" i="55"/>
  <c r="S89" i="55"/>
  <c r="R89" i="55"/>
  <c r="Q89" i="55"/>
  <c r="P89" i="55"/>
  <c r="O89" i="55"/>
  <c r="N89" i="55"/>
  <c r="M89" i="55"/>
  <c r="L89" i="55"/>
  <c r="BB89" i="55" s="1"/>
  <c r="K89" i="55"/>
  <c r="BA89" i="55" s="1"/>
  <c r="J89" i="55"/>
  <c r="I89" i="55"/>
  <c r="BS89" i="55" s="1"/>
  <c r="U89" i="57" s="1"/>
  <c r="H89" i="55"/>
  <c r="BR89" i="55" s="1"/>
  <c r="T89" i="57" s="1"/>
  <c r="G89" i="55"/>
  <c r="BQ89" i="55" s="1"/>
  <c r="S89" i="57" s="1"/>
  <c r="F89" i="55"/>
  <c r="BP89" i="55" s="1"/>
  <c r="R89" i="57" s="1"/>
  <c r="E89" i="55"/>
  <c r="BO89" i="55" s="1"/>
  <c r="Q89" i="57" s="1"/>
  <c r="D89" i="55"/>
  <c r="C89" i="55"/>
  <c r="AS89" i="55" s="1"/>
  <c r="B89" i="55"/>
  <c r="AG89" i="55" s="1"/>
  <c r="B89" i="57" s="1"/>
  <c r="A89" i="55"/>
  <c r="AF89" i="55" s="1"/>
  <c r="A89" i="57" s="1"/>
  <c r="JO88" i="55"/>
  <c r="JN88" i="55"/>
  <c r="JM88" i="55"/>
  <c r="JL88" i="55"/>
  <c r="JK88" i="55"/>
  <c r="JJ88" i="55"/>
  <c r="JI88" i="55"/>
  <c r="JH88" i="55"/>
  <c r="JG88" i="55"/>
  <c r="JF88" i="55"/>
  <c r="JE88" i="55"/>
  <c r="JD88" i="55"/>
  <c r="JC88" i="55"/>
  <c r="JB88" i="55"/>
  <c r="JA88" i="55"/>
  <c r="IZ88" i="55"/>
  <c r="IY88" i="55"/>
  <c r="IX88" i="55"/>
  <c r="IW88" i="55"/>
  <c r="IV88" i="55"/>
  <c r="IU88" i="55"/>
  <c r="IT88" i="55"/>
  <c r="IS88" i="55"/>
  <c r="IR88" i="55"/>
  <c r="IQ88" i="55"/>
  <c r="IP88" i="55"/>
  <c r="IO88" i="55"/>
  <c r="IN88" i="55"/>
  <c r="IM88" i="55"/>
  <c r="IL88" i="55"/>
  <c r="IK88" i="55"/>
  <c r="IJ88" i="55"/>
  <c r="II88" i="55"/>
  <c r="IH88" i="55"/>
  <c r="IG88" i="55"/>
  <c r="IF88" i="55"/>
  <c r="IE88" i="55"/>
  <c r="ID88" i="55"/>
  <c r="IC88" i="55"/>
  <c r="IB88" i="55"/>
  <c r="IA88" i="55"/>
  <c r="HZ88" i="55"/>
  <c r="HY88" i="55"/>
  <c r="HX88" i="55"/>
  <c r="HW88" i="55"/>
  <c r="HV88" i="55"/>
  <c r="HU88" i="55"/>
  <c r="HT88" i="55"/>
  <c r="HS88" i="55"/>
  <c r="HR88" i="55"/>
  <c r="HQ88" i="55"/>
  <c r="HP88" i="55"/>
  <c r="HO88" i="55"/>
  <c r="HN88" i="55"/>
  <c r="HM88" i="55"/>
  <c r="HL88" i="55"/>
  <c r="HK88" i="55"/>
  <c r="HJ88" i="55"/>
  <c r="HI88" i="55"/>
  <c r="HH88" i="55"/>
  <c r="HG88" i="55"/>
  <c r="HF88" i="55"/>
  <c r="HE88" i="55"/>
  <c r="HD88" i="55"/>
  <c r="HC88" i="55"/>
  <c r="HB88" i="55"/>
  <c r="HA88" i="55"/>
  <c r="GZ88" i="55"/>
  <c r="GY88" i="55"/>
  <c r="GX88" i="55"/>
  <c r="GW88" i="55"/>
  <c r="GV88" i="55"/>
  <c r="GU88" i="55"/>
  <c r="GT88" i="55"/>
  <c r="GS88" i="55"/>
  <c r="GR88" i="55"/>
  <c r="GQ88" i="55"/>
  <c r="GP88" i="55"/>
  <c r="GO88" i="55"/>
  <c r="GN88" i="55"/>
  <c r="GM88" i="55"/>
  <c r="GL88" i="55"/>
  <c r="GK88" i="55"/>
  <c r="GJ88" i="55"/>
  <c r="GI88" i="55"/>
  <c r="GH88" i="55"/>
  <c r="GG88" i="55"/>
  <c r="GF88" i="55"/>
  <c r="GE88" i="55"/>
  <c r="GD88" i="55"/>
  <c r="GC88" i="55"/>
  <c r="GB88" i="55"/>
  <c r="GA88" i="55"/>
  <c r="FZ88" i="55"/>
  <c r="FY88" i="55"/>
  <c r="FX88" i="55"/>
  <c r="FW88" i="55"/>
  <c r="FV88" i="55"/>
  <c r="FU88" i="55"/>
  <c r="FT88" i="55"/>
  <c r="AD88" i="55"/>
  <c r="AA88" i="55"/>
  <c r="Z88" i="55"/>
  <c r="Y88" i="55"/>
  <c r="X88" i="55"/>
  <c r="W88" i="55"/>
  <c r="V88" i="55"/>
  <c r="U88" i="55"/>
  <c r="T88" i="55"/>
  <c r="S88" i="55"/>
  <c r="R88" i="55"/>
  <c r="Q88" i="55"/>
  <c r="P88" i="55"/>
  <c r="O88" i="55"/>
  <c r="N88" i="55"/>
  <c r="M88" i="55"/>
  <c r="L88" i="55"/>
  <c r="K88" i="55"/>
  <c r="BU88" i="55" s="1"/>
  <c r="W88" i="57" s="1"/>
  <c r="J88" i="55"/>
  <c r="BT88" i="55" s="1"/>
  <c r="V88" i="57" s="1"/>
  <c r="I88" i="55"/>
  <c r="H88" i="55"/>
  <c r="G88" i="55"/>
  <c r="BQ88" i="55" s="1"/>
  <c r="S88" i="57" s="1"/>
  <c r="F88" i="55"/>
  <c r="BP88" i="55" s="1"/>
  <c r="R88" i="57" s="1"/>
  <c r="E88" i="55"/>
  <c r="AU88" i="55" s="1"/>
  <c r="D88" i="55"/>
  <c r="C88" i="55"/>
  <c r="BM88" i="55" s="1"/>
  <c r="O88" i="57" s="1"/>
  <c r="B88" i="55"/>
  <c r="AG88" i="55" s="1"/>
  <c r="B88" i="57" s="1"/>
  <c r="A88" i="55"/>
  <c r="AF88" i="55" s="1"/>
  <c r="A88" i="57" s="1"/>
  <c r="JO87" i="55"/>
  <c r="JN87" i="55"/>
  <c r="JM87" i="55"/>
  <c r="JL87" i="55"/>
  <c r="JK87" i="55"/>
  <c r="JJ87" i="55"/>
  <c r="JI87" i="55"/>
  <c r="JH87" i="55"/>
  <c r="JG87" i="55"/>
  <c r="JF87" i="55"/>
  <c r="JE87" i="55"/>
  <c r="JD87" i="55"/>
  <c r="JC87" i="55"/>
  <c r="JB87" i="55"/>
  <c r="JA87" i="55"/>
  <c r="IZ87" i="55"/>
  <c r="IY87" i="55"/>
  <c r="IX87" i="55"/>
  <c r="IW87" i="55"/>
  <c r="IV87" i="55"/>
  <c r="IU87" i="55"/>
  <c r="IT87" i="55"/>
  <c r="IS87" i="55"/>
  <c r="IR87" i="55"/>
  <c r="IQ87" i="55"/>
  <c r="IP87" i="55"/>
  <c r="IO87" i="55"/>
  <c r="IN87" i="55"/>
  <c r="IM87" i="55"/>
  <c r="IL87" i="55"/>
  <c r="IK87" i="55"/>
  <c r="IJ87" i="55"/>
  <c r="II87" i="55"/>
  <c r="IH87" i="55"/>
  <c r="IG87" i="55"/>
  <c r="IF87" i="55"/>
  <c r="IE87" i="55"/>
  <c r="ID87" i="55"/>
  <c r="IC87" i="55"/>
  <c r="IB87" i="55"/>
  <c r="IA87" i="55"/>
  <c r="HZ87" i="55"/>
  <c r="HY87" i="55"/>
  <c r="HX87" i="55"/>
  <c r="HW87" i="55"/>
  <c r="HV87" i="55"/>
  <c r="HU87" i="55"/>
  <c r="HT87" i="55"/>
  <c r="HS87" i="55"/>
  <c r="HR87" i="55"/>
  <c r="HQ87" i="55"/>
  <c r="HP87" i="55"/>
  <c r="HO87" i="55"/>
  <c r="HN87" i="55"/>
  <c r="HM87" i="55"/>
  <c r="HL87" i="55"/>
  <c r="HK87" i="55"/>
  <c r="HJ87" i="55"/>
  <c r="HI87" i="55"/>
  <c r="HH87" i="55"/>
  <c r="HG87" i="55"/>
  <c r="HF87" i="55"/>
  <c r="HE87" i="55"/>
  <c r="HD87" i="55"/>
  <c r="HC87" i="55"/>
  <c r="HB87" i="55"/>
  <c r="HA87" i="55"/>
  <c r="GZ87" i="55"/>
  <c r="GY87" i="55"/>
  <c r="GX87" i="55"/>
  <c r="GW87" i="55"/>
  <c r="GV87" i="55"/>
  <c r="GU87" i="55"/>
  <c r="GT87" i="55"/>
  <c r="GS87" i="55"/>
  <c r="GR87" i="55"/>
  <c r="GQ87" i="55"/>
  <c r="GP87" i="55"/>
  <c r="GO87" i="55"/>
  <c r="GN87" i="55"/>
  <c r="GM87" i="55"/>
  <c r="GL87" i="55"/>
  <c r="GK87" i="55"/>
  <c r="GJ87" i="55"/>
  <c r="GI87" i="55"/>
  <c r="GH87" i="55"/>
  <c r="GG87" i="55"/>
  <c r="GF87" i="55"/>
  <c r="GE87" i="55"/>
  <c r="GD87" i="55"/>
  <c r="GC87" i="55"/>
  <c r="GB87" i="55"/>
  <c r="GA87" i="55"/>
  <c r="FZ87" i="55"/>
  <c r="FY87" i="55"/>
  <c r="FX87" i="55"/>
  <c r="FW87" i="55"/>
  <c r="FV87" i="55"/>
  <c r="FU87" i="55"/>
  <c r="FT87" i="55"/>
  <c r="AD87" i="55"/>
  <c r="AA87" i="55"/>
  <c r="Z87" i="55"/>
  <c r="Y87" i="55"/>
  <c r="X87" i="55"/>
  <c r="W87" i="55"/>
  <c r="V87" i="55"/>
  <c r="U87" i="55"/>
  <c r="T87" i="55"/>
  <c r="S87" i="55"/>
  <c r="R87" i="55"/>
  <c r="Q87" i="55"/>
  <c r="P87" i="55"/>
  <c r="O87" i="55"/>
  <c r="N87" i="55"/>
  <c r="M87" i="55"/>
  <c r="L87" i="55"/>
  <c r="K87" i="55"/>
  <c r="BK87" i="55" s="1"/>
  <c r="M87" i="57" s="1"/>
  <c r="J87" i="55"/>
  <c r="I87" i="55"/>
  <c r="BS87" i="55" s="1"/>
  <c r="U87" i="57" s="1"/>
  <c r="H87" i="55"/>
  <c r="BR87" i="55" s="1"/>
  <c r="T87" i="57" s="1"/>
  <c r="G87" i="55"/>
  <c r="BQ87" i="55" s="1"/>
  <c r="S87" i="57" s="1"/>
  <c r="F87" i="55"/>
  <c r="E87" i="55"/>
  <c r="AU87" i="55" s="1"/>
  <c r="D87" i="55"/>
  <c r="C87" i="55"/>
  <c r="BC87" i="55" s="1"/>
  <c r="E87" i="57" s="1"/>
  <c r="B87" i="55"/>
  <c r="AG87" i="55" s="1"/>
  <c r="B87" i="57" s="1"/>
  <c r="A87" i="55"/>
  <c r="AF87" i="55" s="1"/>
  <c r="A87" i="57" s="1"/>
  <c r="JO86" i="55"/>
  <c r="JN86" i="55"/>
  <c r="JM86" i="55"/>
  <c r="JL86" i="55"/>
  <c r="JK86" i="55"/>
  <c r="JJ86" i="55"/>
  <c r="JI86" i="55"/>
  <c r="JH86" i="55"/>
  <c r="JG86" i="55"/>
  <c r="JF86" i="55"/>
  <c r="JE86" i="55"/>
  <c r="JD86" i="55"/>
  <c r="JC86" i="55"/>
  <c r="JB86" i="55"/>
  <c r="JA86" i="55"/>
  <c r="IZ86" i="55"/>
  <c r="IY86" i="55"/>
  <c r="IX86" i="55"/>
  <c r="IW86" i="55"/>
  <c r="IV86" i="55"/>
  <c r="IU86" i="55"/>
  <c r="IT86" i="55"/>
  <c r="IS86" i="55"/>
  <c r="IR86" i="55"/>
  <c r="IQ86" i="55"/>
  <c r="IP86" i="55"/>
  <c r="IO86" i="55"/>
  <c r="IN86" i="55"/>
  <c r="IM86" i="55"/>
  <c r="IL86" i="55"/>
  <c r="IK86" i="55"/>
  <c r="IJ86" i="55"/>
  <c r="II86" i="55"/>
  <c r="IH86" i="55"/>
  <c r="IG86" i="55"/>
  <c r="IF86" i="55"/>
  <c r="IE86" i="55"/>
  <c r="ID86" i="55"/>
  <c r="IC86" i="55"/>
  <c r="IB86" i="55"/>
  <c r="IA86" i="55"/>
  <c r="HZ86" i="55"/>
  <c r="HY86" i="55"/>
  <c r="HX86" i="55"/>
  <c r="HW86" i="55"/>
  <c r="HV86" i="55"/>
  <c r="HU86" i="55"/>
  <c r="HT86" i="55"/>
  <c r="HS86" i="55"/>
  <c r="HR86" i="55"/>
  <c r="HQ86" i="55"/>
  <c r="HP86" i="55"/>
  <c r="HO86" i="55"/>
  <c r="HN86" i="55"/>
  <c r="HM86" i="55"/>
  <c r="HL86" i="55"/>
  <c r="HK86" i="55"/>
  <c r="HJ86" i="55"/>
  <c r="HI86" i="55"/>
  <c r="HH86" i="55"/>
  <c r="HG86" i="55"/>
  <c r="HF86" i="55"/>
  <c r="HE86" i="55"/>
  <c r="HD86" i="55"/>
  <c r="HC86" i="55"/>
  <c r="HB86" i="55"/>
  <c r="HA86" i="55"/>
  <c r="GZ86" i="55"/>
  <c r="GY86" i="55"/>
  <c r="GX86" i="55"/>
  <c r="GW86" i="55"/>
  <c r="GV86" i="55"/>
  <c r="GU86" i="55"/>
  <c r="GT86" i="55"/>
  <c r="GS86" i="55"/>
  <c r="GR86" i="55"/>
  <c r="GQ86" i="55"/>
  <c r="GP86" i="55"/>
  <c r="GO86" i="55"/>
  <c r="GN86" i="55"/>
  <c r="GM86" i="55"/>
  <c r="GL86" i="55"/>
  <c r="GK86" i="55"/>
  <c r="GJ86" i="55"/>
  <c r="GI86" i="55"/>
  <c r="GH86" i="55"/>
  <c r="GG86" i="55"/>
  <c r="GF86" i="55"/>
  <c r="GE86" i="55"/>
  <c r="GD86" i="55"/>
  <c r="GC86" i="55"/>
  <c r="GB86" i="55"/>
  <c r="GA86" i="55"/>
  <c r="FZ86" i="55"/>
  <c r="FY86" i="55"/>
  <c r="FX86" i="55"/>
  <c r="FW86" i="55"/>
  <c r="FV86" i="55"/>
  <c r="FU86" i="55"/>
  <c r="FT86" i="55"/>
  <c r="AD86" i="55"/>
  <c r="AA86" i="55"/>
  <c r="Z86" i="55"/>
  <c r="Y86" i="55"/>
  <c r="X86" i="55"/>
  <c r="W86" i="55"/>
  <c r="V86" i="55"/>
  <c r="U86" i="55"/>
  <c r="T86" i="55"/>
  <c r="S86" i="55"/>
  <c r="R86" i="55"/>
  <c r="Q86" i="55"/>
  <c r="P86" i="55"/>
  <c r="O86" i="55"/>
  <c r="N86" i="55"/>
  <c r="M86" i="55"/>
  <c r="L86" i="55"/>
  <c r="BL86" i="55" s="1"/>
  <c r="N86" i="57" s="1"/>
  <c r="K86" i="55"/>
  <c r="J86" i="55"/>
  <c r="BT86" i="55" s="1"/>
  <c r="V86" i="57" s="1"/>
  <c r="I86" i="55"/>
  <c r="BS86" i="55" s="1"/>
  <c r="U86" i="57" s="1"/>
  <c r="H86" i="55"/>
  <c r="AX86" i="55" s="1"/>
  <c r="G86" i="55"/>
  <c r="F86" i="55"/>
  <c r="AV86" i="55" s="1"/>
  <c r="E86" i="55"/>
  <c r="AU86" i="55" s="1"/>
  <c r="D86" i="55"/>
  <c r="BD86" i="55" s="1"/>
  <c r="F86" i="57" s="1"/>
  <c r="C86" i="55"/>
  <c r="AS86" i="55" s="1"/>
  <c r="B86" i="55"/>
  <c r="AG86" i="55" s="1"/>
  <c r="B86" i="57" s="1"/>
  <c r="A86" i="55"/>
  <c r="AF86" i="55" s="1"/>
  <c r="A86" i="57" s="1"/>
  <c r="JO85" i="55"/>
  <c r="JN85" i="55"/>
  <c r="JM85" i="55"/>
  <c r="JL85" i="55"/>
  <c r="JK85" i="55"/>
  <c r="JJ85" i="55"/>
  <c r="JI85" i="55"/>
  <c r="JH85" i="55"/>
  <c r="JG85" i="55"/>
  <c r="JF85" i="55"/>
  <c r="JE85" i="55"/>
  <c r="JD85" i="55"/>
  <c r="JC85" i="55"/>
  <c r="JB85" i="55"/>
  <c r="JA85" i="55"/>
  <c r="IZ85" i="55"/>
  <c r="IY85" i="55"/>
  <c r="IX85" i="55"/>
  <c r="IW85" i="55"/>
  <c r="IV85" i="55"/>
  <c r="IU85" i="55"/>
  <c r="IT85" i="55"/>
  <c r="IS85" i="55"/>
  <c r="IR85" i="55"/>
  <c r="IQ85" i="55"/>
  <c r="IP85" i="55"/>
  <c r="IO85" i="55"/>
  <c r="IN85" i="55"/>
  <c r="IM85" i="55"/>
  <c r="IL85" i="55"/>
  <c r="IK85" i="55"/>
  <c r="IJ85" i="55"/>
  <c r="II85" i="55"/>
  <c r="IH85" i="55"/>
  <c r="IG85" i="55"/>
  <c r="IF85" i="55"/>
  <c r="IE85" i="55"/>
  <c r="ID85" i="55"/>
  <c r="IC85" i="55"/>
  <c r="IB85" i="55"/>
  <c r="IA85" i="55"/>
  <c r="HZ85" i="55"/>
  <c r="HY85" i="55"/>
  <c r="HX85" i="55"/>
  <c r="HW85" i="55"/>
  <c r="HV85" i="55"/>
  <c r="HU85" i="55"/>
  <c r="HT85" i="55"/>
  <c r="HS85" i="55"/>
  <c r="HR85" i="55"/>
  <c r="HQ85" i="55"/>
  <c r="HP85" i="55"/>
  <c r="HO85" i="55"/>
  <c r="HN85" i="55"/>
  <c r="HM85" i="55"/>
  <c r="HL85" i="55"/>
  <c r="HK85" i="55"/>
  <c r="HJ85" i="55"/>
  <c r="HI85" i="55"/>
  <c r="HH85" i="55"/>
  <c r="HG85" i="55"/>
  <c r="HF85" i="55"/>
  <c r="HE85" i="55"/>
  <c r="HD85" i="55"/>
  <c r="HC85" i="55"/>
  <c r="HB85" i="55"/>
  <c r="HA85" i="55"/>
  <c r="GZ85" i="55"/>
  <c r="GY85" i="55"/>
  <c r="GX85" i="55"/>
  <c r="GW85" i="55"/>
  <c r="GV85" i="55"/>
  <c r="GU85" i="55"/>
  <c r="GT85" i="55"/>
  <c r="GS85" i="55"/>
  <c r="GR85" i="55"/>
  <c r="GQ85" i="55"/>
  <c r="GP85" i="55"/>
  <c r="GO85" i="55"/>
  <c r="GN85" i="55"/>
  <c r="GM85" i="55"/>
  <c r="GL85" i="55"/>
  <c r="GK85" i="55"/>
  <c r="GJ85" i="55"/>
  <c r="GI85" i="55"/>
  <c r="GH85" i="55"/>
  <c r="GG85" i="55"/>
  <c r="GF85" i="55"/>
  <c r="GE85" i="55"/>
  <c r="GD85" i="55"/>
  <c r="GC85" i="55"/>
  <c r="GB85" i="55"/>
  <c r="GA85" i="55"/>
  <c r="FZ85" i="55"/>
  <c r="FY85" i="55"/>
  <c r="FX85" i="55"/>
  <c r="FW85" i="55"/>
  <c r="FV85" i="55"/>
  <c r="FU85" i="55"/>
  <c r="FT85" i="55"/>
  <c r="AD85" i="55"/>
  <c r="AA85" i="55"/>
  <c r="Z85" i="55"/>
  <c r="Y85" i="55"/>
  <c r="X85" i="55"/>
  <c r="W85" i="55"/>
  <c r="V85" i="55"/>
  <c r="U85" i="55"/>
  <c r="T85" i="55"/>
  <c r="S85" i="55"/>
  <c r="R85" i="55"/>
  <c r="Q85" i="55"/>
  <c r="P85" i="55"/>
  <c r="O85" i="55"/>
  <c r="N85" i="55"/>
  <c r="M85" i="55"/>
  <c r="L85" i="55"/>
  <c r="BL85" i="55" s="1"/>
  <c r="N85" i="57" s="1"/>
  <c r="K85" i="55"/>
  <c r="BA85" i="55" s="1"/>
  <c r="J85" i="55"/>
  <c r="BT85" i="55" s="1"/>
  <c r="V85" i="57" s="1"/>
  <c r="I85" i="55"/>
  <c r="BS85" i="55" s="1"/>
  <c r="U85" i="57" s="1"/>
  <c r="H85" i="55"/>
  <c r="BR85" i="55" s="1"/>
  <c r="T85" i="57" s="1"/>
  <c r="G85" i="55"/>
  <c r="AW85" i="55" s="1"/>
  <c r="F85" i="55"/>
  <c r="BP85" i="55" s="1"/>
  <c r="R85" i="57" s="1"/>
  <c r="E85" i="55"/>
  <c r="D85" i="55"/>
  <c r="BD85" i="55" s="1"/>
  <c r="F85" i="57" s="1"/>
  <c r="C85" i="55"/>
  <c r="AS85" i="55" s="1"/>
  <c r="B85" i="55"/>
  <c r="AG85" i="55" s="1"/>
  <c r="B85" i="57" s="1"/>
  <c r="A85" i="55"/>
  <c r="AF85" i="55" s="1"/>
  <c r="A85" i="57" s="1"/>
  <c r="JO84" i="55"/>
  <c r="JN84" i="55"/>
  <c r="JM84" i="55"/>
  <c r="JL84" i="55"/>
  <c r="JK84" i="55"/>
  <c r="JJ84" i="55"/>
  <c r="JI84" i="55"/>
  <c r="JH84" i="55"/>
  <c r="JG84" i="55"/>
  <c r="JF84" i="55"/>
  <c r="JE84" i="55"/>
  <c r="JD84" i="55"/>
  <c r="JC84" i="55"/>
  <c r="JB84" i="55"/>
  <c r="JA84" i="55"/>
  <c r="IZ84" i="55"/>
  <c r="IY84" i="55"/>
  <c r="IX84" i="55"/>
  <c r="IW84" i="55"/>
  <c r="IV84" i="55"/>
  <c r="IU84" i="55"/>
  <c r="IT84" i="55"/>
  <c r="IS84" i="55"/>
  <c r="IR84" i="55"/>
  <c r="IQ84" i="55"/>
  <c r="IP84" i="55"/>
  <c r="IO84" i="55"/>
  <c r="IN84" i="55"/>
  <c r="IM84" i="55"/>
  <c r="IL84" i="55"/>
  <c r="IK84" i="55"/>
  <c r="IJ84" i="55"/>
  <c r="II84" i="55"/>
  <c r="IH84" i="55"/>
  <c r="IG84" i="55"/>
  <c r="IF84" i="55"/>
  <c r="IE84" i="55"/>
  <c r="ID84" i="55"/>
  <c r="IC84" i="55"/>
  <c r="IB84" i="55"/>
  <c r="IA84" i="55"/>
  <c r="HZ84" i="55"/>
  <c r="HY84" i="55"/>
  <c r="HX84" i="55"/>
  <c r="HW84" i="55"/>
  <c r="HV84" i="55"/>
  <c r="HU84" i="55"/>
  <c r="HT84" i="55"/>
  <c r="HS84" i="55"/>
  <c r="HR84" i="55"/>
  <c r="HQ84" i="55"/>
  <c r="HP84" i="55"/>
  <c r="HO84" i="55"/>
  <c r="HN84" i="55"/>
  <c r="HM84" i="55"/>
  <c r="HL84" i="55"/>
  <c r="HK84" i="55"/>
  <c r="HJ84" i="55"/>
  <c r="HI84" i="55"/>
  <c r="HH84" i="55"/>
  <c r="HG84" i="55"/>
  <c r="HF84" i="55"/>
  <c r="HE84" i="55"/>
  <c r="HD84" i="55"/>
  <c r="HC84" i="55"/>
  <c r="HB84" i="55"/>
  <c r="HA84" i="55"/>
  <c r="GZ84" i="55"/>
  <c r="GY84" i="55"/>
  <c r="GX84" i="55"/>
  <c r="GW84" i="55"/>
  <c r="GV84" i="55"/>
  <c r="GU84" i="55"/>
  <c r="GT84" i="55"/>
  <c r="GS84" i="55"/>
  <c r="GR84" i="55"/>
  <c r="GQ84" i="55"/>
  <c r="GP84" i="55"/>
  <c r="GO84" i="55"/>
  <c r="GN84" i="55"/>
  <c r="GM84" i="55"/>
  <c r="GL84" i="55"/>
  <c r="GK84" i="55"/>
  <c r="GJ84" i="55"/>
  <c r="GI84" i="55"/>
  <c r="GH84" i="55"/>
  <c r="GG84" i="55"/>
  <c r="GF84" i="55"/>
  <c r="GE84" i="55"/>
  <c r="GD84" i="55"/>
  <c r="GC84" i="55"/>
  <c r="GB84" i="55"/>
  <c r="GA84" i="55"/>
  <c r="FZ84" i="55"/>
  <c r="FY84" i="55"/>
  <c r="FX84" i="55"/>
  <c r="FW84" i="55"/>
  <c r="FV84" i="55"/>
  <c r="FU84" i="55"/>
  <c r="FT84" i="55"/>
  <c r="AD84" i="55"/>
  <c r="AA84" i="55"/>
  <c r="Z84" i="55"/>
  <c r="Y84" i="55"/>
  <c r="X84" i="55"/>
  <c r="W84" i="55"/>
  <c r="V84" i="55"/>
  <c r="U84" i="55"/>
  <c r="T84" i="55"/>
  <c r="S84" i="55"/>
  <c r="R84" i="55"/>
  <c r="Q84" i="55"/>
  <c r="P84" i="55"/>
  <c r="O84" i="55"/>
  <c r="N84" i="55"/>
  <c r="M84" i="55"/>
  <c r="L84" i="55"/>
  <c r="BL84" i="55" s="1"/>
  <c r="N84" i="57" s="1"/>
  <c r="K84" i="55"/>
  <c r="BA84" i="55" s="1"/>
  <c r="J84" i="55"/>
  <c r="AZ84" i="55" s="1"/>
  <c r="I84" i="55"/>
  <c r="BI84" i="55" s="1"/>
  <c r="K84" i="57" s="1"/>
  <c r="H84" i="55"/>
  <c r="BH84" i="55" s="1"/>
  <c r="J84" i="57" s="1"/>
  <c r="G84" i="55"/>
  <c r="BQ84" i="55" s="1"/>
  <c r="S84" i="57" s="1"/>
  <c r="F84" i="55"/>
  <c r="BP84" i="55" s="1"/>
  <c r="R84" i="57" s="1"/>
  <c r="E84" i="55"/>
  <c r="BO84" i="55" s="1"/>
  <c r="Q84" i="57" s="1"/>
  <c r="D84" i="55"/>
  <c r="BD84" i="55" s="1"/>
  <c r="F84" i="57" s="1"/>
  <c r="C84" i="55"/>
  <c r="AS84" i="55" s="1"/>
  <c r="B84" i="55"/>
  <c r="AG84" i="55" s="1"/>
  <c r="B84" i="57" s="1"/>
  <c r="A84" i="55"/>
  <c r="AF84" i="55" s="1"/>
  <c r="A84" i="57" s="1"/>
  <c r="JO83" i="55"/>
  <c r="JN83" i="55"/>
  <c r="JM83" i="55"/>
  <c r="JL83" i="55"/>
  <c r="JK83" i="55"/>
  <c r="JJ83" i="55"/>
  <c r="JI83" i="55"/>
  <c r="JH83" i="55"/>
  <c r="JG83" i="55"/>
  <c r="JF83" i="55"/>
  <c r="JE83" i="55"/>
  <c r="JD83" i="55"/>
  <c r="JC83" i="55"/>
  <c r="JB83" i="55"/>
  <c r="JA83" i="55"/>
  <c r="IZ83" i="55"/>
  <c r="IY83" i="55"/>
  <c r="IX83" i="55"/>
  <c r="IW83" i="55"/>
  <c r="IV83" i="55"/>
  <c r="IU83" i="55"/>
  <c r="IT83" i="55"/>
  <c r="IS83" i="55"/>
  <c r="IR83" i="55"/>
  <c r="IQ83" i="55"/>
  <c r="IP83" i="55"/>
  <c r="IO83" i="55"/>
  <c r="IN83" i="55"/>
  <c r="IM83" i="55"/>
  <c r="IL83" i="55"/>
  <c r="IK83" i="55"/>
  <c r="IJ83" i="55"/>
  <c r="II83" i="55"/>
  <c r="IH83" i="55"/>
  <c r="IG83" i="55"/>
  <c r="IF83" i="55"/>
  <c r="IE83" i="55"/>
  <c r="ID83" i="55"/>
  <c r="IC83" i="55"/>
  <c r="IB83" i="55"/>
  <c r="IA83" i="55"/>
  <c r="HZ83" i="55"/>
  <c r="HY83" i="55"/>
  <c r="HX83" i="55"/>
  <c r="HW83" i="55"/>
  <c r="HV83" i="55"/>
  <c r="HU83" i="55"/>
  <c r="HT83" i="55"/>
  <c r="HS83" i="55"/>
  <c r="HR83" i="55"/>
  <c r="HQ83" i="55"/>
  <c r="HP83" i="55"/>
  <c r="HO83" i="55"/>
  <c r="HN83" i="55"/>
  <c r="HM83" i="55"/>
  <c r="HL83" i="55"/>
  <c r="HK83" i="55"/>
  <c r="HJ83" i="55"/>
  <c r="HI83" i="55"/>
  <c r="HH83" i="55"/>
  <c r="HG83" i="55"/>
  <c r="HF83" i="55"/>
  <c r="HE83" i="55"/>
  <c r="HD83" i="55"/>
  <c r="HC83" i="55"/>
  <c r="HB83" i="55"/>
  <c r="HA83" i="55"/>
  <c r="GZ83" i="55"/>
  <c r="GY83" i="55"/>
  <c r="GX83" i="55"/>
  <c r="GW83" i="55"/>
  <c r="GV83" i="55"/>
  <c r="GU83" i="55"/>
  <c r="GT83" i="55"/>
  <c r="GS83" i="55"/>
  <c r="GR83" i="55"/>
  <c r="GQ83" i="55"/>
  <c r="GP83" i="55"/>
  <c r="GO83" i="55"/>
  <c r="GN83" i="55"/>
  <c r="GM83" i="55"/>
  <c r="GL83" i="55"/>
  <c r="GK83" i="55"/>
  <c r="GJ83" i="55"/>
  <c r="GI83" i="55"/>
  <c r="GH83" i="55"/>
  <c r="GG83" i="55"/>
  <c r="GF83" i="55"/>
  <c r="GE83" i="55"/>
  <c r="GD83" i="55"/>
  <c r="GC83" i="55"/>
  <c r="GB83" i="55"/>
  <c r="GA83" i="55"/>
  <c r="FZ83" i="55"/>
  <c r="BW83" i="55" s="1"/>
  <c r="FY83" i="55"/>
  <c r="FX83" i="55"/>
  <c r="FW83" i="55"/>
  <c r="FV83" i="55"/>
  <c r="FU83" i="55"/>
  <c r="FT83" i="55"/>
  <c r="AF83" i="55"/>
  <c r="A83" i="57" s="1"/>
  <c r="AD83" i="55"/>
  <c r="AA83" i="55"/>
  <c r="Z83" i="55"/>
  <c r="Y83" i="55"/>
  <c r="X83" i="55"/>
  <c r="W83" i="55"/>
  <c r="V83" i="55"/>
  <c r="U83" i="55"/>
  <c r="T83" i="55"/>
  <c r="S83" i="55"/>
  <c r="R83" i="55"/>
  <c r="Q83" i="55"/>
  <c r="P83" i="55"/>
  <c r="O83" i="55"/>
  <c r="N83" i="55"/>
  <c r="M83" i="55"/>
  <c r="L83" i="55"/>
  <c r="BB83" i="55" s="1"/>
  <c r="K83" i="55"/>
  <c r="BA83" i="55" s="1"/>
  <c r="J83" i="55"/>
  <c r="BJ83" i="55" s="1"/>
  <c r="L83" i="57" s="1"/>
  <c r="I83" i="55"/>
  <c r="H83" i="55"/>
  <c r="BR83" i="55" s="1"/>
  <c r="T83" i="57" s="1"/>
  <c r="G83" i="55"/>
  <c r="BQ83" i="55" s="1"/>
  <c r="S83" i="57" s="1"/>
  <c r="F83" i="55"/>
  <c r="BP83" i="55" s="1"/>
  <c r="R83" i="57" s="1"/>
  <c r="E83" i="55"/>
  <c r="D83" i="55"/>
  <c r="AT83" i="55" s="1"/>
  <c r="C83" i="55"/>
  <c r="AS83" i="55" s="1"/>
  <c r="B83" i="55"/>
  <c r="AG83" i="55" s="1"/>
  <c r="B83" i="57" s="1"/>
  <c r="A83" i="55"/>
  <c r="JO82" i="55"/>
  <c r="JN82" i="55"/>
  <c r="JM82" i="55"/>
  <c r="JL82" i="55"/>
  <c r="JK82" i="55"/>
  <c r="JJ82" i="55"/>
  <c r="JI82" i="55"/>
  <c r="JH82" i="55"/>
  <c r="JG82" i="55"/>
  <c r="JF82" i="55"/>
  <c r="JE82" i="55"/>
  <c r="JD82" i="55"/>
  <c r="JC82" i="55"/>
  <c r="JB82" i="55"/>
  <c r="JA82" i="55"/>
  <c r="IZ82" i="55"/>
  <c r="IY82" i="55"/>
  <c r="IX82" i="55"/>
  <c r="IW82" i="55"/>
  <c r="IV82" i="55"/>
  <c r="IU82" i="55"/>
  <c r="IT82" i="55"/>
  <c r="IS82" i="55"/>
  <c r="IR82" i="55"/>
  <c r="IQ82" i="55"/>
  <c r="IP82" i="55"/>
  <c r="IO82" i="55"/>
  <c r="IN82" i="55"/>
  <c r="IM82" i="55"/>
  <c r="IL82" i="55"/>
  <c r="IK82" i="55"/>
  <c r="IJ82" i="55"/>
  <c r="II82" i="55"/>
  <c r="IH82" i="55"/>
  <c r="IG82" i="55"/>
  <c r="IF82" i="55"/>
  <c r="IE82" i="55"/>
  <c r="ID82" i="55"/>
  <c r="IC82" i="55"/>
  <c r="IB82" i="55"/>
  <c r="IA82" i="55"/>
  <c r="HZ82" i="55"/>
  <c r="HY82" i="55"/>
  <c r="HX82" i="55"/>
  <c r="HW82" i="55"/>
  <c r="HV82" i="55"/>
  <c r="HU82" i="55"/>
  <c r="HT82" i="55"/>
  <c r="HS82" i="55"/>
  <c r="HR82" i="55"/>
  <c r="HQ82" i="55"/>
  <c r="HP82" i="55"/>
  <c r="HO82" i="55"/>
  <c r="HN82" i="55"/>
  <c r="HM82" i="55"/>
  <c r="HL82" i="55"/>
  <c r="HK82" i="55"/>
  <c r="HJ82" i="55"/>
  <c r="HI82" i="55"/>
  <c r="HH82" i="55"/>
  <c r="HG82" i="55"/>
  <c r="HF82" i="55"/>
  <c r="HE82" i="55"/>
  <c r="HD82" i="55"/>
  <c r="HC82" i="55"/>
  <c r="HB82" i="55"/>
  <c r="HA82" i="55"/>
  <c r="GZ82" i="55"/>
  <c r="GY82" i="55"/>
  <c r="GX82" i="55"/>
  <c r="GW82" i="55"/>
  <c r="GV82" i="55"/>
  <c r="GU82" i="55"/>
  <c r="GT82" i="55"/>
  <c r="GS82" i="55"/>
  <c r="GR82" i="55"/>
  <c r="GQ82" i="55"/>
  <c r="GP82" i="55"/>
  <c r="GO82" i="55"/>
  <c r="GN82" i="55"/>
  <c r="GM82" i="55"/>
  <c r="GL82" i="55"/>
  <c r="GK82" i="55"/>
  <c r="GJ82" i="55"/>
  <c r="GI82" i="55"/>
  <c r="GH82" i="55"/>
  <c r="GG82" i="55"/>
  <c r="GF82" i="55"/>
  <c r="GE82" i="55"/>
  <c r="GD82" i="55"/>
  <c r="GC82" i="55"/>
  <c r="GB82" i="55"/>
  <c r="GA82" i="55"/>
  <c r="FZ82" i="55"/>
  <c r="FY82" i="55"/>
  <c r="FX82" i="55"/>
  <c r="FW82" i="55"/>
  <c r="FV82" i="55"/>
  <c r="FU82" i="55"/>
  <c r="FT82" i="55"/>
  <c r="AD82" i="55"/>
  <c r="AA82" i="55"/>
  <c r="Z82" i="55"/>
  <c r="Y82" i="55"/>
  <c r="X82" i="55"/>
  <c r="W82" i="55"/>
  <c r="V82" i="55"/>
  <c r="U82" i="55"/>
  <c r="T82" i="55"/>
  <c r="S82" i="55"/>
  <c r="R82" i="55"/>
  <c r="Q82" i="55"/>
  <c r="P82" i="55"/>
  <c r="O82" i="55"/>
  <c r="N82" i="55"/>
  <c r="M82" i="55"/>
  <c r="L82" i="55"/>
  <c r="K82" i="55"/>
  <c r="BK82" i="55" s="1"/>
  <c r="M82" i="57" s="1"/>
  <c r="J82" i="55"/>
  <c r="BJ82" i="55" s="1"/>
  <c r="L82" i="57" s="1"/>
  <c r="I82" i="55"/>
  <c r="BS82" i="55" s="1"/>
  <c r="U82" i="57" s="1"/>
  <c r="H82" i="55"/>
  <c r="G82" i="55"/>
  <c r="BQ82" i="55" s="1"/>
  <c r="S82" i="57" s="1"/>
  <c r="F82" i="55"/>
  <c r="BF82" i="55" s="1"/>
  <c r="H82" i="57" s="1"/>
  <c r="E82" i="55"/>
  <c r="AU82" i="55" s="1"/>
  <c r="D82" i="55"/>
  <c r="C82" i="55"/>
  <c r="BC82" i="55" s="1"/>
  <c r="E82" i="57" s="1"/>
  <c r="B82" i="55"/>
  <c r="AG82" i="55" s="1"/>
  <c r="B82" i="57" s="1"/>
  <c r="A82" i="55"/>
  <c r="AF82" i="55" s="1"/>
  <c r="A82" i="57" s="1"/>
  <c r="JO81" i="55"/>
  <c r="JN81" i="55"/>
  <c r="JM81" i="55"/>
  <c r="JL81" i="55"/>
  <c r="JK81" i="55"/>
  <c r="JJ81" i="55"/>
  <c r="JI81" i="55"/>
  <c r="JH81" i="55"/>
  <c r="JG81" i="55"/>
  <c r="JF81" i="55"/>
  <c r="JE81" i="55"/>
  <c r="JD81" i="55"/>
  <c r="JC81" i="55"/>
  <c r="JB81" i="55"/>
  <c r="JA81" i="55"/>
  <c r="IZ81" i="55"/>
  <c r="IY81" i="55"/>
  <c r="IX81" i="55"/>
  <c r="IW81" i="55"/>
  <c r="IV81" i="55"/>
  <c r="IU81" i="55"/>
  <c r="IT81" i="55"/>
  <c r="IS81" i="55"/>
  <c r="IR81" i="55"/>
  <c r="IQ81" i="55"/>
  <c r="IP81" i="55"/>
  <c r="IO81" i="55"/>
  <c r="IN81" i="55"/>
  <c r="IM81" i="55"/>
  <c r="IL81" i="55"/>
  <c r="IK81" i="55"/>
  <c r="IJ81" i="55"/>
  <c r="II81" i="55"/>
  <c r="IH81" i="55"/>
  <c r="IG81" i="55"/>
  <c r="IF81" i="55"/>
  <c r="IE81" i="55"/>
  <c r="ID81" i="55"/>
  <c r="IC81" i="55"/>
  <c r="IB81" i="55"/>
  <c r="IA81" i="55"/>
  <c r="HZ81" i="55"/>
  <c r="HY81" i="55"/>
  <c r="HX81" i="55"/>
  <c r="HW81" i="55"/>
  <c r="HV81" i="55"/>
  <c r="HU81" i="55"/>
  <c r="HT81" i="55"/>
  <c r="HS81" i="55"/>
  <c r="HR81" i="55"/>
  <c r="HQ81" i="55"/>
  <c r="HP81" i="55"/>
  <c r="HO81" i="55"/>
  <c r="HN81" i="55"/>
  <c r="HM81" i="55"/>
  <c r="HL81" i="55"/>
  <c r="HK81" i="55"/>
  <c r="HJ81" i="55"/>
  <c r="HI81" i="55"/>
  <c r="HH81" i="55"/>
  <c r="HG81" i="55"/>
  <c r="HF81" i="55"/>
  <c r="HE81" i="55"/>
  <c r="HD81" i="55"/>
  <c r="HC81" i="55"/>
  <c r="HB81" i="55"/>
  <c r="HA81" i="55"/>
  <c r="GZ81" i="55"/>
  <c r="GY81" i="55"/>
  <c r="GX81" i="55"/>
  <c r="GW81" i="55"/>
  <c r="GV81" i="55"/>
  <c r="GU81" i="55"/>
  <c r="GT81" i="55"/>
  <c r="GS81" i="55"/>
  <c r="GR81" i="55"/>
  <c r="GQ81" i="55"/>
  <c r="GP81" i="55"/>
  <c r="GO81" i="55"/>
  <c r="GN81" i="55"/>
  <c r="GM81" i="55"/>
  <c r="GL81" i="55"/>
  <c r="GK81" i="55"/>
  <c r="GJ81" i="55"/>
  <c r="GI81" i="55"/>
  <c r="GH81" i="55"/>
  <c r="GG81" i="55"/>
  <c r="GF81" i="55"/>
  <c r="GE81" i="55"/>
  <c r="GD81" i="55"/>
  <c r="GC81" i="55"/>
  <c r="GB81" i="55"/>
  <c r="GA81" i="55"/>
  <c r="FZ81" i="55"/>
  <c r="FY81" i="55"/>
  <c r="FX81" i="55"/>
  <c r="FW81" i="55"/>
  <c r="FV81" i="55"/>
  <c r="FU81" i="55"/>
  <c r="FT81" i="55"/>
  <c r="AD81" i="55"/>
  <c r="AA81" i="55"/>
  <c r="Z81" i="55"/>
  <c r="Y81" i="55"/>
  <c r="X81" i="55"/>
  <c r="W81" i="55"/>
  <c r="V81" i="55"/>
  <c r="U81" i="55"/>
  <c r="T81" i="55"/>
  <c r="S81" i="55"/>
  <c r="R81" i="55"/>
  <c r="Q81" i="55"/>
  <c r="P81" i="55"/>
  <c r="O81" i="55"/>
  <c r="N81" i="55"/>
  <c r="M81" i="55"/>
  <c r="L81" i="55"/>
  <c r="BL81" i="55" s="1"/>
  <c r="N81" i="57" s="1"/>
  <c r="K81" i="55"/>
  <c r="BK81" i="55" s="1"/>
  <c r="M81" i="57" s="1"/>
  <c r="J81" i="55"/>
  <c r="BT81" i="55" s="1"/>
  <c r="V81" i="57" s="1"/>
  <c r="I81" i="55"/>
  <c r="BS81" i="55" s="1"/>
  <c r="U81" i="57" s="1"/>
  <c r="H81" i="55"/>
  <c r="BR81" i="55" s="1"/>
  <c r="T81" i="57" s="1"/>
  <c r="G81" i="55"/>
  <c r="BG81" i="55" s="1"/>
  <c r="I81" i="57" s="1"/>
  <c r="F81" i="55"/>
  <c r="AV81" i="55" s="1"/>
  <c r="E81" i="55"/>
  <c r="AU81" i="55" s="1"/>
  <c r="D81" i="55"/>
  <c r="BD81" i="55" s="1"/>
  <c r="F81" i="57" s="1"/>
  <c r="C81" i="55"/>
  <c r="BC81" i="55" s="1"/>
  <c r="E81" i="57" s="1"/>
  <c r="B81" i="55"/>
  <c r="EX2" i="55" s="1"/>
  <c r="A81" i="55"/>
  <c r="AF81" i="55" s="1"/>
  <c r="A81" i="57" s="1"/>
  <c r="JO80" i="55"/>
  <c r="JN80" i="55"/>
  <c r="JM80" i="55"/>
  <c r="JL80" i="55"/>
  <c r="JK80" i="55"/>
  <c r="JJ80" i="55"/>
  <c r="JI80" i="55"/>
  <c r="JH80" i="55"/>
  <c r="JG80" i="55"/>
  <c r="JF80" i="55"/>
  <c r="JE80" i="55"/>
  <c r="JD80" i="55"/>
  <c r="JC80" i="55"/>
  <c r="JB80" i="55"/>
  <c r="JA80" i="55"/>
  <c r="IZ80" i="55"/>
  <c r="IY80" i="55"/>
  <c r="IX80" i="55"/>
  <c r="IW80" i="55"/>
  <c r="IV80" i="55"/>
  <c r="IU80" i="55"/>
  <c r="IT80" i="55"/>
  <c r="IS80" i="55"/>
  <c r="IR80" i="55"/>
  <c r="IQ80" i="55"/>
  <c r="IP80" i="55"/>
  <c r="IO80" i="55"/>
  <c r="IN80" i="55"/>
  <c r="IM80" i="55"/>
  <c r="IL80" i="55"/>
  <c r="IK80" i="55"/>
  <c r="IJ80" i="55"/>
  <c r="II80" i="55"/>
  <c r="IH80" i="55"/>
  <c r="IG80" i="55"/>
  <c r="IF80" i="55"/>
  <c r="IE80" i="55"/>
  <c r="ID80" i="55"/>
  <c r="IC80" i="55"/>
  <c r="IB80" i="55"/>
  <c r="IA80" i="55"/>
  <c r="HZ80" i="55"/>
  <c r="HY80" i="55"/>
  <c r="HX80" i="55"/>
  <c r="HW80" i="55"/>
  <c r="HV80" i="55"/>
  <c r="HU80" i="55"/>
  <c r="HT80" i="55"/>
  <c r="HS80" i="55"/>
  <c r="HR80" i="55"/>
  <c r="HQ80" i="55"/>
  <c r="HP80" i="55"/>
  <c r="HO80" i="55"/>
  <c r="HN80" i="55"/>
  <c r="HM80" i="55"/>
  <c r="HL80" i="55"/>
  <c r="HK80" i="55"/>
  <c r="HJ80" i="55"/>
  <c r="HI80" i="55"/>
  <c r="HH80" i="55"/>
  <c r="HG80" i="55"/>
  <c r="HF80" i="55"/>
  <c r="HE80" i="55"/>
  <c r="HD80" i="55"/>
  <c r="HC80" i="55"/>
  <c r="HB80" i="55"/>
  <c r="HA80" i="55"/>
  <c r="GZ80" i="55"/>
  <c r="GY80" i="55"/>
  <c r="GX80" i="55"/>
  <c r="GW80" i="55"/>
  <c r="GV80" i="55"/>
  <c r="GU80" i="55"/>
  <c r="GT80" i="55"/>
  <c r="GS80" i="55"/>
  <c r="GR80" i="55"/>
  <c r="GQ80" i="55"/>
  <c r="GP80" i="55"/>
  <c r="GO80" i="55"/>
  <c r="GN80" i="55"/>
  <c r="GM80" i="55"/>
  <c r="GL80" i="55"/>
  <c r="GK80" i="55"/>
  <c r="GJ80" i="55"/>
  <c r="GI80" i="55"/>
  <c r="GH80" i="55"/>
  <c r="GG80" i="55"/>
  <c r="GF80" i="55"/>
  <c r="GE80" i="55"/>
  <c r="GD80" i="55"/>
  <c r="GC80" i="55"/>
  <c r="GB80" i="55"/>
  <c r="GA80" i="55"/>
  <c r="FZ80" i="55"/>
  <c r="FY80" i="55"/>
  <c r="FX80" i="55"/>
  <c r="FW80" i="55"/>
  <c r="FV80" i="55"/>
  <c r="FU80" i="55"/>
  <c r="FT80" i="55"/>
  <c r="AD80" i="55"/>
  <c r="AA80" i="55"/>
  <c r="Z80" i="55"/>
  <c r="Y80" i="55"/>
  <c r="X80" i="55"/>
  <c r="W80" i="55"/>
  <c r="V80" i="55"/>
  <c r="U80" i="55"/>
  <c r="T80" i="55"/>
  <c r="S80" i="55"/>
  <c r="R80" i="55"/>
  <c r="Q80" i="55"/>
  <c r="P80" i="55"/>
  <c r="O80" i="55"/>
  <c r="N80" i="55"/>
  <c r="M80" i="55"/>
  <c r="L80" i="55"/>
  <c r="BL80" i="55" s="1"/>
  <c r="N80" i="57" s="1"/>
  <c r="K80" i="55"/>
  <c r="BU80" i="55" s="1"/>
  <c r="W80" i="57" s="1"/>
  <c r="J80" i="55"/>
  <c r="BT80" i="55" s="1"/>
  <c r="V80" i="57" s="1"/>
  <c r="I80" i="55"/>
  <c r="H80" i="55"/>
  <c r="G80" i="55"/>
  <c r="AW80" i="55" s="1"/>
  <c r="F80" i="55"/>
  <c r="AV80" i="55" s="1"/>
  <c r="E80" i="55"/>
  <c r="D80" i="55"/>
  <c r="BD80" i="55" s="1"/>
  <c r="F80" i="57" s="1"/>
  <c r="C80" i="55"/>
  <c r="BM80" i="55" s="1"/>
  <c r="O80" i="57" s="1"/>
  <c r="B80" i="55"/>
  <c r="AG80" i="55" s="1"/>
  <c r="B80" i="57" s="1"/>
  <c r="A80" i="55"/>
  <c r="AF80" i="55" s="1"/>
  <c r="A80" i="57" s="1"/>
  <c r="JO79" i="55"/>
  <c r="JN79" i="55"/>
  <c r="JM79" i="55"/>
  <c r="JL79" i="55"/>
  <c r="JK79" i="55"/>
  <c r="JJ79" i="55"/>
  <c r="JI79" i="55"/>
  <c r="JH79" i="55"/>
  <c r="JG79" i="55"/>
  <c r="JF79" i="55"/>
  <c r="JE79" i="55"/>
  <c r="JD79" i="55"/>
  <c r="JC79" i="55"/>
  <c r="JB79" i="55"/>
  <c r="JA79" i="55"/>
  <c r="IZ79" i="55"/>
  <c r="IY79" i="55"/>
  <c r="IX79" i="55"/>
  <c r="IW79" i="55"/>
  <c r="IV79" i="55"/>
  <c r="IU79" i="55"/>
  <c r="IT79" i="55"/>
  <c r="IS79" i="55"/>
  <c r="IR79" i="55"/>
  <c r="IQ79" i="55"/>
  <c r="IP79" i="55"/>
  <c r="IO79" i="55"/>
  <c r="IN79" i="55"/>
  <c r="IM79" i="55"/>
  <c r="IL79" i="55"/>
  <c r="IK79" i="55"/>
  <c r="IJ79" i="55"/>
  <c r="II79" i="55"/>
  <c r="IH79" i="55"/>
  <c r="IG79" i="55"/>
  <c r="IF79" i="55"/>
  <c r="IE79" i="55"/>
  <c r="ID79" i="55"/>
  <c r="IC79" i="55"/>
  <c r="IB79" i="55"/>
  <c r="IA79" i="55"/>
  <c r="HZ79" i="55"/>
  <c r="HY79" i="55"/>
  <c r="HX79" i="55"/>
  <c r="HW79" i="55"/>
  <c r="HV79" i="55"/>
  <c r="HU79" i="55"/>
  <c r="HT79" i="55"/>
  <c r="HS79" i="55"/>
  <c r="HR79" i="55"/>
  <c r="HQ79" i="55"/>
  <c r="HP79" i="55"/>
  <c r="HO79" i="55"/>
  <c r="HN79" i="55"/>
  <c r="HM79" i="55"/>
  <c r="HL79" i="55"/>
  <c r="HK79" i="55"/>
  <c r="HJ79" i="55"/>
  <c r="HI79" i="55"/>
  <c r="HH79" i="55"/>
  <c r="HG79" i="55"/>
  <c r="HF79" i="55"/>
  <c r="HE79" i="55"/>
  <c r="HD79" i="55"/>
  <c r="HC79" i="55"/>
  <c r="HB79" i="55"/>
  <c r="HA79" i="55"/>
  <c r="GZ79" i="55"/>
  <c r="GY79" i="55"/>
  <c r="GX79" i="55"/>
  <c r="GW79" i="55"/>
  <c r="GV79" i="55"/>
  <c r="GU79" i="55"/>
  <c r="GT79" i="55"/>
  <c r="GS79" i="55"/>
  <c r="GR79" i="55"/>
  <c r="GQ79" i="55"/>
  <c r="GP79" i="55"/>
  <c r="GO79" i="55"/>
  <c r="GN79" i="55"/>
  <c r="GM79" i="55"/>
  <c r="GL79" i="55"/>
  <c r="GK79" i="55"/>
  <c r="GJ79" i="55"/>
  <c r="GI79" i="55"/>
  <c r="GH79" i="55"/>
  <c r="GG79" i="55"/>
  <c r="GF79" i="55"/>
  <c r="GE79" i="55"/>
  <c r="GD79" i="55"/>
  <c r="GC79" i="55"/>
  <c r="GB79" i="55"/>
  <c r="GA79" i="55"/>
  <c r="FZ79" i="55"/>
  <c r="FY79" i="55"/>
  <c r="FX79" i="55"/>
  <c r="FW79" i="55"/>
  <c r="FV79" i="55"/>
  <c r="FU79" i="55"/>
  <c r="FT79" i="55"/>
  <c r="BG79" i="55"/>
  <c r="I79" i="57" s="1"/>
  <c r="AD79" i="55"/>
  <c r="AA79" i="55"/>
  <c r="Z79" i="55"/>
  <c r="Y79" i="55"/>
  <c r="X79" i="55"/>
  <c r="W79" i="55"/>
  <c r="V79" i="55"/>
  <c r="U79" i="55"/>
  <c r="T79" i="55"/>
  <c r="S79" i="55"/>
  <c r="R79" i="55"/>
  <c r="Q79" i="55"/>
  <c r="P79" i="55"/>
  <c r="O79" i="55"/>
  <c r="N79" i="55"/>
  <c r="M79" i="55"/>
  <c r="L79" i="55"/>
  <c r="BV79" i="55" s="1"/>
  <c r="X79" i="57" s="1"/>
  <c r="K79" i="55"/>
  <c r="BU79" i="55" s="1"/>
  <c r="W79" i="57" s="1"/>
  <c r="J79" i="55"/>
  <c r="BT79" i="55" s="1"/>
  <c r="V79" i="57" s="1"/>
  <c r="I79" i="55"/>
  <c r="BI79" i="55" s="1"/>
  <c r="K79" i="57" s="1"/>
  <c r="H79" i="55"/>
  <c r="BR79" i="55" s="1"/>
  <c r="T79" i="57" s="1"/>
  <c r="G79" i="55"/>
  <c r="AW79" i="55" s="1"/>
  <c r="F79" i="55"/>
  <c r="BF79" i="55" s="1"/>
  <c r="H79" i="57" s="1"/>
  <c r="E79" i="55"/>
  <c r="BE79" i="55" s="1"/>
  <c r="G79" i="57" s="1"/>
  <c r="D79" i="55"/>
  <c r="C79" i="55"/>
  <c r="BM79" i="55" s="1"/>
  <c r="O79" i="57" s="1"/>
  <c r="B79" i="55"/>
  <c r="AG79" i="55" s="1"/>
  <c r="B79" i="57" s="1"/>
  <c r="A79" i="55"/>
  <c r="AF79" i="55" s="1"/>
  <c r="A79" i="57" s="1"/>
  <c r="JO78" i="55"/>
  <c r="JN78" i="55"/>
  <c r="JM78" i="55"/>
  <c r="JL78" i="55"/>
  <c r="JK78" i="55"/>
  <c r="JJ78" i="55"/>
  <c r="JI78" i="55"/>
  <c r="JH78" i="55"/>
  <c r="JG78" i="55"/>
  <c r="JF78" i="55"/>
  <c r="JE78" i="55"/>
  <c r="JD78" i="55"/>
  <c r="JC78" i="55"/>
  <c r="JB78" i="55"/>
  <c r="JA78" i="55"/>
  <c r="IZ78" i="55"/>
  <c r="IY78" i="55"/>
  <c r="IX78" i="55"/>
  <c r="IW78" i="55"/>
  <c r="IV78" i="55"/>
  <c r="IU78" i="55"/>
  <c r="IT78" i="55"/>
  <c r="IS78" i="55"/>
  <c r="IR78" i="55"/>
  <c r="IQ78" i="55"/>
  <c r="IP78" i="55"/>
  <c r="IO78" i="55"/>
  <c r="IN78" i="55"/>
  <c r="IM78" i="55"/>
  <c r="IL78" i="55"/>
  <c r="IK78" i="55"/>
  <c r="IJ78" i="55"/>
  <c r="II78" i="55"/>
  <c r="IH78" i="55"/>
  <c r="IG78" i="55"/>
  <c r="IF78" i="55"/>
  <c r="IE78" i="55"/>
  <c r="ID78" i="55"/>
  <c r="IC78" i="55"/>
  <c r="IB78" i="55"/>
  <c r="IA78" i="55"/>
  <c r="HZ78" i="55"/>
  <c r="HY78" i="55"/>
  <c r="HX78" i="55"/>
  <c r="HW78" i="55"/>
  <c r="HV78" i="55"/>
  <c r="HU78" i="55"/>
  <c r="HT78" i="55"/>
  <c r="HS78" i="55"/>
  <c r="HR78" i="55"/>
  <c r="HQ78" i="55"/>
  <c r="HP78" i="55"/>
  <c r="HO78" i="55"/>
  <c r="HN78" i="55"/>
  <c r="HM78" i="55"/>
  <c r="HL78" i="55"/>
  <c r="HK78" i="55"/>
  <c r="HJ78" i="55"/>
  <c r="HI78" i="55"/>
  <c r="HH78" i="55"/>
  <c r="HG78" i="55"/>
  <c r="HF78" i="55"/>
  <c r="HE78" i="55"/>
  <c r="HD78" i="55"/>
  <c r="HC78" i="55"/>
  <c r="HB78" i="55"/>
  <c r="HA78" i="55"/>
  <c r="GZ78" i="55"/>
  <c r="GY78" i="55"/>
  <c r="GX78" i="55"/>
  <c r="GW78" i="55"/>
  <c r="GV78" i="55"/>
  <c r="GU78" i="55"/>
  <c r="GT78" i="55"/>
  <c r="GS78" i="55"/>
  <c r="GR78" i="55"/>
  <c r="GQ78" i="55"/>
  <c r="GP78" i="55"/>
  <c r="GO78" i="55"/>
  <c r="GN78" i="55"/>
  <c r="GM78" i="55"/>
  <c r="GL78" i="55"/>
  <c r="GK78" i="55"/>
  <c r="GJ78" i="55"/>
  <c r="GI78" i="55"/>
  <c r="GH78" i="55"/>
  <c r="GG78" i="55"/>
  <c r="GF78" i="55"/>
  <c r="GE78" i="55"/>
  <c r="GD78" i="55"/>
  <c r="GC78" i="55"/>
  <c r="GB78" i="55"/>
  <c r="GA78" i="55"/>
  <c r="FZ78" i="55"/>
  <c r="FY78" i="55"/>
  <c r="FX78" i="55"/>
  <c r="FW78" i="55"/>
  <c r="FV78" i="55"/>
  <c r="FU78" i="55"/>
  <c r="FT78" i="55"/>
  <c r="BB78" i="55"/>
  <c r="AD78" i="55"/>
  <c r="AA78" i="55"/>
  <c r="Z78" i="55"/>
  <c r="Y78" i="55"/>
  <c r="X78" i="55"/>
  <c r="W78" i="55"/>
  <c r="V78" i="55"/>
  <c r="U78" i="55"/>
  <c r="T78" i="55"/>
  <c r="S78" i="55"/>
  <c r="R78" i="55"/>
  <c r="Q78" i="55"/>
  <c r="P78" i="55"/>
  <c r="O78" i="55"/>
  <c r="N78" i="55"/>
  <c r="M78" i="55"/>
  <c r="L78" i="55"/>
  <c r="BV78" i="55" s="1"/>
  <c r="X78" i="57" s="1"/>
  <c r="K78" i="55"/>
  <c r="BA78" i="55" s="1"/>
  <c r="J78" i="55"/>
  <c r="BJ78" i="55" s="1"/>
  <c r="L78" i="57" s="1"/>
  <c r="I78" i="55"/>
  <c r="BS78" i="55" s="1"/>
  <c r="U78" i="57" s="1"/>
  <c r="H78" i="55"/>
  <c r="AX78" i="55" s="1"/>
  <c r="G78" i="55"/>
  <c r="BG78" i="55" s="1"/>
  <c r="I78" i="57" s="1"/>
  <c r="F78" i="55"/>
  <c r="E78" i="55"/>
  <c r="D78" i="55"/>
  <c r="C78" i="55"/>
  <c r="AS78" i="55" s="1"/>
  <c r="B78" i="55"/>
  <c r="AG78" i="55" s="1"/>
  <c r="B78" i="57" s="1"/>
  <c r="A78" i="55"/>
  <c r="AF78" i="55" s="1"/>
  <c r="A78" i="57" s="1"/>
  <c r="JO77" i="55"/>
  <c r="JN77" i="55"/>
  <c r="JM77" i="55"/>
  <c r="JL77" i="55"/>
  <c r="JK77" i="55"/>
  <c r="JJ77" i="55"/>
  <c r="JI77" i="55"/>
  <c r="JH77" i="55"/>
  <c r="JG77" i="55"/>
  <c r="JF77" i="55"/>
  <c r="JE77" i="55"/>
  <c r="JD77" i="55"/>
  <c r="JC77" i="55"/>
  <c r="JB77" i="55"/>
  <c r="JA77" i="55"/>
  <c r="IZ77" i="55"/>
  <c r="IY77" i="55"/>
  <c r="IX77" i="55"/>
  <c r="IW77" i="55"/>
  <c r="IV77" i="55"/>
  <c r="IU77" i="55"/>
  <c r="IT77" i="55"/>
  <c r="IS77" i="55"/>
  <c r="IR77" i="55"/>
  <c r="IQ77" i="55"/>
  <c r="IP77" i="55"/>
  <c r="IO77" i="55"/>
  <c r="IN77" i="55"/>
  <c r="IM77" i="55"/>
  <c r="IL77" i="55"/>
  <c r="IK77" i="55"/>
  <c r="IJ77" i="55"/>
  <c r="II77" i="55"/>
  <c r="IH77" i="55"/>
  <c r="IG77" i="55"/>
  <c r="IF77" i="55"/>
  <c r="IE77" i="55"/>
  <c r="ID77" i="55"/>
  <c r="IC77" i="55"/>
  <c r="IB77" i="55"/>
  <c r="IA77" i="55"/>
  <c r="HZ77" i="55"/>
  <c r="HY77" i="55"/>
  <c r="HX77" i="55"/>
  <c r="HW77" i="55"/>
  <c r="HV77" i="55"/>
  <c r="HU77" i="55"/>
  <c r="HT77" i="55"/>
  <c r="HS77" i="55"/>
  <c r="HR77" i="55"/>
  <c r="HQ77" i="55"/>
  <c r="HP77" i="55"/>
  <c r="HO77" i="55"/>
  <c r="HN77" i="55"/>
  <c r="HM77" i="55"/>
  <c r="HL77" i="55"/>
  <c r="HK77" i="55"/>
  <c r="HJ77" i="55"/>
  <c r="HI77" i="55"/>
  <c r="HH77" i="55"/>
  <c r="HG77" i="55"/>
  <c r="HF77" i="55"/>
  <c r="HE77" i="55"/>
  <c r="HD77" i="55"/>
  <c r="HC77" i="55"/>
  <c r="HB77" i="55"/>
  <c r="HA77" i="55"/>
  <c r="GZ77" i="55"/>
  <c r="GY77" i="55"/>
  <c r="GX77" i="55"/>
  <c r="GW77" i="55"/>
  <c r="GV77" i="55"/>
  <c r="GU77" i="55"/>
  <c r="GT77" i="55"/>
  <c r="GS77" i="55"/>
  <c r="GR77" i="55"/>
  <c r="GQ77" i="55"/>
  <c r="GP77" i="55"/>
  <c r="GO77" i="55"/>
  <c r="GN77" i="55"/>
  <c r="GM77" i="55"/>
  <c r="GL77" i="55"/>
  <c r="GK77" i="55"/>
  <c r="GJ77" i="55"/>
  <c r="GI77" i="55"/>
  <c r="GH77" i="55"/>
  <c r="GG77" i="55"/>
  <c r="GF77" i="55"/>
  <c r="GE77" i="55"/>
  <c r="GD77" i="55"/>
  <c r="GC77" i="55"/>
  <c r="GB77" i="55"/>
  <c r="GA77" i="55"/>
  <c r="FZ77" i="55"/>
  <c r="FY77" i="55"/>
  <c r="FX77" i="55"/>
  <c r="FW77" i="55"/>
  <c r="FV77" i="55"/>
  <c r="FU77" i="55"/>
  <c r="FT77" i="55"/>
  <c r="AD77" i="55"/>
  <c r="AA77" i="55"/>
  <c r="Z77" i="55"/>
  <c r="Y77" i="55"/>
  <c r="X77" i="55"/>
  <c r="W77" i="55"/>
  <c r="V77" i="55"/>
  <c r="U77" i="55"/>
  <c r="T77" i="55"/>
  <c r="S77" i="55"/>
  <c r="R77" i="55"/>
  <c r="Q77" i="55"/>
  <c r="P77" i="55"/>
  <c r="O77" i="55"/>
  <c r="N77" i="55"/>
  <c r="M77" i="55"/>
  <c r="L77" i="55"/>
  <c r="BV77" i="55" s="1"/>
  <c r="X77" i="57" s="1"/>
  <c r="K77" i="55"/>
  <c r="BU77" i="55" s="1"/>
  <c r="W77" i="57" s="1"/>
  <c r="J77" i="55"/>
  <c r="AZ77" i="55" s="1"/>
  <c r="I77" i="55"/>
  <c r="AY77" i="55" s="1"/>
  <c r="H77" i="55"/>
  <c r="BH77" i="55" s="1"/>
  <c r="J77" i="57" s="1"/>
  <c r="G77" i="55"/>
  <c r="BG77" i="55" s="1"/>
  <c r="I77" i="57" s="1"/>
  <c r="F77" i="55"/>
  <c r="E77" i="55"/>
  <c r="BO77" i="55" s="1"/>
  <c r="Q77" i="57" s="1"/>
  <c r="D77" i="55"/>
  <c r="BN77" i="55" s="1"/>
  <c r="P77" i="57" s="1"/>
  <c r="C77" i="55"/>
  <c r="BM77" i="55" s="1"/>
  <c r="O77" i="57" s="1"/>
  <c r="B77" i="55"/>
  <c r="AG77" i="55" s="1"/>
  <c r="B77" i="57" s="1"/>
  <c r="A77" i="55"/>
  <c r="AF77" i="55" s="1"/>
  <c r="A77" i="57" s="1"/>
  <c r="JO76" i="55"/>
  <c r="JN76" i="55"/>
  <c r="JM76" i="55"/>
  <c r="JL76" i="55"/>
  <c r="JK76" i="55"/>
  <c r="JJ76" i="55"/>
  <c r="JI76" i="55"/>
  <c r="JH76" i="55"/>
  <c r="JG76" i="55"/>
  <c r="JF76" i="55"/>
  <c r="JE76" i="55"/>
  <c r="JD76" i="55"/>
  <c r="JC76" i="55"/>
  <c r="JB76" i="55"/>
  <c r="JA76" i="55"/>
  <c r="IZ76" i="55"/>
  <c r="IY76" i="55"/>
  <c r="IX76" i="55"/>
  <c r="IW76" i="55"/>
  <c r="IV76" i="55"/>
  <c r="IU76" i="55"/>
  <c r="IT76" i="55"/>
  <c r="IS76" i="55"/>
  <c r="IR76" i="55"/>
  <c r="IQ76" i="55"/>
  <c r="IP76" i="55"/>
  <c r="IO76" i="55"/>
  <c r="IN76" i="55"/>
  <c r="IM76" i="55"/>
  <c r="IL76" i="55"/>
  <c r="IK76" i="55"/>
  <c r="IJ76" i="55"/>
  <c r="II76" i="55"/>
  <c r="IH76" i="55"/>
  <c r="IG76" i="55"/>
  <c r="IF76" i="55"/>
  <c r="IE76" i="55"/>
  <c r="ID76" i="55"/>
  <c r="IC76" i="55"/>
  <c r="IB76" i="55"/>
  <c r="IA76" i="55"/>
  <c r="HZ76" i="55"/>
  <c r="HY76" i="55"/>
  <c r="HX76" i="55"/>
  <c r="HW76" i="55"/>
  <c r="HV76" i="55"/>
  <c r="HU76" i="55"/>
  <c r="HT76" i="55"/>
  <c r="HS76" i="55"/>
  <c r="HR76" i="55"/>
  <c r="HQ76" i="55"/>
  <c r="HP76" i="55"/>
  <c r="HO76" i="55"/>
  <c r="HN76" i="55"/>
  <c r="HM76" i="55"/>
  <c r="HL76" i="55"/>
  <c r="HK76" i="55"/>
  <c r="HJ76" i="55"/>
  <c r="HI76" i="55"/>
  <c r="HH76" i="55"/>
  <c r="HG76" i="55"/>
  <c r="HF76" i="55"/>
  <c r="HE76" i="55"/>
  <c r="HD76" i="55"/>
  <c r="HC76" i="55"/>
  <c r="HB76" i="55"/>
  <c r="HA76" i="55"/>
  <c r="GZ76" i="55"/>
  <c r="GY76" i="55"/>
  <c r="GX76" i="55"/>
  <c r="GW76" i="55"/>
  <c r="GV76" i="55"/>
  <c r="GU76" i="55"/>
  <c r="GT76" i="55"/>
  <c r="GS76" i="55"/>
  <c r="GR76" i="55"/>
  <c r="GQ76" i="55"/>
  <c r="GP76" i="55"/>
  <c r="GO76" i="55"/>
  <c r="GN76" i="55"/>
  <c r="GM76" i="55"/>
  <c r="GL76" i="55"/>
  <c r="GK76" i="55"/>
  <c r="GJ76" i="55"/>
  <c r="GI76" i="55"/>
  <c r="GH76" i="55"/>
  <c r="GG76" i="55"/>
  <c r="GF76" i="55"/>
  <c r="GE76" i="55"/>
  <c r="GD76" i="55"/>
  <c r="GC76" i="55"/>
  <c r="GB76" i="55"/>
  <c r="GA76" i="55"/>
  <c r="FZ76" i="55"/>
  <c r="FY76" i="55"/>
  <c r="FX76" i="55"/>
  <c r="FW76" i="55"/>
  <c r="FV76" i="55"/>
  <c r="FU76" i="55"/>
  <c r="FT76" i="55"/>
  <c r="AD76" i="55"/>
  <c r="AA76" i="55"/>
  <c r="Z76" i="55"/>
  <c r="Y76" i="55"/>
  <c r="X76" i="55"/>
  <c r="W76" i="55"/>
  <c r="V76" i="55"/>
  <c r="U76" i="55"/>
  <c r="T76" i="55"/>
  <c r="S76" i="55"/>
  <c r="R76" i="55"/>
  <c r="Q76" i="55"/>
  <c r="P76" i="55"/>
  <c r="O76" i="55"/>
  <c r="N76" i="55"/>
  <c r="M76" i="55"/>
  <c r="L76" i="55"/>
  <c r="BV76" i="55" s="1"/>
  <c r="X76" i="57" s="1"/>
  <c r="K76" i="55"/>
  <c r="BA76" i="55" s="1"/>
  <c r="J76" i="55"/>
  <c r="AZ76" i="55" s="1"/>
  <c r="I76" i="55"/>
  <c r="BI76" i="55" s="1"/>
  <c r="K76" i="57" s="1"/>
  <c r="H76" i="55"/>
  <c r="BH76" i="55" s="1"/>
  <c r="J76" i="57" s="1"/>
  <c r="G76" i="55"/>
  <c r="F76" i="55"/>
  <c r="BP76" i="55" s="1"/>
  <c r="R76" i="57" s="1"/>
  <c r="E76" i="55"/>
  <c r="BE76" i="55" s="1"/>
  <c r="G76" i="57" s="1"/>
  <c r="D76" i="55"/>
  <c r="BN76" i="55" s="1"/>
  <c r="P76" i="57" s="1"/>
  <c r="C76" i="55"/>
  <c r="AS76" i="55" s="1"/>
  <c r="B76" i="55"/>
  <c r="AG76" i="55" s="1"/>
  <c r="B76" i="57" s="1"/>
  <c r="A76" i="55"/>
  <c r="AF76" i="55" s="1"/>
  <c r="A76" i="57" s="1"/>
  <c r="JO75" i="55"/>
  <c r="JN75" i="55"/>
  <c r="JM75" i="55"/>
  <c r="JL75" i="55"/>
  <c r="JK75" i="55"/>
  <c r="JJ75" i="55"/>
  <c r="JI75" i="55"/>
  <c r="JH75" i="55"/>
  <c r="JG75" i="55"/>
  <c r="JF75" i="55"/>
  <c r="JE75" i="55"/>
  <c r="JD75" i="55"/>
  <c r="JC75" i="55"/>
  <c r="JB75" i="55"/>
  <c r="JA75" i="55"/>
  <c r="IZ75" i="55"/>
  <c r="IY75" i="55"/>
  <c r="IX75" i="55"/>
  <c r="IW75" i="55"/>
  <c r="IV75" i="55"/>
  <c r="IU75" i="55"/>
  <c r="IT75" i="55"/>
  <c r="IS75" i="55"/>
  <c r="IR75" i="55"/>
  <c r="IQ75" i="55"/>
  <c r="IP75" i="55"/>
  <c r="IO75" i="55"/>
  <c r="IN75" i="55"/>
  <c r="IM75" i="55"/>
  <c r="IL75" i="55"/>
  <c r="IK75" i="55"/>
  <c r="IJ75" i="55"/>
  <c r="II75" i="55"/>
  <c r="IH75" i="55"/>
  <c r="IG75" i="55"/>
  <c r="IF75" i="55"/>
  <c r="IE75" i="55"/>
  <c r="ID75" i="55"/>
  <c r="IC75" i="55"/>
  <c r="IB75" i="55"/>
  <c r="IA75" i="55"/>
  <c r="HZ75" i="55"/>
  <c r="HY75" i="55"/>
  <c r="HX75" i="55"/>
  <c r="HW75" i="55"/>
  <c r="HV75" i="55"/>
  <c r="HU75" i="55"/>
  <c r="HT75" i="55"/>
  <c r="HS75" i="55"/>
  <c r="HR75" i="55"/>
  <c r="HQ75" i="55"/>
  <c r="HP75" i="55"/>
  <c r="HO75" i="55"/>
  <c r="HN75" i="55"/>
  <c r="HM75" i="55"/>
  <c r="HL75" i="55"/>
  <c r="HK75" i="55"/>
  <c r="HJ75" i="55"/>
  <c r="HI75" i="55"/>
  <c r="HH75" i="55"/>
  <c r="HG75" i="55"/>
  <c r="HF75" i="55"/>
  <c r="HE75" i="55"/>
  <c r="HD75" i="55"/>
  <c r="HC75" i="55"/>
  <c r="HB75" i="55"/>
  <c r="HA75" i="55"/>
  <c r="GZ75" i="55"/>
  <c r="GY75" i="55"/>
  <c r="GX75" i="55"/>
  <c r="GW75" i="55"/>
  <c r="GV75" i="55"/>
  <c r="GU75" i="55"/>
  <c r="GT75" i="55"/>
  <c r="GS75" i="55"/>
  <c r="GR75" i="55"/>
  <c r="GQ75" i="55"/>
  <c r="GP75" i="55"/>
  <c r="GO75" i="55"/>
  <c r="GN75" i="55"/>
  <c r="GM75" i="55"/>
  <c r="GL75" i="55"/>
  <c r="GK75" i="55"/>
  <c r="GJ75" i="55"/>
  <c r="GI75" i="55"/>
  <c r="GH75" i="55"/>
  <c r="GG75" i="55"/>
  <c r="GF75" i="55"/>
  <c r="GE75" i="55"/>
  <c r="GD75" i="55"/>
  <c r="GC75" i="55"/>
  <c r="GB75" i="55"/>
  <c r="GA75" i="55"/>
  <c r="FZ75" i="55"/>
  <c r="FY75" i="55"/>
  <c r="FX75" i="55"/>
  <c r="FW75" i="55"/>
  <c r="FV75" i="55"/>
  <c r="FU75" i="55"/>
  <c r="FT75" i="55"/>
  <c r="AZ75" i="55"/>
  <c r="AG75" i="55"/>
  <c r="B75" i="57" s="1"/>
  <c r="AD75" i="55"/>
  <c r="AA75" i="55"/>
  <c r="Z75" i="55"/>
  <c r="Y75" i="55"/>
  <c r="X75" i="55"/>
  <c r="W75" i="55"/>
  <c r="V75" i="55"/>
  <c r="U75" i="55"/>
  <c r="T75" i="55"/>
  <c r="S75" i="55"/>
  <c r="R75" i="55"/>
  <c r="Q75" i="55"/>
  <c r="P75" i="55"/>
  <c r="O75" i="55"/>
  <c r="N75" i="55"/>
  <c r="M75" i="55"/>
  <c r="L75" i="55"/>
  <c r="BB75" i="55" s="1"/>
  <c r="K75" i="55"/>
  <c r="BA75" i="55" s="1"/>
  <c r="J75" i="55"/>
  <c r="BJ75" i="55" s="1"/>
  <c r="L75" i="57" s="1"/>
  <c r="I75" i="55"/>
  <c r="BI75" i="55" s="1"/>
  <c r="K75" i="57" s="1"/>
  <c r="H75" i="55"/>
  <c r="BR75" i="55" s="1"/>
  <c r="T75" i="57" s="1"/>
  <c r="G75" i="55"/>
  <c r="F75" i="55"/>
  <c r="BF75" i="55" s="1"/>
  <c r="H75" i="57" s="1"/>
  <c r="E75" i="55"/>
  <c r="BO75" i="55" s="1"/>
  <c r="Q75" i="57" s="1"/>
  <c r="D75" i="55"/>
  <c r="AT75" i="55" s="1"/>
  <c r="C75" i="55"/>
  <c r="AS75" i="55" s="1"/>
  <c r="B75" i="55"/>
  <c r="A75" i="55"/>
  <c r="AF75" i="55" s="1"/>
  <c r="A75" i="57" s="1"/>
  <c r="JO74" i="55"/>
  <c r="JN74" i="55"/>
  <c r="JM74" i="55"/>
  <c r="JL74" i="55"/>
  <c r="JK74" i="55"/>
  <c r="JJ74" i="55"/>
  <c r="JI74" i="55"/>
  <c r="JH74" i="55"/>
  <c r="JG74" i="55"/>
  <c r="JF74" i="55"/>
  <c r="JE74" i="55"/>
  <c r="JD74" i="55"/>
  <c r="JC74" i="55"/>
  <c r="JB74" i="55"/>
  <c r="JA74" i="55"/>
  <c r="IZ74" i="55"/>
  <c r="IY74" i="55"/>
  <c r="IX74" i="55"/>
  <c r="IW74" i="55"/>
  <c r="IV74" i="55"/>
  <c r="IU74" i="55"/>
  <c r="IT74" i="55"/>
  <c r="IS74" i="55"/>
  <c r="IR74" i="55"/>
  <c r="IQ74" i="55"/>
  <c r="IP74" i="55"/>
  <c r="IO74" i="55"/>
  <c r="IN74" i="55"/>
  <c r="IM74" i="55"/>
  <c r="IL74" i="55"/>
  <c r="IK74" i="55"/>
  <c r="IJ74" i="55"/>
  <c r="II74" i="55"/>
  <c r="IH74" i="55"/>
  <c r="IG74" i="55"/>
  <c r="IF74" i="55"/>
  <c r="IE74" i="55"/>
  <c r="ID74" i="55"/>
  <c r="IC74" i="55"/>
  <c r="IB74" i="55"/>
  <c r="IA74" i="55"/>
  <c r="HZ74" i="55"/>
  <c r="HY74" i="55"/>
  <c r="HX74" i="55"/>
  <c r="HW74" i="55"/>
  <c r="HV74" i="55"/>
  <c r="HU74" i="55"/>
  <c r="HT74" i="55"/>
  <c r="HS74" i="55"/>
  <c r="HR74" i="55"/>
  <c r="HQ74" i="55"/>
  <c r="HP74" i="55"/>
  <c r="HO74" i="55"/>
  <c r="HN74" i="55"/>
  <c r="HM74" i="55"/>
  <c r="HL74" i="55"/>
  <c r="HK74" i="55"/>
  <c r="HJ74" i="55"/>
  <c r="HI74" i="55"/>
  <c r="HH74" i="55"/>
  <c r="HG74" i="55"/>
  <c r="HF74" i="55"/>
  <c r="HE74" i="55"/>
  <c r="HD74" i="55"/>
  <c r="HC74" i="55"/>
  <c r="HB74" i="55"/>
  <c r="HA74" i="55"/>
  <c r="GZ74" i="55"/>
  <c r="GY74" i="55"/>
  <c r="GX74" i="55"/>
  <c r="GW74" i="55"/>
  <c r="GV74" i="55"/>
  <c r="GU74" i="55"/>
  <c r="GT74" i="55"/>
  <c r="GS74" i="55"/>
  <c r="GR74" i="55"/>
  <c r="GQ74" i="55"/>
  <c r="GP74" i="55"/>
  <c r="GO74" i="55"/>
  <c r="GN74" i="55"/>
  <c r="GM74" i="55"/>
  <c r="GL74" i="55"/>
  <c r="GK74" i="55"/>
  <c r="GJ74" i="55"/>
  <c r="GI74" i="55"/>
  <c r="GH74" i="55"/>
  <c r="GG74" i="55"/>
  <c r="GF74" i="55"/>
  <c r="GE74" i="55"/>
  <c r="GD74" i="55"/>
  <c r="GC74" i="55"/>
  <c r="GB74" i="55"/>
  <c r="GA74" i="55"/>
  <c r="FZ74" i="55"/>
  <c r="FY74" i="55"/>
  <c r="FX74" i="55"/>
  <c r="FW74" i="55"/>
  <c r="FV74" i="55"/>
  <c r="FU74" i="55"/>
  <c r="FT74" i="55"/>
  <c r="AD74" i="55"/>
  <c r="AA74" i="55"/>
  <c r="Z74" i="55"/>
  <c r="Y74" i="55"/>
  <c r="X74" i="55"/>
  <c r="W74" i="55"/>
  <c r="V74" i="55"/>
  <c r="U74" i="55"/>
  <c r="T74" i="55"/>
  <c r="S74" i="55"/>
  <c r="R74" i="55"/>
  <c r="Q74" i="55"/>
  <c r="P74" i="55"/>
  <c r="O74" i="55"/>
  <c r="N74" i="55"/>
  <c r="M74" i="55"/>
  <c r="L74" i="55"/>
  <c r="BB74" i="55" s="1"/>
  <c r="K74" i="55"/>
  <c r="J74" i="55"/>
  <c r="BJ74" i="55" s="1"/>
  <c r="L74" i="57" s="1"/>
  <c r="I74" i="55"/>
  <c r="BS74" i="55" s="1"/>
  <c r="U74" i="57" s="1"/>
  <c r="H74" i="55"/>
  <c r="G74" i="55"/>
  <c r="F74" i="55"/>
  <c r="BP74" i="55" s="1"/>
  <c r="R74" i="57" s="1"/>
  <c r="E74" i="55"/>
  <c r="AU74" i="55" s="1"/>
  <c r="D74" i="55"/>
  <c r="AT74" i="55" s="1"/>
  <c r="C74" i="55"/>
  <c r="B74" i="55"/>
  <c r="AG74" i="55" s="1"/>
  <c r="B74" i="57" s="1"/>
  <c r="A74" i="55"/>
  <c r="AF74" i="55" s="1"/>
  <c r="A74" i="57" s="1"/>
  <c r="JO73" i="55"/>
  <c r="JN73" i="55"/>
  <c r="JM73" i="55"/>
  <c r="JL73" i="55"/>
  <c r="JK73" i="55"/>
  <c r="JJ73" i="55"/>
  <c r="JI73" i="55"/>
  <c r="JH73" i="55"/>
  <c r="JG73" i="55"/>
  <c r="JF73" i="55"/>
  <c r="JE73" i="55"/>
  <c r="JD73" i="55"/>
  <c r="JC73" i="55"/>
  <c r="JB73" i="55"/>
  <c r="JA73" i="55"/>
  <c r="IZ73" i="55"/>
  <c r="IY73" i="55"/>
  <c r="IX73" i="55"/>
  <c r="IW73" i="55"/>
  <c r="IV73" i="55"/>
  <c r="IU73" i="55"/>
  <c r="IT73" i="55"/>
  <c r="IS73" i="55"/>
  <c r="IR73" i="55"/>
  <c r="IQ73" i="55"/>
  <c r="IP73" i="55"/>
  <c r="IO73" i="55"/>
  <c r="IN73" i="55"/>
  <c r="IM73" i="55"/>
  <c r="IL73" i="55"/>
  <c r="IK73" i="55"/>
  <c r="IJ73" i="55"/>
  <c r="II73" i="55"/>
  <c r="IH73" i="55"/>
  <c r="IG73" i="55"/>
  <c r="IF73" i="55"/>
  <c r="IE73" i="55"/>
  <c r="ID73" i="55"/>
  <c r="IC73" i="55"/>
  <c r="IB73" i="55"/>
  <c r="IA73" i="55"/>
  <c r="HZ73" i="55"/>
  <c r="HY73" i="55"/>
  <c r="HX73" i="55"/>
  <c r="HW73" i="55"/>
  <c r="HV73" i="55"/>
  <c r="HU73" i="55"/>
  <c r="HT73" i="55"/>
  <c r="HS73" i="55"/>
  <c r="HR73" i="55"/>
  <c r="HQ73" i="55"/>
  <c r="HP73" i="55"/>
  <c r="HO73" i="55"/>
  <c r="HN73" i="55"/>
  <c r="HM73" i="55"/>
  <c r="HL73" i="55"/>
  <c r="HK73" i="55"/>
  <c r="HJ73" i="55"/>
  <c r="HI73" i="55"/>
  <c r="HH73" i="55"/>
  <c r="HG73" i="55"/>
  <c r="HF73" i="55"/>
  <c r="HE73" i="55"/>
  <c r="HD73" i="55"/>
  <c r="HC73" i="55"/>
  <c r="HB73" i="55"/>
  <c r="HA73" i="55"/>
  <c r="GZ73" i="55"/>
  <c r="GY73" i="55"/>
  <c r="GX73" i="55"/>
  <c r="GW73" i="55"/>
  <c r="GV73" i="55"/>
  <c r="GU73" i="55"/>
  <c r="GT73" i="55"/>
  <c r="GS73" i="55"/>
  <c r="GR73" i="55"/>
  <c r="GQ73" i="55"/>
  <c r="GP73" i="55"/>
  <c r="GO73" i="55"/>
  <c r="GN73" i="55"/>
  <c r="GM73" i="55"/>
  <c r="GL73" i="55"/>
  <c r="GK73" i="55"/>
  <c r="GJ73" i="55"/>
  <c r="GI73" i="55"/>
  <c r="GH73" i="55"/>
  <c r="GG73" i="55"/>
  <c r="GF73" i="55"/>
  <c r="GE73" i="55"/>
  <c r="GD73" i="55"/>
  <c r="GC73" i="55"/>
  <c r="GB73" i="55"/>
  <c r="GA73" i="55"/>
  <c r="FZ73" i="55"/>
  <c r="FY73" i="55"/>
  <c r="FX73" i="55"/>
  <c r="FW73" i="55"/>
  <c r="FV73" i="55"/>
  <c r="FU73" i="55"/>
  <c r="FT73" i="55"/>
  <c r="AD73" i="55"/>
  <c r="AA73" i="55"/>
  <c r="Z73" i="55"/>
  <c r="Y73" i="55"/>
  <c r="X73" i="55"/>
  <c r="W73" i="55"/>
  <c r="V73" i="55"/>
  <c r="U73" i="55"/>
  <c r="T73" i="55"/>
  <c r="S73" i="55"/>
  <c r="R73" i="55"/>
  <c r="Q73" i="55"/>
  <c r="P73" i="55"/>
  <c r="O73" i="55"/>
  <c r="N73" i="55"/>
  <c r="M73" i="55"/>
  <c r="L73" i="55"/>
  <c r="BV73" i="55" s="1"/>
  <c r="X73" i="57" s="1"/>
  <c r="K73" i="55"/>
  <c r="BK73" i="55" s="1"/>
  <c r="M73" i="57" s="1"/>
  <c r="J73" i="55"/>
  <c r="AZ73" i="55" s="1"/>
  <c r="I73" i="55"/>
  <c r="H73" i="55"/>
  <c r="BR73" i="55" s="1"/>
  <c r="T73" i="57" s="1"/>
  <c r="G73" i="55"/>
  <c r="BQ73" i="55" s="1"/>
  <c r="S73" i="57" s="1"/>
  <c r="F73" i="55"/>
  <c r="E73" i="55"/>
  <c r="D73" i="55"/>
  <c r="BN73" i="55" s="1"/>
  <c r="P73" i="57" s="1"/>
  <c r="C73" i="55"/>
  <c r="BC73" i="55" s="1"/>
  <c r="E73" i="57" s="1"/>
  <c r="B73" i="55"/>
  <c r="AG73" i="55" s="1"/>
  <c r="B73" i="57" s="1"/>
  <c r="A73" i="55"/>
  <c r="AF73" i="55" s="1"/>
  <c r="A73" i="57" s="1"/>
  <c r="JO72" i="55"/>
  <c r="JN72" i="55"/>
  <c r="JM72" i="55"/>
  <c r="JL72" i="55"/>
  <c r="JK72" i="55"/>
  <c r="JJ72" i="55"/>
  <c r="JI72" i="55"/>
  <c r="JH72" i="55"/>
  <c r="JG72" i="55"/>
  <c r="JF72" i="55"/>
  <c r="JE72" i="55"/>
  <c r="JD72" i="55"/>
  <c r="JC72" i="55"/>
  <c r="JB72" i="55"/>
  <c r="JA72" i="55"/>
  <c r="IZ72" i="55"/>
  <c r="IY72" i="55"/>
  <c r="IX72" i="55"/>
  <c r="IW72" i="55"/>
  <c r="IV72" i="55"/>
  <c r="IU72" i="55"/>
  <c r="IT72" i="55"/>
  <c r="IS72" i="55"/>
  <c r="IR72" i="55"/>
  <c r="IQ72" i="55"/>
  <c r="IP72" i="55"/>
  <c r="IO72" i="55"/>
  <c r="IN72" i="55"/>
  <c r="IM72" i="55"/>
  <c r="IL72" i="55"/>
  <c r="IK72" i="55"/>
  <c r="IJ72" i="55"/>
  <c r="II72" i="55"/>
  <c r="IH72" i="55"/>
  <c r="IG72" i="55"/>
  <c r="IF72" i="55"/>
  <c r="IE72" i="55"/>
  <c r="ID72" i="55"/>
  <c r="IC72" i="55"/>
  <c r="IB72" i="55"/>
  <c r="IA72" i="55"/>
  <c r="HZ72" i="55"/>
  <c r="HY72" i="55"/>
  <c r="HX72" i="55"/>
  <c r="HW72" i="55"/>
  <c r="HV72" i="55"/>
  <c r="HU72" i="55"/>
  <c r="HT72" i="55"/>
  <c r="HS72" i="55"/>
  <c r="HR72" i="55"/>
  <c r="HQ72" i="55"/>
  <c r="HP72" i="55"/>
  <c r="HO72" i="55"/>
  <c r="HN72" i="55"/>
  <c r="HM72" i="55"/>
  <c r="HL72" i="55"/>
  <c r="HK72" i="55"/>
  <c r="HJ72" i="55"/>
  <c r="HI72" i="55"/>
  <c r="HH72" i="55"/>
  <c r="HG72" i="55"/>
  <c r="HF72" i="55"/>
  <c r="HE72" i="55"/>
  <c r="HD72" i="55"/>
  <c r="HC72" i="55"/>
  <c r="HB72" i="55"/>
  <c r="HA72" i="55"/>
  <c r="GZ72" i="55"/>
  <c r="GY72" i="55"/>
  <c r="GX72" i="55"/>
  <c r="GW72" i="55"/>
  <c r="GV72" i="55"/>
  <c r="GU72" i="55"/>
  <c r="GT72" i="55"/>
  <c r="GS72" i="55"/>
  <c r="GR72" i="55"/>
  <c r="GQ72" i="55"/>
  <c r="GP72" i="55"/>
  <c r="GO72" i="55"/>
  <c r="GN72" i="55"/>
  <c r="GM72" i="55"/>
  <c r="GL72" i="55"/>
  <c r="GK72" i="55"/>
  <c r="GJ72" i="55"/>
  <c r="GI72" i="55"/>
  <c r="GH72" i="55"/>
  <c r="GG72" i="55"/>
  <c r="GF72" i="55"/>
  <c r="GE72" i="55"/>
  <c r="GD72" i="55"/>
  <c r="GC72" i="55"/>
  <c r="GB72" i="55"/>
  <c r="GA72" i="55"/>
  <c r="FZ72" i="55"/>
  <c r="FY72" i="55"/>
  <c r="FX72" i="55"/>
  <c r="FW72" i="55"/>
  <c r="FV72" i="55"/>
  <c r="FU72" i="55"/>
  <c r="FT72" i="55"/>
  <c r="AD72" i="55"/>
  <c r="AA72" i="55"/>
  <c r="Z72" i="55"/>
  <c r="Y72" i="55"/>
  <c r="X72" i="55"/>
  <c r="W72" i="55"/>
  <c r="V72" i="55"/>
  <c r="U72" i="55"/>
  <c r="T72" i="55"/>
  <c r="S72" i="55"/>
  <c r="R72" i="55"/>
  <c r="Q72" i="55"/>
  <c r="P72" i="55"/>
  <c r="O72" i="55"/>
  <c r="N72" i="55"/>
  <c r="M72" i="55"/>
  <c r="L72" i="55"/>
  <c r="K72" i="55"/>
  <c r="J72" i="55"/>
  <c r="BT72" i="55" s="1"/>
  <c r="V72" i="57" s="1"/>
  <c r="I72" i="55"/>
  <c r="BS72" i="55" s="1"/>
  <c r="U72" i="57" s="1"/>
  <c r="H72" i="55"/>
  <c r="BR72" i="55" s="1"/>
  <c r="T72" i="57" s="1"/>
  <c r="G72" i="55"/>
  <c r="BQ72" i="55" s="1"/>
  <c r="S72" i="57" s="1"/>
  <c r="F72" i="55"/>
  <c r="AV72" i="55" s="1"/>
  <c r="E72" i="55"/>
  <c r="BO72" i="55" s="1"/>
  <c r="Q72" i="57" s="1"/>
  <c r="D72" i="55"/>
  <c r="C72" i="55"/>
  <c r="B72" i="55"/>
  <c r="AG72" i="55" s="1"/>
  <c r="B72" i="57" s="1"/>
  <c r="A72" i="55"/>
  <c r="AF72" i="55" s="1"/>
  <c r="A72" i="57" s="1"/>
  <c r="JO71" i="55"/>
  <c r="JN71" i="55"/>
  <c r="JM71" i="55"/>
  <c r="JL71" i="55"/>
  <c r="JK71" i="55"/>
  <c r="JJ71" i="55"/>
  <c r="JI71" i="55"/>
  <c r="JH71" i="55"/>
  <c r="JG71" i="55"/>
  <c r="JF71" i="55"/>
  <c r="JE71" i="55"/>
  <c r="JD71" i="55"/>
  <c r="JC71" i="55"/>
  <c r="JB71" i="55"/>
  <c r="JA71" i="55"/>
  <c r="IZ71" i="55"/>
  <c r="IY71" i="55"/>
  <c r="IX71" i="55"/>
  <c r="IW71" i="55"/>
  <c r="IV71" i="55"/>
  <c r="IU71" i="55"/>
  <c r="IT71" i="55"/>
  <c r="IS71" i="55"/>
  <c r="IR71" i="55"/>
  <c r="IQ71" i="55"/>
  <c r="IP71" i="55"/>
  <c r="IO71" i="55"/>
  <c r="IN71" i="55"/>
  <c r="IM71" i="55"/>
  <c r="IL71" i="55"/>
  <c r="IK71" i="55"/>
  <c r="IJ71" i="55"/>
  <c r="II71" i="55"/>
  <c r="IH71" i="55"/>
  <c r="IG71" i="55"/>
  <c r="IF71" i="55"/>
  <c r="IE71" i="55"/>
  <c r="ID71" i="55"/>
  <c r="IC71" i="55"/>
  <c r="IB71" i="55"/>
  <c r="IA71" i="55"/>
  <c r="HZ71" i="55"/>
  <c r="HY71" i="55"/>
  <c r="HX71" i="55"/>
  <c r="HW71" i="55"/>
  <c r="HV71" i="55"/>
  <c r="HU71" i="55"/>
  <c r="HT71" i="55"/>
  <c r="HS71" i="55"/>
  <c r="HR71" i="55"/>
  <c r="HQ71" i="55"/>
  <c r="HP71" i="55"/>
  <c r="HO71" i="55"/>
  <c r="HN71" i="55"/>
  <c r="HM71" i="55"/>
  <c r="HL71" i="55"/>
  <c r="HK71" i="55"/>
  <c r="HJ71" i="55"/>
  <c r="HI71" i="55"/>
  <c r="HH71" i="55"/>
  <c r="HG71" i="55"/>
  <c r="HF71" i="55"/>
  <c r="HE71" i="55"/>
  <c r="HD71" i="55"/>
  <c r="HC71" i="55"/>
  <c r="HB71" i="55"/>
  <c r="HA71" i="55"/>
  <c r="GZ71" i="55"/>
  <c r="GY71" i="55"/>
  <c r="GX71" i="55"/>
  <c r="GW71" i="55"/>
  <c r="GV71" i="55"/>
  <c r="GU71" i="55"/>
  <c r="GT71" i="55"/>
  <c r="GS71" i="55"/>
  <c r="GR71" i="55"/>
  <c r="GQ71" i="55"/>
  <c r="GP71" i="55"/>
  <c r="GO71" i="55"/>
  <c r="GN71" i="55"/>
  <c r="GM71" i="55"/>
  <c r="GL71" i="55"/>
  <c r="GK71" i="55"/>
  <c r="GJ71" i="55"/>
  <c r="GI71" i="55"/>
  <c r="GH71" i="55"/>
  <c r="GG71" i="55"/>
  <c r="GF71" i="55"/>
  <c r="GE71" i="55"/>
  <c r="GD71" i="55"/>
  <c r="GC71" i="55"/>
  <c r="GB71" i="55"/>
  <c r="GA71" i="55"/>
  <c r="FZ71" i="55"/>
  <c r="FY71" i="55"/>
  <c r="FX71" i="55"/>
  <c r="FW71" i="55"/>
  <c r="FV71" i="55"/>
  <c r="FU71" i="55"/>
  <c r="FT71" i="55"/>
  <c r="BJ71" i="55"/>
  <c r="L71" i="57" s="1"/>
  <c r="AG71" i="55"/>
  <c r="B71" i="57" s="1"/>
  <c r="AD71" i="55"/>
  <c r="AA71" i="55"/>
  <c r="Z71" i="55"/>
  <c r="Y71" i="55"/>
  <c r="X71" i="55"/>
  <c r="W71" i="55"/>
  <c r="V71" i="55"/>
  <c r="U71" i="55"/>
  <c r="T71" i="55"/>
  <c r="S71" i="55"/>
  <c r="R71" i="55"/>
  <c r="Q71" i="55"/>
  <c r="P71" i="55"/>
  <c r="O71" i="55"/>
  <c r="N71" i="55"/>
  <c r="M71" i="55"/>
  <c r="L71" i="55"/>
  <c r="BB71" i="55" s="1"/>
  <c r="K71" i="55"/>
  <c r="BU71" i="55" s="1"/>
  <c r="W71" i="57" s="1"/>
  <c r="J71" i="55"/>
  <c r="BT71" i="55" s="1"/>
  <c r="V71" i="57" s="1"/>
  <c r="I71" i="55"/>
  <c r="H71" i="55"/>
  <c r="G71" i="55"/>
  <c r="AW71" i="55" s="1"/>
  <c r="F71" i="55"/>
  <c r="BP71" i="55" s="1"/>
  <c r="R71" i="57" s="1"/>
  <c r="E71" i="55"/>
  <c r="BE71" i="55" s="1"/>
  <c r="G71" i="57" s="1"/>
  <c r="D71" i="55"/>
  <c r="C71" i="55"/>
  <c r="BM71" i="55" s="1"/>
  <c r="O71" i="57" s="1"/>
  <c r="B71" i="55"/>
  <c r="A71" i="55"/>
  <c r="AF71" i="55" s="1"/>
  <c r="A71" i="57" s="1"/>
  <c r="JO70" i="55"/>
  <c r="JN70" i="55"/>
  <c r="JM70" i="55"/>
  <c r="JL70" i="55"/>
  <c r="JK70" i="55"/>
  <c r="JJ70" i="55"/>
  <c r="JI70" i="55"/>
  <c r="JH70" i="55"/>
  <c r="JG70" i="55"/>
  <c r="JF70" i="55"/>
  <c r="JE70" i="55"/>
  <c r="JD70" i="55"/>
  <c r="JC70" i="55"/>
  <c r="JB70" i="55"/>
  <c r="JA70" i="55"/>
  <c r="IZ70" i="55"/>
  <c r="IY70" i="55"/>
  <c r="IX70" i="55"/>
  <c r="IW70" i="55"/>
  <c r="IV70" i="55"/>
  <c r="IU70" i="55"/>
  <c r="IT70" i="55"/>
  <c r="IS70" i="55"/>
  <c r="IR70" i="55"/>
  <c r="IQ70" i="55"/>
  <c r="IP70" i="55"/>
  <c r="IO70" i="55"/>
  <c r="IN70" i="55"/>
  <c r="IM70" i="55"/>
  <c r="IL70" i="55"/>
  <c r="IK70" i="55"/>
  <c r="IJ70" i="55"/>
  <c r="II70" i="55"/>
  <c r="IH70" i="55"/>
  <c r="IG70" i="55"/>
  <c r="IF70" i="55"/>
  <c r="IE70" i="55"/>
  <c r="ID70" i="55"/>
  <c r="IC70" i="55"/>
  <c r="IB70" i="55"/>
  <c r="IA70" i="55"/>
  <c r="HZ70" i="55"/>
  <c r="HY70" i="55"/>
  <c r="HX70" i="55"/>
  <c r="HW70" i="55"/>
  <c r="HV70" i="55"/>
  <c r="HU70" i="55"/>
  <c r="HT70" i="55"/>
  <c r="HS70" i="55"/>
  <c r="HR70" i="55"/>
  <c r="HQ70" i="55"/>
  <c r="HP70" i="55"/>
  <c r="HO70" i="55"/>
  <c r="HN70" i="55"/>
  <c r="HM70" i="55"/>
  <c r="HL70" i="55"/>
  <c r="HK70" i="55"/>
  <c r="HJ70" i="55"/>
  <c r="HI70" i="55"/>
  <c r="HH70" i="55"/>
  <c r="HG70" i="55"/>
  <c r="HF70" i="55"/>
  <c r="HE70" i="55"/>
  <c r="HD70" i="55"/>
  <c r="HC70" i="55"/>
  <c r="HB70" i="55"/>
  <c r="HA70" i="55"/>
  <c r="GZ70" i="55"/>
  <c r="GY70" i="55"/>
  <c r="GX70" i="55"/>
  <c r="GW70" i="55"/>
  <c r="GV70" i="55"/>
  <c r="GU70" i="55"/>
  <c r="GT70" i="55"/>
  <c r="GS70" i="55"/>
  <c r="GR70" i="55"/>
  <c r="GQ70" i="55"/>
  <c r="GP70" i="55"/>
  <c r="GO70" i="55"/>
  <c r="GN70" i="55"/>
  <c r="GM70" i="55"/>
  <c r="GL70" i="55"/>
  <c r="GK70" i="55"/>
  <c r="GJ70" i="55"/>
  <c r="GI70" i="55"/>
  <c r="GH70" i="55"/>
  <c r="GG70" i="55"/>
  <c r="GF70" i="55"/>
  <c r="GE70" i="55"/>
  <c r="GD70" i="55"/>
  <c r="GC70" i="55"/>
  <c r="GB70" i="55"/>
  <c r="GA70" i="55"/>
  <c r="FZ70" i="55"/>
  <c r="FY70" i="55"/>
  <c r="FX70" i="55"/>
  <c r="FW70" i="55"/>
  <c r="FV70" i="55"/>
  <c r="FU70" i="55"/>
  <c r="FT70" i="55"/>
  <c r="BA70" i="55"/>
  <c r="AD70" i="55"/>
  <c r="AA70" i="55"/>
  <c r="Z70" i="55"/>
  <c r="Y70" i="55"/>
  <c r="X70" i="55"/>
  <c r="W70" i="55"/>
  <c r="V70" i="55"/>
  <c r="U70" i="55"/>
  <c r="T70" i="55"/>
  <c r="S70" i="55"/>
  <c r="R70" i="55"/>
  <c r="Q70" i="55"/>
  <c r="P70" i="55"/>
  <c r="O70" i="55"/>
  <c r="N70" i="55"/>
  <c r="M70" i="55"/>
  <c r="L70" i="55"/>
  <c r="BV70" i="55" s="1"/>
  <c r="X70" i="57" s="1"/>
  <c r="K70" i="55"/>
  <c r="BU70" i="55" s="1"/>
  <c r="W70" i="57" s="1"/>
  <c r="J70" i="55"/>
  <c r="I70" i="55"/>
  <c r="BI70" i="55" s="1"/>
  <c r="K70" i="57" s="1"/>
  <c r="H70" i="55"/>
  <c r="BH70" i="55" s="1"/>
  <c r="J70" i="57" s="1"/>
  <c r="G70" i="55"/>
  <c r="F70" i="55"/>
  <c r="AV70" i="55" s="1"/>
  <c r="E70" i="55"/>
  <c r="AU70" i="55" s="1"/>
  <c r="D70" i="55"/>
  <c r="BN70" i="55" s="1"/>
  <c r="P70" i="57" s="1"/>
  <c r="C70" i="55"/>
  <c r="B70" i="55"/>
  <c r="AG70" i="55" s="1"/>
  <c r="B70" i="57" s="1"/>
  <c r="A70" i="55"/>
  <c r="AF70" i="55" s="1"/>
  <c r="A70" i="57" s="1"/>
  <c r="JO69" i="55"/>
  <c r="JN69" i="55"/>
  <c r="JM69" i="55"/>
  <c r="JL69" i="55"/>
  <c r="JK69" i="55"/>
  <c r="JJ69" i="55"/>
  <c r="JI69" i="55"/>
  <c r="JH69" i="55"/>
  <c r="JG69" i="55"/>
  <c r="JF69" i="55"/>
  <c r="JE69" i="55"/>
  <c r="JD69" i="55"/>
  <c r="JC69" i="55"/>
  <c r="JB69" i="55"/>
  <c r="JA69" i="55"/>
  <c r="IZ69" i="55"/>
  <c r="IY69" i="55"/>
  <c r="IX69" i="55"/>
  <c r="IW69" i="55"/>
  <c r="IV69" i="55"/>
  <c r="IU69" i="55"/>
  <c r="IT69" i="55"/>
  <c r="IS69" i="55"/>
  <c r="IR69" i="55"/>
  <c r="IQ69" i="55"/>
  <c r="IP69" i="55"/>
  <c r="IO69" i="55"/>
  <c r="IN69" i="55"/>
  <c r="IM69" i="55"/>
  <c r="IL69" i="55"/>
  <c r="IK69" i="55"/>
  <c r="IJ69" i="55"/>
  <c r="II69" i="55"/>
  <c r="IH69" i="55"/>
  <c r="IG69" i="55"/>
  <c r="IF69" i="55"/>
  <c r="IE69" i="55"/>
  <c r="ID69" i="55"/>
  <c r="IC69" i="55"/>
  <c r="IB69" i="55"/>
  <c r="IA69" i="55"/>
  <c r="HZ69" i="55"/>
  <c r="HY69" i="55"/>
  <c r="HX69" i="55"/>
  <c r="HW69" i="55"/>
  <c r="HV69" i="55"/>
  <c r="HU69" i="55"/>
  <c r="HT69" i="55"/>
  <c r="HS69" i="55"/>
  <c r="HR69" i="55"/>
  <c r="HQ69" i="55"/>
  <c r="HP69" i="55"/>
  <c r="HO69" i="55"/>
  <c r="HN69" i="55"/>
  <c r="HM69" i="55"/>
  <c r="HL69" i="55"/>
  <c r="HK69" i="55"/>
  <c r="HJ69" i="55"/>
  <c r="HI69" i="55"/>
  <c r="HH69" i="55"/>
  <c r="HG69" i="55"/>
  <c r="HF69" i="55"/>
  <c r="HE69" i="55"/>
  <c r="HD69" i="55"/>
  <c r="HC69" i="55"/>
  <c r="HB69" i="55"/>
  <c r="HA69" i="55"/>
  <c r="GZ69" i="55"/>
  <c r="GY69" i="55"/>
  <c r="GX69" i="55"/>
  <c r="GW69" i="55"/>
  <c r="GV69" i="55"/>
  <c r="GU69" i="55"/>
  <c r="GT69" i="55"/>
  <c r="GS69" i="55"/>
  <c r="GR69" i="55"/>
  <c r="GQ69" i="55"/>
  <c r="GP69" i="55"/>
  <c r="GO69" i="55"/>
  <c r="GN69" i="55"/>
  <c r="GM69" i="55"/>
  <c r="GL69" i="55"/>
  <c r="GK69" i="55"/>
  <c r="GJ69" i="55"/>
  <c r="GI69" i="55"/>
  <c r="GH69" i="55"/>
  <c r="GG69" i="55"/>
  <c r="GF69" i="55"/>
  <c r="GE69" i="55"/>
  <c r="GD69" i="55"/>
  <c r="GC69" i="55"/>
  <c r="GB69" i="55"/>
  <c r="GA69" i="55"/>
  <c r="FZ69" i="55"/>
  <c r="FY69" i="55"/>
  <c r="FX69" i="55"/>
  <c r="FW69" i="55"/>
  <c r="FV69" i="55"/>
  <c r="FU69" i="55"/>
  <c r="FT69" i="55"/>
  <c r="AD69" i="55"/>
  <c r="AA69" i="55"/>
  <c r="Z69" i="55"/>
  <c r="Y69" i="55"/>
  <c r="X69" i="55"/>
  <c r="W69" i="55"/>
  <c r="V69" i="55"/>
  <c r="U69" i="55"/>
  <c r="T69" i="55"/>
  <c r="S69" i="55"/>
  <c r="R69" i="55"/>
  <c r="Q69" i="55"/>
  <c r="P69" i="55"/>
  <c r="O69" i="55"/>
  <c r="N69" i="55"/>
  <c r="M69" i="55"/>
  <c r="L69" i="55"/>
  <c r="BV69" i="55" s="1"/>
  <c r="X69" i="57" s="1"/>
  <c r="K69" i="55"/>
  <c r="J69" i="55"/>
  <c r="AZ69" i="55" s="1"/>
  <c r="I69" i="55"/>
  <c r="BS69" i="55" s="1"/>
  <c r="U69" i="57" s="1"/>
  <c r="H69" i="55"/>
  <c r="BR69" i="55" s="1"/>
  <c r="T69" i="57" s="1"/>
  <c r="G69" i="55"/>
  <c r="F69" i="55"/>
  <c r="BP69" i="55" s="1"/>
  <c r="R69" i="57" s="1"/>
  <c r="E69" i="55"/>
  <c r="BO69" i="55" s="1"/>
  <c r="Q69" i="57" s="1"/>
  <c r="D69" i="55"/>
  <c r="BN69" i="55" s="1"/>
  <c r="P69" i="57" s="1"/>
  <c r="C69" i="55"/>
  <c r="B69" i="55"/>
  <c r="AG69" i="55" s="1"/>
  <c r="B69" i="57" s="1"/>
  <c r="A69" i="55"/>
  <c r="AF69" i="55" s="1"/>
  <c r="A69" i="57" s="1"/>
  <c r="JO68" i="55"/>
  <c r="JN68" i="55"/>
  <c r="JM68" i="55"/>
  <c r="JL68" i="55"/>
  <c r="JK68" i="55"/>
  <c r="JJ68" i="55"/>
  <c r="JI68" i="55"/>
  <c r="JH68" i="55"/>
  <c r="JG68" i="55"/>
  <c r="JF68" i="55"/>
  <c r="JE68" i="55"/>
  <c r="JD68" i="55"/>
  <c r="JC68" i="55"/>
  <c r="JB68" i="55"/>
  <c r="JA68" i="55"/>
  <c r="IZ68" i="55"/>
  <c r="IY68" i="55"/>
  <c r="IX68" i="55"/>
  <c r="IW68" i="55"/>
  <c r="IV68" i="55"/>
  <c r="IU68" i="55"/>
  <c r="IT68" i="55"/>
  <c r="IS68" i="55"/>
  <c r="IR68" i="55"/>
  <c r="IQ68" i="55"/>
  <c r="IP68" i="55"/>
  <c r="IO68" i="55"/>
  <c r="IN68" i="55"/>
  <c r="IM68" i="55"/>
  <c r="IL68" i="55"/>
  <c r="IK68" i="55"/>
  <c r="IJ68" i="55"/>
  <c r="II68" i="55"/>
  <c r="IH68" i="55"/>
  <c r="IG68" i="55"/>
  <c r="IF68" i="55"/>
  <c r="IE68" i="55"/>
  <c r="ID68" i="55"/>
  <c r="IC68" i="55"/>
  <c r="IB68" i="55"/>
  <c r="IA68" i="55"/>
  <c r="HZ68" i="55"/>
  <c r="HY68" i="55"/>
  <c r="HX68" i="55"/>
  <c r="HW68" i="55"/>
  <c r="HV68" i="55"/>
  <c r="HU68" i="55"/>
  <c r="HT68" i="55"/>
  <c r="HS68" i="55"/>
  <c r="HR68" i="55"/>
  <c r="HQ68" i="55"/>
  <c r="HP68" i="55"/>
  <c r="HO68" i="55"/>
  <c r="HN68" i="55"/>
  <c r="HM68" i="55"/>
  <c r="HL68" i="55"/>
  <c r="HK68" i="55"/>
  <c r="HJ68" i="55"/>
  <c r="HI68" i="55"/>
  <c r="HH68" i="55"/>
  <c r="HG68" i="55"/>
  <c r="HF68" i="55"/>
  <c r="HE68" i="55"/>
  <c r="HD68" i="55"/>
  <c r="HC68" i="55"/>
  <c r="HB68" i="55"/>
  <c r="HA68" i="55"/>
  <c r="GZ68" i="55"/>
  <c r="GY68" i="55"/>
  <c r="GX68" i="55"/>
  <c r="GW68" i="55"/>
  <c r="GV68" i="55"/>
  <c r="GU68" i="55"/>
  <c r="GT68" i="55"/>
  <c r="GS68" i="55"/>
  <c r="GR68" i="55"/>
  <c r="GQ68" i="55"/>
  <c r="GP68" i="55"/>
  <c r="GO68" i="55"/>
  <c r="GN68" i="55"/>
  <c r="GM68" i="55"/>
  <c r="GL68" i="55"/>
  <c r="GK68" i="55"/>
  <c r="GJ68" i="55"/>
  <c r="GI68" i="55"/>
  <c r="GH68" i="55"/>
  <c r="GG68" i="55"/>
  <c r="GF68" i="55"/>
  <c r="GE68" i="55"/>
  <c r="GD68" i="55"/>
  <c r="GC68" i="55"/>
  <c r="GB68" i="55"/>
  <c r="GA68" i="55"/>
  <c r="FZ68" i="55"/>
  <c r="FY68" i="55"/>
  <c r="FX68" i="55"/>
  <c r="FW68" i="55"/>
  <c r="FV68" i="55"/>
  <c r="FU68" i="55"/>
  <c r="FT68" i="55"/>
  <c r="AD68" i="55"/>
  <c r="AA68" i="55"/>
  <c r="Z68" i="55"/>
  <c r="Y68" i="55"/>
  <c r="X68" i="55"/>
  <c r="W68" i="55"/>
  <c r="V68" i="55"/>
  <c r="U68" i="55"/>
  <c r="T68" i="55"/>
  <c r="S68" i="55"/>
  <c r="R68" i="55"/>
  <c r="Q68" i="55"/>
  <c r="P68" i="55"/>
  <c r="O68" i="55"/>
  <c r="N68" i="55"/>
  <c r="M68" i="55"/>
  <c r="L68" i="55"/>
  <c r="BV68" i="55" s="1"/>
  <c r="X68" i="57" s="1"/>
  <c r="K68" i="55"/>
  <c r="BA68" i="55" s="1"/>
  <c r="J68" i="55"/>
  <c r="I68" i="55"/>
  <c r="BS68" i="55" s="1"/>
  <c r="U68" i="57" s="1"/>
  <c r="H68" i="55"/>
  <c r="G68" i="55"/>
  <c r="BQ68" i="55" s="1"/>
  <c r="S68" i="57" s="1"/>
  <c r="F68" i="55"/>
  <c r="BP68" i="55" s="1"/>
  <c r="R68" i="57" s="1"/>
  <c r="E68" i="55"/>
  <c r="BO68" i="55" s="1"/>
  <c r="Q68" i="57" s="1"/>
  <c r="D68" i="55"/>
  <c r="BN68" i="55" s="1"/>
  <c r="P68" i="57" s="1"/>
  <c r="C68" i="55"/>
  <c r="AS68" i="55" s="1"/>
  <c r="B68" i="55"/>
  <c r="AG68" i="55" s="1"/>
  <c r="B68" i="57" s="1"/>
  <c r="A68" i="55"/>
  <c r="AF68" i="55" s="1"/>
  <c r="A68" i="57" s="1"/>
  <c r="JO67" i="55"/>
  <c r="JN67" i="55"/>
  <c r="JM67" i="55"/>
  <c r="JL67" i="55"/>
  <c r="JK67" i="55"/>
  <c r="JJ67" i="55"/>
  <c r="JI67" i="55"/>
  <c r="JH67" i="55"/>
  <c r="JG67" i="55"/>
  <c r="JF67" i="55"/>
  <c r="JE67" i="55"/>
  <c r="JD67" i="55"/>
  <c r="JC67" i="55"/>
  <c r="JB67" i="55"/>
  <c r="JA67" i="55"/>
  <c r="IZ67" i="55"/>
  <c r="IY67" i="55"/>
  <c r="IX67" i="55"/>
  <c r="IW67" i="55"/>
  <c r="IV67" i="55"/>
  <c r="IU67" i="55"/>
  <c r="IT67" i="55"/>
  <c r="IS67" i="55"/>
  <c r="IR67" i="55"/>
  <c r="IQ67" i="55"/>
  <c r="IP67" i="55"/>
  <c r="IO67" i="55"/>
  <c r="IN67" i="55"/>
  <c r="IM67" i="55"/>
  <c r="IL67" i="55"/>
  <c r="IK67" i="55"/>
  <c r="IJ67" i="55"/>
  <c r="II67" i="55"/>
  <c r="IH67" i="55"/>
  <c r="IG67" i="55"/>
  <c r="IF67" i="55"/>
  <c r="IE67" i="55"/>
  <c r="ID67" i="55"/>
  <c r="IC67" i="55"/>
  <c r="IB67" i="55"/>
  <c r="IA67" i="55"/>
  <c r="HZ67" i="55"/>
  <c r="HY67" i="55"/>
  <c r="HX67" i="55"/>
  <c r="HW67" i="55"/>
  <c r="HV67" i="55"/>
  <c r="HU67" i="55"/>
  <c r="HT67" i="55"/>
  <c r="HS67" i="55"/>
  <c r="HR67" i="55"/>
  <c r="HQ67" i="55"/>
  <c r="HP67" i="55"/>
  <c r="HO67" i="55"/>
  <c r="HN67" i="55"/>
  <c r="HM67" i="55"/>
  <c r="HL67" i="55"/>
  <c r="HK67" i="55"/>
  <c r="HJ67" i="55"/>
  <c r="HI67" i="55"/>
  <c r="HH67" i="55"/>
  <c r="HG67" i="55"/>
  <c r="HF67" i="55"/>
  <c r="HE67" i="55"/>
  <c r="HD67" i="55"/>
  <c r="HC67" i="55"/>
  <c r="HB67" i="55"/>
  <c r="HA67" i="55"/>
  <c r="GZ67" i="55"/>
  <c r="GY67" i="55"/>
  <c r="GX67" i="55"/>
  <c r="GW67" i="55"/>
  <c r="GV67" i="55"/>
  <c r="GU67" i="55"/>
  <c r="GT67" i="55"/>
  <c r="GS67" i="55"/>
  <c r="GR67" i="55"/>
  <c r="GQ67" i="55"/>
  <c r="GP67" i="55"/>
  <c r="GO67" i="55"/>
  <c r="GN67" i="55"/>
  <c r="GM67" i="55"/>
  <c r="GL67" i="55"/>
  <c r="GK67" i="55"/>
  <c r="GJ67" i="55"/>
  <c r="GI67" i="55"/>
  <c r="GH67" i="55"/>
  <c r="GG67" i="55"/>
  <c r="GF67" i="55"/>
  <c r="GE67" i="55"/>
  <c r="GD67" i="55"/>
  <c r="GC67" i="55"/>
  <c r="GB67" i="55"/>
  <c r="GA67" i="55"/>
  <c r="FZ67" i="55"/>
  <c r="FY67" i="55"/>
  <c r="FX67" i="55"/>
  <c r="FW67" i="55"/>
  <c r="FV67" i="55"/>
  <c r="FU67" i="55"/>
  <c r="FT67" i="55"/>
  <c r="AD67" i="55"/>
  <c r="AA67" i="55"/>
  <c r="Z67" i="55"/>
  <c r="Y67" i="55"/>
  <c r="X67" i="55"/>
  <c r="W67" i="55"/>
  <c r="V67" i="55"/>
  <c r="U67" i="55"/>
  <c r="T67" i="55"/>
  <c r="S67" i="55"/>
  <c r="R67" i="55"/>
  <c r="Q67" i="55"/>
  <c r="P67" i="55"/>
  <c r="O67" i="55"/>
  <c r="N67" i="55"/>
  <c r="M67" i="55"/>
  <c r="L67" i="55"/>
  <c r="BB67" i="55" s="1"/>
  <c r="K67" i="55"/>
  <c r="BU67" i="55" s="1"/>
  <c r="W67" i="57" s="1"/>
  <c r="J67" i="55"/>
  <c r="BT67" i="55" s="1"/>
  <c r="V67" i="57" s="1"/>
  <c r="I67" i="55"/>
  <c r="AY67" i="55" s="1"/>
  <c r="H67" i="55"/>
  <c r="BR67" i="55" s="1"/>
  <c r="T67" i="57" s="1"/>
  <c r="G67" i="55"/>
  <c r="BQ67" i="55" s="1"/>
  <c r="S67" i="57" s="1"/>
  <c r="F67" i="55"/>
  <c r="E67" i="55"/>
  <c r="BO67" i="55" s="1"/>
  <c r="Q67" i="57" s="1"/>
  <c r="D67" i="55"/>
  <c r="AT67" i="55" s="1"/>
  <c r="C67" i="55"/>
  <c r="BM67" i="55" s="1"/>
  <c r="O67" i="57" s="1"/>
  <c r="B67" i="55"/>
  <c r="AG67" i="55" s="1"/>
  <c r="B67" i="57" s="1"/>
  <c r="A67" i="55"/>
  <c r="AF67" i="55" s="1"/>
  <c r="A67" i="57" s="1"/>
  <c r="JO66" i="55"/>
  <c r="JN66" i="55"/>
  <c r="JM66" i="55"/>
  <c r="JL66" i="55"/>
  <c r="JK66" i="55"/>
  <c r="JJ66" i="55"/>
  <c r="JI66" i="55"/>
  <c r="JH66" i="55"/>
  <c r="JG66" i="55"/>
  <c r="JF66" i="55"/>
  <c r="JE66" i="55"/>
  <c r="JD66" i="55"/>
  <c r="JC66" i="55"/>
  <c r="JB66" i="55"/>
  <c r="JA66" i="55"/>
  <c r="IZ66" i="55"/>
  <c r="IY66" i="55"/>
  <c r="IX66" i="55"/>
  <c r="IW66" i="55"/>
  <c r="IV66" i="55"/>
  <c r="IU66" i="55"/>
  <c r="IT66" i="55"/>
  <c r="IS66" i="55"/>
  <c r="IR66" i="55"/>
  <c r="IQ66" i="55"/>
  <c r="IP66" i="55"/>
  <c r="IO66" i="55"/>
  <c r="IN66" i="55"/>
  <c r="IM66" i="55"/>
  <c r="IL66" i="55"/>
  <c r="IK66" i="55"/>
  <c r="IJ66" i="55"/>
  <c r="II66" i="55"/>
  <c r="IH66" i="55"/>
  <c r="IG66" i="55"/>
  <c r="IF66" i="55"/>
  <c r="IE66" i="55"/>
  <c r="ID66" i="55"/>
  <c r="IC66" i="55"/>
  <c r="IB66" i="55"/>
  <c r="IA66" i="55"/>
  <c r="HZ66" i="55"/>
  <c r="HY66" i="55"/>
  <c r="HX66" i="55"/>
  <c r="HW66" i="55"/>
  <c r="HV66" i="55"/>
  <c r="HU66" i="55"/>
  <c r="HT66" i="55"/>
  <c r="HS66" i="55"/>
  <c r="HR66" i="55"/>
  <c r="HQ66" i="55"/>
  <c r="HP66" i="55"/>
  <c r="HO66" i="55"/>
  <c r="HN66" i="55"/>
  <c r="HM66" i="55"/>
  <c r="HL66" i="55"/>
  <c r="HK66" i="55"/>
  <c r="HJ66" i="55"/>
  <c r="HI66" i="55"/>
  <c r="HH66" i="55"/>
  <c r="HG66" i="55"/>
  <c r="HF66" i="55"/>
  <c r="HE66" i="55"/>
  <c r="HD66" i="55"/>
  <c r="HC66" i="55"/>
  <c r="HB66" i="55"/>
  <c r="HA66" i="55"/>
  <c r="GZ66" i="55"/>
  <c r="GY66" i="55"/>
  <c r="GX66" i="55"/>
  <c r="GW66" i="55"/>
  <c r="GV66" i="55"/>
  <c r="GU66" i="55"/>
  <c r="GT66" i="55"/>
  <c r="GS66" i="55"/>
  <c r="GR66" i="55"/>
  <c r="GQ66" i="55"/>
  <c r="GP66" i="55"/>
  <c r="GO66" i="55"/>
  <c r="GN66" i="55"/>
  <c r="GM66" i="55"/>
  <c r="GL66" i="55"/>
  <c r="GK66" i="55"/>
  <c r="GJ66" i="55"/>
  <c r="GI66" i="55"/>
  <c r="GH66" i="55"/>
  <c r="GG66" i="55"/>
  <c r="GF66" i="55"/>
  <c r="GE66" i="55"/>
  <c r="GD66" i="55"/>
  <c r="GC66" i="55"/>
  <c r="GB66" i="55"/>
  <c r="GA66" i="55"/>
  <c r="FZ66" i="55"/>
  <c r="FY66" i="55"/>
  <c r="FX66" i="55"/>
  <c r="FW66" i="55"/>
  <c r="FV66" i="55"/>
  <c r="FU66" i="55"/>
  <c r="FT66" i="55"/>
  <c r="AF66" i="55"/>
  <c r="A66" i="57" s="1"/>
  <c r="AD66" i="55"/>
  <c r="AA66" i="55"/>
  <c r="Z66" i="55"/>
  <c r="Y66" i="55"/>
  <c r="X66" i="55"/>
  <c r="W66" i="55"/>
  <c r="V66" i="55"/>
  <c r="U66" i="55"/>
  <c r="T66" i="55"/>
  <c r="S66" i="55"/>
  <c r="R66" i="55"/>
  <c r="Q66" i="55"/>
  <c r="P66" i="55"/>
  <c r="O66" i="55"/>
  <c r="N66" i="55"/>
  <c r="M66" i="55"/>
  <c r="L66" i="55"/>
  <c r="BV66" i="55" s="1"/>
  <c r="X66" i="57" s="1"/>
  <c r="K66" i="55"/>
  <c r="BU66" i="55" s="1"/>
  <c r="W66" i="57" s="1"/>
  <c r="J66" i="55"/>
  <c r="AZ66" i="55" s="1"/>
  <c r="I66" i="55"/>
  <c r="BS66" i="55" s="1"/>
  <c r="U66" i="57" s="1"/>
  <c r="H66" i="55"/>
  <c r="G66" i="55"/>
  <c r="F66" i="55"/>
  <c r="BP66" i="55" s="1"/>
  <c r="R66" i="57" s="1"/>
  <c r="E66" i="55"/>
  <c r="AU66" i="55" s="1"/>
  <c r="D66" i="55"/>
  <c r="C66" i="55"/>
  <c r="BM66" i="55" s="1"/>
  <c r="O66" i="57" s="1"/>
  <c r="B66" i="55"/>
  <c r="AG66" i="55" s="1"/>
  <c r="B66" i="57" s="1"/>
  <c r="A66" i="55"/>
  <c r="JO65" i="55"/>
  <c r="JN65" i="55"/>
  <c r="JM65" i="55"/>
  <c r="JL65" i="55"/>
  <c r="JK65" i="55"/>
  <c r="JJ65" i="55"/>
  <c r="JI65" i="55"/>
  <c r="JH65" i="55"/>
  <c r="JG65" i="55"/>
  <c r="JF65" i="55"/>
  <c r="JE65" i="55"/>
  <c r="JD65" i="55"/>
  <c r="JC65" i="55"/>
  <c r="JB65" i="55"/>
  <c r="JA65" i="55"/>
  <c r="IZ65" i="55"/>
  <c r="IY65" i="55"/>
  <c r="IX65" i="55"/>
  <c r="IW65" i="55"/>
  <c r="IV65" i="55"/>
  <c r="IU65" i="55"/>
  <c r="IT65" i="55"/>
  <c r="IS65" i="55"/>
  <c r="IR65" i="55"/>
  <c r="IQ65" i="55"/>
  <c r="IP65" i="55"/>
  <c r="IO65" i="55"/>
  <c r="IN65" i="55"/>
  <c r="IM65" i="55"/>
  <c r="IL65" i="55"/>
  <c r="IK65" i="55"/>
  <c r="IJ65" i="55"/>
  <c r="II65" i="55"/>
  <c r="IH65" i="55"/>
  <c r="IG65" i="55"/>
  <c r="IF65" i="55"/>
  <c r="IE65" i="55"/>
  <c r="ID65" i="55"/>
  <c r="IC65" i="55"/>
  <c r="IB65" i="55"/>
  <c r="IA65" i="55"/>
  <c r="HZ65" i="55"/>
  <c r="HY65" i="55"/>
  <c r="HX65" i="55"/>
  <c r="HW65" i="55"/>
  <c r="HV65" i="55"/>
  <c r="HU65" i="55"/>
  <c r="HT65" i="55"/>
  <c r="HS65" i="55"/>
  <c r="HR65" i="55"/>
  <c r="HQ65" i="55"/>
  <c r="HP65" i="55"/>
  <c r="HO65" i="55"/>
  <c r="HN65" i="55"/>
  <c r="HM65" i="55"/>
  <c r="HL65" i="55"/>
  <c r="HK65" i="55"/>
  <c r="HJ65" i="55"/>
  <c r="HI65" i="55"/>
  <c r="HH65" i="55"/>
  <c r="HG65" i="55"/>
  <c r="HF65" i="55"/>
  <c r="HE65" i="55"/>
  <c r="HD65" i="55"/>
  <c r="HC65" i="55"/>
  <c r="HB65" i="55"/>
  <c r="HA65" i="55"/>
  <c r="GZ65" i="55"/>
  <c r="GY65" i="55"/>
  <c r="GX65" i="55"/>
  <c r="GW65" i="55"/>
  <c r="GV65" i="55"/>
  <c r="GU65" i="55"/>
  <c r="GT65" i="55"/>
  <c r="GS65" i="55"/>
  <c r="GR65" i="55"/>
  <c r="GQ65" i="55"/>
  <c r="GP65" i="55"/>
  <c r="GO65" i="55"/>
  <c r="GN65" i="55"/>
  <c r="GM65" i="55"/>
  <c r="GL65" i="55"/>
  <c r="GK65" i="55"/>
  <c r="GJ65" i="55"/>
  <c r="GI65" i="55"/>
  <c r="GH65" i="55"/>
  <c r="GG65" i="55"/>
  <c r="GF65" i="55"/>
  <c r="GE65" i="55"/>
  <c r="GD65" i="55"/>
  <c r="GC65" i="55"/>
  <c r="GB65" i="55"/>
  <c r="GA65" i="55"/>
  <c r="FZ65" i="55"/>
  <c r="FY65" i="55"/>
  <c r="FX65" i="55"/>
  <c r="FW65" i="55"/>
  <c r="FV65" i="55"/>
  <c r="FU65" i="55"/>
  <c r="FT65" i="55"/>
  <c r="AG65" i="55"/>
  <c r="B65" i="57" s="1"/>
  <c r="AD65" i="55"/>
  <c r="AA65" i="55"/>
  <c r="Z65" i="55"/>
  <c r="Y65" i="55"/>
  <c r="X65" i="55"/>
  <c r="W65" i="55"/>
  <c r="V65" i="55"/>
  <c r="U65" i="55"/>
  <c r="T65" i="55"/>
  <c r="S65" i="55"/>
  <c r="R65" i="55"/>
  <c r="Q65" i="55"/>
  <c r="P65" i="55"/>
  <c r="O65" i="55"/>
  <c r="N65" i="55"/>
  <c r="M65" i="55"/>
  <c r="L65" i="55"/>
  <c r="K65" i="55"/>
  <c r="BA65" i="55" s="1"/>
  <c r="J65" i="55"/>
  <c r="I65" i="55"/>
  <c r="BS65" i="55" s="1"/>
  <c r="U65" i="57" s="1"/>
  <c r="H65" i="55"/>
  <c r="BR65" i="55" s="1"/>
  <c r="T65" i="57" s="1"/>
  <c r="G65" i="55"/>
  <c r="BQ65" i="55" s="1"/>
  <c r="S65" i="57" s="1"/>
  <c r="F65" i="55"/>
  <c r="AV65" i="55" s="1"/>
  <c r="E65" i="55"/>
  <c r="BO65" i="55" s="1"/>
  <c r="Q65" i="57" s="1"/>
  <c r="D65" i="55"/>
  <c r="C65" i="55"/>
  <c r="B65" i="55"/>
  <c r="A65" i="55"/>
  <c r="AF65" i="55" s="1"/>
  <c r="A65" i="57" s="1"/>
  <c r="JO64" i="55"/>
  <c r="JN64" i="55"/>
  <c r="JM64" i="55"/>
  <c r="JL64" i="55"/>
  <c r="JK64" i="55"/>
  <c r="JJ64" i="55"/>
  <c r="JI64" i="55"/>
  <c r="JH64" i="55"/>
  <c r="JG64" i="55"/>
  <c r="JF64" i="55"/>
  <c r="JE64" i="55"/>
  <c r="JD64" i="55"/>
  <c r="JC64" i="55"/>
  <c r="JB64" i="55"/>
  <c r="JA64" i="55"/>
  <c r="IZ64" i="55"/>
  <c r="IY64" i="55"/>
  <c r="IX64" i="55"/>
  <c r="IW64" i="55"/>
  <c r="IV64" i="55"/>
  <c r="IU64" i="55"/>
  <c r="IT64" i="55"/>
  <c r="IS64" i="55"/>
  <c r="IR64" i="55"/>
  <c r="IQ64" i="55"/>
  <c r="IP64" i="55"/>
  <c r="IO64" i="55"/>
  <c r="IN64" i="55"/>
  <c r="IM64" i="55"/>
  <c r="IL64" i="55"/>
  <c r="IK64" i="55"/>
  <c r="IJ64" i="55"/>
  <c r="II64" i="55"/>
  <c r="IH64" i="55"/>
  <c r="IG64" i="55"/>
  <c r="IF64" i="55"/>
  <c r="IE64" i="55"/>
  <c r="ID64" i="55"/>
  <c r="IC64" i="55"/>
  <c r="IB64" i="55"/>
  <c r="IA64" i="55"/>
  <c r="HZ64" i="55"/>
  <c r="HY64" i="55"/>
  <c r="HX64" i="55"/>
  <c r="HW64" i="55"/>
  <c r="HV64" i="55"/>
  <c r="HU64" i="55"/>
  <c r="HT64" i="55"/>
  <c r="HS64" i="55"/>
  <c r="HR64" i="55"/>
  <c r="HQ64" i="55"/>
  <c r="HP64" i="55"/>
  <c r="HO64" i="55"/>
  <c r="HN64" i="55"/>
  <c r="HM64" i="55"/>
  <c r="HL64" i="55"/>
  <c r="HK64" i="55"/>
  <c r="HJ64" i="55"/>
  <c r="HI64" i="55"/>
  <c r="HH64" i="55"/>
  <c r="HG64" i="55"/>
  <c r="HF64" i="55"/>
  <c r="HE64" i="55"/>
  <c r="HD64" i="55"/>
  <c r="HC64" i="55"/>
  <c r="HB64" i="55"/>
  <c r="HA64" i="55"/>
  <c r="GZ64" i="55"/>
  <c r="GY64" i="55"/>
  <c r="GX64" i="55"/>
  <c r="GW64" i="55"/>
  <c r="GV64" i="55"/>
  <c r="GU64" i="55"/>
  <c r="GT64" i="55"/>
  <c r="GS64" i="55"/>
  <c r="GR64" i="55"/>
  <c r="GQ64" i="55"/>
  <c r="GP64" i="55"/>
  <c r="GO64" i="55"/>
  <c r="GN64" i="55"/>
  <c r="GM64" i="55"/>
  <c r="GL64" i="55"/>
  <c r="GK64" i="55"/>
  <c r="GJ64" i="55"/>
  <c r="GI64" i="55"/>
  <c r="GH64" i="55"/>
  <c r="GG64" i="55"/>
  <c r="GF64" i="55"/>
  <c r="GE64" i="55"/>
  <c r="GD64" i="55"/>
  <c r="GC64" i="55"/>
  <c r="GB64" i="55"/>
  <c r="GA64" i="55"/>
  <c r="FZ64" i="55"/>
  <c r="FY64" i="55"/>
  <c r="FX64" i="55"/>
  <c r="FW64" i="55"/>
  <c r="FV64" i="55"/>
  <c r="FU64" i="55"/>
  <c r="FT64" i="55"/>
  <c r="AD64" i="55"/>
  <c r="AA64" i="55"/>
  <c r="Z64" i="55"/>
  <c r="Y64" i="55"/>
  <c r="X64" i="55"/>
  <c r="W64" i="55"/>
  <c r="V64" i="55"/>
  <c r="U64" i="55"/>
  <c r="T64" i="55"/>
  <c r="S64" i="55"/>
  <c r="R64" i="55"/>
  <c r="Q64" i="55"/>
  <c r="P64" i="55"/>
  <c r="O64" i="55"/>
  <c r="N64" i="55"/>
  <c r="M64" i="55"/>
  <c r="L64" i="55"/>
  <c r="BB64" i="55" s="1"/>
  <c r="K64" i="55"/>
  <c r="BU64" i="55" s="1"/>
  <c r="W64" i="57" s="1"/>
  <c r="J64" i="55"/>
  <c r="BT64" i="55" s="1"/>
  <c r="V64" i="57" s="1"/>
  <c r="I64" i="55"/>
  <c r="BS64" i="55" s="1"/>
  <c r="U64" i="57" s="1"/>
  <c r="H64" i="55"/>
  <c r="G64" i="55"/>
  <c r="AW64" i="55" s="1"/>
  <c r="F64" i="55"/>
  <c r="BP64" i="55" s="1"/>
  <c r="R64" i="57" s="1"/>
  <c r="E64" i="55"/>
  <c r="BO64" i="55" s="1"/>
  <c r="Q64" i="57" s="1"/>
  <c r="D64" i="55"/>
  <c r="C64" i="55"/>
  <c r="BM64" i="55" s="1"/>
  <c r="O64" i="57" s="1"/>
  <c r="B64" i="55"/>
  <c r="AG64" i="55" s="1"/>
  <c r="B64" i="57" s="1"/>
  <c r="A64" i="55"/>
  <c r="AF64" i="55" s="1"/>
  <c r="A64" i="57" s="1"/>
  <c r="JO63" i="55"/>
  <c r="JN63" i="55"/>
  <c r="JM63" i="55"/>
  <c r="JL63" i="55"/>
  <c r="JK63" i="55"/>
  <c r="JJ63" i="55"/>
  <c r="JI63" i="55"/>
  <c r="JH63" i="55"/>
  <c r="JG63" i="55"/>
  <c r="JF63" i="55"/>
  <c r="JE63" i="55"/>
  <c r="JD63" i="55"/>
  <c r="JC63" i="55"/>
  <c r="JB63" i="55"/>
  <c r="JA63" i="55"/>
  <c r="IZ63" i="55"/>
  <c r="IY63" i="55"/>
  <c r="IX63" i="55"/>
  <c r="IW63" i="55"/>
  <c r="IV63" i="55"/>
  <c r="IU63" i="55"/>
  <c r="IT63" i="55"/>
  <c r="IS63" i="55"/>
  <c r="IR63" i="55"/>
  <c r="IQ63" i="55"/>
  <c r="IP63" i="55"/>
  <c r="IO63" i="55"/>
  <c r="IN63" i="55"/>
  <c r="IM63" i="55"/>
  <c r="IL63" i="55"/>
  <c r="IK63" i="55"/>
  <c r="IJ63" i="55"/>
  <c r="II63" i="55"/>
  <c r="IH63" i="55"/>
  <c r="IG63" i="55"/>
  <c r="IF63" i="55"/>
  <c r="IE63" i="55"/>
  <c r="ID63" i="55"/>
  <c r="IC63" i="55"/>
  <c r="IB63" i="55"/>
  <c r="IA63" i="55"/>
  <c r="HZ63" i="55"/>
  <c r="HY63" i="55"/>
  <c r="HX63" i="55"/>
  <c r="HW63" i="55"/>
  <c r="HV63" i="55"/>
  <c r="HU63" i="55"/>
  <c r="HT63" i="55"/>
  <c r="HS63" i="55"/>
  <c r="HR63" i="55"/>
  <c r="HQ63" i="55"/>
  <c r="HP63" i="55"/>
  <c r="HO63" i="55"/>
  <c r="HN63" i="55"/>
  <c r="HM63" i="55"/>
  <c r="HL63" i="55"/>
  <c r="HK63" i="55"/>
  <c r="HJ63" i="55"/>
  <c r="HI63" i="55"/>
  <c r="HH63" i="55"/>
  <c r="HG63" i="55"/>
  <c r="HF63" i="55"/>
  <c r="HE63" i="55"/>
  <c r="HD63" i="55"/>
  <c r="HC63" i="55"/>
  <c r="HB63" i="55"/>
  <c r="HA63" i="55"/>
  <c r="GZ63" i="55"/>
  <c r="GY63" i="55"/>
  <c r="GX63" i="55"/>
  <c r="GW63" i="55"/>
  <c r="GV63" i="55"/>
  <c r="GU63" i="55"/>
  <c r="GT63" i="55"/>
  <c r="GS63" i="55"/>
  <c r="GR63" i="55"/>
  <c r="GQ63" i="55"/>
  <c r="GP63" i="55"/>
  <c r="GO63" i="55"/>
  <c r="GN63" i="55"/>
  <c r="GM63" i="55"/>
  <c r="GL63" i="55"/>
  <c r="GK63" i="55"/>
  <c r="GJ63" i="55"/>
  <c r="GI63" i="55"/>
  <c r="GH63" i="55"/>
  <c r="GG63" i="55"/>
  <c r="GF63" i="55"/>
  <c r="GE63" i="55"/>
  <c r="GD63" i="55"/>
  <c r="GC63" i="55"/>
  <c r="GB63" i="55"/>
  <c r="GA63" i="55"/>
  <c r="FZ63" i="55"/>
  <c r="FY63" i="55"/>
  <c r="FX63" i="55"/>
  <c r="FW63" i="55"/>
  <c r="FV63" i="55"/>
  <c r="FU63" i="55"/>
  <c r="FT63" i="55"/>
  <c r="AD63" i="55"/>
  <c r="AA63" i="55"/>
  <c r="Z63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BK63" i="55" s="1"/>
  <c r="M63" i="57" s="1"/>
  <c r="J63" i="55"/>
  <c r="AZ63" i="55" s="1"/>
  <c r="I63" i="55"/>
  <c r="BS63" i="55" s="1"/>
  <c r="U63" i="57" s="1"/>
  <c r="H63" i="55"/>
  <c r="AX63" i="55" s="1"/>
  <c r="G63" i="55"/>
  <c r="BG63" i="55" s="1"/>
  <c r="I63" i="57" s="1"/>
  <c r="F63" i="55"/>
  <c r="BP63" i="55" s="1"/>
  <c r="R63" i="57" s="1"/>
  <c r="E63" i="55"/>
  <c r="AU63" i="55" s="1"/>
  <c r="D63" i="55"/>
  <c r="BN63" i="55" s="1"/>
  <c r="P63" i="57" s="1"/>
  <c r="C63" i="55"/>
  <c r="BC63" i="55" s="1"/>
  <c r="E63" i="57" s="1"/>
  <c r="B63" i="55"/>
  <c r="AG63" i="55" s="1"/>
  <c r="B63" i="57" s="1"/>
  <c r="A63" i="55"/>
  <c r="AF63" i="55" s="1"/>
  <c r="A63" i="57" s="1"/>
  <c r="JO62" i="55"/>
  <c r="JN62" i="55"/>
  <c r="JM62" i="55"/>
  <c r="JL62" i="55"/>
  <c r="JK62" i="55"/>
  <c r="JJ62" i="55"/>
  <c r="JI62" i="55"/>
  <c r="JH62" i="55"/>
  <c r="JG62" i="55"/>
  <c r="JF62" i="55"/>
  <c r="JE62" i="55"/>
  <c r="JD62" i="55"/>
  <c r="JC62" i="55"/>
  <c r="JB62" i="55"/>
  <c r="JA62" i="55"/>
  <c r="IZ62" i="55"/>
  <c r="IY62" i="55"/>
  <c r="IX62" i="55"/>
  <c r="IW62" i="55"/>
  <c r="IV62" i="55"/>
  <c r="IU62" i="55"/>
  <c r="IT62" i="55"/>
  <c r="IS62" i="55"/>
  <c r="IR62" i="55"/>
  <c r="IQ62" i="55"/>
  <c r="IP62" i="55"/>
  <c r="IO62" i="55"/>
  <c r="IN62" i="55"/>
  <c r="IM62" i="55"/>
  <c r="IL62" i="55"/>
  <c r="IK62" i="55"/>
  <c r="IJ62" i="55"/>
  <c r="II62" i="55"/>
  <c r="IH62" i="55"/>
  <c r="IG62" i="55"/>
  <c r="IF62" i="55"/>
  <c r="IE62" i="55"/>
  <c r="ID62" i="55"/>
  <c r="IC62" i="55"/>
  <c r="IB62" i="55"/>
  <c r="IA62" i="55"/>
  <c r="HZ62" i="55"/>
  <c r="HY62" i="55"/>
  <c r="HX62" i="55"/>
  <c r="HW62" i="55"/>
  <c r="HV62" i="55"/>
  <c r="HU62" i="55"/>
  <c r="HT62" i="55"/>
  <c r="HS62" i="55"/>
  <c r="HR62" i="55"/>
  <c r="HQ62" i="55"/>
  <c r="HP62" i="55"/>
  <c r="HO62" i="55"/>
  <c r="HN62" i="55"/>
  <c r="HM62" i="55"/>
  <c r="HL62" i="55"/>
  <c r="HK62" i="55"/>
  <c r="HJ62" i="55"/>
  <c r="HI62" i="55"/>
  <c r="HH62" i="55"/>
  <c r="HG62" i="55"/>
  <c r="HF62" i="55"/>
  <c r="HE62" i="55"/>
  <c r="HD62" i="55"/>
  <c r="HC62" i="55"/>
  <c r="HB62" i="55"/>
  <c r="HA62" i="55"/>
  <c r="GZ62" i="55"/>
  <c r="GY62" i="55"/>
  <c r="GX62" i="55"/>
  <c r="GW62" i="55"/>
  <c r="GV62" i="55"/>
  <c r="GU62" i="55"/>
  <c r="GT62" i="55"/>
  <c r="GS62" i="55"/>
  <c r="GR62" i="55"/>
  <c r="GQ62" i="55"/>
  <c r="GP62" i="55"/>
  <c r="GO62" i="55"/>
  <c r="GN62" i="55"/>
  <c r="GM62" i="55"/>
  <c r="GL62" i="55"/>
  <c r="GK62" i="55"/>
  <c r="GJ62" i="55"/>
  <c r="GI62" i="55"/>
  <c r="GH62" i="55"/>
  <c r="GG62" i="55"/>
  <c r="GF62" i="55"/>
  <c r="GE62" i="55"/>
  <c r="GD62" i="55"/>
  <c r="GC62" i="55"/>
  <c r="GB62" i="55"/>
  <c r="GA62" i="55"/>
  <c r="FZ62" i="55"/>
  <c r="FY62" i="55"/>
  <c r="FX62" i="55"/>
  <c r="FW62" i="55"/>
  <c r="FV62" i="55"/>
  <c r="FU62" i="55"/>
  <c r="FT62" i="55"/>
  <c r="AD62" i="55"/>
  <c r="AA62" i="55"/>
  <c r="Z62" i="55"/>
  <c r="Y62" i="55"/>
  <c r="X62" i="55"/>
  <c r="W62" i="55"/>
  <c r="V62" i="55"/>
  <c r="U62" i="55"/>
  <c r="T62" i="55"/>
  <c r="S62" i="55"/>
  <c r="R62" i="55"/>
  <c r="Q62" i="55"/>
  <c r="P62" i="55"/>
  <c r="O62" i="55"/>
  <c r="N62" i="55"/>
  <c r="M62" i="55"/>
  <c r="L62" i="55"/>
  <c r="BL62" i="55" s="1"/>
  <c r="N62" i="57" s="1"/>
  <c r="K62" i="55"/>
  <c r="BK62" i="55" s="1"/>
  <c r="M62" i="57" s="1"/>
  <c r="J62" i="55"/>
  <c r="BT62" i="55" s="1"/>
  <c r="V62" i="57" s="1"/>
  <c r="I62" i="55"/>
  <c r="H62" i="55"/>
  <c r="BH62" i="55" s="1"/>
  <c r="J62" i="57" s="1"/>
  <c r="G62" i="55"/>
  <c r="BG62" i="55" s="1"/>
  <c r="I62" i="57" s="1"/>
  <c r="F62" i="55"/>
  <c r="AV62" i="55" s="1"/>
  <c r="E62" i="55"/>
  <c r="D62" i="55"/>
  <c r="BD62" i="55" s="1"/>
  <c r="F62" i="57" s="1"/>
  <c r="C62" i="55"/>
  <c r="BC62" i="55" s="1"/>
  <c r="E62" i="57" s="1"/>
  <c r="B62" i="55"/>
  <c r="AG62" i="55" s="1"/>
  <c r="B62" i="57" s="1"/>
  <c r="A62" i="55"/>
  <c r="AF62" i="55" s="1"/>
  <c r="A62" i="57" s="1"/>
  <c r="JO61" i="55"/>
  <c r="JN61" i="55"/>
  <c r="JM61" i="55"/>
  <c r="JL61" i="55"/>
  <c r="JK61" i="55"/>
  <c r="JJ61" i="55"/>
  <c r="JI61" i="55"/>
  <c r="JH61" i="55"/>
  <c r="JG61" i="55"/>
  <c r="JF61" i="55"/>
  <c r="JE61" i="55"/>
  <c r="JD61" i="55"/>
  <c r="JC61" i="55"/>
  <c r="JB61" i="55"/>
  <c r="JA61" i="55"/>
  <c r="IZ61" i="55"/>
  <c r="IY61" i="55"/>
  <c r="IX61" i="55"/>
  <c r="IW61" i="55"/>
  <c r="IV61" i="55"/>
  <c r="IU61" i="55"/>
  <c r="IT61" i="55"/>
  <c r="IS61" i="55"/>
  <c r="IR61" i="55"/>
  <c r="IQ61" i="55"/>
  <c r="IP61" i="55"/>
  <c r="IO61" i="55"/>
  <c r="IN61" i="55"/>
  <c r="IM61" i="55"/>
  <c r="IL61" i="55"/>
  <c r="IK61" i="55"/>
  <c r="IJ61" i="55"/>
  <c r="II61" i="55"/>
  <c r="IH61" i="55"/>
  <c r="IG61" i="55"/>
  <c r="IF61" i="55"/>
  <c r="IE61" i="55"/>
  <c r="ID61" i="55"/>
  <c r="IC61" i="55"/>
  <c r="IB61" i="55"/>
  <c r="IA61" i="55"/>
  <c r="HZ61" i="55"/>
  <c r="HY61" i="55"/>
  <c r="HX61" i="55"/>
  <c r="HW61" i="55"/>
  <c r="HV61" i="55"/>
  <c r="HU61" i="55"/>
  <c r="HT61" i="55"/>
  <c r="HS61" i="55"/>
  <c r="HR61" i="55"/>
  <c r="HQ61" i="55"/>
  <c r="HP61" i="55"/>
  <c r="HO61" i="55"/>
  <c r="HN61" i="55"/>
  <c r="HM61" i="55"/>
  <c r="HL61" i="55"/>
  <c r="HK61" i="55"/>
  <c r="HJ61" i="55"/>
  <c r="HI61" i="55"/>
  <c r="HH61" i="55"/>
  <c r="HG61" i="55"/>
  <c r="HF61" i="55"/>
  <c r="HE61" i="55"/>
  <c r="HD61" i="55"/>
  <c r="HC61" i="55"/>
  <c r="HB61" i="55"/>
  <c r="HA61" i="55"/>
  <c r="GZ61" i="55"/>
  <c r="GY61" i="55"/>
  <c r="GX61" i="55"/>
  <c r="GW61" i="55"/>
  <c r="GV61" i="55"/>
  <c r="GU61" i="55"/>
  <c r="GT61" i="55"/>
  <c r="GS61" i="55"/>
  <c r="GR61" i="55"/>
  <c r="GQ61" i="55"/>
  <c r="GP61" i="55"/>
  <c r="GO61" i="55"/>
  <c r="GN61" i="55"/>
  <c r="GM61" i="55"/>
  <c r="GL61" i="55"/>
  <c r="GK61" i="55"/>
  <c r="GJ61" i="55"/>
  <c r="GI61" i="55"/>
  <c r="GH61" i="55"/>
  <c r="GG61" i="55"/>
  <c r="GF61" i="55"/>
  <c r="GE61" i="55"/>
  <c r="GD61" i="55"/>
  <c r="GC61" i="55"/>
  <c r="GB61" i="55"/>
  <c r="GA61" i="55"/>
  <c r="FZ61" i="55"/>
  <c r="FY61" i="55"/>
  <c r="FX61" i="55"/>
  <c r="FW61" i="55"/>
  <c r="FV61" i="55"/>
  <c r="FU61" i="55"/>
  <c r="FT61" i="55"/>
  <c r="AD61" i="55"/>
  <c r="AA61" i="55"/>
  <c r="Z61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BU61" i="55" s="1"/>
  <c r="W61" i="57" s="1"/>
  <c r="J61" i="55"/>
  <c r="BJ61" i="55" s="1"/>
  <c r="L61" i="57" s="1"/>
  <c r="I61" i="55"/>
  <c r="H61" i="55"/>
  <c r="BH61" i="55" s="1"/>
  <c r="J61" i="57" s="1"/>
  <c r="G61" i="55"/>
  <c r="BQ61" i="55" s="1"/>
  <c r="S61" i="57" s="1"/>
  <c r="F61" i="55"/>
  <c r="BP61" i="55" s="1"/>
  <c r="R61" i="57" s="1"/>
  <c r="E61" i="55"/>
  <c r="BE61" i="55" s="1"/>
  <c r="G61" i="57" s="1"/>
  <c r="D61" i="55"/>
  <c r="BD61" i="55" s="1"/>
  <c r="F61" i="57" s="1"/>
  <c r="C61" i="55"/>
  <c r="BM61" i="55" s="1"/>
  <c r="O61" i="57" s="1"/>
  <c r="B61" i="55"/>
  <c r="AG61" i="55" s="1"/>
  <c r="B61" i="57" s="1"/>
  <c r="A61" i="55"/>
  <c r="AF61" i="55" s="1"/>
  <c r="A61" i="57" s="1"/>
  <c r="JO60" i="55"/>
  <c r="JN60" i="55"/>
  <c r="JM60" i="55"/>
  <c r="JL60" i="55"/>
  <c r="JK60" i="55"/>
  <c r="JJ60" i="55"/>
  <c r="JI60" i="55"/>
  <c r="JH60" i="55"/>
  <c r="JG60" i="55"/>
  <c r="JF60" i="55"/>
  <c r="JE60" i="55"/>
  <c r="JD60" i="55"/>
  <c r="JC60" i="55"/>
  <c r="JB60" i="55"/>
  <c r="JA60" i="55"/>
  <c r="IZ60" i="55"/>
  <c r="IY60" i="55"/>
  <c r="IX60" i="55"/>
  <c r="IW60" i="55"/>
  <c r="IV60" i="55"/>
  <c r="IU60" i="55"/>
  <c r="IT60" i="55"/>
  <c r="IS60" i="55"/>
  <c r="IR60" i="55"/>
  <c r="IQ60" i="55"/>
  <c r="IP60" i="55"/>
  <c r="IO60" i="55"/>
  <c r="IN60" i="55"/>
  <c r="IM60" i="55"/>
  <c r="IL60" i="55"/>
  <c r="IK60" i="55"/>
  <c r="IJ60" i="55"/>
  <c r="II60" i="55"/>
  <c r="IH60" i="55"/>
  <c r="IG60" i="55"/>
  <c r="IF60" i="55"/>
  <c r="IE60" i="55"/>
  <c r="ID60" i="55"/>
  <c r="IC60" i="55"/>
  <c r="IB60" i="55"/>
  <c r="IA60" i="55"/>
  <c r="HZ60" i="55"/>
  <c r="HY60" i="55"/>
  <c r="HX60" i="55"/>
  <c r="HW60" i="55"/>
  <c r="HV60" i="55"/>
  <c r="HU60" i="55"/>
  <c r="HT60" i="55"/>
  <c r="HS60" i="55"/>
  <c r="HR60" i="55"/>
  <c r="HQ60" i="55"/>
  <c r="HP60" i="55"/>
  <c r="HO60" i="55"/>
  <c r="HN60" i="55"/>
  <c r="HM60" i="55"/>
  <c r="HL60" i="55"/>
  <c r="HK60" i="55"/>
  <c r="HJ60" i="55"/>
  <c r="HI60" i="55"/>
  <c r="HH60" i="55"/>
  <c r="HG60" i="55"/>
  <c r="HF60" i="55"/>
  <c r="HE60" i="55"/>
  <c r="HD60" i="55"/>
  <c r="HC60" i="55"/>
  <c r="HB60" i="55"/>
  <c r="HA60" i="55"/>
  <c r="GZ60" i="55"/>
  <c r="GY60" i="55"/>
  <c r="GX60" i="55"/>
  <c r="GW60" i="55"/>
  <c r="GV60" i="55"/>
  <c r="GU60" i="55"/>
  <c r="GT60" i="55"/>
  <c r="GS60" i="55"/>
  <c r="GR60" i="55"/>
  <c r="GQ60" i="55"/>
  <c r="GP60" i="55"/>
  <c r="GO60" i="55"/>
  <c r="GN60" i="55"/>
  <c r="GM60" i="55"/>
  <c r="GL60" i="55"/>
  <c r="GK60" i="55"/>
  <c r="GJ60" i="55"/>
  <c r="GI60" i="55"/>
  <c r="GH60" i="55"/>
  <c r="GG60" i="55"/>
  <c r="GF60" i="55"/>
  <c r="GE60" i="55"/>
  <c r="GD60" i="55"/>
  <c r="GC60" i="55"/>
  <c r="GB60" i="55"/>
  <c r="GA60" i="55"/>
  <c r="FZ60" i="55"/>
  <c r="FY60" i="55"/>
  <c r="FX60" i="55"/>
  <c r="FW60" i="55"/>
  <c r="FV60" i="55"/>
  <c r="FU60" i="55"/>
  <c r="FT60" i="55"/>
  <c r="AD60" i="55"/>
  <c r="AA60" i="55"/>
  <c r="Z60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BV60" i="55" s="1"/>
  <c r="X60" i="57" s="1"/>
  <c r="K60" i="55"/>
  <c r="BA60" i="55" s="1"/>
  <c r="J60" i="55"/>
  <c r="I60" i="55"/>
  <c r="BI60" i="55" s="1"/>
  <c r="K60" i="57" s="1"/>
  <c r="H60" i="55"/>
  <c r="BH60" i="55" s="1"/>
  <c r="J60" i="57" s="1"/>
  <c r="G60" i="55"/>
  <c r="BQ60" i="55" s="1"/>
  <c r="S60" i="57" s="1"/>
  <c r="F60" i="55"/>
  <c r="BF60" i="55" s="1"/>
  <c r="H60" i="57" s="1"/>
  <c r="E60" i="55"/>
  <c r="BE60" i="55" s="1"/>
  <c r="G60" i="57" s="1"/>
  <c r="D60" i="55"/>
  <c r="BN60" i="55" s="1"/>
  <c r="P60" i="57" s="1"/>
  <c r="C60" i="55"/>
  <c r="B60" i="55"/>
  <c r="AG60" i="55" s="1"/>
  <c r="B60" i="57" s="1"/>
  <c r="A60" i="55"/>
  <c r="AF60" i="55" s="1"/>
  <c r="A60" i="57" s="1"/>
  <c r="JO59" i="55"/>
  <c r="JN59" i="55"/>
  <c r="JM59" i="55"/>
  <c r="JL59" i="55"/>
  <c r="JK59" i="55"/>
  <c r="JJ59" i="55"/>
  <c r="JI59" i="55"/>
  <c r="JH59" i="55"/>
  <c r="JG59" i="55"/>
  <c r="JF59" i="55"/>
  <c r="JE59" i="55"/>
  <c r="JD59" i="55"/>
  <c r="JC59" i="55"/>
  <c r="JB59" i="55"/>
  <c r="JA59" i="55"/>
  <c r="IZ59" i="55"/>
  <c r="IY59" i="55"/>
  <c r="IX59" i="55"/>
  <c r="IW59" i="55"/>
  <c r="IV59" i="55"/>
  <c r="IU59" i="55"/>
  <c r="IT59" i="55"/>
  <c r="IS59" i="55"/>
  <c r="IR59" i="55"/>
  <c r="IQ59" i="55"/>
  <c r="IP59" i="55"/>
  <c r="IO59" i="55"/>
  <c r="IN59" i="55"/>
  <c r="IM59" i="55"/>
  <c r="IL59" i="55"/>
  <c r="IK59" i="55"/>
  <c r="IJ59" i="55"/>
  <c r="II59" i="55"/>
  <c r="IH59" i="55"/>
  <c r="IG59" i="55"/>
  <c r="IF59" i="55"/>
  <c r="IE59" i="55"/>
  <c r="ID59" i="55"/>
  <c r="IC59" i="55"/>
  <c r="IB59" i="55"/>
  <c r="IA59" i="55"/>
  <c r="HZ59" i="55"/>
  <c r="HY59" i="55"/>
  <c r="HX59" i="55"/>
  <c r="HW59" i="55"/>
  <c r="HV59" i="55"/>
  <c r="HU59" i="55"/>
  <c r="HT59" i="55"/>
  <c r="HS59" i="55"/>
  <c r="HR59" i="55"/>
  <c r="HQ59" i="55"/>
  <c r="HP59" i="55"/>
  <c r="HO59" i="55"/>
  <c r="HN59" i="55"/>
  <c r="HM59" i="55"/>
  <c r="HL59" i="55"/>
  <c r="HK59" i="55"/>
  <c r="HJ59" i="55"/>
  <c r="HI59" i="55"/>
  <c r="HH59" i="55"/>
  <c r="HG59" i="55"/>
  <c r="HF59" i="55"/>
  <c r="HE59" i="55"/>
  <c r="HD59" i="55"/>
  <c r="HC59" i="55"/>
  <c r="HB59" i="55"/>
  <c r="HA59" i="55"/>
  <c r="GZ59" i="55"/>
  <c r="GY59" i="55"/>
  <c r="GX59" i="55"/>
  <c r="GW59" i="55"/>
  <c r="GV59" i="55"/>
  <c r="GU59" i="55"/>
  <c r="GT59" i="55"/>
  <c r="GS59" i="55"/>
  <c r="GR59" i="55"/>
  <c r="GQ59" i="55"/>
  <c r="GP59" i="55"/>
  <c r="GO59" i="55"/>
  <c r="GN59" i="55"/>
  <c r="GM59" i="55"/>
  <c r="GL59" i="55"/>
  <c r="GK59" i="55"/>
  <c r="GJ59" i="55"/>
  <c r="GI59" i="55"/>
  <c r="GH59" i="55"/>
  <c r="GG59" i="55"/>
  <c r="GF59" i="55"/>
  <c r="GE59" i="55"/>
  <c r="GD59" i="55"/>
  <c r="GC59" i="55"/>
  <c r="GB59" i="55"/>
  <c r="GA59" i="55"/>
  <c r="FZ59" i="55"/>
  <c r="FY59" i="55"/>
  <c r="FX59" i="55"/>
  <c r="FW59" i="55"/>
  <c r="FV59" i="55"/>
  <c r="FU59" i="55"/>
  <c r="FT59" i="55"/>
  <c r="AG59" i="55"/>
  <c r="B59" i="57" s="1"/>
  <c r="AF59" i="55"/>
  <c r="A59" i="57" s="1"/>
  <c r="AD59" i="55"/>
  <c r="AA59" i="55"/>
  <c r="Z59" i="55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BK59" i="55" s="1"/>
  <c r="M59" i="57" s="1"/>
  <c r="J59" i="55"/>
  <c r="I59" i="55"/>
  <c r="BS59" i="55" s="1"/>
  <c r="U59" i="57" s="1"/>
  <c r="H59" i="55"/>
  <c r="G59" i="55"/>
  <c r="BG59" i="55" s="1"/>
  <c r="I59" i="57" s="1"/>
  <c r="F59" i="55"/>
  <c r="E59" i="55"/>
  <c r="BO59" i="55" s="1"/>
  <c r="Q59" i="57" s="1"/>
  <c r="D59" i="55"/>
  <c r="C59" i="55"/>
  <c r="BC59" i="55" s="1"/>
  <c r="E59" i="57" s="1"/>
  <c r="B59" i="55"/>
  <c r="A59" i="55"/>
  <c r="JO58" i="55"/>
  <c r="JN58" i="55"/>
  <c r="JM58" i="55"/>
  <c r="JL58" i="55"/>
  <c r="JK58" i="55"/>
  <c r="JJ58" i="55"/>
  <c r="JI58" i="55"/>
  <c r="JH58" i="55"/>
  <c r="JG58" i="55"/>
  <c r="JF58" i="55"/>
  <c r="JE58" i="55"/>
  <c r="JD58" i="55"/>
  <c r="JC58" i="55"/>
  <c r="JB58" i="55"/>
  <c r="JA58" i="55"/>
  <c r="IZ58" i="55"/>
  <c r="IY58" i="55"/>
  <c r="IX58" i="55"/>
  <c r="IW58" i="55"/>
  <c r="IV58" i="55"/>
  <c r="IU58" i="55"/>
  <c r="IT58" i="55"/>
  <c r="IS58" i="55"/>
  <c r="IR58" i="55"/>
  <c r="IQ58" i="55"/>
  <c r="IP58" i="55"/>
  <c r="IO58" i="55"/>
  <c r="IN58" i="55"/>
  <c r="IM58" i="55"/>
  <c r="IL58" i="55"/>
  <c r="IK58" i="55"/>
  <c r="IJ58" i="55"/>
  <c r="II58" i="55"/>
  <c r="IH58" i="55"/>
  <c r="IG58" i="55"/>
  <c r="IF58" i="55"/>
  <c r="IE58" i="55"/>
  <c r="ID58" i="55"/>
  <c r="IC58" i="55"/>
  <c r="IB58" i="55"/>
  <c r="IA58" i="55"/>
  <c r="HZ58" i="55"/>
  <c r="HY58" i="55"/>
  <c r="HX58" i="55"/>
  <c r="HW58" i="55"/>
  <c r="HV58" i="55"/>
  <c r="HU58" i="55"/>
  <c r="HT58" i="55"/>
  <c r="HS58" i="55"/>
  <c r="HR58" i="55"/>
  <c r="HQ58" i="55"/>
  <c r="HP58" i="55"/>
  <c r="HO58" i="55"/>
  <c r="HN58" i="55"/>
  <c r="HM58" i="55"/>
  <c r="HL58" i="55"/>
  <c r="HK58" i="55"/>
  <c r="HJ58" i="55"/>
  <c r="HI58" i="55"/>
  <c r="HH58" i="55"/>
  <c r="HG58" i="55"/>
  <c r="HF58" i="55"/>
  <c r="HE58" i="55"/>
  <c r="HD58" i="55"/>
  <c r="HC58" i="55"/>
  <c r="HB58" i="55"/>
  <c r="HA58" i="55"/>
  <c r="GZ58" i="55"/>
  <c r="GY58" i="55"/>
  <c r="GX58" i="55"/>
  <c r="GW58" i="55"/>
  <c r="GV58" i="55"/>
  <c r="GU58" i="55"/>
  <c r="GT58" i="55"/>
  <c r="GS58" i="55"/>
  <c r="GR58" i="55"/>
  <c r="GQ58" i="55"/>
  <c r="GP58" i="55"/>
  <c r="GO58" i="55"/>
  <c r="GN58" i="55"/>
  <c r="GM58" i="55"/>
  <c r="GL58" i="55"/>
  <c r="GK58" i="55"/>
  <c r="GJ58" i="55"/>
  <c r="GI58" i="55"/>
  <c r="GH58" i="55"/>
  <c r="GG58" i="55"/>
  <c r="GF58" i="55"/>
  <c r="GE58" i="55"/>
  <c r="GD58" i="55"/>
  <c r="GC58" i="55"/>
  <c r="GB58" i="55"/>
  <c r="GA58" i="55"/>
  <c r="FZ58" i="55"/>
  <c r="FY58" i="55"/>
  <c r="FX58" i="55"/>
  <c r="FW58" i="55"/>
  <c r="FV58" i="55"/>
  <c r="FU58" i="55"/>
  <c r="FT58" i="55"/>
  <c r="BU58" i="55"/>
  <c r="W58" i="57" s="1"/>
  <c r="BA58" i="55"/>
  <c r="AD58" i="55"/>
  <c r="AA58" i="55"/>
  <c r="Z58" i="55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BL58" i="55" s="1"/>
  <c r="N58" i="57" s="1"/>
  <c r="K58" i="55"/>
  <c r="BK58" i="55" s="1"/>
  <c r="M58" i="57" s="1"/>
  <c r="J58" i="55"/>
  <c r="I58" i="55"/>
  <c r="BS58" i="55" s="1"/>
  <c r="U58" i="57" s="1"/>
  <c r="H58" i="55"/>
  <c r="G58" i="55"/>
  <c r="BQ58" i="55" s="1"/>
  <c r="S58" i="57" s="1"/>
  <c r="F58" i="55"/>
  <c r="BP58" i="55" s="1"/>
  <c r="R58" i="57" s="1"/>
  <c r="E58" i="55"/>
  <c r="BO58" i="55" s="1"/>
  <c r="Q58" i="57" s="1"/>
  <c r="D58" i="55"/>
  <c r="BD58" i="55" s="1"/>
  <c r="F58" i="57" s="1"/>
  <c r="C58" i="55"/>
  <c r="BC58" i="55" s="1"/>
  <c r="E58" i="57" s="1"/>
  <c r="B58" i="55"/>
  <c r="AG58" i="55" s="1"/>
  <c r="B58" i="57" s="1"/>
  <c r="A58" i="55"/>
  <c r="AF58" i="55" s="1"/>
  <c r="A58" i="57" s="1"/>
  <c r="JO57" i="55"/>
  <c r="JN57" i="55"/>
  <c r="JM57" i="55"/>
  <c r="JL57" i="55"/>
  <c r="JK57" i="55"/>
  <c r="JJ57" i="55"/>
  <c r="JI57" i="55"/>
  <c r="JH57" i="55"/>
  <c r="JG57" i="55"/>
  <c r="JF57" i="55"/>
  <c r="JE57" i="55"/>
  <c r="JD57" i="55"/>
  <c r="JC57" i="55"/>
  <c r="JB57" i="55"/>
  <c r="JA57" i="55"/>
  <c r="IZ57" i="55"/>
  <c r="IY57" i="55"/>
  <c r="IX57" i="55"/>
  <c r="IW57" i="55"/>
  <c r="IV57" i="55"/>
  <c r="IU57" i="55"/>
  <c r="IT57" i="55"/>
  <c r="IS57" i="55"/>
  <c r="IR57" i="55"/>
  <c r="IQ57" i="55"/>
  <c r="IP57" i="55"/>
  <c r="IO57" i="55"/>
  <c r="IN57" i="55"/>
  <c r="IM57" i="55"/>
  <c r="IL57" i="55"/>
  <c r="IK57" i="55"/>
  <c r="IJ57" i="55"/>
  <c r="II57" i="55"/>
  <c r="IH57" i="55"/>
  <c r="IG57" i="55"/>
  <c r="IF57" i="55"/>
  <c r="IE57" i="55"/>
  <c r="ID57" i="55"/>
  <c r="IC57" i="55"/>
  <c r="IB57" i="55"/>
  <c r="IA57" i="55"/>
  <c r="HZ57" i="55"/>
  <c r="HY57" i="55"/>
  <c r="HX57" i="55"/>
  <c r="HW57" i="55"/>
  <c r="HV57" i="55"/>
  <c r="HU57" i="55"/>
  <c r="HT57" i="55"/>
  <c r="HS57" i="55"/>
  <c r="HR57" i="55"/>
  <c r="HQ57" i="55"/>
  <c r="HP57" i="55"/>
  <c r="HO57" i="55"/>
  <c r="HN57" i="55"/>
  <c r="HM57" i="55"/>
  <c r="HL57" i="55"/>
  <c r="HK57" i="55"/>
  <c r="HJ57" i="55"/>
  <c r="HI57" i="55"/>
  <c r="HH57" i="55"/>
  <c r="HG57" i="55"/>
  <c r="HF57" i="55"/>
  <c r="HE57" i="55"/>
  <c r="HD57" i="55"/>
  <c r="HC57" i="55"/>
  <c r="HB57" i="55"/>
  <c r="HA57" i="55"/>
  <c r="GZ57" i="55"/>
  <c r="GY57" i="55"/>
  <c r="GX57" i="55"/>
  <c r="GW57" i="55"/>
  <c r="GV57" i="55"/>
  <c r="GU57" i="55"/>
  <c r="GT57" i="55"/>
  <c r="GS57" i="55"/>
  <c r="GR57" i="55"/>
  <c r="GQ57" i="55"/>
  <c r="GP57" i="55"/>
  <c r="GO57" i="55"/>
  <c r="GN57" i="55"/>
  <c r="GM57" i="55"/>
  <c r="GL57" i="55"/>
  <c r="GK57" i="55"/>
  <c r="GJ57" i="55"/>
  <c r="GI57" i="55"/>
  <c r="GH57" i="55"/>
  <c r="GG57" i="55"/>
  <c r="GF57" i="55"/>
  <c r="GE57" i="55"/>
  <c r="GD57" i="55"/>
  <c r="GC57" i="55"/>
  <c r="GB57" i="55"/>
  <c r="GA57" i="55"/>
  <c r="FZ57" i="55"/>
  <c r="FY57" i="55"/>
  <c r="FX57" i="55"/>
  <c r="FW57" i="55"/>
  <c r="FV57" i="55"/>
  <c r="FU57" i="55"/>
  <c r="FT57" i="55"/>
  <c r="AD57" i="55"/>
  <c r="AA57" i="55"/>
  <c r="Z57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BV57" i="55" s="1"/>
  <c r="X57" i="57" s="1"/>
  <c r="K57" i="55"/>
  <c r="BA57" i="55" s="1"/>
  <c r="J57" i="55"/>
  <c r="AZ57" i="55" s="1"/>
  <c r="I57" i="55"/>
  <c r="BI57" i="55" s="1"/>
  <c r="K57" i="57" s="1"/>
  <c r="H57" i="55"/>
  <c r="BR57" i="55" s="1"/>
  <c r="T57" i="57" s="1"/>
  <c r="G57" i="55"/>
  <c r="BQ57" i="55" s="1"/>
  <c r="S57" i="57" s="1"/>
  <c r="F57" i="55"/>
  <c r="BP57" i="55" s="1"/>
  <c r="R57" i="57" s="1"/>
  <c r="E57" i="55"/>
  <c r="BE57" i="55" s="1"/>
  <c r="G57" i="57" s="1"/>
  <c r="D57" i="55"/>
  <c r="BD57" i="55" s="1"/>
  <c r="F57" i="57" s="1"/>
  <c r="C57" i="55"/>
  <c r="B57" i="55"/>
  <c r="AG57" i="55" s="1"/>
  <c r="B57" i="57" s="1"/>
  <c r="A57" i="55"/>
  <c r="AF57" i="55" s="1"/>
  <c r="A57" i="57" s="1"/>
  <c r="JO56" i="55"/>
  <c r="JN56" i="55"/>
  <c r="JM56" i="55"/>
  <c r="JL56" i="55"/>
  <c r="JK56" i="55"/>
  <c r="JJ56" i="55"/>
  <c r="JI56" i="55"/>
  <c r="JH56" i="55"/>
  <c r="JG56" i="55"/>
  <c r="JF56" i="55"/>
  <c r="JE56" i="55"/>
  <c r="JD56" i="55"/>
  <c r="JC56" i="55"/>
  <c r="JB56" i="55"/>
  <c r="JA56" i="55"/>
  <c r="IZ56" i="55"/>
  <c r="IY56" i="55"/>
  <c r="IX56" i="55"/>
  <c r="IW56" i="55"/>
  <c r="IV56" i="55"/>
  <c r="IU56" i="55"/>
  <c r="IT56" i="55"/>
  <c r="IS56" i="55"/>
  <c r="IR56" i="55"/>
  <c r="IQ56" i="55"/>
  <c r="IP56" i="55"/>
  <c r="IO56" i="55"/>
  <c r="IN56" i="55"/>
  <c r="IM56" i="55"/>
  <c r="IL56" i="55"/>
  <c r="IK56" i="55"/>
  <c r="IJ56" i="55"/>
  <c r="II56" i="55"/>
  <c r="IH56" i="55"/>
  <c r="IG56" i="55"/>
  <c r="IF56" i="55"/>
  <c r="IE56" i="55"/>
  <c r="ID56" i="55"/>
  <c r="IC56" i="55"/>
  <c r="IB56" i="55"/>
  <c r="IA56" i="55"/>
  <c r="HZ56" i="55"/>
  <c r="HY56" i="55"/>
  <c r="HX56" i="55"/>
  <c r="HW56" i="55"/>
  <c r="HV56" i="55"/>
  <c r="HU56" i="55"/>
  <c r="HT56" i="55"/>
  <c r="HS56" i="55"/>
  <c r="HR56" i="55"/>
  <c r="HQ56" i="55"/>
  <c r="HP56" i="55"/>
  <c r="HO56" i="55"/>
  <c r="HN56" i="55"/>
  <c r="HM56" i="55"/>
  <c r="HL56" i="55"/>
  <c r="HK56" i="55"/>
  <c r="HJ56" i="55"/>
  <c r="HI56" i="55"/>
  <c r="HH56" i="55"/>
  <c r="HG56" i="55"/>
  <c r="HF56" i="55"/>
  <c r="HE56" i="55"/>
  <c r="HD56" i="55"/>
  <c r="HC56" i="55"/>
  <c r="HB56" i="55"/>
  <c r="HA56" i="55"/>
  <c r="GZ56" i="55"/>
  <c r="GY56" i="55"/>
  <c r="GX56" i="55"/>
  <c r="GW56" i="55"/>
  <c r="GV56" i="55"/>
  <c r="GU56" i="55"/>
  <c r="GT56" i="55"/>
  <c r="GS56" i="55"/>
  <c r="GR56" i="55"/>
  <c r="GQ56" i="55"/>
  <c r="GP56" i="55"/>
  <c r="GO56" i="55"/>
  <c r="GN56" i="55"/>
  <c r="GM56" i="55"/>
  <c r="GL56" i="55"/>
  <c r="GK56" i="55"/>
  <c r="GJ56" i="55"/>
  <c r="GI56" i="55"/>
  <c r="GH56" i="55"/>
  <c r="GG56" i="55"/>
  <c r="GF56" i="55"/>
  <c r="GE56" i="55"/>
  <c r="GD56" i="55"/>
  <c r="GC56" i="55"/>
  <c r="GB56" i="55"/>
  <c r="GA56" i="55"/>
  <c r="FZ56" i="55"/>
  <c r="FY56" i="55"/>
  <c r="FX56" i="55"/>
  <c r="FW56" i="55"/>
  <c r="FV56" i="55"/>
  <c r="FU56" i="55"/>
  <c r="FT56" i="55"/>
  <c r="AD56" i="55"/>
  <c r="AA56" i="55"/>
  <c r="Z56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BV56" i="55" s="1"/>
  <c r="X56" i="57" s="1"/>
  <c r="K56" i="55"/>
  <c r="BK56" i="55" s="1"/>
  <c r="M56" i="57" s="1"/>
  <c r="J56" i="55"/>
  <c r="I56" i="55"/>
  <c r="BI56" i="55" s="1"/>
  <c r="K56" i="57" s="1"/>
  <c r="H56" i="55"/>
  <c r="BR56" i="55" s="1"/>
  <c r="T56" i="57" s="1"/>
  <c r="G56" i="55"/>
  <c r="BQ56" i="55" s="1"/>
  <c r="S56" i="57" s="1"/>
  <c r="F56" i="55"/>
  <c r="BP56" i="55" s="1"/>
  <c r="R56" i="57" s="1"/>
  <c r="E56" i="55"/>
  <c r="BO56" i="55" s="1"/>
  <c r="Q56" i="57" s="1"/>
  <c r="D56" i="55"/>
  <c r="BN56" i="55" s="1"/>
  <c r="P56" i="57" s="1"/>
  <c r="C56" i="55"/>
  <c r="BC56" i="55" s="1"/>
  <c r="E56" i="57" s="1"/>
  <c r="B56" i="55"/>
  <c r="AG56" i="55" s="1"/>
  <c r="B56" i="57" s="1"/>
  <c r="A56" i="55"/>
  <c r="AF56" i="55" s="1"/>
  <c r="A56" i="57" s="1"/>
  <c r="JO55" i="55"/>
  <c r="JN55" i="55"/>
  <c r="JM55" i="55"/>
  <c r="JL55" i="55"/>
  <c r="JK55" i="55"/>
  <c r="JJ55" i="55"/>
  <c r="JI55" i="55"/>
  <c r="JH55" i="55"/>
  <c r="JG55" i="55"/>
  <c r="JF55" i="55"/>
  <c r="JE55" i="55"/>
  <c r="JD55" i="55"/>
  <c r="JC55" i="55"/>
  <c r="JB55" i="55"/>
  <c r="JA55" i="55"/>
  <c r="IZ55" i="55"/>
  <c r="IY55" i="55"/>
  <c r="IX55" i="55"/>
  <c r="IW55" i="55"/>
  <c r="IV55" i="55"/>
  <c r="IU55" i="55"/>
  <c r="IT55" i="55"/>
  <c r="IS55" i="55"/>
  <c r="IR55" i="55"/>
  <c r="IQ55" i="55"/>
  <c r="IP55" i="55"/>
  <c r="IO55" i="55"/>
  <c r="IN55" i="55"/>
  <c r="IM55" i="55"/>
  <c r="IL55" i="55"/>
  <c r="IK55" i="55"/>
  <c r="IJ55" i="55"/>
  <c r="II55" i="55"/>
  <c r="IH55" i="55"/>
  <c r="IG55" i="55"/>
  <c r="IF55" i="55"/>
  <c r="IE55" i="55"/>
  <c r="ID55" i="55"/>
  <c r="IC55" i="55"/>
  <c r="IB55" i="55"/>
  <c r="IA55" i="55"/>
  <c r="HZ55" i="55"/>
  <c r="HY55" i="55"/>
  <c r="HX55" i="55"/>
  <c r="HW55" i="55"/>
  <c r="HV55" i="55"/>
  <c r="HU55" i="55"/>
  <c r="HT55" i="55"/>
  <c r="HS55" i="55"/>
  <c r="HR55" i="55"/>
  <c r="HQ55" i="55"/>
  <c r="HP55" i="55"/>
  <c r="HO55" i="55"/>
  <c r="HN55" i="55"/>
  <c r="HM55" i="55"/>
  <c r="HL55" i="55"/>
  <c r="HK55" i="55"/>
  <c r="HJ55" i="55"/>
  <c r="HI55" i="55"/>
  <c r="HH55" i="55"/>
  <c r="HG55" i="55"/>
  <c r="HF55" i="55"/>
  <c r="HE55" i="55"/>
  <c r="HD55" i="55"/>
  <c r="HC55" i="55"/>
  <c r="HB55" i="55"/>
  <c r="HA55" i="55"/>
  <c r="GZ55" i="55"/>
  <c r="GY55" i="55"/>
  <c r="GX55" i="55"/>
  <c r="GW55" i="55"/>
  <c r="GV55" i="55"/>
  <c r="GU55" i="55"/>
  <c r="GT55" i="55"/>
  <c r="GS55" i="55"/>
  <c r="GR55" i="55"/>
  <c r="GQ55" i="55"/>
  <c r="GP55" i="55"/>
  <c r="GO55" i="55"/>
  <c r="GN55" i="55"/>
  <c r="GM55" i="55"/>
  <c r="GL55" i="55"/>
  <c r="GK55" i="55"/>
  <c r="GJ55" i="55"/>
  <c r="GI55" i="55"/>
  <c r="GH55" i="55"/>
  <c r="GG55" i="55"/>
  <c r="GF55" i="55"/>
  <c r="GE55" i="55"/>
  <c r="GD55" i="55"/>
  <c r="GC55" i="55"/>
  <c r="GB55" i="55"/>
  <c r="GA55" i="55"/>
  <c r="FZ55" i="55"/>
  <c r="FY55" i="55"/>
  <c r="FX55" i="55"/>
  <c r="FW55" i="55"/>
  <c r="FV55" i="55"/>
  <c r="FU55" i="55"/>
  <c r="FT55" i="55"/>
  <c r="BG55" i="55"/>
  <c r="I55" i="57" s="1"/>
  <c r="AD55" i="55"/>
  <c r="AA55" i="55"/>
  <c r="Z55" i="55"/>
  <c r="Y55" i="55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BV55" i="55" s="1"/>
  <c r="X55" i="57" s="1"/>
  <c r="K55" i="55"/>
  <c r="BU55" i="55" s="1"/>
  <c r="W55" i="57" s="1"/>
  <c r="J55" i="55"/>
  <c r="BT55" i="55" s="1"/>
  <c r="V55" i="57" s="1"/>
  <c r="I55" i="55"/>
  <c r="BS55" i="55" s="1"/>
  <c r="U55" i="57" s="1"/>
  <c r="H55" i="55"/>
  <c r="BR55" i="55" s="1"/>
  <c r="T55" i="57" s="1"/>
  <c r="G55" i="55"/>
  <c r="BQ55" i="55" s="1"/>
  <c r="S55" i="57" s="1"/>
  <c r="F55" i="55"/>
  <c r="BP55" i="55" s="1"/>
  <c r="R55" i="57" s="1"/>
  <c r="E55" i="55"/>
  <c r="BO55" i="55" s="1"/>
  <c r="Q55" i="57" s="1"/>
  <c r="D55" i="55"/>
  <c r="C55" i="55"/>
  <c r="B55" i="55"/>
  <c r="AG55" i="55" s="1"/>
  <c r="B55" i="57" s="1"/>
  <c r="A55" i="55"/>
  <c r="AF55" i="55" s="1"/>
  <c r="A55" i="57" s="1"/>
  <c r="JO54" i="55"/>
  <c r="JN54" i="55"/>
  <c r="JM54" i="55"/>
  <c r="JL54" i="55"/>
  <c r="JK54" i="55"/>
  <c r="JJ54" i="55"/>
  <c r="JI54" i="55"/>
  <c r="JH54" i="55"/>
  <c r="JG54" i="55"/>
  <c r="JF54" i="55"/>
  <c r="JE54" i="55"/>
  <c r="JD54" i="55"/>
  <c r="JC54" i="55"/>
  <c r="JB54" i="55"/>
  <c r="JA54" i="55"/>
  <c r="IZ54" i="55"/>
  <c r="IY54" i="55"/>
  <c r="IX54" i="55"/>
  <c r="IW54" i="55"/>
  <c r="IV54" i="55"/>
  <c r="IU54" i="55"/>
  <c r="IT54" i="55"/>
  <c r="IS54" i="55"/>
  <c r="IR54" i="55"/>
  <c r="IQ54" i="55"/>
  <c r="IP54" i="55"/>
  <c r="IO54" i="55"/>
  <c r="IN54" i="55"/>
  <c r="IM54" i="55"/>
  <c r="IL54" i="55"/>
  <c r="IK54" i="55"/>
  <c r="IJ54" i="55"/>
  <c r="II54" i="55"/>
  <c r="IH54" i="55"/>
  <c r="IG54" i="55"/>
  <c r="IF54" i="55"/>
  <c r="IE54" i="55"/>
  <c r="ID54" i="55"/>
  <c r="IC54" i="55"/>
  <c r="IB54" i="55"/>
  <c r="IA54" i="55"/>
  <c r="HZ54" i="55"/>
  <c r="HY54" i="55"/>
  <c r="HX54" i="55"/>
  <c r="HW54" i="55"/>
  <c r="HV54" i="55"/>
  <c r="HU54" i="55"/>
  <c r="HT54" i="55"/>
  <c r="HS54" i="55"/>
  <c r="HR54" i="55"/>
  <c r="HQ54" i="55"/>
  <c r="HP54" i="55"/>
  <c r="HO54" i="55"/>
  <c r="HN54" i="55"/>
  <c r="HM54" i="55"/>
  <c r="HL54" i="55"/>
  <c r="HK54" i="55"/>
  <c r="HJ54" i="55"/>
  <c r="HI54" i="55"/>
  <c r="HH54" i="55"/>
  <c r="HG54" i="55"/>
  <c r="HF54" i="55"/>
  <c r="HE54" i="55"/>
  <c r="HD54" i="55"/>
  <c r="HC54" i="55"/>
  <c r="HB54" i="55"/>
  <c r="HA54" i="55"/>
  <c r="GZ54" i="55"/>
  <c r="GY54" i="55"/>
  <c r="GX54" i="55"/>
  <c r="GW54" i="55"/>
  <c r="GV54" i="55"/>
  <c r="GU54" i="55"/>
  <c r="GT54" i="55"/>
  <c r="GS54" i="55"/>
  <c r="GR54" i="55"/>
  <c r="GQ54" i="55"/>
  <c r="GP54" i="55"/>
  <c r="GO54" i="55"/>
  <c r="GN54" i="55"/>
  <c r="GM54" i="55"/>
  <c r="GL54" i="55"/>
  <c r="GK54" i="55"/>
  <c r="GJ54" i="55"/>
  <c r="GI54" i="55"/>
  <c r="GH54" i="55"/>
  <c r="GG54" i="55"/>
  <c r="GF54" i="55"/>
  <c r="GE54" i="55"/>
  <c r="GD54" i="55"/>
  <c r="GC54" i="55"/>
  <c r="GB54" i="55"/>
  <c r="GA54" i="55"/>
  <c r="FZ54" i="55"/>
  <c r="FY54" i="55"/>
  <c r="FX54" i="55"/>
  <c r="FW54" i="55"/>
  <c r="FV54" i="55"/>
  <c r="FU54" i="55"/>
  <c r="FT54" i="55"/>
  <c r="AD54" i="55"/>
  <c r="AA54" i="55"/>
  <c r="Z54" i="55"/>
  <c r="Y54" i="55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BU54" i="55" s="1"/>
  <c r="W54" i="57" s="1"/>
  <c r="J54" i="55"/>
  <c r="BT54" i="55" s="1"/>
  <c r="V54" i="57" s="1"/>
  <c r="I54" i="55"/>
  <c r="BS54" i="55" s="1"/>
  <c r="U54" i="57" s="1"/>
  <c r="H54" i="55"/>
  <c r="BH54" i="55" s="1"/>
  <c r="J54" i="57" s="1"/>
  <c r="G54" i="55"/>
  <c r="BQ54" i="55" s="1"/>
  <c r="S54" i="57" s="1"/>
  <c r="F54" i="55"/>
  <c r="AV54" i="55" s="1"/>
  <c r="E54" i="55"/>
  <c r="BO54" i="55" s="1"/>
  <c r="Q54" i="57" s="1"/>
  <c r="D54" i="55"/>
  <c r="BN54" i="55" s="1"/>
  <c r="P54" i="57" s="1"/>
  <c r="C54" i="55"/>
  <c r="BM54" i="55" s="1"/>
  <c r="O54" i="57" s="1"/>
  <c r="B54" i="55"/>
  <c r="AG54" i="55" s="1"/>
  <c r="B54" i="57" s="1"/>
  <c r="A54" i="55"/>
  <c r="AF54" i="55" s="1"/>
  <c r="A54" i="57" s="1"/>
  <c r="JO53" i="55"/>
  <c r="JN53" i="55"/>
  <c r="JM53" i="55"/>
  <c r="JL53" i="55"/>
  <c r="JK53" i="55"/>
  <c r="JJ53" i="55"/>
  <c r="JI53" i="55"/>
  <c r="JH53" i="55"/>
  <c r="JG53" i="55"/>
  <c r="JF53" i="55"/>
  <c r="JE53" i="55"/>
  <c r="JD53" i="55"/>
  <c r="JC53" i="55"/>
  <c r="JB53" i="55"/>
  <c r="JA53" i="55"/>
  <c r="IZ53" i="55"/>
  <c r="IY53" i="55"/>
  <c r="IX53" i="55"/>
  <c r="IW53" i="55"/>
  <c r="IV53" i="55"/>
  <c r="IU53" i="55"/>
  <c r="IT53" i="55"/>
  <c r="IS53" i="55"/>
  <c r="IR53" i="55"/>
  <c r="IQ53" i="55"/>
  <c r="IP53" i="55"/>
  <c r="IO53" i="55"/>
  <c r="IN53" i="55"/>
  <c r="IM53" i="55"/>
  <c r="IL53" i="55"/>
  <c r="IK53" i="55"/>
  <c r="IJ53" i="55"/>
  <c r="II53" i="55"/>
  <c r="IH53" i="55"/>
  <c r="IG53" i="55"/>
  <c r="IF53" i="55"/>
  <c r="IE53" i="55"/>
  <c r="ID53" i="55"/>
  <c r="IC53" i="55"/>
  <c r="IB53" i="55"/>
  <c r="IA53" i="55"/>
  <c r="HZ53" i="55"/>
  <c r="HY53" i="55"/>
  <c r="HX53" i="55"/>
  <c r="HW53" i="55"/>
  <c r="HV53" i="55"/>
  <c r="HU53" i="55"/>
  <c r="HT53" i="55"/>
  <c r="HS53" i="55"/>
  <c r="HR53" i="55"/>
  <c r="HQ53" i="55"/>
  <c r="HP53" i="55"/>
  <c r="HO53" i="55"/>
  <c r="HN53" i="55"/>
  <c r="HM53" i="55"/>
  <c r="HL53" i="55"/>
  <c r="HJ53" i="55"/>
  <c r="HI53" i="55"/>
  <c r="HH53" i="55"/>
  <c r="HG53" i="55"/>
  <c r="HF53" i="55"/>
  <c r="HE53" i="55"/>
  <c r="HD53" i="55"/>
  <c r="HC53" i="55"/>
  <c r="HB53" i="55"/>
  <c r="HA53" i="55"/>
  <c r="GZ53" i="55"/>
  <c r="GY53" i="55"/>
  <c r="GX53" i="55"/>
  <c r="GW53" i="55"/>
  <c r="GV53" i="55"/>
  <c r="GU53" i="55"/>
  <c r="GT53" i="55"/>
  <c r="GS53" i="55"/>
  <c r="GR53" i="55"/>
  <c r="GQ53" i="55"/>
  <c r="GP53" i="55"/>
  <c r="GO53" i="55"/>
  <c r="GN53" i="55"/>
  <c r="GM53" i="55"/>
  <c r="GL53" i="55"/>
  <c r="GK53" i="55"/>
  <c r="GJ53" i="55"/>
  <c r="GI53" i="55"/>
  <c r="GH53" i="55"/>
  <c r="GF53" i="55"/>
  <c r="GE53" i="55"/>
  <c r="GD53" i="55"/>
  <c r="GC53" i="55"/>
  <c r="GB53" i="55"/>
  <c r="GA53" i="55"/>
  <c r="FZ53" i="55"/>
  <c r="FY53" i="55"/>
  <c r="FW53" i="55"/>
  <c r="FV53" i="55"/>
  <c r="FU53" i="55"/>
  <c r="FT53" i="55"/>
  <c r="AD53" i="55"/>
  <c r="AA53" i="55"/>
  <c r="Z53" i="55"/>
  <c r="Y53" i="55"/>
  <c r="X53" i="55"/>
  <c r="W53" i="55"/>
  <c r="V53" i="55"/>
  <c r="U53" i="55"/>
  <c r="T53" i="55"/>
  <c r="S53" i="55"/>
  <c r="R53" i="55"/>
  <c r="Q53" i="55"/>
  <c r="P53" i="55"/>
  <c r="O53" i="55"/>
  <c r="N53" i="55"/>
  <c r="M53" i="55"/>
  <c r="L53" i="55"/>
  <c r="BV53" i="55" s="1"/>
  <c r="X53" i="57" s="1"/>
  <c r="K53" i="55"/>
  <c r="BU53" i="55" s="1"/>
  <c r="W53" i="57" s="1"/>
  <c r="J53" i="55"/>
  <c r="BT53" i="55" s="1"/>
  <c r="V53" i="57" s="1"/>
  <c r="I53" i="55"/>
  <c r="BS53" i="55" s="1"/>
  <c r="U53" i="57" s="1"/>
  <c r="H53" i="55"/>
  <c r="AX53" i="55" s="1"/>
  <c r="G53" i="55"/>
  <c r="BQ53" i="55" s="1"/>
  <c r="S53" i="57" s="1"/>
  <c r="F53" i="55"/>
  <c r="BP53" i="55" s="1"/>
  <c r="R53" i="57" s="1"/>
  <c r="E53" i="55"/>
  <c r="D53" i="55"/>
  <c r="BN53" i="55" s="1"/>
  <c r="P53" i="57" s="1"/>
  <c r="B53" i="55"/>
  <c r="AG53" i="55" s="1"/>
  <c r="B53" i="57" s="1"/>
  <c r="A53" i="55"/>
  <c r="AF53" i="55" s="1"/>
  <c r="A53" i="57" s="1"/>
  <c r="JO52" i="55"/>
  <c r="JN52" i="55"/>
  <c r="JM52" i="55"/>
  <c r="JL52" i="55"/>
  <c r="JK52" i="55"/>
  <c r="JJ52" i="55"/>
  <c r="JI52" i="55"/>
  <c r="JH52" i="55"/>
  <c r="JG52" i="55"/>
  <c r="JF52" i="55"/>
  <c r="JE52" i="55"/>
  <c r="JD52" i="55"/>
  <c r="JC52" i="55"/>
  <c r="JB52" i="55"/>
  <c r="JA52" i="55"/>
  <c r="IZ52" i="55"/>
  <c r="IY52" i="55"/>
  <c r="IX52" i="55"/>
  <c r="IW52" i="55"/>
  <c r="IV52" i="55"/>
  <c r="IU52" i="55"/>
  <c r="IT52" i="55"/>
  <c r="IS52" i="55"/>
  <c r="IR52" i="55"/>
  <c r="IQ52" i="55"/>
  <c r="IP52" i="55"/>
  <c r="IO52" i="55"/>
  <c r="IN52" i="55"/>
  <c r="IM52" i="55"/>
  <c r="IL52" i="55"/>
  <c r="IK52" i="55"/>
  <c r="IJ52" i="55"/>
  <c r="II52" i="55"/>
  <c r="IH52" i="55"/>
  <c r="IG52" i="55"/>
  <c r="IF52" i="55"/>
  <c r="IE52" i="55"/>
  <c r="ID52" i="55"/>
  <c r="IC52" i="55"/>
  <c r="IB52" i="55"/>
  <c r="IA52" i="55"/>
  <c r="HZ52" i="55"/>
  <c r="HY52" i="55"/>
  <c r="HX52" i="55"/>
  <c r="HW52" i="55"/>
  <c r="HV52" i="55"/>
  <c r="HU52" i="55"/>
  <c r="HT52" i="55"/>
  <c r="HS52" i="55"/>
  <c r="HR52" i="55"/>
  <c r="HQ52" i="55"/>
  <c r="HP52" i="55"/>
  <c r="HN52" i="55"/>
  <c r="HM52" i="55"/>
  <c r="HL52" i="55"/>
  <c r="HJ52" i="55"/>
  <c r="HI52" i="55"/>
  <c r="HH52" i="55"/>
  <c r="HG52" i="55"/>
  <c r="HF52" i="55"/>
  <c r="HE52" i="55"/>
  <c r="HD52" i="55"/>
  <c r="HC52" i="55"/>
  <c r="HB52" i="55"/>
  <c r="HA52" i="55"/>
  <c r="GY52" i="55"/>
  <c r="GX52" i="55"/>
  <c r="GW52" i="55"/>
  <c r="GV52" i="55"/>
  <c r="GU52" i="55"/>
  <c r="GT52" i="55"/>
  <c r="GS52" i="55"/>
  <c r="GR52" i="55"/>
  <c r="GQ52" i="55"/>
  <c r="GP52" i="55"/>
  <c r="GO52" i="55"/>
  <c r="GN52" i="55"/>
  <c r="GM52" i="55"/>
  <c r="GL52" i="55"/>
  <c r="GK52" i="55"/>
  <c r="GI52" i="55"/>
  <c r="GH52" i="55"/>
  <c r="GF52" i="55"/>
  <c r="GE52" i="55"/>
  <c r="GD52" i="55"/>
  <c r="GC52" i="55"/>
  <c r="GB52" i="55"/>
  <c r="GA52" i="55"/>
  <c r="FZ52" i="55"/>
  <c r="FY52" i="55"/>
  <c r="FW52" i="55"/>
  <c r="FV52" i="55"/>
  <c r="FU52" i="55"/>
  <c r="FT52" i="55"/>
  <c r="AZ52" i="55"/>
  <c r="AD52" i="55"/>
  <c r="AA52" i="55"/>
  <c r="Z52" i="55"/>
  <c r="Y52" i="55"/>
  <c r="X52" i="55"/>
  <c r="W52" i="55"/>
  <c r="V52" i="55"/>
  <c r="U52" i="55"/>
  <c r="T52" i="55"/>
  <c r="S52" i="55"/>
  <c r="R52" i="55"/>
  <c r="Q52" i="55"/>
  <c r="P52" i="55"/>
  <c r="O52" i="55"/>
  <c r="N52" i="55"/>
  <c r="L52" i="55"/>
  <c r="BV52" i="55" s="1"/>
  <c r="X52" i="57" s="1"/>
  <c r="K52" i="55"/>
  <c r="BU52" i="55" s="1"/>
  <c r="W52" i="57" s="1"/>
  <c r="J52" i="55"/>
  <c r="BT52" i="55" s="1"/>
  <c r="V52" i="57" s="1"/>
  <c r="G52" i="55"/>
  <c r="BQ52" i="55" s="1"/>
  <c r="S52" i="57" s="1"/>
  <c r="F52" i="55"/>
  <c r="E52" i="55"/>
  <c r="BO52" i="55" s="1"/>
  <c r="Q52" i="57" s="1"/>
  <c r="D52" i="55"/>
  <c r="BN52" i="55" s="1"/>
  <c r="P52" i="57" s="1"/>
  <c r="B52" i="55"/>
  <c r="AG52" i="55" s="1"/>
  <c r="B52" i="57" s="1"/>
  <c r="A52" i="55"/>
  <c r="AF52" i="55" s="1"/>
  <c r="A52" i="57" s="1"/>
  <c r="JO51" i="55"/>
  <c r="JN51" i="55"/>
  <c r="JM51" i="55"/>
  <c r="JL51" i="55"/>
  <c r="JK51" i="55"/>
  <c r="JJ51" i="55"/>
  <c r="JI51" i="55"/>
  <c r="JH51" i="55"/>
  <c r="JG51" i="55"/>
  <c r="JF51" i="55"/>
  <c r="JE51" i="55"/>
  <c r="JD51" i="55"/>
  <c r="JC51" i="55"/>
  <c r="JB51" i="55"/>
  <c r="JA51" i="55"/>
  <c r="IZ51" i="55"/>
  <c r="IY51" i="55"/>
  <c r="IX51" i="55"/>
  <c r="IW51" i="55"/>
  <c r="IV51" i="55"/>
  <c r="IU51" i="55"/>
  <c r="IT51" i="55"/>
  <c r="IS51" i="55"/>
  <c r="IR51" i="55"/>
  <c r="IQ51" i="55"/>
  <c r="IP51" i="55"/>
  <c r="IO51" i="55"/>
  <c r="IN51" i="55"/>
  <c r="IM51" i="55"/>
  <c r="IL51" i="55"/>
  <c r="IK51" i="55"/>
  <c r="IJ51" i="55"/>
  <c r="II51" i="55"/>
  <c r="IH51" i="55"/>
  <c r="IG51" i="55"/>
  <c r="IF51" i="55"/>
  <c r="IE51" i="55"/>
  <c r="ID51" i="55"/>
  <c r="IC51" i="55"/>
  <c r="IB51" i="55"/>
  <c r="IA51" i="55"/>
  <c r="HZ51" i="55"/>
  <c r="HY51" i="55"/>
  <c r="HX51" i="55"/>
  <c r="HW51" i="55"/>
  <c r="HV51" i="55"/>
  <c r="HU51" i="55"/>
  <c r="HT51" i="55"/>
  <c r="HS51" i="55"/>
  <c r="HR51" i="55"/>
  <c r="HQ51" i="55"/>
  <c r="HP51" i="55"/>
  <c r="HO51" i="55"/>
  <c r="HN51" i="55"/>
  <c r="HM51" i="55"/>
  <c r="HL51" i="55"/>
  <c r="HI51" i="55"/>
  <c r="HH51" i="55"/>
  <c r="HG51" i="55"/>
  <c r="HF51" i="55"/>
  <c r="HE51" i="55"/>
  <c r="HD51" i="55"/>
  <c r="HC51" i="55"/>
  <c r="HB51" i="55"/>
  <c r="HA51" i="55"/>
  <c r="GY51" i="55"/>
  <c r="GX51" i="55"/>
  <c r="GW51" i="55"/>
  <c r="GV51" i="55"/>
  <c r="GU51" i="55"/>
  <c r="GT51" i="55"/>
  <c r="GS51" i="55"/>
  <c r="GR51" i="55"/>
  <c r="GQ51" i="55"/>
  <c r="GP51" i="55"/>
  <c r="GO51" i="55"/>
  <c r="GN51" i="55"/>
  <c r="GM51" i="55"/>
  <c r="GL51" i="55"/>
  <c r="GK51" i="55"/>
  <c r="GJ51" i="55"/>
  <c r="GI51" i="55"/>
  <c r="GH51" i="55"/>
  <c r="GG51" i="55"/>
  <c r="GF51" i="55"/>
  <c r="GE51" i="55"/>
  <c r="GD51" i="55"/>
  <c r="GC51" i="55"/>
  <c r="GB51" i="55"/>
  <c r="GA51" i="55"/>
  <c r="FZ51" i="55"/>
  <c r="FY51" i="55"/>
  <c r="FW51" i="55"/>
  <c r="FV51" i="55"/>
  <c r="FU51" i="55"/>
  <c r="FT51" i="55"/>
  <c r="AD51" i="55"/>
  <c r="AA51" i="55"/>
  <c r="Z51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L51" i="55"/>
  <c r="BV51" i="55" s="1"/>
  <c r="X51" i="57" s="1"/>
  <c r="K51" i="55"/>
  <c r="BU51" i="55" s="1"/>
  <c r="W51" i="57" s="1"/>
  <c r="J51" i="55"/>
  <c r="BT51" i="55" s="1"/>
  <c r="V51" i="57" s="1"/>
  <c r="G51" i="55"/>
  <c r="F51" i="55"/>
  <c r="BP51" i="55" s="1"/>
  <c r="R51" i="57" s="1"/>
  <c r="E51" i="55"/>
  <c r="BO51" i="55" s="1"/>
  <c r="Q51" i="57" s="1"/>
  <c r="D51" i="55"/>
  <c r="BN51" i="55" s="1"/>
  <c r="P51" i="57" s="1"/>
  <c r="B51" i="55"/>
  <c r="AG51" i="55" s="1"/>
  <c r="B51" i="57" s="1"/>
  <c r="A51" i="55"/>
  <c r="AF51" i="55" s="1"/>
  <c r="A51" i="57" s="1"/>
  <c r="JO50" i="55"/>
  <c r="JN50" i="55"/>
  <c r="JM50" i="55"/>
  <c r="JL50" i="55"/>
  <c r="JK50" i="55"/>
  <c r="JJ50" i="55"/>
  <c r="JI50" i="55"/>
  <c r="JH50" i="55"/>
  <c r="JG50" i="55"/>
  <c r="JF50" i="55"/>
  <c r="JE50" i="55"/>
  <c r="JD50" i="55"/>
  <c r="JC50" i="55"/>
  <c r="JB50" i="55"/>
  <c r="JA50" i="55"/>
  <c r="IZ50" i="55"/>
  <c r="IY50" i="55"/>
  <c r="IX50" i="55"/>
  <c r="IW50" i="55"/>
  <c r="IV50" i="55"/>
  <c r="IU50" i="55"/>
  <c r="IT50" i="55"/>
  <c r="IS50" i="55"/>
  <c r="IR50" i="55"/>
  <c r="IQ50" i="55"/>
  <c r="IP50" i="55"/>
  <c r="IO50" i="55"/>
  <c r="IN50" i="55"/>
  <c r="IM50" i="55"/>
  <c r="IL50" i="55"/>
  <c r="IK50" i="55"/>
  <c r="IJ50" i="55"/>
  <c r="II50" i="55"/>
  <c r="IH50" i="55"/>
  <c r="IG50" i="55"/>
  <c r="IF50" i="55"/>
  <c r="IE50" i="55"/>
  <c r="ID50" i="55"/>
  <c r="IC50" i="55"/>
  <c r="IB50" i="55"/>
  <c r="IA50" i="55"/>
  <c r="HZ50" i="55"/>
  <c r="HY50" i="55"/>
  <c r="HX50" i="55"/>
  <c r="HW50" i="55"/>
  <c r="HV50" i="55"/>
  <c r="HU50" i="55"/>
  <c r="HT50" i="55"/>
  <c r="HS50" i="55"/>
  <c r="HR50" i="55"/>
  <c r="HQ50" i="55"/>
  <c r="HP50" i="55"/>
  <c r="HN50" i="55"/>
  <c r="HM50" i="55"/>
  <c r="HL50" i="55"/>
  <c r="HJ50" i="55"/>
  <c r="HI50" i="55"/>
  <c r="HH50" i="55"/>
  <c r="HG50" i="55"/>
  <c r="HF50" i="55"/>
  <c r="HE50" i="55"/>
  <c r="HD50" i="55"/>
  <c r="HC50" i="55"/>
  <c r="HB50" i="55"/>
  <c r="HA50" i="55"/>
  <c r="GZ50" i="55"/>
  <c r="GY50" i="55"/>
  <c r="GX50" i="55"/>
  <c r="GW50" i="55"/>
  <c r="GV50" i="55"/>
  <c r="GU50" i="55"/>
  <c r="GT50" i="55"/>
  <c r="GS50" i="55"/>
  <c r="GR50" i="55"/>
  <c r="GQ50" i="55"/>
  <c r="GP50" i="55"/>
  <c r="GO50" i="55"/>
  <c r="GN50" i="55"/>
  <c r="GM50" i="55"/>
  <c r="GL50" i="55"/>
  <c r="GK50" i="55"/>
  <c r="GJ50" i="55"/>
  <c r="GI50" i="55"/>
  <c r="GH50" i="55"/>
  <c r="GF50" i="55"/>
  <c r="GE50" i="55"/>
  <c r="GD50" i="55"/>
  <c r="GC50" i="55"/>
  <c r="GB50" i="55"/>
  <c r="GA50" i="55"/>
  <c r="FZ50" i="55"/>
  <c r="FY50" i="55"/>
  <c r="FW50" i="55"/>
  <c r="FV50" i="55"/>
  <c r="FU50" i="55"/>
  <c r="FT50" i="55"/>
  <c r="AD50" i="55"/>
  <c r="AA50" i="55"/>
  <c r="Z50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L50" i="55"/>
  <c r="BV50" i="55" s="1"/>
  <c r="X50" i="57" s="1"/>
  <c r="K50" i="55"/>
  <c r="BU50" i="55" s="1"/>
  <c r="W50" i="57" s="1"/>
  <c r="J50" i="55"/>
  <c r="BT50" i="55" s="1"/>
  <c r="V50" i="57" s="1"/>
  <c r="G50" i="55"/>
  <c r="BQ50" i="55" s="1"/>
  <c r="S50" i="57" s="1"/>
  <c r="F50" i="55"/>
  <c r="BP50" i="55" s="1"/>
  <c r="R50" i="57" s="1"/>
  <c r="E50" i="55"/>
  <c r="BO50" i="55" s="1"/>
  <c r="Q50" i="57" s="1"/>
  <c r="D50" i="55"/>
  <c r="B50" i="55"/>
  <c r="AG50" i="55" s="1"/>
  <c r="B50" i="57" s="1"/>
  <c r="A50" i="55"/>
  <c r="AF50" i="55" s="1"/>
  <c r="A50" i="57" s="1"/>
  <c r="JO49" i="55"/>
  <c r="JN49" i="55"/>
  <c r="JM49" i="55"/>
  <c r="JL49" i="55"/>
  <c r="JK49" i="55"/>
  <c r="JJ49" i="55"/>
  <c r="JI49" i="55"/>
  <c r="JH49" i="55"/>
  <c r="JG49" i="55"/>
  <c r="JF49" i="55"/>
  <c r="JE49" i="55"/>
  <c r="JD49" i="55"/>
  <c r="JC49" i="55"/>
  <c r="JB49" i="55"/>
  <c r="JA49" i="55"/>
  <c r="IZ49" i="55"/>
  <c r="IY49" i="55"/>
  <c r="IX49" i="55"/>
  <c r="IW49" i="55"/>
  <c r="IV49" i="55"/>
  <c r="IU49" i="55"/>
  <c r="IT49" i="55"/>
  <c r="IS49" i="55"/>
  <c r="IR49" i="55"/>
  <c r="IQ49" i="55"/>
  <c r="IP49" i="55"/>
  <c r="IO49" i="55"/>
  <c r="IN49" i="55"/>
  <c r="IM49" i="55"/>
  <c r="IL49" i="55"/>
  <c r="IK49" i="55"/>
  <c r="IJ49" i="55"/>
  <c r="II49" i="55"/>
  <c r="IH49" i="55"/>
  <c r="IG49" i="55"/>
  <c r="IF49" i="55"/>
  <c r="IE49" i="55"/>
  <c r="ID49" i="55"/>
  <c r="IC49" i="55"/>
  <c r="IB49" i="55"/>
  <c r="IA49" i="55"/>
  <c r="HZ49" i="55"/>
  <c r="HY49" i="55"/>
  <c r="HX49" i="55"/>
  <c r="HW49" i="55"/>
  <c r="HV49" i="55"/>
  <c r="HU49" i="55"/>
  <c r="HT49" i="55"/>
  <c r="HS49" i="55"/>
  <c r="HR49" i="55"/>
  <c r="HQ49" i="55"/>
  <c r="HP49" i="55"/>
  <c r="HO49" i="55"/>
  <c r="HN49" i="55"/>
  <c r="HM49" i="55"/>
  <c r="HL49" i="55"/>
  <c r="HI49" i="55"/>
  <c r="HH49" i="55"/>
  <c r="HG49" i="55"/>
  <c r="HF49" i="55"/>
  <c r="HE49" i="55"/>
  <c r="HD49" i="55"/>
  <c r="HC49" i="55"/>
  <c r="HB49" i="55"/>
  <c r="HA49" i="55"/>
  <c r="GY49" i="55"/>
  <c r="GX49" i="55"/>
  <c r="GW49" i="55"/>
  <c r="GV49" i="55"/>
  <c r="GU49" i="55"/>
  <c r="GT49" i="55"/>
  <c r="GS49" i="55"/>
  <c r="GR49" i="55"/>
  <c r="GQ49" i="55"/>
  <c r="GP49" i="55"/>
  <c r="GO49" i="55"/>
  <c r="GN49" i="55"/>
  <c r="GM49" i="55"/>
  <c r="GL49" i="55"/>
  <c r="GK49" i="55"/>
  <c r="GI49" i="55"/>
  <c r="GH49" i="55"/>
  <c r="GF49" i="55"/>
  <c r="GE49" i="55"/>
  <c r="GD49" i="55"/>
  <c r="GC49" i="55"/>
  <c r="GB49" i="55"/>
  <c r="GA49" i="55"/>
  <c r="FZ49" i="55"/>
  <c r="FY49" i="55"/>
  <c r="FW49" i="55"/>
  <c r="FV49" i="55"/>
  <c r="FU49" i="55"/>
  <c r="FT49" i="55"/>
  <c r="AD49" i="55"/>
  <c r="AA49" i="55"/>
  <c r="Z49" i="55"/>
  <c r="Y49" i="55"/>
  <c r="X49" i="55"/>
  <c r="W49" i="55"/>
  <c r="V49" i="55"/>
  <c r="U49" i="55"/>
  <c r="T49" i="55"/>
  <c r="S49" i="55"/>
  <c r="R49" i="55"/>
  <c r="Q49" i="55"/>
  <c r="P49" i="55"/>
  <c r="O49" i="55"/>
  <c r="N49" i="55"/>
  <c r="L49" i="55"/>
  <c r="BV49" i="55" s="1"/>
  <c r="X49" i="57" s="1"/>
  <c r="K49" i="55"/>
  <c r="BA49" i="55" s="1"/>
  <c r="J49" i="55"/>
  <c r="BT49" i="55" s="1"/>
  <c r="V49" i="57" s="1"/>
  <c r="G49" i="55"/>
  <c r="BQ49" i="55" s="1"/>
  <c r="S49" i="57" s="1"/>
  <c r="F49" i="55"/>
  <c r="BP49" i="55" s="1"/>
  <c r="R49" i="57" s="1"/>
  <c r="E49" i="55"/>
  <c r="BO49" i="55" s="1"/>
  <c r="Q49" i="57" s="1"/>
  <c r="D49" i="55"/>
  <c r="B49" i="55"/>
  <c r="AG49" i="55" s="1"/>
  <c r="B49" i="57" s="1"/>
  <c r="A49" i="55"/>
  <c r="AF49" i="55" s="1"/>
  <c r="A49" i="57" s="1"/>
  <c r="JO48" i="55"/>
  <c r="JN48" i="55"/>
  <c r="JM48" i="55"/>
  <c r="JL48" i="55"/>
  <c r="JK48" i="55"/>
  <c r="JJ48" i="55"/>
  <c r="JI48" i="55"/>
  <c r="JH48" i="55"/>
  <c r="JG48" i="55"/>
  <c r="JF48" i="55"/>
  <c r="JE48" i="55"/>
  <c r="JD48" i="55"/>
  <c r="JC48" i="55"/>
  <c r="JB48" i="55"/>
  <c r="JA48" i="55"/>
  <c r="IZ48" i="55"/>
  <c r="IY48" i="55"/>
  <c r="IX48" i="55"/>
  <c r="IW48" i="55"/>
  <c r="IV48" i="55"/>
  <c r="IU48" i="55"/>
  <c r="IT48" i="55"/>
  <c r="IS48" i="55"/>
  <c r="IR48" i="55"/>
  <c r="IQ48" i="55"/>
  <c r="IP48" i="55"/>
  <c r="IO48" i="55"/>
  <c r="IN48" i="55"/>
  <c r="IM48" i="55"/>
  <c r="IL48" i="55"/>
  <c r="IK48" i="55"/>
  <c r="IJ48" i="55"/>
  <c r="II48" i="55"/>
  <c r="IH48" i="55"/>
  <c r="IG48" i="55"/>
  <c r="IF48" i="55"/>
  <c r="IE48" i="55"/>
  <c r="ID48" i="55"/>
  <c r="IC48" i="55"/>
  <c r="IB48" i="55"/>
  <c r="IA48" i="55"/>
  <c r="HZ48" i="55"/>
  <c r="HY48" i="55"/>
  <c r="HX48" i="55"/>
  <c r="HW48" i="55"/>
  <c r="HV48" i="55"/>
  <c r="HU48" i="55"/>
  <c r="HT48" i="55"/>
  <c r="HS48" i="55"/>
  <c r="HR48" i="55"/>
  <c r="HQ48" i="55"/>
  <c r="HP48" i="55"/>
  <c r="HO48" i="55"/>
  <c r="HN48" i="55"/>
  <c r="HM48" i="55"/>
  <c r="HL48" i="55"/>
  <c r="HI48" i="55"/>
  <c r="HH48" i="55"/>
  <c r="HG48" i="55"/>
  <c r="HF48" i="55"/>
  <c r="HE48" i="55"/>
  <c r="HD48" i="55"/>
  <c r="HC48" i="55"/>
  <c r="HB48" i="55"/>
  <c r="HA48" i="55"/>
  <c r="GY48" i="55"/>
  <c r="GX48" i="55"/>
  <c r="GW48" i="55"/>
  <c r="GV48" i="55"/>
  <c r="GU48" i="55"/>
  <c r="GT48" i="55"/>
  <c r="GS48" i="55"/>
  <c r="GR48" i="55"/>
  <c r="GQ48" i="55"/>
  <c r="GP48" i="55"/>
  <c r="GO48" i="55"/>
  <c r="GN48" i="55"/>
  <c r="GM48" i="55"/>
  <c r="GL48" i="55"/>
  <c r="GK48" i="55"/>
  <c r="GJ48" i="55"/>
  <c r="GI48" i="55"/>
  <c r="GH48" i="55"/>
  <c r="GG48" i="55"/>
  <c r="GF48" i="55"/>
  <c r="GE48" i="55"/>
  <c r="GD48" i="55"/>
  <c r="GC48" i="55"/>
  <c r="GB48" i="55"/>
  <c r="GA48" i="55"/>
  <c r="FZ48" i="55"/>
  <c r="FY48" i="55"/>
  <c r="FW48" i="55"/>
  <c r="FV48" i="55"/>
  <c r="FU48" i="55"/>
  <c r="FT48" i="55"/>
  <c r="AD48" i="55"/>
  <c r="AA48" i="55"/>
  <c r="Z48" i="55"/>
  <c r="Y48" i="55"/>
  <c r="X48" i="55"/>
  <c r="W48" i="55"/>
  <c r="V48" i="55"/>
  <c r="U48" i="55"/>
  <c r="T48" i="55"/>
  <c r="S48" i="55"/>
  <c r="R48" i="55"/>
  <c r="Q48" i="55"/>
  <c r="P48" i="55"/>
  <c r="O48" i="55"/>
  <c r="N48" i="55"/>
  <c r="L48" i="55"/>
  <c r="BB48" i="55" s="1"/>
  <c r="K48" i="55"/>
  <c r="BU48" i="55" s="1"/>
  <c r="W48" i="57" s="1"/>
  <c r="J48" i="55"/>
  <c r="BT48" i="55" s="1"/>
  <c r="V48" i="57" s="1"/>
  <c r="G48" i="55"/>
  <c r="BQ48" i="55" s="1"/>
  <c r="S48" i="57" s="1"/>
  <c r="F48" i="55"/>
  <c r="BP48" i="55" s="1"/>
  <c r="R48" i="57" s="1"/>
  <c r="E48" i="55"/>
  <c r="BO48" i="55" s="1"/>
  <c r="Q48" i="57" s="1"/>
  <c r="D48" i="55"/>
  <c r="B48" i="55"/>
  <c r="AG48" i="55" s="1"/>
  <c r="B48" i="57" s="1"/>
  <c r="A48" i="55"/>
  <c r="AF48" i="55" s="1"/>
  <c r="A48" i="57" s="1"/>
  <c r="JO47" i="55"/>
  <c r="JN47" i="55"/>
  <c r="JM47" i="55"/>
  <c r="JL47" i="55"/>
  <c r="JK47" i="55"/>
  <c r="JJ47" i="55"/>
  <c r="JI47" i="55"/>
  <c r="JH47" i="55"/>
  <c r="JG47" i="55"/>
  <c r="JF47" i="55"/>
  <c r="JE47" i="55"/>
  <c r="JD47" i="55"/>
  <c r="JC47" i="55"/>
  <c r="JB47" i="55"/>
  <c r="JA47" i="55"/>
  <c r="IZ47" i="55"/>
  <c r="IY47" i="55"/>
  <c r="IX47" i="55"/>
  <c r="IW47" i="55"/>
  <c r="IV47" i="55"/>
  <c r="IU47" i="55"/>
  <c r="IT47" i="55"/>
  <c r="IS47" i="55"/>
  <c r="IR47" i="55"/>
  <c r="IQ47" i="55"/>
  <c r="IP47" i="55"/>
  <c r="IO47" i="55"/>
  <c r="IN47" i="55"/>
  <c r="IM47" i="55"/>
  <c r="IL47" i="55"/>
  <c r="IK47" i="55"/>
  <c r="IJ47" i="55"/>
  <c r="II47" i="55"/>
  <c r="IH47" i="55"/>
  <c r="IG47" i="55"/>
  <c r="IF47" i="55"/>
  <c r="IE47" i="55"/>
  <c r="ID47" i="55"/>
  <c r="IC47" i="55"/>
  <c r="IB47" i="55"/>
  <c r="IA47" i="55"/>
  <c r="HZ47" i="55"/>
  <c r="HY47" i="55"/>
  <c r="HX47" i="55"/>
  <c r="HW47" i="55"/>
  <c r="HV47" i="55"/>
  <c r="HU47" i="55"/>
  <c r="HT47" i="55"/>
  <c r="HS47" i="55"/>
  <c r="HR47" i="55"/>
  <c r="HQ47" i="55"/>
  <c r="HP47" i="55"/>
  <c r="HO47" i="55"/>
  <c r="HN47" i="55"/>
  <c r="HM47" i="55"/>
  <c r="HK47" i="55"/>
  <c r="HI47" i="55"/>
  <c r="HH47" i="55"/>
  <c r="HG47" i="55"/>
  <c r="HF47" i="55"/>
  <c r="HE47" i="55"/>
  <c r="HD47" i="55"/>
  <c r="HC47" i="55"/>
  <c r="HA47" i="55"/>
  <c r="GZ47" i="55"/>
  <c r="GY47" i="55"/>
  <c r="GX47" i="55"/>
  <c r="GW47" i="55"/>
  <c r="GV47" i="55"/>
  <c r="GU47" i="55"/>
  <c r="GT47" i="55"/>
  <c r="GS47" i="55"/>
  <c r="GR47" i="55"/>
  <c r="GQ47" i="55"/>
  <c r="GP47" i="55"/>
  <c r="GO47" i="55"/>
  <c r="GN47" i="55"/>
  <c r="GM47" i="55"/>
  <c r="GL47" i="55"/>
  <c r="GJ47" i="55"/>
  <c r="GI47" i="55"/>
  <c r="GH47" i="55"/>
  <c r="GG47" i="55"/>
  <c r="GF47" i="55"/>
  <c r="GE47" i="55"/>
  <c r="GD47" i="55"/>
  <c r="GC47" i="55"/>
  <c r="GB47" i="55"/>
  <c r="GA47" i="55"/>
  <c r="FZ47" i="55"/>
  <c r="FY47" i="55"/>
  <c r="FW47" i="55"/>
  <c r="FV47" i="55"/>
  <c r="FU47" i="55"/>
  <c r="FT47" i="55"/>
  <c r="BD47" i="55"/>
  <c r="F47" i="57" s="1"/>
  <c r="AD47" i="55"/>
  <c r="AA47" i="55"/>
  <c r="Z47" i="55"/>
  <c r="Y47" i="55"/>
  <c r="X47" i="55"/>
  <c r="W47" i="55"/>
  <c r="V47" i="55"/>
  <c r="U47" i="55"/>
  <c r="T47" i="55"/>
  <c r="S47" i="55"/>
  <c r="R47" i="55"/>
  <c r="Q47" i="55"/>
  <c r="P47" i="55"/>
  <c r="O47" i="55"/>
  <c r="N47" i="55"/>
  <c r="L47" i="55"/>
  <c r="BV47" i="55" s="1"/>
  <c r="X47" i="57" s="1"/>
  <c r="K47" i="55"/>
  <c r="J47" i="55"/>
  <c r="BT47" i="55" s="1"/>
  <c r="V47" i="57" s="1"/>
  <c r="G47" i="55"/>
  <c r="BQ47" i="55" s="1"/>
  <c r="S47" i="57" s="1"/>
  <c r="F47" i="55"/>
  <c r="BP47" i="55" s="1"/>
  <c r="R47" i="57" s="1"/>
  <c r="E47" i="55"/>
  <c r="AU47" i="55" s="1"/>
  <c r="D47" i="55"/>
  <c r="BN47" i="55" s="1"/>
  <c r="P47" i="57" s="1"/>
  <c r="B47" i="55"/>
  <c r="AG47" i="55" s="1"/>
  <c r="B47" i="57" s="1"/>
  <c r="A47" i="55"/>
  <c r="AF47" i="55" s="1"/>
  <c r="A47" i="57" s="1"/>
  <c r="JO46" i="55"/>
  <c r="JN46" i="55"/>
  <c r="JM46" i="55"/>
  <c r="JL46" i="55"/>
  <c r="JK46" i="55"/>
  <c r="JJ46" i="55"/>
  <c r="JI46" i="55"/>
  <c r="JH46" i="55"/>
  <c r="JG46" i="55"/>
  <c r="JF46" i="55"/>
  <c r="JE46" i="55"/>
  <c r="JD46" i="55"/>
  <c r="JC46" i="55"/>
  <c r="JB46" i="55"/>
  <c r="JA46" i="55"/>
  <c r="IZ46" i="55"/>
  <c r="IY46" i="55"/>
  <c r="IX46" i="55"/>
  <c r="IW46" i="55"/>
  <c r="IV46" i="55"/>
  <c r="IU46" i="55"/>
  <c r="IT46" i="55"/>
  <c r="IS46" i="55"/>
  <c r="IR46" i="55"/>
  <c r="IQ46" i="55"/>
  <c r="IP46" i="55"/>
  <c r="IO46" i="55"/>
  <c r="IN46" i="55"/>
  <c r="IM46" i="55"/>
  <c r="IL46" i="55"/>
  <c r="IK46" i="55"/>
  <c r="IJ46" i="55"/>
  <c r="II46" i="55"/>
  <c r="IH46" i="55"/>
  <c r="IG46" i="55"/>
  <c r="IF46" i="55"/>
  <c r="IE46" i="55"/>
  <c r="ID46" i="55"/>
  <c r="IC46" i="55"/>
  <c r="IB46" i="55"/>
  <c r="IA46" i="55"/>
  <c r="HZ46" i="55"/>
  <c r="HY46" i="55"/>
  <c r="HX46" i="55"/>
  <c r="HW46" i="55"/>
  <c r="HV46" i="55"/>
  <c r="HU46" i="55"/>
  <c r="HT46" i="55"/>
  <c r="HS46" i="55"/>
  <c r="HR46" i="55"/>
  <c r="HQ46" i="55"/>
  <c r="HP46" i="55"/>
  <c r="HO46" i="55"/>
  <c r="HN46" i="55"/>
  <c r="HM46" i="55"/>
  <c r="HL46" i="55"/>
  <c r="HJ46" i="55"/>
  <c r="HI46" i="55"/>
  <c r="HH46" i="55"/>
  <c r="HG46" i="55"/>
  <c r="HF46" i="55"/>
  <c r="HE46" i="55"/>
  <c r="HD46" i="55"/>
  <c r="HC46" i="55"/>
  <c r="HB46" i="55"/>
  <c r="HA46" i="55"/>
  <c r="GZ46" i="55"/>
  <c r="GY46" i="55"/>
  <c r="GX46" i="55"/>
  <c r="GW46" i="55"/>
  <c r="GV46" i="55"/>
  <c r="GU46" i="55"/>
  <c r="GT46" i="55"/>
  <c r="GS46" i="55"/>
  <c r="GR46" i="55"/>
  <c r="GQ46" i="55"/>
  <c r="GP46" i="55"/>
  <c r="GO46" i="55"/>
  <c r="GN46" i="55"/>
  <c r="GM46" i="55"/>
  <c r="GL46" i="55"/>
  <c r="GK46" i="55"/>
  <c r="GJ46" i="55"/>
  <c r="GI46" i="55"/>
  <c r="GH46" i="55"/>
  <c r="GG46" i="55"/>
  <c r="GF46" i="55"/>
  <c r="GE46" i="55"/>
  <c r="GD46" i="55"/>
  <c r="GC46" i="55"/>
  <c r="GB46" i="55"/>
  <c r="GA46" i="55"/>
  <c r="FZ46" i="55"/>
  <c r="FY46" i="55"/>
  <c r="FX46" i="55"/>
  <c r="FW46" i="55"/>
  <c r="FV46" i="55"/>
  <c r="FU46" i="55"/>
  <c r="FT46" i="55"/>
  <c r="AD46" i="55"/>
  <c r="AA46" i="55"/>
  <c r="Z46" i="55"/>
  <c r="Y46" i="55"/>
  <c r="X46" i="55"/>
  <c r="W46" i="55"/>
  <c r="V46" i="55"/>
  <c r="U46" i="55"/>
  <c r="T46" i="55"/>
  <c r="S46" i="55"/>
  <c r="R46" i="55"/>
  <c r="Q46" i="55"/>
  <c r="P46" i="55"/>
  <c r="O46" i="55"/>
  <c r="N46" i="55"/>
  <c r="L46" i="55"/>
  <c r="BB46" i="55" s="1"/>
  <c r="K46" i="55"/>
  <c r="BU46" i="55" s="1"/>
  <c r="W46" i="57" s="1"/>
  <c r="J46" i="55"/>
  <c r="AZ46" i="55" s="1"/>
  <c r="G46" i="55"/>
  <c r="BQ46" i="55" s="1"/>
  <c r="S46" i="57" s="1"/>
  <c r="F46" i="55"/>
  <c r="BF46" i="55" s="1"/>
  <c r="H46" i="57" s="1"/>
  <c r="E46" i="55"/>
  <c r="BO46" i="55" s="1"/>
  <c r="Q46" i="57" s="1"/>
  <c r="D46" i="55"/>
  <c r="AT46" i="55" s="1"/>
  <c r="B46" i="55"/>
  <c r="AG46" i="55" s="1"/>
  <c r="B46" i="57" s="1"/>
  <c r="A46" i="55"/>
  <c r="AF46" i="55" s="1"/>
  <c r="A46" i="57" s="1"/>
  <c r="JO45" i="55"/>
  <c r="JN45" i="55"/>
  <c r="JM45" i="55"/>
  <c r="JL45" i="55"/>
  <c r="JK45" i="55"/>
  <c r="JJ45" i="55"/>
  <c r="JI45" i="55"/>
  <c r="JH45" i="55"/>
  <c r="JG45" i="55"/>
  <c r="JF45" i="55"/>
  <c r="JE45" i="55"/>
  <c r="JD45" i="55"/>
  <c r="JC45" i="55"/>
  <c r="JB45" i="55"/>
  <c r="JA45" i="55"/>
  <c r="IZ45" i="55"/>
  <c r="IY45" i="55"/>
  <c r="IX45" i="55"/>
  <c r="IW45" i="55"/>
  <c r="IV45" i="55"/>
  <c r="IU45" i="55"/>
  <c r="IT45" i="55"/>
  <c r="IS45" i="55"/>
  <c r="IR45" i="55"/>
  <c r="IQ45" i="55"/>
  <c r="IP45" i="55"/>
  <c r="IO45" i="55"/>
  <c r="IN45" i="55"/>
  <c r="IM45" i="55"/>
  <c r="IL45" i="55"/>
  <c r="IK45" i="55"/>
  <c r="IJ45" i="55"/>
  <c r="II45" i="55"/>
  <c r="IH45" i="55"/>
  <c r="IG45" i="55"/>
  <c r="IF45" i="55"/>
  <c r="IE45" i="55"/>
  <c r="ID45" i="55"/>
  <c r="IC45" i="55"/>
  <c r="IB45" i="55"/>
  <c r="IA45" i="55"/>
  <c r="HZ45" i="55"/>
  <c r="HY45" i="55"/>
  <c r="HX45" i="55"/>
  <c r="HW45" i="55"/>
  <c r="HV45" i="55"/>
  <c r="HU45" i="55"/>
  <c r="HT45" i="55"/>
  <c r="HS45" i="55"/>
  <c r="HR45" i="55"/>
  <c r="HQ45" i="55"/>
  <c r="HP45" i="55"/>
  <c r="HO45" i="55"/>
  <c r="HN45" i="55"/>
  <c r="HM45" i="55"/>
  <c r="HL45" i="55"/>
  <c r="HI45" i="55"/>
  <c r="HH45" i="55"/>
  <c r="HG45" i="55"/>
  <c r="HF45" i="55"/>
  <c r="HE45" i="55"/>
  <c r="HD45" i="55"/>
  <c r="HC45" i="55"/>
  <c r="HB45" i="55"/>
  <c r="HA45" i="55"/>
  <c r="GZ45" i="55"/>
  <c r="GY45" i="55"/>
  <c r="GX45" i="55"/>
  <c r="GW45" i="55"/>
  <c r="GV45" i="55"/>
  <c r="GU45" i="55"/>
  <c r="GT45" i="55"/>
  <c r="GS45" i="55"/>
  <c r="GR45" i="55"/>
  <c r="GQ45" i="55"/>
  <c r="GP45" i="55"/>
  <c r="GO45" i="55"/>
  <c r="GN45" i="55"/>
  <c r="GM45" i="55"/>
  <c r="GL45" i="55"/>
  <c r="GK45" i="55"/>
  <c r="GJ45" i="55"/>
  <c r="GI45" i="55"/>
  <c r="GH45" i="55"/>
  <c r="GG45" i="55"/>
  <c r="GF45" i="55"/>
  <c r="GE45" i="55"/>
  <c r="GD45" i="55"/>
  <c r="GC45" i="55"/>
  <c r="GB45" i="55"/>
  <c r="GA45" i="55"/>
  <c r="FZ45" i="55"/>
  <c r="FY45" i="55"/>
  <c r="FX45" i="55"/>
  <c r="FW45" i="55"/>
  <c r="FV45" i="55"/>
  <c r="FU45" i="55"/>
  <c r="FT45" i="55"/>
  <c r="AD45" i="55"/>
  <c r="AA45" i="55"/>
  <c r="Z45" i="55"/>
  <c r="Y45" i="55"/>
  <c r="X45" i="55"/>
  <c r="W45" i="55"/>
  <c r="V45" i="55"/>
  <c r="U45" i="55"/>
  <c r="T45" i="55"/>
  <c r="S45" i="55"/>
  <c r="R45" i="55"/>
  <c r="Q45" i="55"/>
  <c r="P45" i="55"/>
  <c r="O45" i="55"/>
  <c r="N45" i="55"/>
  <c r="L45" i="55"/>
  <c r="BB45" i="55" s="1"/>
  <c r="K45" i="55"/>
  <c r="BK45" i="55" s="1"/>
  <c r="M45" i="57" s="1"/>
  <c r="J45" i="55"/>
  <c r="BT45" i="55" s="1"/>
  <c r="V45" i="57" s="1"/>
  <c r="G45" i="55"/>
  <c r="BQ45" i="55" s="1"/>
  <c r="S45" i="57" s="1"/>
  <c r="F45" i="55"/>
  <c r="BP45" i="55" s="1"/>
  <c r="R45" i="57" s="1"/>
  <c r="E45" i="55"/>
  <c r="AU45" i="55" s="1"/>
  <c r="D45" i="55"/>
  <c r="AT45" i="55" s="1"/>
  <c r="B45" i="55"/>
  <c r="AG45" i="55" s="1"/>
  <c r="B45" i="57" s="1"/>
  <c r="A45" i="55"/>
  <c r="AF45" i="55" s="1"/>
  <c r="A45" i="57" s="1"/>
  <c r="JO44" i="55"/>
  <c r="JN44" i="55"/>
  <c r="JM44" i="55"/>
  <c r="JL44" i="55"/>
  <c r="JK44" i="55"/>
  <c r="JJ44" i="55"/>
  <c r="JI44" i="55"/>
  <c r="JH44" i="55"/>
  <c r="JG44" i="55"/>
  <c r="JF44" i="55"/>
  <c r="JE44" i="55"/>
  <c r="JD44" i="55"/>
  <c r="JC44" i="55"/>
  <c r="JB44" i="55"/>
  <c r="JA44" i="55"/>
  <c r="IZ44" i="55"/>
  <c r="IY44" i="55"/>
  <c r="IX44" i="55"/>
  <c r="IW44" i="55"/>
  <c r="IV44" i="55"/>
  <c r="IU44" i="55"/>
  <c r="IT44" i="55"/>
  <c r="IS44" i="55"/>
  <c r="IR44" i="55"/>
  <c r="IQ44" i="55"/>
  <c r="IP44" i="55"/>
  <c r="IO44" i="55"/>
  <c r="IN44" i="55"/>
  <c r="IM44" i="55"/>
  <c r="IL44" i="55"/>
  <c r="IK44" i="55"/>
  <c r="IJ44" i="55"/>
  <c r="II44" i="55"/>
  <c r="IH44" i="55"/>
  <c r="IG44" i="55"/>
  <c r="IF44" i="55"/>
  <c r="IE44" i="55"/>
  <c r="ID44" i="55"/>
  <c r="IC44" i="55"/>
  <c r="IB44" i="55"/>
  <c r="IA44" i="55"/>
  <c r="HZ44" i="55"/>
  <c r="HY44" i="55"/>
  <c r="HX44" i="55"/>
  <c r="HW44" i="55"/>
  <c r="HV44" i="55"/>
  <c r="HU44" i="55"/>
  <c r="HT44" i="55"/>
  <c r="HS44" i="55"/>
  <c r="HR44" i="55"/>
  <c r="HQ44" i="55"/>
  <c r="HP44" i="55"/>
  <c r="HO44" i="55"/>
  <c r="HN44" i="55"/>
  <c r="HM44" i="55"/>
  <c r="HL44" i="55"/>
  <c r="HI44" i="55"/>
  <c r="HH44" i="55"/>
  <c r="HG44" i="55"/>
  <c r="HF44" i="55"/>
  <c r="HE44" i="55"/>
  <c r="HD44" i="55"/>
  <c r="HC44" i="55"/>
  <c r="HB44" i="55"/>
  <c r="HA44" i="55"/>
  <c r="GZ44" i="55"/>
  <c r="GY44" i="55"/>
  <c r="GX44" i="55"/>
  <c r="GW44" i="55"/>
  <c r="GV44" i="55"/>
  <c r="GU44" i="55"/>
  <c r="GT44" i="55"/>
  <c r="GS44" i="55"/>
  <c r="GR44" i="55"/>
  <c r="GQ44" i="55"/>
  <c r="GP44" i="55"/>
  <c r="GO44" i="55"/>
  <c r="GN44" i="55"/>
  <c r="GM44" i="55"/>
  <c r="GK44" i="55"/>
  <c r="GJ44" i="55"/>
  <c r="GI44" i="55"/>
  <c r="GH44" i="55"/>
  <c r="GG44" i="55"/>
  <c r="GF44" i="55"/>
  <c r="GE44" i="55"/>
  <c r="GD44" i="55"/>
  <c r="GC44" i="55"/>
  <c r="GB44" i="55"/>
  <c r="GA44" i="55"/>
  <c r="FZ44" i="55"/>
  <c r="FY44" i="55"/>
  <c r="FW44" i="55"/>
  <c r="FV44" i="55"/>
  <c r="FU44" i="55"/>
  <c r="FT44" i="55"/>
  <c r="AW44" i="55"/>
  <c r="AD44" i="55"/>
  <c r="AA44" i="55"/>
  <c r="Z44" i="55"/>
  <c r="Y44" i="55"/>
  <c r="X44" i="55"/>
  <c r="W44" i="55"/>
  <c r="V44" i="55"/>
  <c r="U44" i="55"/>
  <c r="T44" i="55"/>
  <c r="S44" i="55"/>
  <c r="R44" i="55"/>
  <c r="Q44" i="55"/>
  <c r="P44" i="55"/>
  <c r="O44" i="55"/>
  <c r="N44" i="55"/>
  <c r="L44" i="55"/>
  <c r="BL44" i="55" s="1"/>
  <c r="N44" i="57" s="1"/>
  <c r="K44" i="55"/>
  <c r="BU44" i="55" s="1"/>
  <c r="W44" i="57" s="1"/>
  <c r="J44" i="55"/>
  <c r="BT44" i="55" s="1"/>
  <c r="V44" i="57" s="1"/>
  <c r="G44" i="55"/>
  <c r="BQ44" i="55" s="1"/>
  <c r="S44" i="57" s="1"/>
  <c r="F44" i="55"/>
  <c r="AV44" i="55" s="1"/>
  <c r="E44" i="55"/>
  <c r="AU44" i="55" s="1"/>
  <c r="D44" i="55"/>
  <c r="BD44" i="55" s="1"/>
  <c r="F44" i="57" s="1"/>
  <c r="B44" i="55"/>
  <c r="AG44" i="55" s="1"/>
  <c r="B44" i="57" s="1"/>
  <c r="A44" i="55"/>
  <c r="AF44" i="55" s="1"/>
  <c r="A44" i="57" s="1"/>
  <c r="JO43" i="55"/>
  <c r="JN43" i="55"/>
  <c r="JM43" i="55"/>
  <c r="JL43" i="55"/>
  <c r="JK43" i="55"/>
  <c r="JJ43" i="55"/>
  <c r="JI43" i="55"/>
  <c r="JH43" i="55"/>
  <c r="JG43" i="55"/>
  <c r="JF43" i="55"/>
  <c r="JE43" i="55"/>
  <c r="JD43" i="55"/>
  <c r="JC43" i="55"/>
  <c r="JB43" i="55"/>
  <c r="JA43" i="55"/>
  <c r="IZ43" i="55"/>
  <c r="IY43" i="55"/>
  <c r="IX43" i="55"/>
  <c r="IW43" i="55"/>
  <c r="IV43" i="55"/>
  <c r="IU43" i="55"/>
  <c r="IT43" i="55"/>
  <c r="IS43" i="55"/>
  <c r="IR43" i="55"/>
  <c r="IQ43" i="55"/>
  <c r="IP43" i="55"/>
  <c r="IO43" i="55"/>
  <c r="IN43" i="55"/>
  <c r="IM43" i="55"/>
  <c r="IL43" i="55"/>
  <c r="IK43" i="55"/>
  <c r="IJ43" i="55"/>
  <c r="II43" i="55"/>
  <c r="IH43" i="55"/>
  <c r="IG43" i="55"/>
  <c r="IF43" i="55"/>
  <c r="IE43" i="55"/>
  <c r="ID43" i="55"/>
  <c r="IC43" i="55"/>
  <c r="IB43" i="55"/>
  <c r="IA43" i="55"/>
  <c r="HZ43" i="55"/>
  <c r="HY43" i="55"/>
  <c r="HX43" i="55"/>
  <c r="HW43" i="55"/>
  <c r="HV43" i="55"/>
  <c r="HU43" i="55"/>
  <c r="HT43" i="55"/>
  <c r="HS43" i="55"/>
  <c r="HR43" i="55"/>
  <c r="HQ43" i="55"/>
  <c r="HP43" i="55"/>
  <c r="HN43" i="55"/>
  <c r="HM43" i="55"/>
  <c r="HL43" i="55"/>
  <c r="HI43" i="55"/>
  <c r="HH43" i="55"/>
  <c r="HG43" i="55"/>
  <c r="HF43" i="55"/>
  <c r="HE43" i="55"/>
  <c r="HD43" i="55"/>
  <c r="HC43" i="55"/>
  <c r="HB43" i="55"/>
  <c r="HA43" i="55"/>
  <c r="GZ43" i="55"/>
  <c r="GY43" i="55"/>
  <c r="GX43" i="55"/>
  <c r="GW43" i="55"/>
  <c r="GV43" i="55"/>
  <c r="GU43" i="55"/>
  <c r="GT43" i="55"/>
  <c r="GS43" i="55"/>
  <c r="GR43" i="55"/>
  <c r="GQ43" i="55"/>
  <c r="GP43" i="55"/>
  <c r="GO43" i="55"/>
  <c r="GN43" i="55"/>
  <c r="GM43" i="55"/>
  <c r="GK43" i="55"/>
  <c r="GI43" i="55"/>
  <c r="GH43" i="55"/>
  <c r="GG43" i="55"/>
  <c r="GF43" i="55"/>
  <c r="GE43" i="55"/>
  <c r="GD43" i="55"/>
  <c r="GC43" i="55"/>
  <c r="GB43" i="55"/>
  <c r="GA43" i="55"/>
  <c r="FZ43" i="55"/>
  <c r="FY43" i="55"/>
  <c r="FW43" i="55"/>
  <c r="FV43" i="55"/>
  <c r="FU43" i="55"/>
  <c r="FT43" i="55"/>
  <c r="AD43" i="55"/>
  <c r="AA43" i="55"/>
  <c r="Z43" i="55"/>
  <c r="Y43" i="55"/>
  <c r="X43" i="55"/>
  <c r="W43" i="55"/>
  <c r="V43" i="55"/>
  <c r="U43" i="55"/>
  <c r="T43" i="55"/>
  <c r="S43" i="55"/>
  <c r="R43" i="55"/>
  <c r="Q43" i="55"/>
  <c r="P43" i="55"/>
  <c r="O43" i="55"/>
  <c r="N43" i="55"/>
  <c r="L43" i="55"/>
  <c r="BB43" i="55" s="1"/>
  <c r="K43" i="55"/>
  <c r="BU43" i="55" s="1"/>
  <c r="W43" i="57" s="1"/>
  <c r="J43" i="55"/>
  <c r="BJ43" i="55" s="1"/>
  <c r="L43" i="57" s="1"/>
  <c r="G43" i="55"/>
  <c r="AW43" i="55" s="1"/>
  <c r="F43" i="55"/>
  <c r="BP43" i="55" s="1"/>
  <c r="R43" i="57" s="1"/>
  <c r="E43" i="55"/>
  <c r="BE43" i="55" s="1"/>
  <c r="G43" i="57" s="1"/>
  <c r="D43" i="55"/>
  <c r="AT43" i="55" s="1"/>
  <c r="B43" i="55"/>
  <c r="AG43" i="55" s="1"/>
  <c r="B43" i="57" s="1"/>
  <c r="A43" i="55"/>
  <c r="AF43" i="55" s="1"/>
  <c r="A43" i="57" s="1"/>
  <c r="JO42" i="55"/>
  <c r="JN42" i="55"/>
  <c r="JM42" i="55"/>
  <c r="JL42" i="55"/>
  <c r="JK42" i="55"/>
  <c r="JJ42" i="55"/>
  <c r="JI42" i="55"/>
  <c r="JH42" i="55"/>
  <c r="JG42" i="55"/>
  <c r="JF42" i="55"/>
  <c r="JE42" i="55"/>
  <c r="JD42" i="55"/>
  <c r="JC42" i="55"/>
  <c r="JB42" i="55"/>
  <c r="JA42" i="55"/>
  <c r="IZ42" i="55"/>
  <c r="IY42" i="55"/>
  <c r="IX42" i="55"/>
  <c r="IW42" i="55"/>
  <c r="IV42" i="55"/>
  <c r="IU42" i="55"/>
  <c r="IT42" i="55"/>
  <c r="IS42" i="55"/>
  <c r="IR42" i="55"/>
  <c r="IQ42" i="55"/>
  <c r="IP42" i="55"/>
  <c r="IO42" i="55"/>
  <c r="IN42" i="55"/>
  <c r="IM42" i="55"/>
  <c r="IL42" i="55"/>
  <c r="IK42" i="55"/>
  <c r="IJ42" i="55"/>
  <c r="II42" i="55"/>
  <c r="IH42" i="55"/>
  <c r="IG42" i="55"/>
  <c r="IF42" i="55"/>
  <c r="IE42" i="55"/>
  <c r="ID42" i="55"/>
  <c r="IC42" i="55"/>
  <c r="IB42" i="55"/>
  <c r="IA42" i="55"/>
  <c r="HZ42" i="55"/>
  <c r="HY42" i="55"/>
  <c r="HX42" i="55"/>
  <c r="HW42" i="55"/>
  <c r="HV42" i="55"/>
  <c r="HU42" i="55"/>
  <c r="HT42" i="55"/>
  <c r="HS42" i="55"/>
  <c r="HR42" i="55"/>
  <c r="HQ42" i="55"/>
  <c r="HP42" i="55"/>
  <c r="HO42" i="55"/>
  <c r="HN42" i="55"/>
  <c r="HM42" i="55"/>
  <c r="HL42" i="55"/>
  <c r="HI42" i="55"/>
  <c r="HH42" i="55"/>
  <c r="HF42" i="55"/>
  <c r="HE42" i="55"/>
  <c r="HD42" i="55"/>
  <c r="HC42" i="55"/>
  <c r="HB42" i="55"/>
  <c r="HA42" i="55"/>
  <c r="GY42" i="55"/>
  <c r="GX42" i="55"/>
  <c r="GW42" i="55"/>
  <c r="GV42" i="55"/>
  <c r="GU42" i="55"/>
  <c r="GT42" i="55"/>
  <c r="GS42" i="55"/>
  <c r="GR42" i="55"/>
  <c r="GQ42" i="55"/>
  <c r="GP42" i="55"/>
  <c r="GO42" i="55"/>
  <c r="GN42" i="55"/>
  <c r="GM42" i="55"/>
  <c r="GL42" i="55"/>
  <c r="GK42" i="55"/>
  <c r="GI42" i="55"/>
  <c r="GH42" i="55"/>
  <c r="GG42" i="55"/>
  <c r="GF42" i="55"/>
  <c r="GE42" i="55"/>
  <c r="GD42" i="55"/>
  <c r="GC42" i="55"/>
  <c r="GB42" i="55"/>
  <c r="GA42" i="55"/>
  <c r="FZ42" i="55"/>
  <c r="FY42" i="55"/>
  <c r="FW42" i="55"/>
  <c r="FV42" i="55"/>
  <c r="FU42" i="55"/>
  <c r="FT42" i="55"/>
  <c r="BQ42" i="55"/>
  <c r="S42" i="57" s="1"/>
  <c r="AD42" i="55"/>
  <c r="AA42" i="55"/>
  <c r="Z42" i="55"/>
  <c r="Y42" i="55"/>
  <c r="X42" i="55"/>
  <c r="W42" i="55"/>
  <c r="V42" i="55"/>
  <c r="U42" i="55"/>
  <c r="T42" i="55"/>
  <c r="S42" i="55"/>
  <c r="R42" i="55"/>
  <c r="Q42" i="55"/>
  <c r="P42" i="55"/>
  <c r="O42" i="55"/>
  <c r="N42" i="55"/>
  <c r="L42" i="55"/>
  <c r="BV42" i="55" s="1"/>
  <c r="X42" i="57" s="1"/>
  <c r="K42" i="55"/>
  <c r="J42" i="55"/>
  <c r="BJ42" i="55" s="1"/>
  <c r="L42" i="57" s="1"/>
  <c r="G42" i="55"/>
  <c r="AW42" i="55" s="1"/>
  <c r="F42" i="55"/>
  <c r="BF42" i="55" s="1"/>
  <c r="H42" i="57" s="1"/>
  <c r="E42" i="55"/>
  <c r="AU42" i="55" s="1"/>
  <c r="D42" i="55"/>
  <c r="BN42" i="55" s="1"/>
  <c r="P42" i="57" s="1"/>
  <c r="B42" i="55"/>
  <c r="AG42" i="55" s="1"/>
  <c r="B42" i="57" s="1"/>
  <c r="A42" i="55"/>
  <c r="AF42" i="55" s="1"/>
  <c r="A42" i="57" s="1"/>
  <c r="JO41" i="55"/>
  <c r="JN41" i="55"/>
  <c r="JM41" i="55"/>
  <c r="JL41" i="55"/>
  <c r="JK41" i="55"/>
  <c r="JJ41" i="55"/>
  <c r="JI41" i="55"/>
  <c r="JH41" i="55"/>
  <c r="JG41" i="55"/>
  <c r="JF41" i="55"/>
  <c r="JE41" i="55"/>
  <c r="JD41" i="55"/>
  <c r="JC41" i="55"/>
  <c r="JB41" i="55"/>
  <c r="JA41" i="55"/>
  <c r="IZ41" i="55"/>
  <c r="IY41" i="55"/>
  <c r="IX41" i="55"/>
  <c r="IW41" i="55"/>
  <c r="IV41" i="55"/>
  <c r="IU41" i="55"/>
  <c r="IT41" i="55"/>
  <c r="IS41" i="55"/>
  <c r="IR41" i="55"/>
  <c r="IQ41" i="55"/>
  <c r="IP41" i="55"/>
  <c r="IO41" i="55"/>
  <c r="IN41" i="55"/>
  <c r="IM41" i="55"/>
  <c r="IL41" i="55"/>
  <c r="IK41" i="55"/>
  <c r="IJ41" i="55"/>
  <c r="II41" i="55"/>
  <c r="IH41" i="55"/>
  <c r="IG41" i="55"/>
  <c r="IF41" i="55"/>
  <c r="IE41" i="55"/>
  <c r="ID41" i="55"/>
  <c r="IC41" i="55"/>
  <c r="IB41" i="55"/>
  <c r="IA41" i="55"/>
  <c r="HZ41" i="55"/>
  <c r="HY41" i="55"/>
  <c r="HX41" i="55"/>
  <c r="HW41" i="55"/>
  <c r="HV41" i="55"/>
  <c r="HU41" i="55"/>
  <c r="HT41" i="55"/>
  <c r="HS41" i="55"/>
  <c r="HR41" i="55"/>
  <c r="HQ41" i="55"/>
  <c r="HP41" i="55"/>
  <c r="HO41" i="55"/>
  <c r="HN41" i="55"/>
  <c r="HM41" i="55"/>
  <c r="HL41" i="55"/>
  <c r="HJ41" i="55"/>
  <c r="HI41" i="55"/>
  <c r="HH41" i="55"/>
  <c r="HG41" i="55"/>
  <c r="HE41" i="55"/>
  <c r="HD41" i="55"/>
  <c r="HC41" i="55"/>
  <c r="HB41" i="55"/>
  <c r="HA41" i="55"/>
  <c r="GZ41" i="55"/>
  <c r="GY41" i="55"/>
  <c r="GX41" i="55"/>
  <c r="GW41" i="55"/>
  <c r="GV41" i="55"/>
  <c r="GU41" i="55"/>
  <c r="GT41" i="55"/>
  <c r="GS41" i="55"/>
  <c r="GR41" i="55"/>
  <c r="GQ41" i="55"/>
  <c r="GP41" i="55"/>
  <c r="GO41" i="55"/>
  <c r="GN41" i="55"/>
  <c r="GM41" i="55"/>
  <c r="GL41" i="55"/>
  <c r="GK41" i="55"/>
  <c r="GJ41" i="55"/>
  <c r="GI41" i="55"/>
  <c r="GH41" i="55"/>
  <c r="GF41" i="55"/>
  <c r="GE41" i="55"/>
  <c r="GD41" i="55"/>
  <c r="GC41" i="55"/>
  <c r="GB41" i="55"/>
  <c r="GA41" i="55"/>
  <c r="FZ41" i="55"/>
  <c r="FY41" i="55"/>
  <c r="FW41" i="55"/>
  <c r="FV41" i="55"/>
  <c r="FU41" i="55"/>
  <c r="FT41" i="55"/>
  <c r="AD41" i="55"/>
  <c r="AA41" i="55"/>
  <c r="Z41" i="55"/>
  <c r="Y41" i="55"/>
  <c r="X41" i="55"/>
  <c r="W41" i="55"/>
  <c r="V41" i="55"/>
  <c r="U41" i="55"/>
  <c r="T41" i="55"/>
  <c r="S41" i="55"/>
  <c r="R41" i="55"/>
  <c r="Q41" i="55"/>
  <c r="P41" i="55"/>
  <c r="O41" i="55"/>
  <c r="N41" i="55"/>
  <c r="L41" i="55"/>
  <c r="BL41" i="55" s="1"/>
  <c r="N41" i="57" s="1"/>
  <c r="K41" i="55"/>
  <c r="J41" i="55"/>
  <c r="BT41" i="55" s="1"/>
  <c r="V41" i="57" s="1"/>
  <c r="G41" i="55"/>
  <c r="BG41" i="55" s="1"/>
  <c r="I41" i="57" s="1"/>
  <c r="F41" i="55"/>
  <c r="AV41" i="55" s="1"/>
  <c r="E41" i="55"/>
  <c r="BO41" i="55" s="1"/>
  <c r="Q41" i="57" s="1"/>
  <c r="D41" i="55"/>
  <c r="BD41" i="55" s="1"/>
  <c r="F41" i="57" s="1"/>
  <c r="B41" i="55"/>
  <c r="AG41" i="55" s="1"/>
  <c r="B41" i="57" s="1"/>
  <c r="A41" i="55"/>
  <c r="AF41" i="55" s="1"/>
  <c r="A41" i="57" s="1"/>
  <c r="JO40" i="55"/>
  <c r="JN40" i="55"/>
  <c r="JM40" i="55"/>
  <c r="JL40" i="55"/>
  <c r="JK40" i="55"/>
  <c r="JJ40" i="55"/>
  <c r="JI40" i="55"/>
  <c r="JH40" i="55"/>
  <c r="JG40" i="55"/>
  <c r="JF40" i="55"/>
  <c r="JE40" i="55"/>
  <c r="JD40" i="55"/>
  <c r="JC40" i="55"/>
  <c r="JB40" i="55"/>
  <c r="JA40" i="55"/>
  <c r="IZ40" i="55"/>
  <c r="IY40" i="55"/>
  <c r="IX40" i="55"/>
  <c r="IW40" i="55"/>
  <c r="IV40" i="55"/>
  <c r="IU40" i="55"/>
  <c r="IT40" i="55"/>
  <c r="IS40" i="55"/>
  <c r="IR40" i="55"/>
  <c r="IQ40" i="55"/>
  <c r="IP40" i="55"/>
  <c r="IO40" i="55"/>
  <c r="IN40" i="55"/>
  <c r="IM40" i="55"/>
  <c r="IL40" i="55"/>
  <c r="IK40" i="55"/>
  <c r="IJ40" i="55"/>
  <c r="II40" i="55"/>
  <c r="IH40" i="55"/>
  <c r="IG40" i="55"/>
  <c r="IF40" i="55"/>
  <c r="IE40" i="55"/>
  <c r="ID40" i="55"/>
  <c r="IC40" i="55"/>
  <c r="IB40" i="55"/>
  <c r="IA40" i="55"/>
  <c r="HZ40" i="55"/>
  <c r="HY40" i="55"/>
  <c r="HX40" i="55"/>
  <c r="HW40" i="55"/>
  <c r="HV40" i="55"/>
  <c r="HU40" i="55"/>
  <c r="HT40" i="55"/>
  <c r="HS40" i="55"/>
  <c r="HR40" i="55"/>
  <c r="HQ40" i="55"/>
  <c r="HP40" i="55"/>
  <c r="HO40" i="55"/>
  <c r="HN40" i="55"/>
  <c r="HM40" i="55"/>
  <c r="HL40" i="55"/>
  <c r="HI40" i="55"/>
  <c r="HH40" i="55"/>
  <c r="HG40" i="55"/>
  <c r="HF40" i="55"/>
  <c r="HE40" i="55"/>
  <c r="HD40" i="55"/>
  <c r="HC40" i="55"/>
  <c r="HB40" i="55"/>
  <c r="HA40" i="55"/>
  <c r="GZ40" i="55"/>
  <c r="GY40" i="55"/>
  <c r="GX40" i="55"/>
  <c r="GW40" i="55"/>
  <c r="GV40" i="55"/>
  <c r="GU40" i="55"/>
  <c r="GT40" i="55"/>
  <c r="GS40" i="55"/>
  <c r="GR40" i="55"/>
  <c r="GQ40" i="55"/>
  <c r="GP40" i="55"/>
  <c r="GO40" i="55"/>
  <c r="GN40" i="55"/>
  <c r="GM40" i="55"/>
  <c r="GL40" i="55"/>
  <c r="GK40" i="55"/>
  <c r="GI40" i="55"/>
  <c r="GH40" i="55"/>
  <c r="GG40" i="55"/>
  <c r="GF40" i="55"/>
  <c r="GE40" i="55"/>
  <c r="GD40" i="55"/>
  <c r="GC40" i="55"/>
  <c r="GB40" i="55"/>
  <c r="GA40" i="55"/>
  <c r="FZ40" i="55"/>
  <c r="FY40" i="55"/>
  <c r="FW40" i="55"/>
  <c r="FV40" i="55"/>
  <c r="FU40" i="55"/>
  <c r="AD40" i="55"/>
  <c r="AA40" i="55"/>
  <c r="Z40" i="55"/>
  <c r="Y40" i="55"/>
  <c r="X40" i="55"/>
  <c r="W40" i="55"/>
  <c r="V40" i="55"/>
  <c r="U40" i="55"/>
  <c r="T40" i="55"/>
  <c r="S40" i="55"/>
  <c r="R40" i="55"/>
  <c r="Q40" i="55"/>
  <c r="P40" i="55"/>
  <c r="O40" i="55"/>
  <c r="N40" i="55"/>
  <c r="L40" i="55"/>
  <c r="K40" i="55"/>
  <c r="BU40" i="55" s="1"/>
  <c r="W40" i="57" s="1"/>
  <c r="J40" i="55"/>
  <c r="BT40" i="55" s="1"/>
  <c r="V40" i="57" s="1"/>
  <c r="G40" i="55"/>
  <c r="BQ40" i="55" s="1"/>
  <c r="S40" i="57" s="1"/>
  <c r="F40" i="55"/>
  <c r="AV40" i="55" s="1"/>
  <c r="E40" i="55"/>
  <c r="BO40" i="55" s="1"/>
  <c r="Q40" i="57" s="1"/>
  <c r="D40" i="55"/>
  <c r="B40" i="55"/>
  <c r="AG40" i="55" s="1"/>
  <c r="B40" i="57" s="1"/>
  <c r="A40" i="55"/>
  <c r="AF40" i="55" s="1"/>
  <c r="A40" i="57" s="1"/>
  <c r="JO39" i="55"/>
  <c r="JN39" i="55"/>
  <c r="JM39" i="55"/>
  <c r="JL39" i="55"/>
  <c r="JK39" i="55"/>
  <c r="JJ39" i="55"/>
  <c r="JI39" i="55"/>
  <c r="JH39" i="55"/>
  <c r="JG39" i="55"/>
  <c r="JF39" i="55"/>
  <c r="JE39" i="55"/>
  <c r="JD39" i="55"/>
  <c r="JC39" i="55"/>
  <c r="JB39" i="55"/>
  <c r="JA39" i="55"/>
  <c r="IZ39" i="55"/>
  <c r="IY39" i="55"/>
  <c r="IX39" i="55"/>
  <c r="IW39" i="55"/>
  <c r="IV39" i="55"/>
  <c r="IU39" i="55"/>
  <c r="IT39" i="55"/>
  <c r="IS39" i="55"/>
  <c r="IR39" i="55"/>
  <c r="IQ39" i="55"/>
  <c r="IP39" i="55"/>
  <c r="IO39" i="55"/>
  <c r="IN39" i="55"/>
  <c r="IM39" i="55"/>
  <c r="IL39" i="55"/>
  <c r="IK39" i="55"/>
  <c r="IJ39" i="55"/>
  <c r="II39" i="55"/>
  <c r="IH39" i="55"/>
  <c r="IG39" i="55"/>
  <c r="IF39" i="55"/>
  <c r="IE39" i="55"/>
  <c r="ID39" i="55"/>
  <c r="IC39" i="55"/>
  <c r="IB39" i="55"/>
  <c r="IA39" i="55"/>
  <c r="HZ39" i="55"/>
  <c r="HY39" i="55"/>
  <c r="HX39" i="55"/>
  <c r="HW39" i="55"/>
  <c r="HV39" i="55"/>
  <c r="HU39" i="55"/>
  <c r="HT39" i="55"/>
  <c r="HS39" i="55"/>
  <c r="HR39" i="55"/>
  <c r="HQ39" i="55"/>
  <c r="HP39" i="55"/>
  <c r="HO39" i="55"/>
  <c r="HN39" i="55"/>
  <c r="HM39" i="55"/>
  <c r="HL39" i="55"/>
  <c r="HI39" i="55"/>
  <c r="HH39" i="55"/>
  <c r="HG39" i="55"/>
  <c r="HF39" i="55"/>
  <c r="HE39" i="55"/>
  <c r="HD39" i="55"/>
  <c r="HC39" i="55"/>
  <c r="HB39" i="55"/>
  <c r="HA39" i="55"/>
  <c r="GY39" i="55"/>
  <c r="GX39" i="55"/>
  <c r="GW39" i="55"/>
  <c r="GV39" i="55"/>
  <c r="GU39" i="55"/>
  <c r="GT39" i="55"/>
  <c r="GS39" i="55"/>
  <c r="GR39" i="55"/>
  <c r="GQ39" i="55"/>
  <c r="GP39" i="55"/>
  <c r="GO39" i="55"/>
  <c r="GN39" i="55"/>
  <c r="GM39" i="55"/>
  <c r="GL39" i="55"/>
  <c r="GK39" i="55"/>
  <c r="GI39" i="55"/>
  <c r="GH39" i="55"/>
  <c r="GG39" i="55"/>
  <c r="GF39" i="55"/>
  <c r="GE39" i="55"/>
  <c r="GD39" i="55"/>
  <c r="GC39" i="55"/>
  <c r="GB39" i="55"/>
  <c r="GA39" i="55"/>
  <c r="FZ39" i="55"/>
  <c r="FY39" i="55"/>
  <c r="FW39" i="55"/>
  <c r="FV39" i="55"/>
  <c r="FU39" i="55"/>
  <c r="FT39" i="55"/>
  <c r="AV39" i="55"/>
  <c r="AD39" i="55"/>
  <c r="AA39" i="55"/>
  <c r="Z39" i="55"/>
  <c r="Y39" i="55"/>
  <c r="X39" i="55"/>
  <c r="W39" i="55"/>
  <c r="V39" i="55"/>
  <c r="U39" i="55"/>
  <c r="T39" i="55"/>
  <c r="S39" i="55"/>
  <c r="R39" i="55"/>
  <c r="Q39" i="55"/>
  <c r="P39" i="55"/>
  <c r="O39" i="55"/>
  <c r="N39" i="55"/>
  <c r="L39" i="55"/>
  <c r="BV39" i="55" s="1"/>
  <c r="X39" i="57" s="1"/>
  <c r="K39" i="55"/>
  <c r="BU39" i="55" s="1"/>
  <c r="W39" i="57" s="1"/>
  <c r="J39" i="55"/>
  <c r="BT39" i="55" s="1"/>
  <c r="V39" i="57" s="1"/>
  <c r="G39" i="55"/>
  <c r="AW39" i="55" s="1"/>
  <c r="F39" i="55"/>
  <c r="BP39" i="55" s="1"/>
  <c r="R39" i="57" s="1"/>
  <c r="E39" i="55"/>
  <c r="BO39" i="55" s="1"/>
  <c r="Q39" i="57" s="1"/>
  <c r="D39" i="55"/>
  <c r="B39" i="55"/>
  <c r="AG39" i="55" s="1"/>
  <c r="B39" i="57" s="1"/>
  <c r="A39" i="55"/>
  <c r="AF39" i="55" s="1"/>
  <c r="A39" i="57" s="1"/>
  <c r="JO38" i="55"/>
  <c r="JN38" i="55"/>
  <c r="JM38" i="55"/>
  <c r="JL38" i="55"/>
  <c r="JK38" i="55"/>
  <c r="JJ38" i="55"/>
  <c r="JI38" i="55"/>
  <c r="JH38" i="55"/>
  <c r="JG38" i="55"/>
  <c r="JF38" i="55"/>
  <c r="JE38" i="55"/>
  <c r="JD38" i="55"/>
  <c r="JC38" i="55"/>
  <c r="JB38" i="55"/>
  <c r="JA38" i="55"/>
  <c r="IZ38" i="55"/>
  <c r="IY38" i="55"/>
  <c r="IX38" i="55"/>
  <c r="IW38" i="55"/>
  <c r="IV38" i="55"/>
  <c r="IU38" i="55"/>
  <c r="IT38" i="55"/>
  <c r="IS38" i="55"/>
  <c r="IR38" i="55"/>
  <c r="IQ38" i="55"/>
  <c r="IP38" i="55"/>
  <c r="IO38" i="55"/>
  <c r="IN38" i="55"/>
  <c r="IM38" i="55"/>
  <c r="IL38" i="55"/>
  <c r="IK38" i="55"/>
  <c r="IJ38" i="55"/>
  <c r="II38" i="55"/>
  <c r="IH38" i="55"/>
  <c r="IG38" i="55"/>
  <c r="IF38" i="55"/>
  <c r="IE38" i="55"/>
  <c r="ID38" i="55"/>
  <c r="IC38" i="55"/>
  <c r="IB38" i="55"/>
  <c r="IA38" i="55"/>
  <c r="HZ38" i="55"/>
  <c r="HY38" i="55"/>
  <c r="HX38" i="55"/>
  <c r="HW38" i="55"/>
  <c r="HV38" i="55"/>
  <c r="HU38" i="55"/>
  <c r="HT38" i="55"/>
  <c r="HS38" i="55"/>
  <c r="HR38" i="55"/>
  <c r="HQ38" i="55"/>
  <c r="HP38" i="55"/>
  <c r="HO38" i="55"/>
  <c r="HN38" i="55"/>
  <c r="HM38" i="55"/>
  <c r="HL38" i="55"/>
  <c r="HI38" i="55"/>
  <c r="HH38" i="55"/>
  <c r="HG38" i="55"/>
  <c r="HF38" i="55"/>
  <c r="HE38" i="55"/>
  <c r="HD38" i="55"/>
  <c r="HC38" i="55"/>
  <c r="HB38" i="55"/>
  <c r="HA38" i="55"/>
  <c r="GY38" i="55"/>
  <c r="GX38" i="55"/>
  <c r="GW38" i="55"/>
  <c r="GV38" i="55"/>
  <c r="GU38" i="55"/>
  <c r="GT38" i="55"/>
  <c r="GS38" i="55"/>
  <c r="GR38" i="55"/>
  <c r="GQ38" i="55"/>
  <c r="GP38" i="55"/>
  <c r="GO38" i="55"/>
  <c r="GN38" i="55"/>
  <c r="GM38" i="55"/>
  <c r="GL38" i="55"/>
  <c r="GK38" i="55"/>
  <c r="GJ38" i="55"/>
  <c r="GI38" i="55"/>
  <c r="GH38" i="55"/>
  <c r="GG38" i="55"/>
  <c r="GF38" i="55"/>
  <c r="GE38" i="55"/>
  <c r="GD38" i="55"/>
  <c r="GC38" i="55"/>
  <c r="GB38" i="55"/>
  <c r="GA38" i="55"/>
  <c r="FZ38" i="55"/>
  <c r="FY38" i="55"/>
  <c r="FW38" i="55"/>
  <c r="FV38" i="55"/>
  <c r="FU38" i="55"/>
  <c r="FT38" i="55"/>
  <c r="AD38" i="55"/>
  <c r="AA38" i="55"/>
  <c r="Z38" i="55"/>
  <c r="Y38" i="55"/>
  <c r="X38" i="55"/>
  <c r="W38" i="55"/>
  <c r="V38" i="55"/>
  <c r="U38" i="55"/>
  <c r="T38" i="55"/>
  <c r="S38" i="55"/>
  <c r="R38" i="55"/>
  <c r="Q38" i="55"/>
  <c r="P38" i="55"/>
  <c r="O38" i="55"/>
  <c r="N38" i="55"/>
  <c r="L38" i="55"/>
  <c r="BV38" i="55" s="1"/>
  <c r="X38" i="57" s="1"/>
  <c r="K38" i="55"/>
  <c r="BU38" i="55" s="1"/>
  <c r="W38" i="57" s="1"/>
  <c r="J38" i="55"/>
  <c r="BT38" i="55" s="1"/>
  <c r="V38" i="57" s="1"/>
  <c r="G38" i="55"/>
  <c r="BQ38" i="55" s="1"/>
  <c r="S38" i="57" s="1"/>
  <c r="F38" i="55"/>
  <c r="E38" i="55"/>
  <c r="BO38" i="55" s="1"/>
  <c r="Q38" i="57" s="1"/>
  <c r="D38" i="55"/>
  <c r="BN38" i="55" s="1"/>
  <c r="P38" i="57" s="1"/>
  <c r="B38" i="55"/>
  <c r="AG38" i="55" s="1"/>
  <c r="B38" i="57" s="1"/>
  <c r="A38" i="55"/>
  <c r="AF38" i="55" s="1"/>
  <c r="A38" i="57" s="1"/>
  <c r="JO37" i="55"/>
  <c r="JN37" i="55"/>
  <c r="JM37" i="55"/>
  <c r="JL37" i="55"/>
  <c r="JK37" i="55"/>
  <c r="JJ37" i="55"/>
  <c r="JI37" i="55"/>
  <c r="JH37" i="55"/>
  <c r="JG37" i="55"/>
  <c r="JF37" i="55"/>
  <c r="JE37" i="55"/>
  <c r="JD37" i="55"/>
  <c r="JC37" i="55"/>
  <c r="JB37" i="55"/>
  <c r="JA37" i="55"/>
  <c r="IZ37" i="55"/>
  <c r="IY37" i="55"/>
  <c r="IX37" i="55"/>
  <c r="IW37" i="55"/>
  <c r="IV37" i="55"/>
  <c r="IU37" i="55"/>
  <c r="IT37" i="55"/>
  <c r="IS37" i="55"/>
  <c r="IR37" i="55"/>
  <c r="IQ37" i="55"/>
  <c r="IP37" i="55"/>
  <c r="IO37" i="55"/>
  <c r="IN37" i="55"/>
  <c r="IM37" i="55"/>
  <c r="IL37" i="55"/>
  <c r="IK37" i="55"/>
  <c r="IJ37" i="55"/>
  <c r="II37" i="55"/>
  <c r="IH37" i="55"/>
  <c r="IG37" i="55"/>
  <c r="IF37" i="55"/>
  <c r="IE37" i="55"/>
  <c r="ID37" i="55"/>
  <c r="IC37" i="55"/>
  <c r="IB37" i="55"/>
  <c r="IA37" i="55"/>
  <c r="HZ37" i="55"/>
  <c r="HY37" i="55"/>
  <c r="HX37" i="55"/>
  <c r="HW37" i="55"/>
  <c r="HV37" i="55"/>
  <c r="HU37" i="55"/>
  <c r="HT37" i="55"/>
  <c r="HS37" i="55"/>
  <c r="HR37" i="55"/>
  <c r="HQ37" i="55"/>
  <c r="HP37" i="55"/>
  <c r="HO37" i="55"/>
  <c r="HN37" i="55"/>
  <c r="HM37" i="55"/>
  <c r="HL37" i="55"/>
  <c r="HI37" i="55"/>
  <c r="HH37" i="55"/>
  <c r="HG37" i="55"/>
  <c r="HF37" i="55"/>
  <c r="HE37" i="55"/>
  <c r="HD37" i="55"/>
  <c r="HC37" i="55"/>
  <c r="HA37" i="55"/>
  <c r="GZ37" i="55"/>
  <c r="GY37" i="55"/>
  <c r="GX37" i="55"/>
  <c r="GW37" i="55"/>
  <c r="GV37" i="55"/>
  <c r="GU37" i="55"/>
  <c r="GT37" i="55"/>
  <c r="GS37" i="55"/>
  <c r="GR37" i="55"/>
  <c r="GQ37" i="55"/>
  <c r="GP37" i="55"/>
  <c r="GO37" i="55"/>
  <c r="GN37" i="55"/>
  <c r="GM37" i="55"/>
  <c r="GL37" i="55"/>
  <c r="GK37" i="55"/>
  <c r="GJ37" i="55"/>
  <c r="GI37" i="55"/>
  <c r="GH37" i="55"/>
  <c r="GG37" i="55"/>
  <c r="GF37" i="55"/>
  <c r="GE37" i="55"/>
  <c r="GD37" i="55"/>
  <c r="GC37" i="55"/>
  <c r="GB37" i="55"/>
  <c r="GA37" i="55"/>
  <c r="FZ37" i="55"/>
  <c r="FY37" i="55"/>
  <c r="FW37" i="55"/>
  <c r="FV37" i="55"/>
  <c r="FU37" i="55"/>
  <c r="FT37" i="55"/>
  <c r="AD37" i="55"/>
  <c r="AA37" i="55"/>
  <c r="Z37" i="55"/>
  <c r="Y37" i="55"/>
  <c r="X37" i="55"/>
  <c r="W37" i="55"/>
  <c r="V37" i="55"/>
  <c r="U37" i="55"/>
  <c r="T37" i="55"/>
  <c r="S37" i="55"/>
  <c r="R37" i="55"/>
  <c r="Q37" i="55"/>
  <c r="P37" i="55"/>
  <c r="O37" i="55"/>
  <c r="N37" i="55"/>
  <c r="L37" i="55"/>
  <c r="BV37" i="55" s="1"/>
  <c r="X37" i="57" s="1"/>
  <c r="K37" i="55"/>
  <c r="BU37" i="55" s="1"/>
  <c r="W37" i="57" s="1"/>
  <c r="J37" i="55"/>
  <c r="BT37" i="55" s="1"/>
  <c r="V37" i="57" s="1"/>
  <c r="G37" i="55"/>
  <c r="F37" i="55"/>
  <c r="BP37" i="55" s="1"/>
  <c r="R37" i="57" s="1"/>
  <c r="E37" i="55"/>
  <c r="BO37" i="55" s="1"/>
  <c r="Q37" i="57" s="1"/>
  <c r="D37" i="55"/>
  <c r="BN37" i="55" s="1"/>
  <c r="P37" i="57" s="1"/>
  <c r="B37" i="55"/>
  <c r="AG37" i="55" s="1"/>
  <c r="B37" i="57" s="1"/>
  <c r="A37" i="55"/>
  <c r="AF37" i="55" s="1"/>
  <c r="A37" i="57" s="1"/>
  <c r="JO36" i="55"/>
  <c r="JN36" i="55"/>
  <c r="JM36" i="55"/>
  <c r="JL36" i="55"/>
  <c r="JK36" i="55"/>
  <c r="JJ36" i="55"/>
  <c r="JI36" i="55"/>
  <c r="JH36" i="55"/>
  <c r="JG36" i="55"/>
  <c r="JF36" i="55"/>
  <c r="JE36" i="55"/>
  <c r="JD36" i="55"/>
  <c r="JC36" i="55"/>
  <c r="JB36" i="55"/>
  <c r="JA36" i="55"/>
  <c r="IZ36" i="55"/>
  <c r="IY36" i="55"/>
  <c r="IX36" i="55"/>
  <c r="IW36" i="55"/>
  <c r="IV36" i="55"/>
  <c r="IU36" i="55"/>
  <c r="IT36" i="55"/>
  <c r="IS36" i="55"/>
  <c r="IR36" i="55"/>
  <c r="IQ36" i="55"/>
  <c r="IP36" i="55"/>
  <c r="IO36" i="55"/>
  <c r="IN36" i="55"/>
  <c r="IM36" i="55"/>
  <c r="IL36" i="55"/>
  <c r="IK36" i="55"/>
  <c r="IJ36" i="55"/>
  <c r="II36" i="55"/>
  <c r="IH36" i="55"/>
  <c r="IG36" i="55"/>
  <c r="IF36" i="55"/>
  <c r="IE36" i="55"/>
  <c r="ID36" i="55"/>
  <c r="IC36" i="55"/>
  <c r="IB36" i="55"/>
  <c r="IA36" i="55"/>
  <c r="HZ36" i="55"/>
  <c r="HY36" i="55"/>
  <c r="HX36" i="55"/>
  <c r="HW36" i="55"/>
  <c r="HV36" i="55"/>
  <c r="HU36" i="55"/>
  <c r="HT36" i="55"/>
  <c r="HS36" i="55"/>
  <c r="HR36" i="55"/>
  <c r="HQ36" i="55"/>
  <c r="HP36" i="55"/>
  <c r="HO36" i="55"/>
  <c r="HN36" i="55"/>
  <c r="HM36" i="55"/>
  <c r="HL36" i="55"/>
  <c r="HI36" i="55"/>
  <c r="HH36" i="55"/>
  <c r="HG36" i="55"/>
  <c r="HF36" i="55"/>
  <c r="HE36" i="55"/>
  <c r="HD36" i="55"/>
  <c r="HC36" i="55"/>
  <c r="HB36" i="55"/>
  <c r="HA36" i="55"/>
  <c r="GY36" i="55"/>
  <c r="GX36" i="55"/>
  <c r="GW36" i="55"/>
  <c r="GV36" i="55"/>
  <c r="GU36" i="55"/>
  <c r="GT36" i="55"/>
  <c r="GS36" i="55"/>
  <c r="GR36" i="55"/>
  <c r="GQ36" i="55"/>
  <c r="GP36" i="55"/>
  <c r="GO36" i="55"/>
  <c r="GN36" i="55"/>
  <c r="GM36" i="55"/>
  <c r="GL36" i="55"/>
  <c r="GK36" i="55"/>
  <c r="GJ36" i="55"/>
  <c r="GI36" i="55"/>
  <c r="GH36" i="55"/>
  <c r="GG36" i="55"/>
  <c r="GF36" i="55"/>
  <c r="GE36" i="55"/>
  <c r="GD36" i="55"/>
  <c r="GC36" i="55"/>
  <c r="GB36" i="55"/>
  <c r="GA36" i="55"/>
  <c r="FZ36" i="55"/>
  <c r="FY36" i="55"/>
  <c r="FW36" i="55"/>
  <c r="FV36" i="55"/>
  <c r="FU36" i="55"/>
  <c r="FT36" i="55"/>
  <c r="AD36" i="55"/>
  <c r="AA36" i="55"/>
  <c r="Z36" i="55"/>
  <c r="Y36" i="55"/>
  <c r="X36" i="55"/>
  <c r="W36" i="55"/>
  <c r="V36" i="55"/>
  <c r="U36" i="55"/>
  <c r="T36" i="55"/>
  <c r="S36" i="55"/>
  <c r="R36" i="55"/>
  <c r="Q36" i="55"/>
  <c r="P36" i="55"/>
  <c r="O36" i="55"/>
  <c r="N36" i="55"/>
  <c r="L36" i="55"/>
  <c r="BV36" i="55" s="1"/>
  <c r="X36" i="57" s="1"/>
  <c r="K36" i="55"/>
  <c r="BU36" i="55" s="1"/>
  <c r="W36" i="57" s="1"/>
  <c r="J36" i="55"/>
  <c r="AZ36" i="55" s="1"/>
  <c r="G36" i="55"/>
  <c r="BQ36" i="55" s="1"/>
  <c r="S36" i="57" s="1"/>
  <c r="F36" i="55"/>
  <c r="BP36" i="55" s="1"/>
  <c r="R36" i="57" s="1"/>
  <c r="E36" i="55"/>
  <c r="BO36" i="55" s="1"/>
  <c r="Q36" i="57" s="1"/>
  <c r="D36" i="55"/>
  <c r="BD36" i="55" s="1"/>
  <c r="F36" i="57" s="1"/>
  <c r="B36" i="55"/>
  <c r="AG36" i="55" s="1"/>
  <c r="B36" i="57" s="1"/>
  <c r="A36" i="55"/>
  <c r="AF36" i="55" s="1"/>
  <c r="A36" i="57" s="1"/>
  <c r="JO35" i="55"/>
  <c r="JN35" i="55"/>
  <c r="JM35" i="55"/>
  <c r="JL35" i="55"/>
  <c r="JK35" i="55"/>
  <c r="JJ35" i="55"/>
  <c r="JI35" i="55"/>
  <c r="JH35" i="55"/>
  <c r="JG35" i="55"/>
  <c r="JF35" i="55"/>
  <c r="JE35" i="55"/>
  <c r="JD35" i="55"/>
  <c r="JC35" i="55"/>
  <c r="JB35" i="55"/>
  <c r="JA35" i="55"/>
  <c r="IZ35" i="55"/>
  <c r="IY35" i="55"/>
  <c r="IX35" i="55"/>
  <c r="IW35" i="55"/>
  <c r="IV35" i="55"/>
  <c r="IU35" i="55"/>
  <c r="IT35" i="55"/>
  <c r="IS35" i="55"/>
  <c r="IR35" i="55"/>
  <c r="IQ35" i="55"/>
  <c r="IP35" i="55"/>
  <c r="IO35" i="55"/>
  <c r="IN35" i="55"/>
  <c r="IM35" i="55"/>
  <c r="IL35" i="55"/>
  <c r="IK35" i="55"/>
  <c r="IJ35" i="55"/>
  <c r="II35" i="55"/>
  <c r="IH35" i="55"/>
  <c r="IG35" i="55"/>
  <c r="IF35" i="55"/>
  <c r="IE35" i="55"/>
  <c r="ID35" i="55"/>
  <c r="IC35" i="55"/>
  <c r="IB35" i="55"/>
  <c r="IA35" i="55"/>
  <c r="HZ35" i="55"/>
  <c r="HY35" i="55"/>
  <c r="HX35" i="55"/>
  <c r="HW35" i="55"/>
  <c r="HV35" i="55"/>
  <c r="HU35" i="55"/>
  <c r="HT35" i="55"/>
  <c r="HS35" i="55"/>
  <c r="HR35" i="55"/>
  <c r="HQ35" i="55"/>
  <c r="HP35" i="55"/>
  <c r="HO35" i="55"/>
  <c r="HN35" i="55"/>
  <c r="HM35" i="55"/>
  <c r="HL35" i="55"/>
  <c r="HJ35" i="55"/>
  <c r="HI35" i="55"/>
  <c r="HH35" i="55"/>
  <c r="HG35" i="55"/>
  <c r="HF35" i="55"/>
  <c r="HE35" i="55"/>
  <c r="HD35" i="55"/>
  <c r="HC35" i="55"/>
  <c r="HB35" i="55"/>
  <c r="HA35" i="55"/>
  <c r="GY35" i="55"/>
  <c r="GX35" i="55"/>
  <c r="GW35" i="55"/>
  <c r="GV35" i="55"/>
  <c r="GU35" i="55"/>
  <c r="GT35" i="55"/>
  <c r="GS35" i="55"/>
  <c r="GR35" i="55"/>
  <c r="GQ35" i="55"/>
  <c r="GP35" i="55"/>
  <c r="GO35" i="55"/>
  <c r="GN35" i="55"/>
  <c r="GM35" i="55"/>
  <c r="GL35" i="55"/>
  <c r="GK35" i="55"/>
  <c r="GJ35" i="55"/>
  <c r="GI35" i="55"/>
  <c r="GH35" i="55"/>
  <c r="GF35" i="55"/>
  <c r="GE35" i="55"/>
  <c r="GD35" i="55"/>
  <c r="GC35" i="55"/>
  <c r="GB35" i="55"/>
  <c r="GA35" i="55"/>
  <c r="FZ35" i="55"/>
  <c r="FY35" i="55"/>
  <c r="FW35" i="55"/>
  <c r="FV35" i="55"/>
  <c r="FU35" i="55"/>
  <c r="FT35" i="55"/>
  <c r="AD35" i="55"/>
  <c r="AA35" i="55"/>
  <c r="Z35" i="55"/>
  <c r="Y35" i="55"/>
  <c r="X35" i="55"/>
  <c r="W35" i="55"/>
  <c r="V35" i="55"/>
  <c r="U35" i="55"/>
  <c r="T35" i="55"/>
  <c r="S35" i="55"/>
  <c r="R35" i="55"/>
  <c r="Q35" i="55"/>
  <c r="P35" i="55"/>
  <c r="O35" i="55"/>
  <c r="N35" i="55"/>
  <c r="L35" i="55"/>
  <c r="BV35" i="55" s="1"/>
  <c r="X35" i="57" s="1"/>
  <c r="K35" i="55"/>
  <c r="BA35" i="55" s="1"/>
  <c r="J35" i="55"/>
  <c r="BT35" i="55" s="1"/>
  <c r="V35" i="57" s="1"/>
  <c r="G35" i="55"/>
  <c r="BQ35" i="55" s="1"/>
  <c r="S35" i="57" s="1"/>
  <c r="F35" i="55"/>
  <c r="BP35" i="55" s="1"/>
  <c r="R35" i="57" s="1"/>
  <c r="E35" i="55"/>
  <c r="BO35" i="55" s="1"/>
  <c r="Q35" i="57" s="1"/>
  <c r="D35" i="55"/>
  <c r="BN35" i="55" s="1"/>
  <c r="P35" i="57" s="1"/>
  <c r="B35" i="55"/>
  <c r="AG35" i="55" s="1"/>
  <c r="B35" i="57" s="1"/>
  <c r="A35" i="55"/>
  <c r="AF35" i="55" s="1"/>
  <c r="A35" i="57" s="1"/>
  <c r="JO34" i="55"/>
  <c r="JN34" i="55"/>
  <c r="JM34" i="55"/>
  <c r="JL34" i="55"/>
  <c r="JK34" i="55"/>
  <c r="JJ34" i="55"/>
  <c r="JI34" i="55"/>
  <c r="JH34" i="55"/>
  <c r="JG34" i="55"/>
  <c r="JF34" i="55"/>
  <c r="JE34" i="55"/>
  <c r="JD34" i="55"/>
  <c r="JC34" i="55"/>
  <c r="JB34" i="55"/>
  <c r="JA34" i="55"/>
  <c r="IZ34" i="55"/>
  <c r="IY34" i="55"/>
  <c r="IX34" i="55"/>
  <c r="IW34" i="55"/>
  <c r="IV34" i="55"/>
  <c r="IU34" i="55"/>
  <c r="IT34" i="55"/>
  <c r="IS34" i="55"/>
  <c r="IR34" i="55"/>
  <c r="IQ34" i="55"/>
  <c r="IP34" i="55"/>
  <c r="IO34" i="55"/>
  <c r="IN34" i="55"/>
  <c r="IM34" i="55"/>
  <c r="IL34" i="55"/>
  <c r="IK34" i="55"/>
  <c r="IJ34" i="55"/>
  <c r="II34" i="55"/>
  <c r="IH34" i="55"/>
  <c r="IG34" i="55"/>
  <c r="IF34" i="55"/>
  <c r="IE34" i="55"/>
  <c r="ID34" i="55"/>
  <c r="IC34" i="55"/>
  <c r="IB34" i="55"/>
  <c r="IA34" i="55"/>
  <c r="HZ34" i="55"/>
  <c r="HY34" i="55"/>
  <c r="HX34" i="55"/>
  <c r="HW34" i="55"/>
  <c r="HV34" i="55"/>
  <c r="HU34" i="55"/>
  <c r="HT34" i="55"/>
  <c r="HS34" i="55"/>
  <c r="HR34" i="55"/>
  <c r="HQ34" i="55"/>
  <c r="HP34" i="55"/>
  <c r="HO34" i="55"/>
  <c r="HN34" i="55"/>
  <c r="HM34" i="55"/>
  <c r="HL34" i="55"/>
  <c r="HI34" i="55"/>
  <c r="HH34" i="55"/>
  <c r="HG34" i="55"/>
  <c r="HF34" i="55"/>
  <c r="HE34" i="55"/>
  <c r="HD34" i="55"/>
  <c r="HC34" i="55"/>
  <c r="HB34" i="55"/>
  <c r="HA34" i="55"/>
  <c r="GY34" i="55"/>
  <c r="GX34" i="55"/>
  <c r="GW34" i="55"/>
  <c r="GV34" i="55"/>
  <c r="GU34" i="55"/>
  <c r="GT34" i="55"/>
  <c r="GS34" i="55"/>
  <c r="GR34" i="55"/>
  <c r="GQ34" i="55"/>
  <c r="GP34" i="55"/>
  <c r="GO34" i="55"/>
  <c r="GN34" i="55"/>
  <c r="GM34" i="55"/>
  <c r="GL34" i="55"/>
  <c r="GK34" i="55"/>
  <c r="GJ34" i="55"/>
  <c r="GI34" i="55"/>
  <c r="GH34" i="55"/>
  <c r="GG34" i="55"/>
  <c r="GF34" i="55"/>
  <c r="GE34" i="55"/>
  <c r="GD34" i="55"/>
  <c r="GC34" i="55"/>
  <c r="GB34" i="55"/>
  <c r="GA34" i="55"/>
  <c r="FZ34" i="55"/>
  <c r="FY34" i="55"/>
  <c r="FW34" i="55"/>
  <c r="FV34" i="55"/>
  <c r="FU34" i="55"/>
  <c r="FT34" i="55"/>
  <c r="BF34" i="55"/>
  <c r="H34" i="57" s="1"/>
  <c r="AD34" i="55"/>
  <c r="AA34" i="55"/>
  <c r="Z34" i="55"/>
  <c r="Y34" i="55"/>
  <c r="X34" i="55"/>
  <c r="W34" i="55"/>
  <c r="V34" i="55"/>
  <c r="U34" i="55"/>
  <c r="T34" i="55"/>
  <c r="S34" i="55"/>
  <c r="R34" i="55"/>
  <c r="Q34" i="55"/>
  <c r="P34" i="55"/>
  <c r="O34" i="55"/>
  <c r="N34" i="55"/>
  <c r="L34" i="55"/>
  <c r="BB34" i="55" s="1"/>
  <c r="K34" i="55"/>
  <c r="BU34" i="55" s="1"/>
  <c r="W34" i="57" s="1"/>
  <c r="J34" i="55"/>
  <c r="G34" i="55"/>
  <c r="BQ34" i="55" s="1"/>
  <c r="S34" i="57" s="1"/>
  <c r="F34" i="55"/>
  <c r="BP34" i="55" s="1"/>
  <c r="R34" i="57" s="1"/>
  <c r="E34" i="55"/>
  <c r="BO34" i="55" s="1"/>
  <c r="Q34" i="57" s="1"/>
  <c r="D34" i="55"/>
  <c r="AT34" i="55" s="1"/>
  <c r="B34" i="55"/>
  <c r="AG34" i="55" s="1"/>
  <c r="B34" i="57" s="1"/>
  <c r="A34" i="55"/>
  <c r="AF34" i="55" s="1"/>
  <c r="A34" i="57" s="1"/>
  <c r="JO33" i="55"/>
  <c r="JN33" i="55"/>
  <c r="JM33" i="55"/>
  <c r="JL33" i="55"/>
  <c r="JK33" i="55"/>
  <c r="JJ33" i="55"/>
  <c r="JI33" i="55"/>
  <c r="JH33" i="55"/>
  <c r="JG33" i="55"/>
  <c r="JF33" i="55"/>
  <c r="JE33" i="55"/>
  <c r="JD33" i="55"/>
  <c r="JC33" i="55"/>
  <c r="JB33" i="55"/>
  <c r="JA33" i="55"/>
  <c r="IZ33" i="55"/>
  <c r="IY33" i="55"/>
  <c r="IX33" i="55"/>
  <c r="IW33" i="55"/>
  <c r="IV33" i="55"/>
  <c r="IU33" i="55"/>
  <c r="IT33" i="55"/>
  <c r="IS33" i="55"/>
  <c r="IR33" i="55"/>
  <c r="IQ33" i="55"/>
  <c r="IP33" i="55"/>
  <c r="IO33" i="55"/>
  <c r="IN33" i="55"/>
  <c r="IM33" i="55"/>
  <c r="IL33" i="55"/>
  <c r="IK33" i="55"/>
  <c r="IJ33" i="55"/>
  <c r="II33" i="55"/>
  <c r="IH33" i="55"/>
  <c r="IG33" i="55"/>
  <c r="IF33" i="55"/>
  <c r="IE33" i="55"/>
  <c r="ID33" i="55"/>
  <c r="IC33" i="55"/>
  <c r="IB33" i="55"/>
  <c r="IA33" i="55"/>
  <c r="HZ33" i="55"/>
  <c r="HY33" i="55"/>
  <c r="HX33" i="55"/>
  <c r="HW33" i="55"/>
  <c r="HV33" i="55"/>
  <c r="HU33" i="55"/>
  <c r="HT33" i="55"/>
  <c r="HS33" i="55"/>
  <c r="HR33" i="55"/>
  <c r="HQ33" i="55"/>
  <c r="HP33" i="55"/>
  <c r="HO33" i="55"/>
  <c r="HN33" i="55"/>
  <c r="HM33" i="55"/>
  <c r="HL33" i="55"/>
  <c r="HJ33" i="55"/>
  <c r="HI33" i="55"/>
  <c r="HH33" i="55"/>
  <c r="HG33" i="55"/>
  <c r="HF33" i="55"/>
  <c r="HE33" i="55"/>
  <c r="HD33" i="55"/>
  <c r="HC33" i="55"/>
  <c r="HB33" i="55"/>
  <c r="HA33" i="55"/>
  <c r="GZ33" i="55"/>
  <c r="GY33" i="55"/>
  <c r="GW33" i="55"/>
  <c r="GV33" i="55"/>
  <c r="GU33" i="55"/>
  <c r="GT33" i="55"/>
  <c r="GS33" i="55"/>
  <c r="GR33" i="55"/>
  <c r="GQ33" i="55"/>
  <c r="GP33" i="55"/>
  <c r="GO33" i="55"/>
  <c r="GN33" i="55"/>
  <c r="GM33" i="55"/>
  <c r="GL33" i="55"/>
  <c r="GK33" i="55"/>
  <c r="GJ33" i="55"/>
  <c r="GI33" i="55"/>
  <c r="GH33" i="55"/>
  <c r="GF33" i="55"/>
  <c r="GE33" i="55"/>
  <c r="GD33" i="55"/>
  <c r="GC33" i="55"/>
  <c r="GB33" i="55"/>
  <c r="GA33" i="55"/>
  <c r="FZ33" i="55"/>
  <c r="FY33" i="55"/>
  <c r="FW33" i="55"/>
  <c r="FV33" i="55"/>
  <c r="FU33" i="55"/>
  <c r="FT33" i="55"/>
  <c r="AD33" i="55"/>
  <c r="AA33" i="55"/>
  <c r="Z33" i="55"/>
  <c r="Y33" i="55"/>
  <c r="X33" i="55"/>
  <c r="W33" i="55"/>
  <c r="V33" i="55"/>
  <c r="U33" i="55"/>
  <c r="T33" i="55"/>
  <c r="S33" i="55"/>
  <c r="R33" i="55"/>
  <c r="Q33" i="55"/>
  <c r="P33" i="55"/>
  <c r="O33" i="55"/>
  <c r="N33" i="55"/>
  <c r="L33" i="55"/>
  <c r="BV33" i="55" s="1"/>
  <c r="X33" i="57" s="1"/>
  <c r="K33" i="55"/>
  <c r="BU33" i="55" s="1"/>
  <c r="W33" i="57" s="1"/>
  <c r="J33" i="55"/>
  <c r="BT33" i="55" s="1"/>
  <c r="V33" i="57" s="1"/>
  <c r="G33" i="55"/>
  <c r="BQ33" i="55" s="1"/>
  <c r="S33" i="57" s="1"/>
  <c r="F33" i="55"/>
  <c r="BP33" i="55" s="1"/>
  <c r="R33" i="57" s="1"/>
  <c r="E33" i="55"/>
  <c r="AU33" i="55" s="1"/>
  <c r="D33" i="55"/>
  <c r="BN33" i="55" s="1"/>
  <c r="P33" i="57" s="1"/>
  <c r="B33" i="55"/>
  <c r="AG33" i="55" s="1"/>
  <c r="B33" i="57" s="1"/>
  <c r="A33" i="55"/>
  <c r="AF33" i="55" s="1"/>
  <c r="A33" i="57" s="1"/>
  <c r="JO32" i="55"/>
  <c r="JN32" i="55"/>
  <c r="JM32" i="55"/>
  <c r="JL32" i="55"/>
  <c r="JK32" i="55"/>
  <c r="JJ32" i="55"/>
  <c r="JI32" i="55"/>
  <c r="JH32" i="55"/>
  <c r="JG32" i="55"/>
  <c r="JF32" i="55"/>
  <c r="JE32" i="55"/>
  <c r="JD32" i="55"/>
  <c r="JC32" i="55"/>
  <c r="JB32" i="55"/>
  <c r="JA32" i="55"/>
  <c r="IZ32" i="55"/>
  <c r="IY32" i="55"/>
  <c r="IX32" i="55"/>
  <c r="IW32" i="55"/>
  <c r="IV32" i="55"/>
  <c r="IU32" i="55"/>
  <c r="IT32" i="55"/>
  <c r="IS32" i="55"/>
  <c r="IR32" i="55"/>
  <c r="IQ32" i="55"/>
  <c r="IP32" i="55"/>
  <c r="IO32" i="55"/>
  <c r="IN32" i="55"/>
  <c r="IM32" i="55"/>
  <c r="IL32" i="55"/>
  <c r="IK32" i="55"/>
  <c r="IJ32" i="55"/>
  <c r="II32" i="55"/>
  <c r="IH32" i="55"/>
  <c r="IG32" i="55"/>
  <c r="IF32" i="55"/>
  <c r="IE32" i="55"/>
  <c r="ID32" i="55"/>
  <c r="IC32" i="55"/>
  <c r="IB32" i="55"/>
  <c r="IA32" i="55"/>
  <c r="HZ32" i="55"/>
  <c r="HY32" i="55"/>
  <c r="HX32" i="55"/>
  <c r="HW32" i="55"/>
  <c r="HV32" i="55"/>
  <c r="HU32" i="55"/>
  <c r="HT32" i="55"/>
  <c r="HS32" i="55"/>
  <c r="HR32" i="55"/>
  <c r="HQ32" i="55"/>
  <c r="HP32" i="55"/>
  <c r="HO32" i="55"/>
  <c r="HN32" i="55"/>
  <c r="HM32" i="55"/>
  <c r="HL32" i="55"/>
  <c r="HI32" i="55"/>
  <c r="HH32" i="55"/>
  <c r="HG32" i="55"/>
  <c r="HF32" i="55"/>
  <c r="HE32" i="55"/>
  <c r="HD32" i="55"/>
  <c r="HC32" i="55"/>
  <c r="HB32" i="55"/>
  <c r="HA32" i="55"/>
  <c r="GZ32" i="55"/>
  <c r="GY32" i="55"/>
  <c r="GX32" i="55"/>
  <c r="GW32" i="55"/>
  <c r="GV32" i="55"/>
  <c r="GU32" i="55"/>
  <c r="GT32" i="55"/>
  <c r="GS32" i="55"/>
  <c r="GR32" i="55"/>
  <c r="GQ32" i="55"/>
  <c r="GP32" i="55"/>
  <c r="GO32" i="55"/>
  <c r="GN32" i="55"/>
  <c r="GM32" i="55"/>
  <c r="GL32" i="55"/>
  <c r="GJ32" i="55"/>
  <c r="GI32" i="55"/>
  <c r="GH32" i="55"/>
  <c r="GG32" i="55"/>
  <c r="GF32" i="55"/>
  <c r="GE32" i="55"/>
  <c r="GD32" i="55"/>
  <c r="GC32" i="55"/>
  <c r="GB32" i="55"/>
  <c r="GA32" i="55"/>
  <c r="FZ32" i="55"/>
  <c r="FY32" i="55"/>
  <c r="FW32" i="55"/>
  <c r="FV32" i="55"/>
  <c r="FU32" i="55"/>
  <c r="FT32" i="55"/>
  <c r="AU32" i="55"/>
  <c r="AD32" i="55"/>
  <c r="AA32" i="55"/>
  <c r="Z32" i="55"/>
  <c r="Y32" i="55"/>
  <c r="X32" i="55"/>
  <c r="W32" i="55"/>
  <c r="V32" i="55"/>
  <c r="U32" i="55"/>
  <c r="T32" i="55"/>
  <c r="S32" i="55"/>
  <c r="R32" i="55"/>
  <c r="Q32" i="55"/>
  <c r="P32" i="55"/>
  <c r="O32" i="55"/>
  <c r="N32" i="55"/>
  <c r="L32" i="55"/>
  <c r="K32" i="55"/>
  <c r="BU32" i="55" s="1"/>
  <c r="W32" i="57" s="1"/>
  <c r="J32" i="55"/>
  <c r="BT32" i="55" s="1"/>
  <c r="V32" i="57" s="1"/>
  <c r="G32" i="55"/>
  <c r="BQ32" i="55" s="1"/>
  <c r="S32" i="57" s="1"/>
  <c r="F32" i="55"/>
  <c r="AV32" i="55" s="1"/>
  <c r="E32" i="55"/>
  <c r="BO32" i="55" s="1"/>
  <c r="Q32" i="57" s="1"/>
  <c r="D32" i="55"/>
  <c r="B32" i="55"/>
  <c r="AG32" i="55" s="1"/>
  <c r="B32" i="57" s="1"/>
  <c r="A32" i="55"/>
  <c r="AF32" i="55" s="1"/>
  <c r="A32" i="57" s="1"/>
  <c r="JO31" i="55"/>
  <c r="JN31" i="55"/>
  <c r="JM31" i="55"/>
  <c r="JL31" i="55"/>
  <c r="JK31" i="55"/>
  <c r="JJ31" i="55"/>
  <c r="JI31" i="55"/>
  <c r="JH31" i="55"/>
  <c r="JG31" i="55"/>
  <c r="JF31" i="55"/>
  <c r="JE31" i="55"/>
  <c r="JD31" i="55"/>
  <c r="JC31" i="55"/>
  <c r="JB31" i="55"/>
  <c r="JA31" i="55"/>
  <c r="IZ31" i="55"/>
  <c r="IY31" i="55"/>
  <c r="IX31" i="55"/>
  <c r="IW31" i="55"/>
  <c r="IV31" i="55"/>
  <c r="IU31" i="55"/>
  <c r="IT31" i="55"/>
  <c r="IS31" i="55"/>
  <c r="IR31" i="55"/>
  <c r="IQ31" i="55"/>
  <c r="IP31" i="55"/>
  <c r="IO31" i="55"/>
  <c r="IN31" i="55"/>
  <c r="IM31" i="55"/>
  <c r="IL31" i="55"/>
  <c r="IK31" i="55"/>
  <c r="IJ31" i="55"/>
  <c r="II31" i="55"/>
  <c r="IH31" i="55"/>
  <c r="IG31" i="55"/>
  <c r="IF31" i="55"/>
  <c r="IE31" i="55"/>
  <c r="ID31" i="55"/>
  <c r="IC31" i="55"/>
  <c r="IB31" i="55"/>
  <c r="IA31" i="55"/>
  <c r="HZ31" i="55"/>
  <c r="HY31" i="55"/>
  <c r="HX31" i="55"/>
  <c r="HW31" i="55"/>
  <c r="HV31" i="55"/>
  <c r="HU31" i="55"/>
  <c r="HT31" i="55"/>
  <c r="HS31" i="55"/>
  <c r="HR31" i="55"/>
  <c r="HQ31" i="55"/>
  <c r="HP31" i="55"/>
  <c r="HO31" i="55"/>
  <c r="HN31" i="55"/>
  <c r="HM31" i="55"/>
  <c r="HL31" i="55"/>
  <c r="HI31" i="55"/>
  <c r="HH31" i="55"/>
  <c r="HG31" i="55"/>
  <c r="HF31" i="55"/>
  <c r="HE31" i="55"/>
  <c r="HD31" i="55"/>
  <c r="HC31" i="55"/>
  <c r="HB31" i="55"/>
  <c r="HA31" i="55"/>
  <c r="GZ31" i="55"/>
  <c r="GY31" i="55"/>
  <c r="GX31" i="55"/>
  <c r="GW31" i="55"/>
  <c r="GU31" i="55"/>
  <c r="GT31" i="55"/>
  <c r="GS31" i="55"/>
  <c r="GR31" i="55"/>
  <c r="GQ31" i="55"/>
  <c r="GP31" i="55"/>
  <c r="GO31" i="55"/>
  <c r="GN31" i="55"/>
  <c r="GM31" i="55"/>
  <c r="GL31" i="55"/>
  <c r="GK31" i="55"/>
  <c r="GJ31" i="55"/>
  <c r="GI31" i="55"/>
  <c r="GH31" i="55"/>
  <c r="GG31" i="55"/>
  <c r="GF31" i="55"/>
  <c r="GE31" i="55"/>
  <c r="GC31" i="55"/>
  <c r="GB31" i="55"/>
  <c r="GA31" i="55"/>
  <c r="FZ31" i="55"/>
  <c r="FY31" i="55"/>
  <c r="FX31" i="55"/>
  <c r="FW31" i="55"/>
  <c r="FV31" i="55"/>
  <c r="FU31" i="55"/>
  <c r="FT31" i="55"/>
  <c r="AD31" i="55"/>
  <c r="AA31" i="55"/>
  <c r="Z31" i="55"/>
  <c r="Y31" i="55"/>
  <c r="X31" i="55"/>
  <c r="W31" i="55"/>
  <c r="V31" i="55"/>
  <c r="U31" i="55"/>
  <c r="T31" i="55"/>
  <c r="S31" i="55"/>
  <c r="R31" i="55"/>
  <c r="Q31" i="55"/>
  <c r="P31" i="55"/>
  <c r="O31" i="55"/>
  <c r="N31" i="55"/>
  <c r="L31" i="55"/>
  <c r="BV31" i="55" s="1"/>
  <c r="X31" i="57" s="1"/>
  <c r="K31" i="55"/>
  <c r="BU31" i="55" s="1"/>
  <c r="W31" i="57" s="1"/>
  <c r="J31" i="55"/>
  <c r="BT31" i="55" s="1"/>
  <c r="V31" i="57" s="1"/>
  <c r="G31" i="55"/>
  <c r="AW31" i="55" s="1"/>
  <c r="F31" i="55"/>
  <c r="BP31" i="55" s="1"/>
  <c r="R31" i="57" s="1"/>
  <c r="E31" i="55"/>
  <c r="D31" i="55"/>
  <c r="BN31" i="55" s="1"/>
  <c r="P31" i="57" s="1"/>
  <c r="B31" i="55"/>
  <c r="AG31" i="55" s="1"/>
  <c r="B31" i="57" s="1"/>
  <c r="A31" i="55"/>
  <c r="AF31" i="55" s="1"/>
  <c r="A31" i="57" s="1"/>
  <c r="JO30" i="55"/>
  <c r="JN30" i="55"/>
  <c r="JM30" i="55"/>
  <c r="JL30" i="55"/>
  <c r="JK30" i="55"/>
  <c r="JJ30" i="55"/>
  <c r="JI30" i="55"/>
  <c r="JH30" i="55"/>
  <c r="JG30" i="55"/>
  <c r="JF30" i="55"/>
  <c r="JE30" i="55"/>
  <c r="JD30" i="55"/>
  <c r="JC30" i="55"/>
  <c r="JB30" i="55"/>
  <c r="JA30" i="55"/>
  <c r="IZ30" i="55"/>
  <c r="IY30" i="55"/>
  <c r="IX30" i="55"/>
  <c r="IW30" i="55"/>
  <c r="IV30" i="55"/>
  <c r="IU30" i="55"/>
  <c r="IT30" i="55"/>
  <c r="IS30" i="55"/>
  <c r="IR30" i="55"/>
  <c r="IQ30" i="55"/>
  <c r="IP30" i="55"/>
  <c r="IO30" i="55"/>
  <c r="IN30" i="55"/>
  <c r="IM30" i="55"/>
  <c r="IL30" i="55"/>
  <c r="IK30" i="55"/>
  <c r="IJ30" i="55"/>
  <c r="II30" i="55"/>
  <c r="IH30" i="55"/>
  <c r="IG30" i="55"/>
  <c r="IF30" i="55"/>
  <c r="IE30" i="55"/>
  <c r="ID30" i="55"/>
  <c r="IC30" i="55"/>
  <c r="IB30" i="55"/>
  <c r="IA30" i="55"/>
  <c r="HZ30" i="55"/>
  <c r="HY30" i="55"/>
  <c r="HX30" i="55"/>
  <c r="HW30" i="55"/>
  <c r="HV30" i="55"/>
  <c r="HU30" i="55"/>
  <c r="HT30" i="55"/>
  <c r="HS30" i="55"/>
  <c r="HR30" i="55"/>
  <c r="HQ30" i="55"/>
  <c r="HP30" i="55"/>
  <c r="HO30" i="55"/>
  <c r="HN30" i="55"/>
  <c r="HM30" i="55"/>
  <c r="HL30" i="55"/>
  <c r="HI30" i="55"/>
  <c r="HH30" i="55"/>
  <c r="HG30" i="55"/>
  <c r="HF30" i="55"/>
  <c r="HE30" i="55"/>
  <c r="HD30" i="55"/>
  <c r="HC30" i="55"/>
  <c r="HB30" i="55"/>
  <c r="HA30" i="55"/>
  <c r="GY30" i="55"/>
  <c r="GX30" i="55"/>
  <c r="GW30" i="55"/>
  <c r="GV30" i="55"/>
  <c r="GU30" i="55"/>
  <c r="GT30" i="55"/>
  <c r="GS30" i="55"/>
  <c r="GR30" i="55"/>
  <c r="GQ30" i="55"/>
  <c r="GP30" i="55"/>
  <c r="GO30" i="55"/>
  <c r="GN30" i="55"/>
  <c r="GM30" i="55"/>
  <c r="GL30" i="55"/>
  <c r="GK30" i="55"/>
  <c r="GJ30" i="55"/>
  <c r="GI30" i="55"/>
  <c r="GH30" i="55"/>
  <c r="GG30" i="55"/>
  <c r="GF30" i="55"/>
  <c r="GE30" i="55"/>
  <c r="GD30" i="55"/>
  <c r="GC30" i="55"/>
  <c r="GB30" i="55"/>
  <c r="GA30" i="55"/>
  <c r="FZ30" i="55"/>
  <c r="FY30" i="55"/>
  <c r="FW30" i="55"/>
  <c r="FV30" i="55"/>
  <c r="FU30" i="55"/>
  <c r="FT30" i="55"/>
  <c r="AW30" i="55"/>
  <c r="AD30" i="55"/>
  <c r="AA30" i="55"/>
  <c r="Z30" i="55"/>
  <c r="Y30" i="55"/>
  <c r="X30" i="55"/>
  <c r="W30" i="55"/>
  <c r="V30" i="55"/>
  <c r="U30" i="55"/>
  <c r="T30" i="55"/>
  <c r="S30" i="55"/>
  <c r="R30" i="55"/>
  <c r="Q30" i="55"/>
  <c r="P30" i="55"/>
  <c r="O30" i="55"/>
  <c r="N30" i="55"/>
  <c r="L30" i="55"/>
  <c r="BV30" i="55" s="1"/>
  <c r="X30" i="57" s="1"/>
  <c r="K30" i="55"/>
  <c r="BU30" i="55" s="1"/>
  <c r="W30" i="57" s="1"/>
  <c r="J30" i="55"/>
  <c r="BT30" i="55" s="1"/>
  <c r="V30" i="57" s="1"/>
  <c r="G30" i="55"/>
  <c r="BQ30" i="55" s="1"/>
  <c r="S30" i="57" s="1"/>
  <c r="F30" i="55"/>
  <c r="E30" i="55"/>
  <c r="BO30" i="55" s="1"/>
  <c r="Q30" i="57" s="1"/>
  <c r="D30" i="55"/>
  <c r="B30" i="55"/>
  <c r="AG30" i="55" s="1"/>
  <c r="B30" i="57" s="1"/>
  <c r="A30" i="55"/>
  <c r="AF30" i="55" s="1"/>
  <c r="A30" i="57" s="1"/>
  <c r="JO29" i="55"/>
  <c r="JN29" i="55"/>
  <c r="JM29" i="55"/>
  <c r="JL29" i="55"/>
  <c r="JK29" i="55"/>
  <c r="JJ29" i="55"/>
  <c r="JI29" i="55"/>
  <c r="JH29" i="55"/>
  <c r="JG29" i="55"/>
  <c r="JF29" i="55"/>
  <c r="JE29" i="55"/>
  <c r="JD29" i="55"/>
  <c r="JC29" i="55"/>
  <c r="JB29" i="55"/>
  <c r="JA29" i="55"/>
  <c r="IZ29" i="55"/>
  <c r="IY29" i="55"/>
  <c r="IX29" i="55"/>
  <c r="IW29" i="55"/>
  <c r="IV29" i="55"/>
  <c r="IU29" i="55"/>
  <c r="IT29" i="55"/>
  <c r="IS29" i="55"/>
  <c r="IR29" i="55"/>
  <c r="IQ29" i="55"/>
  <c r="IP29" i="55"/>
  <c r="IO29" i="55"/>
  <c r="IN29" i="55"/>
  <c r="IM29" i="55"/>
  <c r="IL29" i="55"/>
  <c r="IK29" i="55"/>
  <c r="IJ29" i="55"/>
  <c r="II29" i="55"/>
  <c r="IH29" i="55"/>
  <c r="IG29" i="55"/>
  <c r="IF29" i="55"/>
  <c r="IE29" i="55"/>
  <c r="ID29" i="55"/>
  <c r="IC29" i="55"/>
  <c r="IB29" i="55"/>
  <c r="IA29" i="55"/>
  <c r="HZ29" i="55"/>
  <c r="HY29" i="55"/>
  <c r="HX29" i="55"/>
  <c r="HW29" i="55"/>
  <c r="HV29" i="55"/>
  <c r="HU29" i="55"/>
  <c r="HT29" i="55"/>
  <c r="HS29" i="55"/>
  <c r="HR29" i="55"/>
  <c r="HQ29" i="55"/>
  <c r="HP29" i="55"/>
  <c r="HN29" i="55"/>
  <c r="HM29" i="55"/>
  <c r="HL29" i="55"/>
  <c r="HJ29" i="55"/>
  <c r="HI29" i="55"/>
  <c r="HH29" i="55"/>
  <c r="HG29" i="55"/>
  <c r="HF29" i="55"/>
  <c r="HE29" i="55"/>
  <c r="HD29" i="55"/>
  <c r="HC29" i="55"/>
  <c r="HB29" i="55"/>
  <c r="HA29" i="55"/>
  <c r="GZ29" i="55"/>
  <c r="GY29" i="55"/>
  <c r="GX29" i="55"/>
  <c r="GW29" i="55"/>
  <c r="GV29" i="55"/>
  <c r="GU29" i="55"/>
  <c r="GT29" i="55"/>
  <c r="GS29" i="55"/>
  <c r="GR29" i="55"/>
  <c r="GQ29" i="55"/>
  <c r="GP29" i="55"/>
  <c r="GO29" i="55"/>
  <c r="GN29" i="55"/>
  <c r="GM29" i="55"/>
  <c r="GK29" i="55"/>
  <c r="GI29" i="55"/>
  <c r="GH29" i="55"/>
  <c r="GF29" i="55"/>
  <c r="GE29" i="55"/>
  <c r="GD29" i="55"/>
  <c r="GC29" i="55"/>
  <c r="GB29" i="55"/>
  <c r="GA29" i="55"/>
  <c r="FZ29" i="55"/>
  <c r="FY29" i="55"/>
  <c r="FW29" i="55"/>
  <c r="FV29" i="55"/>
  <c r="FU29" i="55"/>
  <c r="FT29" i="55"/>
  <c r="AD29" i="55"/>
  <c r="AA29" i="55"/>
  <c r="Z29" i="55"/>
  <c r="Y29" i="55"/>
  <c r="X29" i="55"/>
  <c r="W29" i="55"/>
  <c r="V29" i="55"/>
  <c r="U29" i="55"/>
  <c r="T29" i="55"/>
  <c r="S29" i="55"/>
  <c r="R29" i="55"/>
  <c r="Q29" i="55"/>
  <c r="P29" i="55"/>
  <c r="O29" i="55"/>
  <c r="N29" i="55"/>
  <c r="L29" i="55"/>
  <c r="BV29" i="55" s="1"/>
  <c r="X29" i="57" s="1"/>
  <c r="K29" i="55"/>
  <c r="BU29" i="55" s="1"/>
  <c r="W29" i="57" s="1"/>
  <c r="J29" i="55"/>
  <c r="BT29" i="55" s="1"/>
  <c r="V29" i="57" s="1"/>
  <c r="G29" i="55"/>
  <c r="F29" i="55"/>
  <c r="BP29" i="55" s="1"/>
  <c r="R29" i="57" s="1"/>
  <c r="E29" i="55"/>
  <c r="BO29" i="55" s="1"/>
  <c r="Q29" i="57" s="1"/>
  <c r="D29" i="55"/>
  <c r="BN29" i="55" s="1"/>
  <c r="P29" i="57" s="1"/>
  <c r="B29" i="55"/>
  <c r="AG29" i="55" s="1"/>
  <c r="B29" i="57" s="1"/>
  <c r="A29" i="55"/>
  <c r="AF29" i="55" s="1"/>
  <c r="A29" i="57" s="1"/>
  <c r="JO28" i="55"/>
  <c r="JN28" i="55"/>
  <c r="JM28" i="55"/>
  <c r="JL28" i="55"/>
  <c r="JK28" i="55"/>
  <c r="JJ28" i="55"/>
  <c r="JI28" i="55"/>
  <c r="JH28" i="55"/>
  <c r="JG28" i="55"/>
  <c r="JF28" i="55"/>
  <c r="JE28" i="55"/>
  <c r="JD28" i="55"/>
  <c r="JC28" i="55"/>
  <c r="JB28" i="55"/>
  <c r="JA28" i="55"/>
  <c r="IZ28" i="55"/>
  <c r="IY28" i="55"/>
  <c r="IX28" i="55"/>
  <c r="IW28" i="55"/>
  <c r="IV28" i="55"/>
  <c r="IU28" i="55"/>
  <c r="IT28" i="55"/>
  <c r="IS28" i="55"/>
  <c r="IR28" i="55"/>
  <c r="IQ28" i="55"/>
  <c r="IP28" i="55"/>
  <c r="IO28" i="55"/>
  <c r="IN28" i="55"/>
  <c r="IM28" i="55"/>
  <c r="IL28" i="55"/>
  <c r="IK28" i="55"/>
  <c r="IJ28" i="55"/>
  <c r="II28" i="55"/>
  <c r="IH28" i="55"/>
  <c r="IG28" i="55"/>
  <c r="IF28" i="55"/>
  <c r="IE28" i="55"/>
  <c r="ID28" i="55"/>
  <c r="IC28" i="55"/>
  <c r="IB28" i="55"/>
  <c r="IA28" i="55"/>
  <c r="HZ28" i="55"/>
  <c r="HY28" i="55"/>
  <c r="HX28" i="55"/>
  <c r="HW28" i="55"/>
  <c r="HV28" i="55"/>
  <c r="HU28" i="55"/>
  <c r="HT28" i="55"/>
  <c r="HS28" i="55"/>
  <c r="HR28" i="55"/>
  <c r="HQ28" i="55"/>
  <c r="HP28" i="55"/>
  <c r="HO28" i="55"/>
  <c r="HN28" i="55"/>
  <c r="HM28" i="55"/>
  <c r="HL28" i="55"/>
  <c r="HI28" i="55"/>
  <c r="HH28" i="55"/>
  <c r="HG28" i="55"/>
  <c r="HF28" i="55"/>
  <c r="HE28" i="55"/>
  <c r="HD28" i="55"/>
  <c r="HC28" i="55"/>
  <c r="HB28" i="55"/>
  <c r="HA28" i="55"/>
  <c r="GY28" i="55"/>
  <c r="GX28" i="55"/>
  <c r="GW28" i="55"/>
  <c r="GV28" i="55"/>
  <c r="GU28" i="55"/>
  <c r="GT28" i="55"/>
  <c r="GS28" i="55"/>
  <c r="GR28" i="55"/>
  <c r="GQ28" i="55"/>
  <c r="GP28" i="55"/>
  <c r="GO28" i="55"/>
  <c r="GN28" i="55"/>
  <c r="GM28" i="55"/>
  <c r="GL28" i="55"/>
  <c r="GK28" i="55"/>
  <c r="GI28" i="55"/>
  <c r="GH28" i="55"/>
  <c r="GF28" i="55"/>
  <c r="GE28" i="55"/>
  <c r="GD28" i="55"/>
  <c r="GC28" i="55"/>
  <c r="GB28" i="55"/>
  <c r="GA28" i="55"/>
  <c r="FZ28" i="55"/>
  <c r="FY28" i="55"/>
  <c r="FW28" i="55"/>
  <c r="FV28" i="55"/>
  <c r="FU28" i="55"/>
  <c r="FT28" i="55"/>
  <c r="AD28" i="55"/>
  <c r="AA28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L28" i="55"/>
  <c r="BV28" i="55" s="1"/>
  <c r="X28" i="57" s="1"/>
  <c r="K28" i="55"/>
  <c r="BU28" i="55" s="1"/>
  <c r="W28" i="57" s="1"/>
  <c r="J28" i="55"/>
  <c r="AZ28" i="55" s="1"/>
  <c r="G28" i="55"/>
  <c r="BQ28" i="55" s="1"/>
  <c r="S28" i="57" s="1"/>
  <c r="F28" i="55"/>
  <c r="BP28" i="55" s="1"/>
  <c r="R28" i="57" s="1"/>
  <c r="E28" i="55"/>
  <c r="D28" i="55"/>
  <c r="BN28" i="55" s="1"/>
  <c r="P28" i="57" s="1"/>
  <c r="B28" i="55"/>
  <c r="AG28" i="55" s="1"/>
  <c r="B28" i="57" s="1"/>
  <c r="A28" i="55"/>
  <c r="AF28" i="55" s="1"/>
  <c r="A28" i="57" s="1"/>
  <c r="JO27" i="55"/>
  <c r="JN27" i="55"/>
  <c r="JM27" i="55"/>
  <c r="JL27" i="55"/>
  <c r="JK27" i="55"/>
  <c r="JJ27" i="55"/>
  <c r="JI27" i="55"/>
  <c r="JH27" i="55"/>
  <c r="JG27" i="55"/>
  <c r="JF27" i="55"/>
  <c r="JE27" i="55"/>
  <c r="JD27" i="55"/>
  <c r="JC27" i="55"/>
  <c r="JB27" i="55"/>
  <c r="JA27" i="55"/>
  <c r="IZ27" i="55"/>
  <c r="IY27" i="55"/>
  <c r="IX27" i="55"/>
  <c r="IW27" i="55"/>
  <c r="IV27" i="55"/>
  <c r="IU27" i="55"/>
  <c r="IT27" i="55"/>
  <c r="IS27" i="55"/>
  <c r="IR27" i="55"/>
  <c r="IQ27" i="55"/>
  <c r="IP27" i="55"/>
  <c r="IO27" i="55"/>
  <c r="IN27" i="55"/>
  <c r="IM27" i="55"/>
  <c r="IL27" i="55"/>
  <c r="IK27" i="55"/>
  <c r="IJ27" i="55"/>
  <c r="II27" i="55"/>
  <c r="IH27" i="55"/>
  <c r="IG27" i="55"/>
  <c r="IF27" i="55"/>
  <c r="IE27" i="55"/>
  <c r="ID27" i="55"/>
  <c r="IC27" i="55"/>
  <c r="IB27" i="55"/>
  <c r="IA27" i="55"/>
  <c r="HZ27" i="55"/>
  <c r="HY27" i="55"/>
  <c r="HX27" i="55"/>
  <c r="HW27" i="55"/>
  <c r="HV27" i="55"/>
  <c r="HU27" i="55"/>
  <c r="HT27" i="55"/>
  <c r="HS27" i="55"/>
  <c r="HR27" i="55"/>
  <c r="HQ27" i="55"/>
  <c r="HP27" i="55"/>
  <c r="HO27" i="55"/>
  <c r="HN27" i="55"/>
  <c r="HM27" i="55"/>
  <c r="HL27" i="55"/>
  <c r="HI27" i="55"/>
  <c r="HH27" i="55"/>
  <c r="HG27" i="55"/>
  <c r="HF27" i="55"/>
  <c r="HE27" i="55"/>
  <c r="HD27" i="55"/>
  <c r="HC27" i="55"/>
  <c r="HB27" i="55"/>
  <c r="HA27" i="55"/>
  <c r="GZ27" i="55"/>
  <c r="GY27" i="55"/>
  <c r="GX27" i="55"/>
  <c r="GW27" i="55"/>
  <c r="GV27" i="55"/>
  <c r="GU27" i="55"/>
  <c r="GT27" i="55"/>
  <c r="GS27" i="55"/>
  <c r="GQ27" i="55"/>
  <c r="GP27" i="55"/>
  <c r="GO27" i="55"/>
  <c r="GN27" i="55"/>
  <c r="GM27" i="55"/>
  <c r="GL27" i="55"/>
  <c r="GK27" i="55"/>
  <c r="GJ27" i="55"/>
  <c r="GI27" i="55"/>
  <c r="GH27" i="55"/>
  <c r="GG27" i="55"/>
  <c r="GF27" i="55"/>
  <c r="GE27" i="55"/>
  <c r="GD27" i="55"/>
  <c r="GC27" i="55"/>
  <c r="GB27" i="55"/>
  <c r="GA27" i="55"/>
  <c r="FZ27" i="55"/>
  <c r="FY27" i="55"/>
  <c r="FW27" i="55"/>
  <c r="FV27" i="55"/>
  <c r="FU27" i="55"/>
  <c r="FT27" i="55"/>
  <c r="AD27" i="55"/>
  <c r="AA27" i="55"/>
  <c r="Z27" i="55"/>
  <c r="Y27" i="55"/>
  <c r="X27" i="55"/>
  <c r="W27" i="55"/>
  <c r="V27" i="55"/>
  <c r="U27" i="55"/>
  <c r="T27" i="55"/>
  <c r="S27" i="55"/>
  <c r="R27" i="55"/>
  <c r="Q27" i="55"/>
  <c r="P27" i="55"/>
  <c r="O27" i="55"/>
  <c r="N27" i="55"/>
  <c r="L27" i="55"/>
  <c r="BV27" i="55" s="1"/>
  <c r="X27" i="57" s="1"/>
  <c r="K27" i="55"/>
  <c r="BA27" i="55" s="1"/>
  <c r="J27" i="55"/>
  <c r="BT27" i="55" s="1"/>
  <c r="V27" i="57" s="1"/>
  <c r="G27" i="55"/>
  <c r="BQ27" i="55" s="1"/>
  <c r="S27" i="57" s="1"/>
  <c r="F27" i="55"/>
  <c r="E27" i="55"/>
  <c r="BO27" i="55" s="1"/>
  <c r="Q27" i="57" s="1"/>
  <c r="D27" i="55"/>
  <c r="BN27" i="55" s="1"/>
  <c r="P27" i="57" s="1"/>
  <c r="B27" i="55"/>
  <c r="AG27" i="55" s="1"/>
  <c r="B27" i="57" s="1"/>
  <c r="A27" i="55"/>
  <c r="AF27" i="55" s="1"/>
  <c r="A27" i="57" s="1"/>
  <c r="JO26" i="55"/>
  <c r="JN26" i="55"/>
  <c r="JM26" i="55"/>
  <c r="JL26" i="55"/>
  <c r="JK26" i="55"/>
  <c r="JJ26" i="55"/>
  <c r="JI26" i="55"/>
  <c r="JH26" i="55"/>
  <c r="JG26" i="55"/>
  <c r="JF26" i="55"/>
  <c r="JE26" i="55"/>
  <c r="JD26" i="55"/>
  <c r="JC26" i="55"/>
  <c r="JB26" i="55"/>
  <c r="JA26" i="55"/>
  <c r="IZ26" i="55"/>
  <c r="IY26" i="55"/>
  <c r="IX26" i="55"/>
  <c r="IW26" i="55"/>
  <c r="IV26" i="55"/>
  <c r="IU26" i="55"/>
  <c r="IT26" i="55"/>
  <c r="IS26" i="55"/>
  <c r="IR26" i="55"/>
  <c r="IQ26" i="55"/>
  <c r="IP26" i="55"/>
  <c r="IO26" i="55"/>
  <c r="IN26" i="55"/>
  <c r="IM26" i="55"/>
  <c r="IL26" i="55"/>
  <c r="IK26" i="55"/>
  <c r="IJ26" i="55"/>
  <c r="II26" i="55"/>
  <c r="IH26" i="55"/>
  <c r="IG26" i="55"/>
  <c r="IF26" i="55"/>
  <c r="IE26" i="55"/>
  <c r="ID26" i="55"/>
  <c r="IC26" i="55"/>
  <c r="IB26" i="55"/>
  <c r="IA26" i="55"/>
  <c r="HZ26" i="55"/>
  <c r="HY26" i="55"/>
  <c r="HX26" i="55"/>
  <c r="HW26" i="55"/>
  <c r="HV26" i="55"/>
  <c r="HU26" i="55"/>
  <c r="HT26" i="55"/>
  <c r="HS26" i="55"/>
  <c r="HR26" i="55"/>
  <c r="HQ26" i="55"/>
  <c r="HP26" i="55"/>
  <c r="HO26" i="55"/>
  <c r="HN26" i="55"/>
  <c r="HM26" i="55"/>
  <c r="HL26" i="55"/>
  <c r="HI26" i="55"/>
  <c r="HH26" i="55"/>
  <c r="HG26" i="55"/>
  <c r="HF26" i="55"/>
  <c r="HE26" i="55"/>
  <c r="HD26" i="55"/>
  <c r="HC26" i="55"/>
  <c r="HB26" i="55"/>
  <c r="HA26" i="55"/>
  <c r="GY26" i="55"/>
  <c r="GX26" i="55"/>
  <c r="GW26" i="55"/>
  <c r="GV26" i="55"/>
  <c r="GU26" i="55"/>
  <c r="GT26" i="55"/>
  <c r="GS26" i="55"/>
  <c r="GR26" i="55"/>
  <c r="GQ26" i="55"/>
  <c r="GP26" i="55"/>
  <c r="GO26" i="55"/>
  <c r="GN26" i="55"/>
  <c r="GM26" i="55"/>
  <c r="GL26" i="55"/>
  <c r="GK26" i="55"/>
  <c r="GI26" i="55"/>
  <c r="GH26" i="55"/>
  <c r="GG26" i="55"/>
  <c r="GF26" i="55"/>
  <c r="GE26" i="55"/>
  <c r="GD26" i="55"/>
  <c r="GC26" i="55"/>
  <c r="GB26" i="55"/>
  <c r="GA26" i="55"/>
  <c r="FZ26" i="55"/>
  <c r="FY26" i="55"/>
  <c r="FW26" i="55"/>
  <c r="FV26" i="55"/>
  <c r="FU26" i="55"/>
  <c r="FT26" i="55"/>
  <c r="BT26" i="55"/>
  <c r="V26" i="57" s="1"/>
  <c r="BF26" i="55"/>
  <c r="H26" i="57" s="1"/>
  <c r="AD26" i="55"/>
  <c r="AA26" i="55"/>
  <c r="Z26" i="55"/>
  <c r="Y26" i="55"/>
  <c r="X26" i="55"/>
  <c r="W26" i="55"/>
  <c r="V26" i="55"/>
  <c r="U26" i="55"/>
  <c r="T26" i="55"/>
  <c r="S26" i="55"/>
  <c r="R26" i="55"/>
  <c r="Q26" i="55"/>
  <c r="P26" i="55"/>
  <c r="O26" i="55"/>
  <c r="N26" i="55"/>
  <c r="L26" i="55"/>
  <c r="BB26" i="55" s="1"/>
  <c r="K26" i="55"/>
  <c r="BU26" i="55" s="1"/>
  <c r="W26" i="57" s="1"/>
  <c r="J26" i="55"/>
  <c r="G26" i="55"/>
  <c r="F26" i="55"/>
  <c r="BP26" i="55" s="1"/>
  <c r="R26" i="57" s="1"/>
  <c r="E26" i="55"/>
  <c r="BO26" i="55" s="1"/>
  <c r="Q26" i="57" s="1"/>
  <c r="D26" i="55"/>
  <c r="AT26" i="55" s="1"/>
  <c r="B26" i="55"/>
  <c r="AG26" i="55" s="1"/>
  <c r="B26" i="57" s="1"/>
  <c r="A26" i="55"/>
  <c r="AF26" i="55" s="1"/>
  <c r="A26" i="57" s="1"/>
  <c r="JO25" i="55"/>
  <c r="JN25" i="55"/>
  <c r="JM25" i="55"/>
  <c r="JL25" i="55"/>
  <c r="JK25" i="55"/>
  <c r="JJ25" i="55"/>
  <c r="JI25" i="55"/>
  <c r="JH25" i="55"/>
  <c r="JG25" i="55"/>
  <c r="JF25" i="55"/>
  <c r="JE25" i="55"/>
  <c r="JD25" i="55"/>
  <c r="JC25" i="55"/>
  <c r="JB25" i="55"/>
  <c r="JA25" i="55"/>
  <c r="IZ25" i="55"/>
  <c r="IY25" i="55"/>
  <c r="IX25" i="55"/>
  <c r="IW25" i="55"/>
  <c r="IV25" i="55"/>
  <c r="IU25" i="55"/>
  <c r="IT25" i="55"/>
  <c r="IS25" i="55"/>
  <c r="IR25" i="55"/>
  <c r="IQ25" i="55"/>
  <c r="IP25" i="55"/>
  <c r="IO25" i="55"/>
  <c r="IN25" i="55"/>
  <c r="IM25" i="55"/>
  <c r="IL25" i="55"/>
  <c r="IK25" i="55"/>
  <c r="IJ25" i="55"/>
  <c r="II25" i="55"/>
  <c r="IH25" i="55"/>
  <c r="IG25" i="55"/>
  <c r="IF25" i="55"/>
  <c r="IE25" i="55"/>
  <c r="ID25" i="55"/>
  <c r="IC25" i="55"/>
  <c r="IB25" i="55"/>
  <c r="IA25" i="55"/>
  <c r="HZ25" i="55"/>
  <c r="HY25" i="55"/>
  <c r="HX25" i="55"/>
  <c r="HW25" i="55"/>
  <c r="HV25" i="55"/>
  <c r="HU25" i="55"/>
  <c r="HT25" i="55"/>
  <c r="HS25" i="55"/>
  <c r="HR25" i="55"/>
  <c r="HQ25" i="55"/>
  <c r="HP25" i="55"/>
  <c r="HO25" i="55"/>
  <c r="HN25" i="55"/>
  <c r="HM25" i="55"/>
  <c r="HL25" i="55"/>
  <c r="HI25" i="55"/>
  <c r="HH25" i="55"/>
  <c r="HG25" i="55"/>
  <c r="HF25" i="55"/>
  <c r="HE25" i="55"/>
  <c r="HD25" i="55"/>
  <c r="HC25" i="55"/>
  <c r="HB25" i="55"/>
  <c r="HA25" i="55"/>
  <c r="GY25" i="55"/>
  <c r="GX25" i="55"/>
  <c r="GW25" i="55"/>
  <c r="GV25" i="55"/>
  <c r="GU25" i="55"/>
  <c r="GT25" i="55"/>
  <c r="GS25" i="55"/>
  <c r="GR25" i="55"/>
  <c r="GQ25" i="55"/>
  <c r="GP25" i="55"/>
  <c r="GO25" i="55"/>
  <c r="GN25" i="55"/>
  <c r="GM25" i="55"/>
  <c r="GL25" i="55"/>
  <c r="GK25" i="55"/>
  <c r="GJ25" i="55"/>
  <c r="GI25" i="55"/>
  <c r="GH25" i="55"/>
  <c r="GF25" i="55"/>
  <c r="GE25" i="55"/>
  <c r="GD25" i="55"/>
  <c r="GC25" i="55"/>
  <c r="GB25" i="55"/>
  <c r="GA25" i="55"/>
  <c r="FZ25" i="55"/>
  <c r="FY25" i="55"/>
  <c r="FW25" i="55"/>
  <c r="FV25" i="55"/>
  <c r="FU25" i="55"/>
  <c r="FT25" i="55"/>
  <c r="AD25" i="55"/>
  <c r="AA25" i="55"/>
  <c r="Z25" i="55"/>
  <c r="Y25" i="55"/>
  <c r="X25" i="55"/>
  <c r="W25" i="55"/>
  <c r="V25" i="55"/>
  <c r="U25" i="55"/>
  <c r="T25" i="55"/>
  <c r="S25" i="55"/>
  <c r="R25" i="55"/>
  <c r="Q25" i="55"/>
  <c r="P25" i="55"/>
  <c r="O25" i="55"/>
  <c r="N25" i="55"/>
  <c r="L25" i="55"/>
  <c r="BV25" i="55" s="1"/>
  <c r="X25" i="57" s="1"/>
  <c r="K25" i="55"/>
  <c r="BA25" i="55" s="1"/>
  <c r="J25" i="55"/>
  <c r="AZ25" i="55" s="1"/>
  <c r="G25" i="55"/>
  <c r="BQ25" i="55" s="1"/>
  <c r="S25" i="57" s="1"/>
  <c r="F25" i="55"/>
  <c r="AV25" i="55" s="1"/>
  <c r="E25" i="55"/>
  <c r="BO25" i="55" s="1"/>
  <c r="Q25" i="57" s="1"/>
  <c r="D25" i="55"/>
  <c r="BN25" i="55" s="1"/>
  <c r="P25" i="57" s="1"/>
  <c r="B25" i="55"/>
  <c r="AG25" i="55" s="1"/>
  <c r="B25" i="57" s="1"/>
  <c r="A25" i="55"/>
  <c r="AF25" i="55" s="1"/>
  <c r="A25" i="57" s="1"/>
  <c r="JO24" i="55"/>
  <c r="JN24" i="55"/>
  <c r="JM24" i="55"/>
  <c r="JL24" i="55"/>
  <c r="JK24" i="55"/>
  <c r="JJ24" i="55"/>
  <c r="JI24" i="55"/>
  <c r="JH24" i="55"/>
  <c r="JG24" i="55"/>
  <c r="JF24" i="55"/>
  <c r="JE24" i="55"/>
  <c r="JD24" i="55"/>
  <c r="JC24" i="55"/>
  <c r="JB24" i="55"/>
  <c r="JA24" i="55"/>
  <c r="IZ24" i="55"/>
  <c r="IY24" i="55"/>
  <c r="IX24" i="55"/>
  <c r="IW24" i="55"/>
  <c r="IV24" i="55"/>
  <c r="IU24" i="55"/>
  <c r="IT24" i="55"/>
  <c r="IS24" i="55"/>
  <c r="IR24" i="55"/>
  <c r="IQ24" i="55"/>
  <c r="IP24" i="55"/>
  <c r="IO24" i="55"/>
  <c r="IN24" i="55"/>
  <c r="IM24" i="55"/>
  <c r="IL24" i="55"/>
  <c r="IK24" i="55"/>
  <c r="IJ24" i="55"/>
  <c r="II24" i="55"/>
  <c r="IH24" i="55"/>
  <c r="IG24" i="55"/>
  <c r="IF24" i="55"/>
  <c r="IE24" i="55"/>
  <c r="ID24" i="55"/>
  <c r="IC24" i="55"/>
  <c r="IB24" i="55"/>
  <c r="IA24" i="55"/>
  <c r="HZ24" i="55"/>
  <c r="HY24" i="55"/>
  <c r="HX24" i="55"/>
  <c r="HW24" i="55"/>
  <c r="HV24" i="55"/>
  <c r="HU24" i="55"/>
  <c r="HT24" i="55"/>
  <c r="HS24" i="55"/>
  <c r="HR24" i="55"/>
  <c r="HQ24" i="55"/>
  <c r="HP24" i="55"/>
  <c r="HO24" i="55"/>
  <c r="HN24" i="55"/>
  <c r="HM24" i="55"/>
  <c r="HL24" i="55"/>
  <c r="HI24" i="55"/>
  <c r="HH24" i="55"/>
  <c r="HG24" i="55"/>
  <c r="HF24" i="55"/>
  <c r="HE24" i="55"/>
  <c r="HD24" i="55"/>
  <c r="HC24" i="55"/>
  <c r="HB24" i="55"/>
  <c r="HA24" i="55"/>
  <c r="GY24" i="55"/>
  <c r="GX24" i="55"/>
  <c r="GW24" i="55"/>
  <c r="GV24" i="55"/>
  <c r="GU24" i="55"/>
  <c r="GT24" i="55"/>
  <c r="GS24" i="55"/>
  <c r="GR24" i="55"/>
  <c r="GQ24" i="55"/>
  <c r="GP24" i="55"/>
  <c r="GO24" i="55"/>
  <c r="GN24" i="55"/>
  <c r="GM24" i="55"/>
  <c r="GL24" i="55"/>
  <c r="GK24" i="55"/>
  <c r="GJ24" i="55"/>
  <c r="GI24" i="55"/>
  <c r="GH24" i="55"/>
  <c r="GF24" i="55"/>
  <c r="GE24" i="55"/>
  <c r="GD24" i="55"/>
  <c r="GC24" i="55"/>
  <c r="GB24" i="55"/>
  <c r="GA24" i="55"/>
  <c r="FZ24" i="55"/>
  <c r="FY24" i="55"/>
  <c r="FW24" i="55"/>
  <c r="FV24" i="55"/>
  <c r="FU24" i="55"/>
  <c r="FT24" i="55"/>
  <c r="AD24" i="55"/>
  <c r="AA24" i="55"/>
  <c r="Z24" i="55"/>
  <c r="Y24" i="55"/>
  <c r="X24" i="55"/>
  <c r="W24" i="55"/>
  <c r="V24" i="55"/>
  <c r="U24" i="55"/>
  <c r="T24" i="55"/>
  <c r="S24" i="55"/>
  <c r="R24" i="55"/>
  <c r="Q24" i="55"/>
  <c r="P24" i="55"/>
  <c r="O24" i="55"/>
  <c r="N24" i="55"/>
  <c r="L24" i="55"/>
  <c r="BB24" i="55" s="1"/>
  <c r="K24" i="55"/>
  <c r="BA24" i="55" s="1"/>
  <c r="J24" i="55"/>
  <c r="BT24" i="55" s="1"/>
  <c r="V24" i="57" s="1"/>
  <c r="G24" i="55"/>
  <c r="BQ24" i="55" s="1"/>
  <c r="S24" i="57" s="1"/>
  <c r="F24" i="55"/>
  <c r="BP24" i="55" s="1"/>
  <c r="R24" i="57" s="1"/>
  <c r="E24" i="55"/>
  <c r="BO24" i="55" s="1"/>
  <c r="Q24" i="57" s="1"/>
  <c r="D24" i="55"/>
  <c r="AT24" i="55" s="1"/>
  <c r="B24" i="55"/>
  <c r="AG24" i="55" s="1"/>
  <c r="B24" i="57" s="1"/>
  <c r="A24" i="55"/>
  <c r="AF24" i="55" s="1"/>
  <c r="A24" i="57" s="1"/>
  <c r="JO23" i="55"/>
  <c r="JN23" i="55"/>
  <c r="JM23" i="55"/>
  <c r="JL23" i="55"/>
  <c r="JK23" i="55"/>
  <c r="JJ23" i="55"/>
  <c r="JI23" i="55"/>
  <c r="JH23" i="55"/>
  <c r="JG23" i="55"/>
  <c r="JF23" i="55"/>
  <c r="JE23" i="55"/>
  <c r="JD23" i="55"/>
  <c r="JC23" i="55"/>
  <c r="JB23" i="55"/>
  <c r="JA23" i="55"/>
  <c r="IZ23" i="55"/>
  <c r="IY23" i="55"/>
  <c r="IX23" i="55"/>
  <c r="IW23" i="55"/>
  <c r="IV23" i="55"/>
  <c r="IU23" i="55"/>
  <c r="IT23" i="55"/>
  <c r="IS23" i="55"/>
  <c r="IR23" i="55"/>
  <c r="IQ23" i="55"/>
  <c r="IP23" i="55"/>
  <c r="IO23" i="55"/>
  <c r="IN23" i="55"/>
  <c r="IM23" i="55"/>
  <c r="IL23" i="55"/>
  <c r="IK23" i="55"/>
  <c r="IJ23" i="55"/>
  <c r="II23" i="55"/>
  <c r="IH23" i="55"/>
  <c r="IG23" i="55"/>
  <c r="IF23" i="55"/>
  <c r="IE23" i="55"/>
  <c r="ID23" i="55"/>
  <c r="IC23" i="55"/>
  <c r="IB23" i="55"/>
  <c r="IA23" i="55"/>
  <c r="HZ23" i="55"/>
  <c r="HY23" i="55"/>
  <c r="HX23" i="55"/>
  <c r="HW23" i="55"/>
  <c r="HV23" i="55"/>
  <c r="HU23" i="55"/>
  <c r="HT23" i="55"/>
  <c r="HS23" i="55"/>
  <c r="HR23" i="55"/>
  <c r="HQ23" i="55"/>
  <c r="HP23" i="55"/>
  <c r="HO23" i="55"/>
  <c r="HN23" i="55"/>
  <c r="HM23" i="55"/>
  <c r="HL23" i="55"/>
  <c r="HI23" i="55"/>
  <c r="HH23" i="55"/>
  <c r="HG23" i="55"/>
  <c r="HF23" i="55"/>
  <c r="HE23" i="55"/>
  <c r="HD23" i="55"/>
  <c r="HC23" i="55"/>
  <c r="HB23" i="55"/>
  <c r="HA23" i="55"/>
  <c r="GY23" i="55"/>
  <c r="GX23" i="55"/>
  <c r="GW23" i="55"/>
  <c r="GV23" i="55"/>
  <c r="GU23" i="55"/>
  <c r="GT23" i="55"/>
  <c r="GS23" i="55"/>
  <c r="GR23" i="55"/>
  <c r="GQ23" i="55"/>
  <c r="GP23" i="55"/>
  <c r="GO23" i="55"/>
  <c r="GN23" i="55"/>
  <c r="GM23" i="55"/>
  <c r="GL23" i="55"/>
  <c r="GK23" i="55"/>
  <c r="GJ23" i="55"/>
  <c r="GI23" i="55"/>
  <c r="GH23" i="55"/>
  <c r="GG23" i="55"/>
  <c r="GF23" i="55"/>
  <c r="GE23" i="55"/>
  <c r="GD23" i="55"/>
  <c r="GC23" i="55"/>
  <c r="GB23" i="55"/>
  <c r="GA23" i="55"/>
  <c r="FZ23" i="55"/>
  <c r="FY23" i="55"/>
  <c r="FW23" i="55"/>
  <c r="FV23" i="55"/>
  <c r="FU23" i="55"/>
  <c r="FT23" i="55"/>
  <c r="BE23" i="55"/>
  <c r="G23" i="57" s="1"/>
  <c r="AD23" i="55"/>
  <c r="AA23" i="55"/>
  <c r="Z23" i="55"/>
  <c r="Y23" i="55"/>
  <c r="X23" i="55"/>
  <c r="W23" i="55"/>
  <c r="V23" i="55"/>
  <c r="U23" i="55"/>
  <c r="T23" i="55"/>
  <c r="S23" i="55"/>
  <c r="R23" i="55"/>
  <c r="Q23" i="55"/>
  <c r="P23" i="55"/>
  <c r="O23" i="55"/>
  <c r="N23" i="55"/>
  <c r="L23" i="55"/>
  <c r="BB23" i="55" s="1"/>
  <c r="K23" i="55"/>
  <c r="BU23" i="55" s="1"/>
  <c r="W23" i="57" s="1"/>
  <c r="J23" i="55"/>
  <c r="BJ23" i="55" s="1"/>
  <c r="L23" i="57" s="1"/>
  <c r="G23" i="55"/>
  <c r="BQ23" i="55" s="1"/>
  <c r="S23" i="57" s="1"/>
  <c r="F23" i="55"/>
  <c r="BP23" i="55" s="1"/>
  <c r="R23" i="57" s="1"/>
  <c r="E23" i="55"/>
  <c r="AU23" i="55" s="1"/>
  <c r="D23" i="55"/>
  <c r="B23" i="55"/>
  <c r="AG23" i="55" s="1"/>
  <c r="B23" i="57" s="1"/>
  <c r="A23" i="55"/>
  <c r="AF23" i="55" s="1"/>
  <c r="A23" i="57" s="1"/>
  <c r="JO22" i="55"/>
  <c r="JN22" i="55"/>
  <c r="JM22" i="55"/>
  <c r="JL22" i="55"/>
  <c r="JK22" i="55"/>
  <c r="JJ22" i="55"/>
  <c r="JI22" i="55"/>
  <c r="JH22" i="55"/>
  <c r="JG22" i="55"/>
  <c r="JF22" i="55"/>
  <c r="JE22" i="55"/>
  <c r="JD22" i="55"/>
  <c r="JC22" i="55"/>
  <c r="JB22" i="55"/>
  <c r="JA22" i="55"/>
  <c r="IZ22" i="55"/>
  <c r="IY22" i="55"/>
  <c r="IX22" i="55"/>
  <c r="IW22" i="55"/>
  <c r="IV22" i="55"/>
  <c r="IU22" i="55"/>
  <c r="IT22" i="55"/>
  <c r="IS22" i="55"/>
  <c r="IR22" i="55"/>
  <c r="IQ22" i="55"/>
  <c r="IP22" i="55"/>
  <c r="IO22" i="55"/>
  <c r="IN22" i="55"/>
  <c r="IM22" i="55"/>
  <c r="IL22" i="55"/>
  <c r="IK22" i="55"/>
  <c r="IJ22" i="55"/>
  <c r="II22" i="55"/>
  <c r="IH22" i="55"/>
  <c r="IG22" i="55"/>
  <c r="IF22" i="55"/>
  <c r="IE22" i="55"/>
  <c r="ID22" i="55"/>
  <c r="IC22" i="55"/>
  <c r="IB22" i="55"/>
  <c r="IA22" i="55"/>
  <c r="HZ22" i="55"/>
  <c r="HY22" i="55"/>
  <c r="HX22" i="55"/>
  <c r="HW22" i="55"/>
  <c r="HV22" i="55"/>
  <c r="HU22" i="55"/>
  <c r="HT22" i="55"/>
  <c r="HS22" i="55"/>
  <c r="HR22" i="55"/>
  <c r="HQ22" i="55"/>
  <c r="HP22" i="55"/>
  <c r="HN22" i="55"/>
  <c r="HM22" i="55"/>
  <c r="HL22" i="55"/>
  <c r="HJ22" i="55"/>
  <c r="HI22" i="55"/>
  <c r="HH22" i="55"/>
  <c r="HG22" i="55"/>
  <c r="HF22" i="55"/>
  <c r="HE22" i="55"/>
  <c r="HD22" i="55"/>
  <c r="HC22" i="55"/>
  <c r="HB22" i="55"/>
  <c r="HA22" i="55"/>
  <c r="GY22" i="55"/>
  <c r="GX22" i="55"/>
  <c r="GW22" i="55"/>
  <c r="GV22" i="55"/>
  <c r="GU22" i="55"/>
  <c r="GT22" i="55"/>
  <c r="GS22" i="55"/>
  <c r="GR22" i="55"/>
  <c r="GQ22" i="55"/>
  <c r="GP22" i="55"/>
  <c r="GO22" i="55"/>
  <c r="GN22" i="55"/>
  <c r="GM22" i="55"/>
  <c r="GL22" i="55"/>
  <c r="GK22" i="55"/>
  <c r="GI22" i="55"/>
  <c r="GH22" i="55"/>
  <c r="GF22" i="55"/>
  <c r="GE22" i="55"/>
  <c r="GD22" i="55"/>
  <c r="GC22" i="55"/>
  <c r="GB22" i="55"/>
  <c r="GA22" i="55"/>
  <c r="FZ22" i="55"/>
  <c r="FY22" i="55"/>
  <c r="FW22" i="55"/>
  <c r="FV22" i="55"/>
  <c r="FU22" i="55"/>
  <c r="FT22" i="55"/>
  <c r="BF22" i="55"/>
  <c r="H22" i="57" s="1"/>
  <c r="AD22" i="55"/>
  <c r="AA22" i="55"/>
  <c r="Z22" i="55"/>
  <c r="Y22" i="55"/>
  <c r="X22" i="55"/>
  <c r="W22" i="55"/>
  <c r="V22" i="55"/>
  <c r="U22" i="55"/>
  <c r="T22" i="55"/>
  <c r="S22" i="55"/>
  <c r="R22" i="55"/>
  <c r="Q22" i="55"/>
  <c r="P22" i="55"/>
  <c r="O22" i="55"/>
  <c r="N22" i="55"/>
  <c r="L22" i="55"/>
  <c r="BV22" i="55" s="1"/>
  <c r="X22" i="57" s="1"/>
  <c r="K22" i="55"/>
  <c r="BK22" i="55" s="1"/>
  <c r="M22" i="57" s="1"/>
  <c r="J22" i="55"/>
  <c r="BT22" i="55" s="1"/>
  <c r="V22" i="57" s="1"/>
  <c r="G22" i="55"/>
  <c r="BQ22" i="55" s="1"/>
  <c r="S22" i="57" s="1"/>
  <c r="F22" i="55"/>
  <c r="AV22" i="55" s="1"/>
  <c r="E22" i="55"/>
  <c r="AU22" i="55" s="1"/>
  <c r="D22" i="55"/>
  <c r="B22" i="55"/>
  <c r="AG22" i="55" s="1"/>
  <c r="B22" i="57" s="1"/>
  <c r="A22" i="55"/>
  <c r="AF22" i="55" s="1"/>
  <c r="A22" i="57" s="1"/>
  <c r="JO21" i="55"/>
  <c r="JN21" i="55"/>
  <c r="JM21" i="55"/>
  <c r="JL21" i="55"/>
  <c r="JK21" i="55"/>
  <c r="JJ21" i="55"/>
  <c r="JI21" i="55"/>
  <c r="JH21" i="55"/>
  <c r="JG21" i="55"/>
  <c r="JF21" i="55"/>
  <c r="JE21" i="55"/>
  <c r="JD21" i="55"/>
  <c r="JC21" i="55"/>
  <c r="JB21" i="55"/>
  <c r="JA21" i="55"/>
  <c r="IZ21" i="55"/>
  <c r="IY21" i="55"/>
  <c r="IX21" i="55"/>
  <c r="IW21" i="55"/>
  <c r="IV21" i="55"/>
  <c r="IU21" i="55"/>
  <c r="IT21" i="55"/>
  <c r="IS21" i="55"/>
  <c r="IR21" i="55"/>
  <c r="IQ21" i="55"/>
  <c r="IP21" i="55"/>
  <c r="IO21" i="55"/>
  <c r="IN21" i="55"/>
  <c r="IM21" i="55"/>
  <c r="IL21" i="55"/>
  <c r="IK21" i="55"/>
  <c r="IJ21" i="55"/>
  <c r="II21" i="55"/>
  <c r="IH21" i="55"/>
  <c r="IG21" i="55"/>
  <c r="IF21" i="55"/>
  <c r="IE21" i="55"/>
  <c r="ID21" i="55"/>
  <c r="IC21" i="55"/>
  <c r="IB21" i="55"/>
  <c r="IA21" i="55"/>
  <c r="HZ21" i="55"/>
  <c r="HY21" i="55"/>
  <c r="HX21" i="55"/>
  <c r="HW21" i="55"/>
  <c r="HV21" i="55"/>
  <c r="HU21" i="55"/>
  <c r="HT21" i="55"/>
  <c r="HS21" i="55"/>
  <c r="HR21" i="55"/>
  <c r="HQ21" i="55"/>
  <c r="HP21" i="55"/>
  <c r="HO21" i="55"/>
  <c r="HN21" i="55"/>
  <c r="HM21" i="55"/>
  <c r="HL21" i="55"/>
  <c r="HJ21" i="55"/>
  <c r="HI21" i="55"/>
  <c r="HH21" i="55"/>
  <c r="HG21" i="55"/>
  <c r="HF21" i="55"/>
  <c r="HE21" i="55"/>
  <c r="HD21" i="55"/>
  <c r="HC21" i="55"/>
  <c r="HB21" i="55"/>
  <c r="HA21" i="55"/>
  <c r="GZ21" i="55"/>
  <c r="GY21" i="55"/>
  <c r="GX21" i="55"/>
  <c r="GW21" i="55"/>
  <c r="GV21" i="55"/>
  <c r="GU21" i="55"/>
  <c r="GT21" i="55"/>
  <c r="GS21" i="55"/>
  <c r="GR21" i="55"/>
  <c r="GQ21" i="55"/>
  <c r="GP21" i="55"/>
  <c r="GO21" i="55"/>
  <c r="GN21" i="55"/>
  <c r="GM21" i="55"/>
  <c r="GK21" i="55"/>
  <c r="GJ21" i="55"/>
  <c r="GI21" i="55"/>
  <c r="GH21" i="55"/>
  <c r="GF21" i="55"/>
  <c r="GE21" i="55"/>
  <c r="GD21" i="55"/>
  <c r="GC21" i="55"/>
  <c r="GB21" i="55"/>
  <c r="GA21" i="55"/>
  <c r="FZ21" i="55"/>
  <c r="FY21" i="55"/>
  <c r="FW21" i="55"/>
  <c r="FV21" i="55"/>
  <c r="FU21" i="55"/>
  <c r="FT21" i="55"/>
  <c r="AD21" i="55"/>
  <c r="AA21" i="55"/>
  <c r="Z21" i="55"/>
  <c r="Y21" i="55"/>
  <c r="X21" i="55"/>
  <c r="W21" i="55"/>
  <c r="V21" i="55"/>
  <c r="U21" i="55"/>
  <c r="T21" i="55"/>
  <c r="S21" i="55"/>
  <c r="R21" i="55"/>
  <c r="Q21" i="55"/>
  <c r="P21" i="55"/>
  <c r="O21" i="55"/>
  <c r="N21" i="55"/>
  <c r="L21" i="55"/>
  <c r="BL21" i="55" s="1"/>
  <c r="N21" i="57" s="1"/>
  <c r="K21" i="55"/>
  <c r="BU21" i="55" s="1"/>
  <c r="W21" i="57" s="1"/>
  <c r="J21" i="55"/>
  <c r="BT21" i="55" s="1"/>
  <c r="V21" i="57" s="1"/>
  <c r="G21" i="55"/>
  <c r="AW21" i="55" s="1"/>
  <c r="F21" i="55"/>
  <c r="AV21" i="55" s="1"/>
  <c r="E21" i="55"/>
  <c r="BO21" i="55" s="1"/>
  <c r="Q21" i="57" s="1"/>
  <c r="D21" i="55"/>
  <c r="BD21" i="55" s="1"/>
  <c r="F21" i="57" s="1"/>
  <c r="B21" i="55"/>
  <c r="AG21" i="55" s="1"/>
  <c r="B21" i="57" s="1"/>
  <c r="A21" i="55"/>
  <c r="AF21" i="55" s="1"/>
  <c r="A21" i="57" s="1"/>
  <c r="JO20" i="55"/>
  <c r="JN20" i="55"/>
  <c r="JM20" i="55"/>
  <c r="JL20" i="55"/>
  <c r="JK20" i="55"/>
  <c r="JJ20" i="55"/>
  <c r="JI20" i="55"/>
  <c r="JH20" i="55"/>
  <c r="JG20" i="55"/>
  <c r="JF20" i="55"/>
  <c r="JE20" i="55"/>
  <c r="JD20" i="55"/>
  <c r="JC20" i="55"/>
  <c r="JB20" i="55"/>
  <c r="JA20" i="55"/>
  <c r="IZ20" i="55"/>
  <c r="IY20" i="55"/>
  <c r="IX20" i="55"/>
  <c r="IW20" i="55"/>
  <c r="IV20" i="55"/>
  <c r="IU20" i="55"/>
  <c r="IT20" i="55"/>
  <c r="IS20" i="55"/>
  <c r="IR20" i="55"/>
  <c r="IQ20" i="55"/>
  <c r="IP20" i="55"/>
  <c r="IO20" i="55"/>
  <c r="IN20" i="55"/>
  <c r="IM20" i="55"/>
  <c r="IL20" i="55"/>
  <c r="IK20" i="55"/>
  <c r="IJ20" i="55"/>
  <c r="II20" i="55"/>
  <c r="IH20" i="55"/>
  <c r="IG20" i="55"/>
  <c r="IF20" i="55"/>
  <c r="IE20" i="55"/>
  <c r="ID20" i="55"/>
  <c r="IC20" i="55"/>
  <c r="IB20" i="55"/>
  <c r="IA20" i="55"/>
  <c r="HZ20" i="55"/>
  <c r="HY20" i="55"/>
  <c r="HX20" i="55"/>
  <c r="HW20" i="55"/>
  <c r="HV20" i="55"/>
  <c r="HU20" i="55"/>
  <c r="HT20" i="55"/>
  <c r="HS20" i="55"/>
  <c r="HR20" i="55"/>
  <c r="HQ20" i="55"/>
  <c r="HP20" i="55"/>
  <c r="HO20" i="55"/>
  <c r="HN20" i="55"/>
  <c r="HM20" i="55"/>
  <c r="HL20" i="55"/>
  <c r="HI20" i="55"/>
  <c r="HH20" i="55"/>
  <c r="HG20" i="55"/>
  <c r="HF20" i="55"/>
  <c r="HE20" i="55"/>
  <c r="HD20" i="55"/>
  <c r="HC20" i="55"/>
  <c r="HB20" i="55"/>
  <c r="HA20" i="55"/>
  <c r="GZ20" i="55"/>
  <c r="GY20" i="55"/>
  <c r="GX20" i="55"/>
  <c r="GW20" i="55"/>
  <c r="GV20" i="55"/>
  <c r="GU20" i="55"/>
  <c r="GT20" i="55"/>
  <c r="GS20" i="55"/>
  <c r="GR20" i="55"/>
  <c r="GQ20" i="55"/>
  <c r="GP20" i="55"/>
  <c r="GO20" i="55"/>
  <c r="GN20" i="55"/>
  <c r="GM20" i="55"/>
  <c r="GL20" i="55"/>
  <c r="GJ20" i="55"/>
  <c r="GI20" i="55"/>
  <c r="GH20" i="55"/>
  <c r="GG20" i="55"/>
  <c r="GF20" i="55"/>
  <c r="GE20" i="55"/>
  <c r="GD20" i="55"/>
  <c r="GC20" i="55"/>
  <c r="GB20" i="55"/>
  <c r="GA20" i="55"/>
  <c r="FZ20" i="55"/>
  <c r="FY20" i="55"/>
  <c r="FW20" i="55"/>
  <c r="FV20" i="55"/>
  <c r="FU20" i="55"/>
  <c r="FT20" i="55"/>
  <c r="AD20" i="55"/>
  <c r="AA20" i="55"/>
  <c r="Z20" i="55"/>
  <c r="Y20" i="55"/>
  <c r="X20" i="55"/>
  <c r="W20" i="55"/>
  <c r="V20" i="55"/>
  <c r="U20" i="55"/>
  <c r="T20" i="55"/>
  <c r="S20" i="55"/>
  <c r="R20" i="55"/>
  <c r="Q20" i="55"/>
  <c r="P20" i="55"/>
  <c r="O20" i="55"/>
  <c r="N20" i="55"/>
  <c r="L20" i="55"/>
  <c r="BV20" i="55" s="1"/>
  <c r="X20" i="57" s="1"/>
  <c r="K20" i="55"/>
  <c r="BU20" i="55" s="1"/>
  <c r="W20" i="57" s="1"/>
  <c r="J20" i="55"/>
  <c r="BT20" i="55" s="1"/>
  <c r="V20" i="57" s="1"/>
  <c r="G20" i="55"/>
  <c r="AW20" i="55" s="1"/>
  <c r="F20" i="55"/>
  <c r="E20" i="55"/>
  <c r="BE20" i="55" s="1"/>
  <c r="G20" i="57" s="1"/>
  <c r="D20" i="55"/>
  <c r="BN20" i="55" s="1"/>
  <c r="P20" i="57" s="1"/>
  <c r="B20" i="55"/>
  <c r="AG20" i="55" s="1"/>
  <c r="B20" i="57" s="1"/>
  <c r="A20" i="55"/>
  <c r="AF20" i="55" s="1"/>
  <c r="A20" i="57" s="1"/>
  <c r="JO19" i="55"/>
  <c r="JN19" i="55"/>
  <c r="JM19" i="55"/>
  <c r="JL19" i="55"/>
  <c r="JK19" i="55"/>
  <c r="JJ19" i="55"/>
  <c r="JI19" i="55"/>
  <c r="JH19" i="55"/>
  <c r="JG19" i="55"/>
  <c r="JF19" i="55"/>
  <c r="JE19" i="55"/>
  <c r="JD19" i="55"/>
  <c r="JC19" i="55"/>
  <c r="JB19" i="55"/>
  <c r="JA19" i="55"/>
  <c r="IZ19" i="55"/>
  <c r="IY19" i="55"/>
  <c r="IX19" i="55"/>
  <c r="IW19" i="55"/>
  <c r="IV19" i="55"/>
  <c r="IU19" i="55"/>
  <c r="IT19" i="55"/>
  <c r="IS19" i="55"/>
  <c r="IR19" i="55"/>
  <c r="IQ19" i="55"/>
  <c r="IP19" i="55"/>
  <c r="IO19" i="55"/>
  <c r="IN19" i="55"/>
  <c r="IM19" i="55"/>
  <c r="IL19" i="55"/>
  <c r="IK19" i="55"/>
  <c r="IJ19" i="55"/>
  <c r="II19" i="55"/>
  <c r="IH19" i="55"/>
  <c r="IG19" i="55"/>
  <c r="IF19" i="55"/>
  <c r="IE19" i="55"/>
  <c r="ID19" i="55"/>
  <c r="IC19" i="55"/>
  <c r="IB19" i="55"/>
  <c r="IA19" i="55"/>
  <c r="HZ19" i="55"/>
  <c r="HY19" i="55"/>
  <c r="HX19" i="55"/>
  <c r="HW19" i="55"/>
  <c r="HV19" i="55"/>
  <c r="HU19" i="55"/>
  <c r="HT19" i="55"/>
  <c r="HS19" i="55"/>
  <c r="HR19" i="55"/>
  <c r="HQ19" i="55"/>
  <c r="HP19" i="55"/>
  <c r="HO19" i="55"/>
  <c r="HN19" i="55"/>
  <c r="HM19" i="55"/>
  <c r="HL19" i="55"/>
  <c r="HI19" i="55"/>
  <c r="HH19" i="55"/>
  <c r="HG19" i="55"/>
  <c r="HF19" i="55"/>
  <c r="HE19" i="55"/>
  <c r="HD19" i="55"/>
  <c r="HC19" i="55"/>
  <c r="HB19" i="55"/>
  <c r="HA19" i="55"/>
  <c r="GZ19" i="55"/>
  <c r="GY19" i="55"/>
  <c r="GX19" i="55"/>
  <c r="GW19" i="55"/>
  <c r="GV19" i="55"/>
  <c r="GU19" i="55"/>
  <c r="GT19" i="55"/>
  <c r="GS19" i="55"/>
  <c r="GR19" i="55"/>
  <c r="GQ19" i="55"/>
  <c r="GP19" i="55"/>
  <c r="GO19" i="55"/>
  <c r="GN19" i="55"/>
  <c r="GM19" i="55"/>
  <c r="GL19" i="55"/>
  <c r="GK19" i="55"/>
  <c r="GI19" i="55"/>
  <c r="GH19" i="55"/>
  <c r="GG19" i="55"/>
  <c r="GF19" i="55"/>
  <c r="GE19" i="55"/>
  <c r="GD19" i="55"/>
  <c r="GC19" i="55"/>
  <c r="GB19" i="55"/>
  <c r="GA19" i="55"/>
  <c r="FZ19" i="55"/>
  <c r="FY19" i="55"/>
  <c r="FW19" i="55"/>
  <c r="FV19" i="55"/>
  <c r="FU19" i="55"/>
  <c r="FT19" i="55"/>
  <c r="AD19" i="55"/>
  <c r="AA19" i="55"/>
  <c r="Z19" i="55"/>
  <c r="Y19" i="55"/>
  <c r="X19" i="55"/>
  <c r="W19" i="55"/>
  <c r="V19" i="55"/>
  <c r="U19" i="55"/>
  <c r="T19" i="55"/>
  <c r="S19" i="55"/>
  <c r="R19" i="55"/>
  <c r="Q19" i="55"/>
  <c r="P19" i="55"/>
  <c r="O19" i="55"/>
  <c r="N19" i="55"/>
  <c r="L19" i="55"/>
  <c r="BV19" i="55" s="1"/>
  <c r="X19" i="57" s="1"/>
  <c r="K19" i="55"/>
  <c r="BU19" i="55" s="1"/>
  <c r="W19" i="57" s="1"/>
  <c r="J19" i="55"/>
  <c r="BT19" i="55" s="1"/>
  <c r="V19" i="57" s="1"/>
  <c r="G19" i="55"/>
  <c r="BQ19" i="55" s="1"/>
  <c r="S19" i="57" s="1"/>
  <c r="F19" i="55"/>
  <c r="BF19" i="55" s="1"/>
  <c r="H19" i="57" s="1"/>
  <c r="E19" i="55"/>
  <c r="BO19" i="55" s="1"/>
  <c r="Q19" i="57" s="1"/>
  <c r="D19" i="55"/>
  <c r="BN19" i="55" s="1"/>
  <c r="P19" i="57" s="1"/>
  <c r="B19" i="55"/>
  <c r="AG19" i="55" s="1"/>
  <c r="B19" i="57" s="1"/>
  <c r="A19" i="55"/>
  <c r="AF19" i="55" s="1"/>
  <c r="A19" i="57" s="1"/>
  <c r="JO18" i="55"/>
  <c r="JN18" i="55"/>
  <c r="JM18" i="55"/>
  <c r="JL18" i="55"/>
  <c r="JK18" i="55"/>
  <c r="JJ18" i="55"/>
  <c r="JI18" i="55"/>
  <c r="JH18" i="55"/>
  <c r="JG18" i="55"/>
  <c r="JF18" i="55"/>
  <c r="JE18" i="55"/>
  <c r="JD18" i="55"/>
  <c r="JC18" i="55"/>
  <c r="JB18" i="55"/>
  <c r="JA18" i="55"/>
  <c r="IZ18" i="55"/>
  <c r="IY18" i="55"/>
  <c r="IX18" i="55"/>
  <c r="IW18" i="55"/>
  <c r="IV18" i="55"/>
  <c r="IU18" i="55"/>
  <c r="IT18" i="55"/>
  <c r="IS18" i="55"/>
  <c r="IR18" i="55"/>
  <c r="IQ18" i="55"/>
  <c r="IP18" i="55"/>
  <c r="IO18" i="55"/>
  <c r="IN18" i="55"/>
  <c r="IM18" i="55"/>
  <c r="IL18" i="55"/>
  <c r="IK18" i="55"/>
  <c r="IJ18" i="55"/>
  <c r="II18" i="55"/>
  <c r="IH18" i="55"/>
  <c r="IG18" i="55"/>
  <c r="IF18" i="55"/>
  <c r="IE18" i="55"/>
  <c r="ID18" i="55"/>
  <c r="IC18" i="55"/>
  <c r="IB18" i="55"/>
  <c r="IA18" i="55"/>
  <c r="HZ18" i="55"/>
  <c r="HY18" i="55"/>
  <c r="HX18" i="55"/>
  <c r="HW18" i="55"/>
  <c r="HV18" i="55"/>
  <c r="HU18" i="55"/>
  <c r="HT18" i="55"/>
  <c r="HS18" i="55"/>
  <c r="HR18" i="55"/>
  <c r="HQ18" i="55"/>
  <c r="HP18" i="55"/>
  <c r="HN18" i="55"/>
  <c r="HM18" i="55"/>
  <c r="HL18" i="55"/>
  <c r="HI18" i="55"/>
  <c r="HH18" i="55"/>
  <c r="HG18" i="55"/>
  <c r="HF18" i="55"/>
  <c r="HE18" i="55"/>
  <c r="HD18" i="55"/>
  <c r="HC18" i="55"/>
  <c r="HB18" i="55"/>
  <c r="HA18" i="55"/>
  <c r="GY18" i="55"/>
  <c r="GX18" i="55"/>
  <c r="GW18" i="55"/>
  <c r="GV18" i="55"/>
  <c r="GU18" i="55"/>
  <c r="GT18" i="55"/>
  <c r="GS18" i="55"/>
  <c r="GR18" i="55"/>
  <c r="GQ18" i="55"/>
  <c r="GP18" i="55"/>
  <c r="GO18" i="55"/>
  <c r="GN18" i="55"/>
  <c r="GM18" i="55"/>
  <c r="GL18" i="55"/>
  <c r="GK18" i="55"/>
  <c r="GI18" i="55"/>
  <c r="GH18" i="55"/>
  <c r="GG18" i="55"/>
  <c r="GF18" i="55"/>
  <c r="GE18" i="55"/>
  <c r="GD18" i="55"/>
  <c r="GC18" i="55"/>
  <c r="GB18" i="55"/>
  <c r="GA18" i="55"/>
  <c r="FZ18" i="55"/>
  <c r="FY18" i="55"/>
  <c r="FW18" i="55"/>
  <c r="FV18" i="55"/>
  <c r="FU18" i="55"/>
  <c r="FT18" i="55"/>
  <c r="AD18" i="55"/>
  <c r="AA18" i="55"/>
  <c r="Z18" i="55"/>
  <c r="Y18" i="55"/>
  <c r="X18" i="55"/>
  <c r="W18" i="55"/>
  <c r="V18" i="55"/>
  <c r="U18" i="55"/>
  <c r="T18" i="55"/>
  <c r="S18" i="55"/>
  <c r="R18" i="55"/>
  <c r="Q18" i="55"/>
  <c r="P18" i="55"/>
  <c r="O18" i="55"/>
  <c r="N18" i="55"/>
  <c r="L18" i="55"/>
  <c r="BV18" i="55" s="1"/>
  <c r="X18" i="57" s="1"/>
  <c r="K18" i="55"/>
  <c r="BU18" i="55" s="1"/>
  <c r="W18" i="57" s="1"/>
  <c r="J18" i="55"/>
  <c r="AZ18" i="55" s="1"/>
  <c r="G18" i="55"/>
  <c r="BG18" i="55" s="1"/>
  <c r="I18" i="57" s="1"/>
  <c r="F18" i="55"/>
  <c r="BP18" i="55" s="1"/>
  <c r="R18" i="57" s="1"/>
  <c r="E18" i="55"/>
  <c r="BO18" i="55" s="1"/>
  <c r="Q18" i="57" s="1"/>
  <c r="D18" i="55"/>
  <c r="BN18" i="55" s="1"/>
  <c r="P18" i="57" s="1"/>
  <c r="B18" i="55"/>
  <c r="AG18" i="55" s="1"/>
  <c r="B18" i="57" s="1"/>
  <c r="A18" i="55"/>
  <c r="AF18" i="55" s="1"/>
  <c r="A18" i="57" s="1"/>
  <c r="JO17" i="55"/>
  <c r="JN17" i="55"/>
  <c r="JM17" i="55"/>
  <c r="JL17" i="55"/>
  <c r="JK17" i="55"/>
  <c r="JJ17" i="55"/>
  <c r="JI17" i="55"/>
  <c r="JH17" i="55"/>
  <c r="JG17" i="55"/>
  <c r="JF17" i="55"/>
  <c r="JE17" i="55"/>
  <c r="JD17" i="55"/>
  <c r="JC17" i="55"/>
  <c r="JB17" i="55"/>
  <c r="JA17" i="55"/>
  <c r="IZ17" i="55"/>
  <c r="IY17" i="55"/>
  <c r="IX17" i="55"/>
  <c r="IW17" i="55"/>
  <c r="IV17" i="55"/>
  <c r="IU17" i="55"/>
  <c r="IT17" i="55"/>
  <c r="IS17" i="55"/>
  <c r="IR17" i="55"/>
  <c r="IQ17" i="55"/>
  <c r="IP17" i="55"/>
  <c r="IO17" i="55"/>
  <c r="IN17" i="55"/>
  <c r="IM17" i="55"/>
  <c r="IL17" i="55"/>
  <c r="IK17" i="55"/>
  <c r="IJ17" i="55"/>
  <c r="II17" i="55"/>
  <c r="IH17" i="55"/>
  <c r="IG17" i="55"/>
  <c r="IF17" i="55"/>
  <c r="IE17" i="55"/>
  <c r="ID17" i="55"/>
  <c r="IC17" i="55"/>
  <c r="IB17" i="55"/>
  <c r="IA17" i="55"/>
  <c r="HZ17" i="55"/>
  <c r="HY17" i="55"/>
  <c r="HX17" i="55"/>
  <c r="HW17" i="55"/>
  <c r="HV17" i="55"/>
  <c r="HU17" i="55"/>
  <c r="HT17" i="55"/>
  <c r="HS17" i="55"/>
  <c r="HR17" i="55"/>
  <c r="HQ17" i="55"/>
  <c r="HP17" i="55"/>
  <c r="HO17" i="55"/>
  <c r="HN17" i="55"/>
  <c r="HM17" i="55"/>
  <c r="HL17" i="55"/>
  <c r="HI17" i="55"/>
  <c r="HH17" i="55"/>
  <c r="HG17" i="55"/>
  <c r="HF17" i="55"/>
  <c r="HE17" i="55"/>
  <c r="HD17" i="55"/>
  <c r="HC17" i="55"/>
  <c r="HB17" i="55"/>
  <c r="HA17" i="55"/>
  <c r="GY17" i="55"/>
  <c r="GX17" i="55"/>
  <c r="GW17" i="55"/>
  <c r="GV17" i="55"/>
  <c r="GU17" i="55"/>
  <c r="GT17" i="55"/>
  <c r="GS17" i="55"/>
  <c r="GR17" i="55"/>
  <c r="GQ17" i="55"/>
  <c r="GP17" i="55"/>
  <c r="GO17" i="55"/>
  <c r="GN17" i="55"/>
  <c r="GM17" i="55"/>
  <c r="GL17" i="55"/>
  <c r="GK17" i="55"/>
  <c r="GJ17" i="55"/>
  <c r="GI17" i="55"/>
  <c r="GH17" i="55"/>
  <c r="GG17" i="55"/>
  <c r="GF17" i="55"/>
  <c r="GE17" i="55"/>
  <c r="GD17" i="55"/>
  <c r="GC17" i="55"/>
  <c r="GB17" i="55"/>
  <c r="GA17" i="55"/>
  <c r="FZ17" i="55"/>
  <c r="FY17" i="55"/>
  <c r="FW17" i="55"/>
  <c r="FV17" i="55"/>
  <c r="FU17" i="55"/>
  <c r="FT17" i="55"/>
  <c r="AD17" i="55"/>
  <c r="AA17" i="55"/>
  <c r="Z17" i="55"/>
  <c r="Y17" i="55"/>
  <c r="X17" i="55"/>
  <c r="W17" i="55"/>
  <c r="V17" i="55"/>
  <c r="U17" i="55"/>
  <c r="T17" i="55"/>
  <c r="S17" i="55"/>
  <c r="R17" i="55"/>
  <c r="Q17" i="55"/>
  <c r="P17" i="55"/>
  <c r="O17" i="55"/>
  <c r="N17" i="55"/>
  <c r="L17" i="55"/>
  <c r="BV17" i="55" s="1"/>
  <c r="X17" i="57" s="1"/>
  <c r="K17" i="55"/>
  <c r="BA17" i="55" s="1"/>
  <c r="J17" i="55"/>
  <c r="AZ17" i="55" s="1"/>
  <c r="G17" i="55"/>
  <c r="BQ17" i="55" s="1"/>
  <c r="S17" i="57" s="1"/>
  <c r="F17" i="55"/>
  <c r="BP17" i="55" s="1"/>
  <c r="R17" i="57" s="1"/>
  <c r="E17" i="55"/>
  <c r="BO17" i="55" s="1"/>
  <c r="Q17" i="57" s="1"/>
  <c r="D17" i="55"/>
  <c r="B17" i="55"/>
  <c r="AG17" i="55" s="1"/>
  <c r="B17" i="57" s="1"/>
  <c r="A17" i="55"/>
  <c r="AF17" i="55" s="1"/>
  <c r="A17" i="57" s="1"/>
  <c r="JO16" i="55"/>
  <c r="JN16" i="55"/>
  <c r="JM16" i="55"/>
  <c r="JL16" i="55"/>
  <c r="JK16" i="55"/>
  <c r="JJ16" i="55"/>
  <c r="JI16" i="55"/>
  <c r="JH16" i="55"/>
  <c r="JG16" i="55"/>
  <c r="JF16" i="55"/>
  <c r="JE16" i="55"/>
  <c r="JD16" i="55"/>
  <c r="JC16" i="55"/>
  <c r="JB16" i="55"/>
  <c r="JA16" i="55"/>
  <c r="IZ16" i="55"/>
  <c r="IY16" i="55"/>
  <c r="IX16" i="55"/>
  <c r="IW16" i="55"/>
  <c r="IV16" i="55"/>
  <c r="IU16" i="55"/>
  <c r="IT16" i="55"/>
  <c r="IS16" i="55"/>
  <c r="IR16" i="55"/>
  <c r="IQ16" i="55"/>
  <c r="IP16" i="55"/>
  <c r="IO16" i="55"/>
  <c r="IN16" i="55"/>
  <c r="IM16" i="55"/>
  <c r="IL16" i="55"/>
  <c r="IK16" i="55"/>
  <c r="IJ16" i="55"/>
  <c r="II16" i="55"/>
  <c r="IH16" i="55"/>
  <c r="IG16" i="55"/>
  <c r="IF16" i="55"/>
  <c r="IE16" i="55"/>
  <c r="ID16" i="55"/>
  <c r="IC16" i="55"/>
  <c r="IB16" i="55"/>
  <c r="IA16" i="55"/>
  <c r="HZ16" i="55"/>
  <c r="HY16" i="55"/>
  <c r="HX16" i="55"/>
  <c r="HW16" i="55"/>
  <c r="HV16" i="55"/>
  <c r="HU16" i="55"/>
  <c r="HT16" i="55"/>
  <c r="HS16" i="55"/>
  <c r="HR16" i="55"/>
  <c r="HQ16" i="55"/>
  <c r="HP16" i="55"/>
  <c r="HO16" i="55"/>
  <c r="HN16" i="55"/>
  <c r="HM16" i="55"/>
  <c r="HL16" i="55"/>
  <c r="HJ16" i="55"/>
  <c r="HI16" i="55"/>
  <c r="HH16" i="55"/>
  <c r="HG16" i="55"/>
  <c r="HF16" i="55"/>
  <c r="HE16" i="55"/>
  <c r="HD16" i="55"/>
  <c r="HC16" i="55"/>
  <c r="HB16" i="55"/>
  <c r="HA16" i="55"/>
  <c r="GZ16" i="55"/>
  <c r="GY16" i="55"/>
  <c r="GX16" i="55"/>
  <c r="GW16" i="55"/>
  <c r="GV16" i="55"/>
  <c r="GU16" i="55"/>
  <c r="GT16" i="55"/>
  <c r="GS16" i="55"/>
  <c r="GR16" i="55"/>
  <c r="GQ16" i="55"/>
  <c r="GP16" i="55"/>
  <c r="GO16" i="55"/>
  <c r="GN16" i="55"/>
  <c r="GM16" i="55"/>
  <c r="GL16" i="55"/>
  <c r="GK16" i="55"/>
  <c r="GJ16" i="55"/>
  <c r="GI16" i="55"/>
  <c r="GH16" i="55"/>
  <c r="GF16" i="55"/>
  <c r="GE16" i="55"/>
  <c r="GD16" i="55"/>
  <c r="GC16" i="55"/>
  <c r="GB16" i="55"/>
  <c r="GA16" i="55"/>
  <c r="FZ16" i="55"/>
  <c r="FY16" i="55"/>
  <c r="FX16" i="55"/>
  <c r="FW16" i="55"/>
  <c r="FV16" i="55"/>
  <c r="FU16" i="55"/>
  <c r="FT16" i="55"/>
  <c r="AD16" i="55"/>
  <c r="AA16" i="55"/>
  <c r="Z16" i="55"/>
  <c r="Y16" i="55"/>
  <c r="X16" i="55"/>
  <c r="W16" i="55"/>
  <c r="V16" i="55"/>
  <c r="U16" i="55"/>
  <c r="T16" i="55"/>
  <c r="S16" i="55"/>
  <c r="R16" i="55"/>
  <c r="Q16" i="55"/>
  <c r="P16" i="55"/>
  <c r="O16" i="55"/>
  <c r="N16" i="55"/>
  <c r="L16" i="55"/>
  <c r="BB16" i="55" s="1"/>
  <c r="K16" i="55"/>
  <c r="BA16" i="55" s="1"/>
  <c r="J16" i="55"/>
  <c r="G16" i="55"/>
  <c r="BQ16" i="55" s="1"/>
  <c r="S16" i="57" s="1"/>
  <c r="F16" i="55"/>
  <c r="BP16" i="55" s="1"/>
  <c r="R16" i="57" s="1"/>
  <c r="E16" i="55"/>
  <c r="BO16" i="55" s="1"/>
  <c r="Q16" i="57" s="1"/>
  <c r="D16" i="55"/>
  <c r="B16" i="55"/>
  <c r="AG16" i="55" s="1"/>
  <c r="B16" i="57" s="1"/>
  <c r="A16" i="55"/>
  <c r="AF16" i="55" s="1"/>
  <c r="A16" i="57" s="1"/>
  <c r="JO15" i="55"/>
  <c r="JN15" i="55"/>
  <c r="JM15" i="55"/>
  <c r="JL15" i="55"/>
  <c r="JK15" i="55"/>
  <c r="JJ15" i="55"/>
  <c r="JI15" i="55"/>
  <c r="JH15" i="55"/>
  <c r="JG15" i="55"/>
  <c r="JF15" i="55"/>
  <c r="JE15" i="55"/>
  <c r="JD15" i="55"/>
  <c r="JC15" i="55"/>
  <c r="JB15" i="55"/>
  <c r="JA15" i="55"/>
  <c r="IZ15" i="55"/>
  <c r="IY15" i="55"/>
  <c r="IX15" i="55"/>
  <c r="IW15" i="55"/>
  <c r="IV15" i="55"/>
  <c r="IU15" i="55"/>
  <c r="IT15" i="55"/>
  <c r="IS15" i="55"/>
  <c r="IR15" i="55"/>
  <c r="IQ15" i="55"/>
  <c r="IP15" i="55"/>
  <c r="IO15" i="55"/>
  <c r="IN15" i="55"/>
  <c r="IM15" i="55"/>
  <c r="IL15" i="55"/>
  <c r="IK15" i="55"/>
  <c r="IJ15" i="55"/>
  <c r="II15" i="55"/>
  <c r="IH15" i="55"/>
  <c r="IG15" i="55"/>
  <c r="IF15" i="55"/>
  <c r="IE15" i="55"/>
  <c r="ID15" i="55"/>
  <c r="IC15" i="55"/>
  <c r="IB15" i="55"/>
  <c r="IA15" i="55"/>
  <c r="HZ15" i="55"/>
  <c r="HY15" i="55"/>
  <c r="HX15" i="55"/>
  <c r="HW15" i="55"/>
  <c r="HV15" i="55"/>
  <c r="HU15" i="55"/>
  <c r="HT15" i="55"/>
  <c r="HS15" i="55"/>
  <c r="HR15" i="55"/>
  <c r="HQ15" i="55"/>
  <c r="HP15" i="55"/>
  <c r="HO15" i="55"/>
  <c r="HN15" i="55"/>
  <c r="HM15" i="55"/>
  <c r="HL15" i="55"/>
  <c r="HI15" i="55"/>
  <c r="HH15" i="55"/>
  <c r="HG15" i="55"/>
  <c r="HF15" i="55"/>
  <c r="HE15" i="55"/>
  <c r="HD15" i="55"/>
  <c r="HC15" i="55"/>
  <c r="HB15" i="55"/>
  <c r="HA15" i="55"/>
  <c r="GY15" i="55"/>
  <c r="GX15" i="55"/>
  <c r="GW15" i="55"/>
  <c r="GV15" i="55"/>
  <c r="GU15" i="55"/>
  <c r="GT15" i="55"/>
  <c r="GS15" i="55"/>
  <c r="GR15" i="55"/>
  <c r="GQ15" i="55"/>
  <c r="GP15" i="55"/>
  <c r="GO15" i="55"/>
  <c r="GN15" i="55"/>
  <c r="GM15" i="55"/>
  <c r="GL15" i="55"/>
  <c r="GK15" i="55"/>
  <c r="GI15" i="55"/>
  <c r="GH15" i="55"/>
  <c r="GG15" i="55"/>
  <c r="GF15" i="55"/>
  <c r="GE15" i="55"/>
  <c r="GD15" i="55"/>
  <c r="GC15" i="55"/>
  <c r="GB15" i="55"/>
  <c r="GA15" i="55"/>
  <c r="FZ15" i="55"/>
  <c r="FY15" i="55"/>
  <c r="FW15" i="55"/>
  <c r="FV15" i="55"/>
  <c r="FU15" i="55"/>
  <c r="FT15" i="55"/>
  <c r="AD15" i="55"/>
  <c r="AA15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L15" i="55"/>
  <c r="BB15" i="55" s="1"/>
  <c r="K15" i="55"/>
  <c r="J15" i="55"/>
  <c r="BJ15" i="55" s="1"/>
  <c r="L15" i="57" s="1"/>
  <c r="G15" i="55"/>
  <c r="BQ15" i="55" s="1"/>
  <c r="S15" i="57" s="1"/>
  <c r="F15" i="55"/>
  <c r="BP15" i="55" s="1"/>
  <c r="R15" i="57" s="1"/>
  <c r="E15" i="55"/>
  <c r="AU15" i="55" s="1"/>
  <c r="D15" i="55"/>
  <c r="B15" i="55"/>
  <c r="AG15" i="55" s="1"/>
  <c r="B15" i="57" s="1"/>
  <c r="A15" i="55"/>
  <c r="AF15" i="55" s="1"/>
  <c r="A15" i="57" s="1"/>
  <c r="JO14" i="55"/>
  <c r="JN14" i="55"/>
  <c r="JM14" i="55"/>
  <c r="JL14" i="55"/>
  <c r="JK14" i="55"/>
  <c r="JJ14" i="55"/>
  <c r="JI14" i="55"/>
  <c r="JH14" i="55"/>
  <c r="JG14" i="55"/>
  <c r="JF14" i="55"/>
  <c r="JE14" i="55"/>
  <c r="JD14" i="55"/>
  <c r="JC14" i="55"/>
  <c r="JB14" i="55"/>
  <c r="JA14" i="55"/>
  <c r="IZ14" i="55"/>
  <c r="IY14" i="55"/>
  <c r="IX14" i="55"/>
  <c r="IW14" i="55"/>
  <c r="IV14" i="55"/>
  <c r="IU14" i="55"/>
  <c r="IT14" i="55"/>
  <c r="IS14" i="55"/>
  <c r="IR14" i="55"/>
  <c r="IQ14" i="55"/>
  <c r="IP14" i="55"/>
  <c r="IO14" i="55"/>
  <c r="IN14" i="55"/>
  <c r="IM14" i="55"/>
  <c r="IL14" i="55"/>
  <c r="IK14" i="55"/>
  <c r="IJ14" i="55"/>
  <c r="II14" i="55"/>
  <c r="IH14" i="55"/>
  <c r="IG14" i="55"/>
  <c r="IF14" i="55"/>
  <c r="IE14" i="55"/>
  <c r="ID14" i="55"/>
  <c r="IC14" i="55"/>
  <c r="IB14" i="55"/>
  <c r="IA14" i="55"/>
  <c r="HZ14" i="55"/>
  <c r="HY14" i="55"/>
  <c r="HX14" i="55"/>
  <c r="HW14" i="55"/>
  <c r="HV14" i="55"/>
  <c r="HU14" i="55"/>
  <c r="HT14" i="55"/>
  <c r="HS14" i="55"/>
  <c r="HR14" i="55"/>
  <c r="HQ14" i="55"/>
  <c r="HP14" i="55"/>
  <c r="HO14" i="55"/>
  <c r="HN14" i="55"/>
  <c r="HM14" i="55"/>
  <c r="HL14" i="55"/>
  <c r="HI14" i="55"/>
  <c r="HH14" i="55"/>
  <c r="HG14" i="55"/>
  <c r="HF14" i="55"/>
  <c r="HE14" i="55"/>
  <c r="HD14" i="55"/>
  <c r="HC14" i="55"/>
  <c r="HB14" i="55"/>
  <c r="HA14" i="55"/>
  <c r="GY14" i="55"/>
  <c r="GX14" i="55"/>
  <c r="GW14" i="55"/>
  <c r="GV14" i="55"/>
  <c r="GU14" i="55"/>
  <c r="GT14" i="55"/>
  <c r="GS14" i="55"/>
  <c r="GR14" i="55"/>
  <c r="GQ14" i="55"/>
  <c r="GP14" i="55"/>
  <c r="GO14" i="55"/>
  <c r="GN14" i="55"/>
  <c r="GM14" i="55"/>
  <c r="GL14" i="55"/>
  <c r="GK14" i="55"/>
  <c r="GJ14" i="55"/>
  <c r="GI14" i="55"/>
  <c r="GH14" i="55"/>
  <c r="GG14" i="55"/>
  <c r="GF14" i="55"/>
  <c r="GE14" i="55"/>
  <c r="GD14" i="55"/>
  <c r="GC14" i="55"/>
  <c r="GB14" i="55"/>
  <c r="GA14" i="55"/>
  <c r="FZ14" i="55"/>
  <c r="FY14" i="55"/>
  <c r="FW14" i="55"/>
  <c r="FV14" i="55"/>
  <c r="FU14" i="55"/>
  <c r="FT14" i="55"/>
  <c r="AD14" i="55"/>
  <c r="AA14" i="55"/>
  <c r="Z14" i="55"/>
  <c r="Y14" i="55"/>
  <c r="X14" i="55"/>
  <c r="W14" i="55"/>
  <c r="V14" i="55"/>
  <c r="U14" i="55"/>
  <c r="T14" i="55"/>
  <c r="S14" i="55"/>
  <c r="R14" i="55"/>
  <c r="Q14" i="55"/>
  <c r="P14" i="55"/>
  <c r="O14" i="55"/>
  <c r="N14" i="55"/>
  <c r="L14" i="55"/>
  <c r="BV14" i="55" s="1"/>
  <c r="X14" i="57" s="1"/>
  <c r="K14" i="55"/>
  <c r="BK14" i="55" s="1"/>
  <c r="M14" i="57" s="1"/>
  <c r="J14" i="55"/>
  <c r="BT14" i="55" s="1"/>
  <c r="V14" i="57" s="1"/>
  <c r="G14" i="55"/>
  <c r="BQ14" i="55" s="1"/>
  <c r="S14" i="57" s="1"/>
  <c r="F14" i="55"/>
  <c r="AV14" i="55" s="1"/>
  <c r="E14" i="55"/>
  <c r="AU14" i="55" s="1"/>
  <c r="D14" i="55"/>
  <c r="B14" i="55"/>
  <c r="AG14" i="55" s="1"/>
  <c r="B14" i="57" s="1"/>
  <c r="A14" i="55"/>
  <c r="AF14" i="55" s="1"/>
  <c r="A14" i="57" s="1"/>
  <c r="JO13" i="55"/>
  <c r="JN13" i="55"/>
  <c r="JM13" i="55"/>
  <c r="JL13" i="55"/>
  <c r="JK13" i="55"/>
  <c r="JJ13" i="55"/>
  <c r="JI13" i="55"/>
  <c r="JH13" i="55"/>
  <c r="JG13" i="55"/>
  <c r="JF13" i="55"/>
  <c r="JE13" i="55"/>
  <c r="JD13" i="55"/>
  <c r="JC13" i="55"/>
  <c r="JB13" i="55"/>
  <c r="JA13" i="55"/>
  <c r="IZ13" i="55"/>
  <c r="IY13" i="55"/>
  <c r="IX13" i="55"/>
  <c r="IW13" i="55"/>
  <c r="IV13" i="55"/>
  <c r="IU13" i="55"/>
  <c r="IT13" i="55"/>
  <c r="IS13" i="55"/>
  <c r="IR13" i="55"/>
  <c r="IQ13" i="55"/>
  <c r="IP13" i="55"/>
  <c r="IO13" i="55"/>
  <c r="IN13" i="55"/>
  <c r="IM13" i="55"/>
  <c r="IL13" i="55"/>
  <c r="IK13" i="55"/>
  <c r="IJ13" i="55"/>
  <c r="II13" i="55"/>
  <c r="IH13" i="55"/>
  <c r="IG13" i="55"/>
  <c r="IF13" i="55"/>
  <c r="IE13" i="55"/>
  <c r="ID13" i="55"/>
  <c r="IC13" i="55"/>
  <c r="IB13" i="55"/>
  <c r="IA13" i="55"/>
  <c r="HZ13" i="55"/>
  <c r="HY13" i="55"/>
  <c r="HX13" i="55"/>
  <c r="HW13" i="55"/>
  <c r="HV13" i="55"/>
  <c r="HU13" i="55"/>
  <c r="HT13" i="55"/>
  <c r="HS13" i="55"/>
  <c r="HR13" i="55"/>
  <c r="HQ13" i="55"/>
  <c r="HP13" i="55"/>
  <c r="HO13" i="55"/>
  <c r="HN13" i="55"/>
  <c r="HM13" i="55"/>
  <c r="HL13" i="55"/>
  <c r="HK13" i="55"/>
  <c r="HJ13" i="55"/>
  <c r="HI13" i="55"/>
  <c r="HH13" i="55"/>
  <c r="HG13" i="55"/>
  <c r="HF13" i="55"/>
  <c r="HE13" i="55"/>
  <c r="HD13" i="55"/>
  <c r="HC13" i="55"/>
  <c r="HB13" i="55"/>
  <c r="HA13" i="55"/>
  <c r="GZ13" i="55"/>
  <c r="GY13" i="55"/>
  <c r="GX13" i="55"/>
  <c r="GW13" i="55"/>
  <c r="GV13" i="55"/>
  <c r="GU13" i="55"/>
  <c r="GT13" i="55"/>
  <c r="GS13" i="55"/>
  <c r="GR13" i="55"/>
  <c r="GQ13" i="55"/>
  <c r="GP13" i="55"/>
  <c r="GO13" i="55"/>
  <c r="GN13" i="55"/>
  <c r="GM13" i="55"/>
  <c r="GL13" i="55"/>
  <c r="GK13" i="55"/>
  <c r="GJ13" i="55"/>
  <c r="GI13" i="55"/>
  <c r="GH13" i="55"/>
  <c r="GG13" i="55"/>
  <c r="GF13" i="55"/>
  <c r="GE13" i="55"/>
  <c r="GC13" i="55"/>
  <c r="GB13" i="55"/>
  <c r="GA13" i="55"/>
  <c r="FZ13" i="55"/>
  <c r="FY13" i="55"/>
  <c r="FX13" i="55"/>
  <c r="FW13" i="55"/>
  <c r="FV13" i="55"/>
  <c r="FU13" i="55"/>
  <c r="FT13" i="55"/>
  <c r="BG13" i="55"/>
  <c r="I13" i="57" s="1"/>
  <c r="AW13" i="55"/>
  <c r="AD13" i="55"/>
  <c r="AA13" i="55"/>
  <c r="Z13" i="55"/>
  <c r="Y13" i="55"/>
  <c r="X13" i="55"/>
  <c r="W13" i="55"/>
  <c r="V13" i="55"/>
  <c r="U13" i="55"/>
  <c r="T13" i="55"/>
  <c r="S13" i="55"/>
  <c r="R13" i="55"/>
  <c r="Q13" i="55"/>
  <c r="P13" i="55"/>
  <c r="O13" i="55"/>
  <c r="N13" i="55"/>
  <c r="L13" i="55"/>
  <c r="BL13" i="55" s="1"/>
  <c r="N13" i="57" s="1"/>
  <c r="K13" i="55"/>
  <c r="BU13" i="55" s="1"/>
  <c r="W13" i="57" s="1"/>
  <c r="J13" i="55"/>
  <c r="BT13" i="55" s="1"/>
  <c r="V13" i="57" s="1"/>
  <c r="G13" i="55"/>
  <c r="BQ13" i="55" s="1"/>
  <c r="S13" i="57" s="1"/>
  <c r="F13" i="55"/>
  <c r="AV13" i="55" s="1"/>
  <c r="E13" i="55"/>
  <c r="BO13" i="55" s="1"/>
  <c r="Q13" i="57" s="1"/>
  <c r="D13" i="55"/>
  <c r="BD13" i="55" s="1"/>
  <c r="F13" i="57" s="1"/>
  <c r="B13" i="55"/>
  <c r="AG13" i="55" s="1"/>
  <c r="B13" i="57" s="1"/>
  <c r="A13" i="55"/>
  <c r="AF13" i="55" s="1"/>
  <c r="A13" i="57" s="1"/>
  <c r="JO12" i="55"/>
  <c r="JN12" i="55"/>
  <c r="JM12" i="55"/>
  <c r="JL12" i="55"/>
  <c r="JK12" i="55"/>
  <c r="JJ12" i="55"/>
  <c r="JI12" i="55"/>
  <c r="JH12" i="55"/>
  <c r="JG12" i="55"/>
  <c r="JF12" i="55"/>
  <c r="JE12" i="55"/>
  <c r="JD12" i="55"/>
  <c r="JC12" i="55"/>
  <c r="JB12" i="55"/>
  <c r="JA12" i="55"/>
  <c r="IZ12" i="55"/>
  <c r="IY12" i="55"/>
  <c r="IX12" i="55"/>
  <c r="IW12" i="55"/>
  <c r="IV12" i="55"/>
  <c r="IU12" i="55"/>
  <c r="IT12" i="55"/>
  <c r="IS12" i="55"/>
  <c r="IR12" i="55"/>
  <c r="IQ12" i="55"/>
  <c r="IP12" i="55"/>
  <c r="IO12" i="55"/>
  <c r="IN12" i="55"/>
  <c r="IM12" i="55"/>
  <c r="IL12" i="55"/>
  <c r="IK12" i="55"/>
  <c r="IJ12" i="55"/>
  <c r="II12" i="55"/>
  <c r="IH12" i="55"/>
  <c r="IG12" i="55"/>
  <c r="IF12" i="55"/>
  <c r="IE12" i="55"/>
  <c r="ID12" i="55"/>
  <c r="IC12" i="55"/>
  <c r="IB12" i="55"/>
  <c r="IA12" i="55"/>
  <c r="HZ12" i="55"/>
  <c r="HY12" i="55"/>
  <c r="HX12" i="55"/>
  <c r="HW12" i="55"/>
  <c r="HV12" i="55"/>
  <c r="HU12" i="55"/>
  <c r="HT12" i="55"/>
  <c r="HS12" i="55"/>
  <c r="HR12" i="55"/>
  <c r="HQ12" i="55"/>
  <c r="HP12" i="55"/>
  <c r="HO12" i="55"/>
  <c r="HN12" i="55"/>
  <c r="HM12" i="55"/>
  <c r="HL12" i="55"/>
  <c r="HI12" i="55"/>
  <c r="HH12" i="55"/>
  <c r="HG12" i="55"/>
  <c r="HF12" i="55"/>
  <c r="HE12" i="55"/>
  <c r="HD12" i="55"/>
  <c r="HC12" i="55"/>
  <c r="HB12" i="55"/>
  <c r="HA12" i="55"/>
  <c r="GY12" i="55"/>
  <c r="GX12" i="55"/>
  <c r="GW12" i="55"/>
  <c r="GV12" i="55"/>
  <c r="GU12" i="55"/>
  <c r="GT12" i="55"/>
  <c r="GS12" i="55"/>
  <c r="GR12" i="55"/>
  <c r="GQ12" i="55"/>
  <c r="GP12" i="55"/>
  <c r="GO12" i="55"/>
  <c r="GN12" i="55"/>
  <c r="GM12" i="55"/>
  <c r="GL12" i="55"/>
  <c r="GK12" i="55"/>
  <c r="GI12" i="55"/>
  <c r="GH12" i="55"/>
  <c r="GG12" i="55"/>
  <c r="GF12" i="55"/>
  <c r="GE12" i="55"/>
  <c r="GD12" i="55"/>
  <c r="GC12" i="55"/>
  <c r="GB12" i="55"/>
  <c r="GA12" i="55"/>
  <c r="FZ12" i="55"/>
  <c r="FY12" i="55"/>
  <c r="FW12" i="55"/>
  <c r="FV12" i="55"/>
  <c r="FU12" i="55"/>
  <c r="FT12" i="55"/>
  <c r="AD12" i="55"/>
  <c r="AA12" i="55"/>
  <c r="Z12" i="55"/>
  <c r="Y12" i="55"/>
  <c r="X12" i="55"/>
  <c r="W12" i="55"/>
  <c r="V12" i="55"/>
  <c r="U12" i="55"/>
  <c r="T12" i="55"/>
  <c r="S12" i="55"/>
  <c r="R12" i="55"/>
  <c r="Q12" i="55"/>
  <c r="P12" i="55"/>
  <c r="O12" i="55"/>
  <c r="N12" i="55"/>
  <c r="L12" i="55"/>
  <c r="BV12" i="55" s="1"/>
  <c r="X12" i="57" s="1"/>
  <c r="K12" i="55"/>
  <c r="BU12" i="55" s="1"/>
  <c r="W12" i="57" s="1"/>
  <c r="J12" i="55"/>
  <c r="BT12" i="55" s="1"/>
  <c r="V12" i="57" s="1"/>
  <c r="G12" i="55"/>
  <c r="AW12" i="55" s="1"/>
  <c r="F12" i="55"/>
  <c r="E12" i="55"/>
  <c r="BE12" i="55" s="1"/>
  <c r="G12" i="57" s="1"/>
  <c r="D12" i="55"/>
  <c r="BN12" i="55" s="1"/>
  <c r="P12" i="57" s="1"/>
  <c r="B12" i="55"/>
  <c r="AG12" i="55" s="1"/>
  <c r="B12" i="57" s="1"/>
  <c r="A12" i="55"/>
  <c r="AF12" i="55" s="1"/>
  <c r="A12" i="57" s="1"/>
  <c r="JO11" i="55"/>
  <c r="JN11" i="55"/>
  <c r="JM11" i="55"/>
  <c r="JL11" i="55"/>
  <c r="JK11" i="55"/>
  <c r="JJ11" i="55"/>
  <c r="JI11" i="55"/>
  <c r="JH11" i="55"/>
  <c r="JG11" i="55"/>
  <c r="JF11" i="55"/>
  <c r="JE11" i="55"/>
  <c r="JD11" i="55"/>
  <c r="JC11" i="55"/>
  <c r="JB11" i="55"/>
  <c r="JA11" i="55"/>
  <c r="IZ11" i="55"/>
  <c r="IY11" i="55"/>
  <c r="IX11" i="55"/>
  <c r="IW11" i="55"/>
  <c r="IV11" i="55"/>
  <c r="IU11" i="55"/>
  <c r="IT11" i="55"/>
  <c r="IS11" i="55"/>
  <c r="IR11" i="55"/>
  <c r="IQ11" i="55"/>
  <c r="IP11" i="55"/>
  <c r="IO11" i="55"/>
  <c r="IN11" i="55"/>
  <c r="IM11" i="55"/>
  <c r="IL11" i="55"/>
  <c r="IK11" i="55"/>
  <c r="IJ11" i="55"/>
  <c r="II11" i="55"/>
  <c r="IH11" i="55"/>
  <c r="IG11" i="55"/>
  <c r="IF11" i="55"/>
  <c r="IE11" i="55"/>
  <c r="ID11" i="55"/>
  <c r="IC11" i="55"/>
  <c r="IB11" i="55"/>
  <c r="IA11" i="55"/>
  <c r="HZ11" i="55"/>
  <c r="HY11" i="55"/>
  <c r="HX11" i="55"/>
  <c r="HW11" i="55"/>
  <c r="HV11" i="55"/>
  <c r="HU11" i="55"/>
  <c r="HT11" i="55"/>
  <c r="HS11" i="55"/>
  <c r="HR11" i="55"/>
  <c r="HQ11" i="55"/>
  <c r="HP11" i="55"/>
  <c r="HO11" i="55"/>
  <c r="HN11" i="55"/>
  <c r="HM11" i="55"/>
  <c r="HL11" i="55"/>
  <c r="HI11" i="55"/>
  <c r="HH11" i="55"/>
  <c r="HG11" i="55"/>
  <c r="HF11" i="55"/>
  <c r="HE11" i="55"/>
  <c r="HD11" i="55"/>
  <c r="HC11" i="55"/>
  <c r="HB11" i="55"/>
  <c r="HA11" i="55"/>
  <c r="GY11" i="55"/>
  <c r="GX11" i="55"/>
  <c r="GW11" i="55"/>
  <c r="GV11" i="55"/>
  <c r="GU11" i="55"/>
  <c r="GT11" i="55"/>
  <c r="GS11" i="55"/>
  <c r="GR11" i="55"/>
  <c r="GQ11" i="55"/>
  <c r="GP11" i="55"/>
  <c r="GO11" i="55"/>
  <c r="GN11" i="55"/>
  <c r="GM11" i="55"/>
  <c r="GL11" i="55"/>
  <c r="GK11" i="55"/>
  <c r="GI11" i="55"/>
  <c r="GH11" i="55"/>
  <c r="GF11" i="55"/>
  <c r="GE11" i="55"/>
  <c r="GD11" i="55"/>
  <c r="GC11" i="55"/>
  <c r="GB11" i="55"/>
  <c r="GA11" i="55"/>
  <c r="FZ11" i="55"/>
  <c r="FY11" i="55"/>
  <c r="FW11" i="55"/>
  <c r="FV11" i="55"/>
  <c r="FU11" i="55"/>
  <c r="FT11" i="55"/>
  <c r="AD11" i="55"/>
  <c r="AA11" i="55"/>
  <c r="Z11" i="55"/>
  <c r="Y11" i="55"/>
  <c r="X11" i="55"/>
  <c r="W11" i="55"/>
  <c r="V11" i="55"/>
  <c r="U11" i="55"/>
  <c r="T11" i="55"/>
  <c r="S11" i="55"/>
  <c r="R11" i="55"/>
  <c r="Q11" i="55"/>
  <c r="P11" i="55"/>
  <c r="O11" i="55"/>
  <c r="N11" i="55"/>
  <c r="L11" i="55"/>
  <c r="BV11" i="55" s="1"/>
  <c r="X11" i="57" s="1"/>
  <c r="K11" i="55"/>
  <c r="BU11" i="55" s="1"/>
  <c r="W11" i="57" s="1"/>
  <c r="J11" i="55"/>
  <c r="BT11" i="55" s="1"/>
  <c r="V11" i="57" s="1"/>
  <c r="G11" i="55"/>
  <c r="F11" i="55"/>
  <c r="BF11" i="55" s="1"/>
  <c r="H11" i="57" s="1"/>
  <c r="E11" i="55"/>
  <c r="BO11" i="55" s="1"/>
  <c r="Q11" i="57" s="1"/>
  <c r="D11" i="55"/>
  <c r="BN11" i="55" s="1"/>
  <c r="P11" i="57" s="1"/>
  <c r="B11" i="55"/>
  <c r="AG11" i="55" s="1"/>
  <c r="B11" i="57" s="1"/>
  <c r="A11" i="55"/>
  <c r="AF11" i="55" s="1"/>
  <c r="A11" i="57" s="1"/>
  <c r="JO10" i="55"/>
  <c r="JN10" i="55"/>
  <c r="JM10" i="55"/>
  <c r="JL10" i="55"/>
  <c r="JK10" i="55"/>
  <c r="JJ10" i="55"/>
  <c r="JI10" i="55"/>
  <c r="JH10" i="55"/>
  <c r="JG10" i="55"/>
  <c r="JF10" i="55"/>
  <c r="JE10" i="55"/>
  <c r="JD10" i="55"/>
  <c r="JC10" i="55"/>
  <c r="JB10" i="55"/>
  <c r="JA10" i="55"/>
  <c r="IZ10" i="55"/>
  <c r="IY10" i="55"/>
  <c r="IX10" i="55"/>
  <c r="IW10" i="55"/>
  <c r="IV10" i="55"/>
  <c r="IU10" i="55"/>
  <c r="IT10" i="55"/>
  <c r="IS10" i="55"/>
  <c r="IR10" i="55"/>
  <c r="IQ10" i="55"/>
  <c r="IP10" i="55"/>
  <c r="IO10" i="55"/>
  <c r="IN10" i="55"/>
  <c r="IM10" i="55"/>
  <c r="IL10" i="55"/>
  <c r="IK10" i="55"/>
  <c r="IJ10" i="55"/>
  <c r="II10" i="55"/>
  <c r="IH10" i="55"/>
  <c r="IG10" i="55"/>
  <c r="IF10" i="55"/>
  <c r="IE10" i="55"/>
  <c r="ID10" i="55"/>
  <c r="IC10" i="55"/>
  <c r="IB10" i="55"/>
  <c r="IA10" i="55"/>
  <c r="HZ10" i="55"/>
  <c r="HY10" i="55"/>
  <c r="HX10" i="55"/>
  <c r="HW10" i="55"/>
  <c r="HV10" i="55"/>
  <c r="HU10" i="55"/>
  <c r="HT10" i="55"/>
  <c r="HS10" i="55"/>
  <c r="HR10" i="55"/>
  <c r="HQ10" i="55"/>
  <c r="HP10" i="55"/>
  <c r="HO10" i="55"/>
  <c r="HN10" i="55"/>
  <c r="HM10" i="55"/>
  <c r="HL10" i="55"/>
  <c r="HI10" i="55"/>
  <c r="HH10" i="55"/>
  <c r="HG10" i="55"/>
  <c r="HF10" i="55"/>
  <c r="HE10" i="55"/>
  <c r="HD10" i="55"/>
  <c r="HC10" i="55"/>
  <c r="HB10" i="55"/>
  <c r="HA10" i="55"/>
  <c r="GY10" i="55"/>
  <c r="GX10" i="55"/>
  <c r="GW10" i="55"/>
  <c r="GV10" i="55"/>
  <c r="GU10" i="55"/>
  <c r="GT10" i="55"/>
  <c r="GS10" i="55"/>
  <c r="GR10" i="55"/>
  <c r="GQ10" i="55"/>
  <c r="GP10" i="55"/>
  <c r="GO10" i="55"/>
  <c r="GN10" i="55"/>
  <c r="GM10" i="55"/>
  <c r="GL10" i="55"/>
  <c r="GJ10" i="55"/>
  <c r="GI10" i="55"/>
  <c r="GH10" i="55"/>
  <c r="GG10" i="55"/>
  <c r="GF10" i="55"/>
  <c r="GE10" i="55"/>
  <c r="GD10" i="55"/>
  <c r="GC10" i="55"/>
  <c r="GB10" i="55"/>
  <c r="GA10" i="55"/>
  <c r="FZ10" i="55"/>
  <c r="FY10" i="55"/>
  <c r="FW10" i="55"/>
  <c r="FV10" i="55"/>
  <c r="FU10" i="55"/>
  <c r="FT10" i="55"/>
  <c r="AD10" i="55"/>
  <c r="AA10" i="55"/>
  <c r="Z10" i="55"/>
  <c r="Y10" i="55"/>
  <c r="X10" i="55"/>
  <c r="W10" i="55"/>
  <c r="V10" i="55"/>
  <c r="U10" i="55"/>
  <c r="T10" i="55"/>
  <c r="S10" i="55"/>
  <c r="R10" i="55"/>
  <c r="Q10" i="55"/>
  <c r="P10" i="55"/>
  <c r="O10" i="55"/>
  <c r="N10" i="55"/>
  <c r="L10" i="55"/>
  <c r="BV10" i="55" s="1"/>
  <c r="X10" i="57" s="1"/>
  <c r="K10" i="55"/>
  <c r="BU10" i="55" s="1"/>
  <c r="W10" i="57" s="1"/>
  <c r="J10" i="55"/>
  <c r="BT10" i="55" s="1"/>
  <c r="V10" i="57" s="1"/>
  <c r="G10" i="55"/>
  <c r="BQ10" i="55" s="1"/>
  <c r="S10" i="57" s="1"/>
  <c r="F10" i="55"/>
  <c r="BP10" i="55" s="1"/>
  <c r="R10" i="57" s="1"/>
  <c r="E10" i="55"/>
  <c r="BO10" i="55" s="1"/>
  <c r="Q10" i="57" s="1"/>
  <c r="D10" i="55"/>
  <c r="BD10" i="55" s="1"/>
  <c r="F10" i="57" s="1"/>
  <c r="B10" i="55"/>
  <c r="AG10" i="55" s="1"/>
  <c r="B10" i="57" s="1"/>
  <c r="A10" i="55"/>
  <c r="AF10" i="55" s="1"/>
  <c r="A10" i="57" s="1"/>
  <c r="JO9" i="55"/>
  <c r="JN9" i="55"/>
  <c r="JM9" i="55"/>
  <c r="JL9" i="55"/>
  <c r="JK9" i="55"/>
  <c r="JJ9" i="55"/>
  <c r="JI9" i="55"/>
  <c r="JH9" i="55"/>
  <c r="JG9" i="55"/>
  <c r="JF9" i="55"/>
  <c r="JE9" i="55"/>
  <c r="JD9" i="55"/>
  <c r="JC9" i="55"/>
  <c r="JB9" i="55"/>
  <c r="JA9" i="55"/>
  <c r="IZ9" i="55"/>
  <c r="IY9" i="55"/>
  <c r="IX9" i="55"/>
  <c r="IW9" i="55"/>
  <c r="IV9" i="55"/>
  <c r="IU9" i="55"/>
  <c r="IT9" i="55"/>
  <c r="IS9" i="55"/>
  <c r="IR9" i="55"/>
  <c r="IQ9" i="55"/>
  <c r="IP9" i="55"/>
  <c r="IO9" i="55"/>
  <c r="IN9" i="55"/>
  <c r="IM9" i="55"/>
  <c r="IL9" i="55"/>
  <c r="IK9" i="55"/>
  <c r="IJ9" i="55"/>
  <c r="II9" i="55"/>
  <c r="IH9" i="55"/>
  <c r="IG9" i="55"/>
  <c r="IF9" i="55"/>
  <c r="IE9" i="55"/>
  <c r="ID9" i="55"/>
  <c r="IC9" i="55"/>
  <c r="IB9" i="55"/>
  <c r="IA9" i="55"/>
  <c r="HZ9" i="55"/>
  <c r="HY9" i="55"/>
  <c r="HX9" i="55"/>
  <c r="HW9" i="55"/>
  <c r="HV9" i="55"/>
  <c r="HU9" i="55"/>
  <c r="HT9" i="55"/>
  <c r="HS9" i="55"/>
  <c r="HR9" i="55"/>
  <c r="HQ9" i="55"/>
  <c r="HP9" i="55"/>
  <c r="HO9" i="55"/>
  <c r="HN9" i="55"/>
  <c r="HM9" i="55"/>
  <c r="HL9" i="55"/>
  <c r="HI9" i="55"/>
  <c r="HH9" i="55"/>
  <c r="HG9" i="55"/>
  <c r="HF9" i="55"/>
  <c r="HE9" i="55"/>
  <c r="HD9" i="55"/>
  <c r="HC9" i="55"/>
  <c r="HB9" i="55"/>
  <c r="HA9" i="55"/>
  <c r="GY9" i="55"/>
  <c r="GX9" i="55"/>
  <c r="GW9" i="55"/>
  <c r="GV9" i="55"/>
  <c r="GU9" i="55"/>
  <c r="GT9" i="55"/>
  <c r="GS9" i="55"/>
  <c r="GR9" i="55"/>
  <c r="GQ9" i="55"/>
  <c r="GP9" i="55"/>
  <c r="GO9" i="55"/>
  <c r="GN9" i="55"/>
  <c r="GM9" i="55"/>
  <c r="GL9" i="55"/>
  <c r="GK9" i="55"/>
  <c r="GJ9" i="55"/>
  <c r="GI9" i="55"/>
  <c r="GH9" i="55"/>
  <c r="GF9" i="55"/>
  <c r="GE9" i="55"/>
  <c r="GD9" i="55"/>
  <c r="GC9" i="55"/>
  <c r="GB9" i="55"/>
  <c r="GA9" i="55"/>
  <c r="FZ9" i="55"/>
  <c r="FY9" i="55"/>
  <c r="FW9" i="55"/>
  <c r="FV9" i="55"/>
  <c r="FU9" i="55"/>
  <c r="FT9" i="55"/>
  <c r="AD9" i="55"/>
  <c r="AA9" i="55"/>
  <c r="Z9" i="55"/>
  <c r="Y9" i="55"/>
  <c r="X9" i="55"/>
  <c r="W9" i="55"/>
  <c r="V9" i="55"/>
  <c r="U9" i="55"/>
  <c r="T9" i="55"/>
  <c r="S9" i="55"/>
  <c r="R9" i="55"/>
  <c r="Q9" i="55"/>
  <c r="P9" i="55"/>
  <c r="O9" i="55"/>
  <c r="N9" i="55"/>
  <c r="L9" i="55"/>
  <c r="BV9" i="55" s="1"/>
  <c r="X9" i="57" s="1"/>
  <c r="K9" i="55"/>
  <c r="BU9" i="55" s="1"/>
  <c r="W9" i="57" s="1"/>
  <c r="J9" i="55"/>
  <c r="AZ9" i="55" s="1"/>
  <c r="G9" i="55"/>
  <c r="BQ9" i="55" s="1"/>
  <c r="S9" i="57" s="1"/>
  <c r="F9" i="55"/>
  <c r="BP9" i="55" s="1"/>
  <c r="R9" i="57" s="1"/>
  <c r="E9" i="55"/>
  <c r="BO9" i="55" s="1"/>
  <c r="Q9" i="57" s="1"/>
  <c r="D9" i="55"/>
  <c r="BN9" i="55" s="1"/>
  <c r="P9" i="57" s="1"/>
  <c r="B9" i="55"/>
  <c r="AG9" i="55" s="1"/>
  <c r="B9" i="57" s="1"/>
  <c r="A9" i="55"/>
  <c r="AF9" i="55" s="1"/>
  <c r="A9" i="57" s="1"/>
  <c r="JO8" i="55"/>
  <c r="JN8" i="55"/>
  <c r="JM8" i="55"/>
  <c r="JL8" i="55"/>
  <c r="JK8" i="55"/>
  <c r="JJ8" i="55"/>
  <c r="JI8" i="55"/>
  <c r="JH8" i="55"/>
  <c r="JG8" i="55"/>
  <c r="JF8" i="55"/>
  <c r="JE8" i="55"/>
  <c r="JD8" i="55"/>
  <c r="JC8" i="55"/>
  <c r="JB8" i="55"/>
  <c r="JA8" i="55"/>
  <c r="IZ8" i="55"/>
  <c r="IY8" i="55"/>
  <c r="IX8" i="55"/>
  <c r="IW8" i="55"/>
  <c r="IV8" i="55"/>
  <c r="IU8" i="55"/>
  <c r="IT8" i="55"/>
  <c r="IS8" i="55"/>
  <c r="IR8" i="55"/>
  <c r="IQ8" i="55"/>
  <c r="IP8" i="55"/>
  <c r="IO8" i="55"/>
  <c r="IN8" i="55"/>
  <c r="IM8" i="55"/>
  <c r="IL8" i="55"/>
  <c r="IK8" i="55"/>
  <c r="IJ8" i="55"/>
  <c r="II8" i="55"/>
  <c r="IH8" i="55"/>
  <c r="IG8" i="55"/>
  <c r="IF8" i="55"/>
  <c r="IE8" i="55"/>
  <c r="ID8" i="55"/>
  <c r="IC8" i="55"/>
  <c r="IB8" i="55"/>
  <c r="IA8" i="55"/>
  <c r="HZ8" i="55"/>
  <c r="HY8" i="55"/>
  <c r="HX8" i="55"/>
  <c r="HW8" i="55"/>
  <c r="HV8" i="55"/>
  <c r="HU8" i="55"/>
  <c r="HT8" i="55"/>
  <c r="HS8" i="55"/>
  <c r="HR8" i="55"/>
  <c r="HQ8" i="55"/>
  <c r="HP8" i="55"/>
  <c r="HO8" i="55"/>
  <c r="HN8" i="55"/>
  <c r="HM8" i="55"/>
  <c r="HL8" i="55"/>
  <c r="HJ8" i="55"/>
  <c r="HI8" i="55"/>
  <c r="HH8" i="55"/>
  <c r="HG8" i="55"/>
  <c r="HF8" i="55"/>
  <c r="HE8" i="55"/>
  <c r="HD8" i="55"/>
  <c r="HC8" i="55"/>
  <c r="HB8" i="55"/>
  <c r="HA8" i="55"/>
  <c r="GZ8" i="55"/>
  <c r="GY8" i="55"/>
  <c r="GX8" i="55"/>
  <c r="GW8" i="55"/>
  <c r="GV8" i="55"/>
  <c r="GU8" i="55"/>
  <c r="GT8" i="55"/>
  <c r="GS8" i="55"/>
  <c r="GR8" i="55"/>
  <c r="GQ8" i="55"/>
  <c r="GP8" i="55"/>
  <c r="GO8" i="55"/>
  <c r="GN8" i="55"/>
  <c r="GM8" i="55"/>
  <c r="GL8" i="55"/>
  <c r="GK8" i="55"/>
  <c r="GJ8" i="55"/>
  <c r="GI8" i="55"/>
  <c r="GH8" i="55"/>
  <c r="GF8" i="55"/>
  <c r="GE8" i="55"/>
  <c r="GD8" i="55"/>
  <c r="GC8" i="55"/>
  <c r="GB8" i="55"/>
  <c r="GA8" i="55"/>
  <c r="FZ8" i="55"/>
  <c r="FY8" i="55"/>
  <c r="FW8" i="55"/>
  <c r="FV8" i="55"/>
  <c r="FU8" i="55"/>
  <c r="FT8" i="55"/>
  <c r="AD8" i="55"/>
  <c r="AA8" i="55"/>
  <c r="Z8" i="55"/>
  <c r="Y8" i="55"/>
  <c r="X8" i="55"/>
  <c r="W8" i="55"/>
  <c r="V8" i="55"/>
  <c r="U8" i="55"/>
  <c r="T8" i="55"/>
  <c r="S8" i="55"/>
  <c r="R8" i="55"/>
  <c r="Q8" i="55"/>
  <c r="P8" i="55"/>
  <c r="O8" i="55"/>
  <c r="N8" i="55"/>
  <c r="L8" i="55"/>
  <c r="BV8" i="55" s="1"/>
  <c r="X8" i="57" s="1"/>
  <c r="K8" i="55"/>
  <c r="BA8" i="55" s="1"/>
  <c r="J8" i="55"/>
  <c r="G8" i="55"/>
  <c r="BQ8" i="55" s="1"/>
  <c r="S8" i="57" s="1"/>
  <c r="F8" i="55"/>
  <c r="BP8" i="55" s="1"/>
  <c r="R8" i="57" s="1"/>
  <c r="E8" i="55"/>
  <c r="BO8" i="55" s="1"/>
  <c r="Q8" i="57" s="1"/>
  <c r="D8" i="55"/>
  <c r="BN8" i="55" s="1"/>
  <c r="P8" i="57" s="1"/>
  <c r="B8" i="55"/>
  <c r="AG8" i="55" s="1"/>
  <c r="B8" i="57" s="1"/>
  <c r="A8" i="55"/>
  <c r="AF8" i="55" s="1"/>
  <c r="A8" i="57" s="1"/>
  <c r="JO7" i="55"/>
  <c r="JN7" i="55"/>
  <c r="JM7" i="55"/>
  <c r="JL7" i="55"/>
  <c r="JK7" i="55"/>
  <c r="JJ7" i="55"/>
  <c r="JI7" i="55"/>
  <c r="JH7" i="55"/>
  <c r="JG7" i="55"/>
  <c r="JF7" i="55"/>
  <c r="JE7" i="55"/>
  <c r="JD7" i="55"/>
  <c r="JC7" i="55"/>
  <c r="JB7" i="55"/>
  <c r="JA7" i="55"/>
  <c r="IZ7" i="55"/>
  <c r="IY7" i="55"/>
  <c r="IX7" i="55"/>
  <c r="IW7" i="55"/>
  <c r="IV7" i="55"/>
  <c r="IU7" i="55"/>
  <c r="IT7" i="55"/>
  <c r="IS7" i="55"/>
  <c r="IR7" i="55"/>
  <c r="IQ7" i="55"/>
  <c r="IP7" i="55"/>
  <c r="IO7" i="55"/>
  <c r="IN7" i="55"/>
  <c r="IM7" i="55"/>
  <c r="IL7" i="55"/>
  <c r="IK7" i="55"/>
  <c r="IJ7" i="55"/>
  <c r="II7" i="55"/>
  <c r="IH7" i="55"/>
  <c r="IG7" i="55"/>
  <c r="IF7" i="55"/>
  <c r="IE7" i="55"/>
  <c r="ID7" i="55"/>
  <c r="IC7" i="55"/>
  <c r="IB7" i="55"/>
  <c r="IA7" i="55"/>
  <c r="HZ7" i="55"/>
  <c r="HY7" i="55"/>
  <c r="HX7" i="55"/>
  <c r="HW7" i="55"/>
  <c r="HV7" i="55"/>
  <c r="HU7" i="55"/>
  <c r="HT7" i="55"/>
  <c r="HS7" i="55"/>
  <c r="HR7" i="55"/>
  <c r="HQ7" i="55"/>
  <c r="HP7" i="55"/>
  <c r="HO7" i="55"/>
  <c r="HN7" i="55"/>
  <c r="HM7" i="55"/>
  <c r="HL7" i="55"/>
  <c r="HJ7" i="55"/>
  <c r="HI7" i="55"/>
  <c r="HH7" i="55"/>
  <c r="HG7" i="55"/>
  <c r="HF7" i="55"/>
  <c r="HE7" i="55"/>
  <c r="HD7" i="55"/>
  <c r="HC7" i="55"/>
  <c r="HB7" i="55"/>
  <c r="HA7" i="55"/>
  <c r="GZ7" i="55"/>
  <c r="GY7" i="55"/>
  <c r="GX7" i="55"/>
  <c r="GW7" i="55"/>
  <c r="GV7" i="55"/>
  <c r="GU7" i="55"/>
  <c r="GT7" i="55"/>
  <c r="GS7" i="55"/>
  <c r="GR7" i="55"/>
  <c r="GQ7" i="55"/>
  <c r="GP7" i="55"/>
  <c r="GO7" i="55"/>
  <c r="GN7" i="55"/>
  <c r="GM7" i="55"/>
  <c r="GL7" i="55"/>
  <c r="GK7" i="55"/>
  <c r="GJ7" i="55"/>
  <c r="GI7" i="55"/>
  <c r="GH7" i="55"/>
  <c r="GG7" i="55"/>
  <c r="GF7" i="55"/>
  <c r="GE7" i="55"/>
  <c r="GD7" i="55"/>
  <c r="GC7" i="55"/>
  <c r="GB7" i="55"/>
  <c r="GA7" i="55"/>
  <c r="FZ7" i="55"/>
  <c r="FY7" i="55"/>
  <c r="FW7" i="55"/>
  <c r="FV7" i="55"/>
  <c r="FU7" i="55"/>
  <c r="FT7" i="55"/>
  <c r="AD7" i="55"/>
  <c r="AA7" i="55"/>
  <c r="Z7" i="55"/>
  <c r="Y7" i="55"/>
  <c r="X7" i="55"/>
  <c r="W7" i="55"/>
  <c r="V7" i="55"/>
  <c r="U7" i="55"/>
  <c r="T7" i="55"/>
  <c r="S7" i="55"/>
  <c r="R7" i="55"/>
  <c r="Q7" i="55"/>
  <c r="P7" i="55"/>
  <c r="O7" i="55"/>
  <c r="N7" i="55"/>
  <c r="L7" i="55"/>
  <c r="BB7" i="55" s="1"/>
  <c r="K7" i="55"/>
  <c r="BA7" i="55" s="1"/>
  <c r="J7" i="55"/>
  <c r="BT7" i="55" s="1"/>
  <c r="V7" i="57" s="1"/>
  <c r="G7" i="55"/>
  <c r="BQ7" i="55" s="1"/>
  <c r="S7" i="57" s="1"/>
  <c r="F7" i="55"/>
  <c r="BP7" i="55" s="1"/>
  <c r="R7" i="57" s="1"/>
  <c r="E7" i="55"/>
  <c r="BO7" i="55" s="1"/>
  <c r="Q7" i="57" s="1"/>
  <c r="D7" i="55"/>
  <c r="AT7" i="55" s="1"/>
  <c r="B7" i="55"/>
  <c r="AG7" i="55" s="1"/>
  <c r="B7" i="57" s="1"/>
  <c r="A7" i="55"/>
  <c r="AF7" i="55" s="1"/>
  <c r="A7" i="57" s="1"/>
  <c r="JO6" i="55"/>
  <c r="JN6" i="55"/>
  <c r="JM6" i="55"/>
  <c r="JL6" i="55"/>
  <c r="JK6" i="55"/>
  <c r="JJ6" i="55"/>
  <c r="JI6" i="55"/>
  <c r="JH6" i="55"/>
  <c r="JG6" i="55"/>
  <c r="JF6" i="55"/>
  <c r="JE6" i="55"/>
  <c r="JD6" i="55"/>
  <c r="JC6" i="55"/>
  <c r="JB6" i="55"/>
  <c r="JA6" i="55"/>
  <c r="IZ6" i="55"/>
  <c r="IY6" i="55"/>
  <c r="IX6" i="55"/>
  <c r="IW6" i="55"/>
  <c r="IV6" i="55"/>
  <c r="IU6" i="55"/>
  <c r="IT6" i="55"/>
  <c r="IS6" i="55"/>
  <c r="IR6" i="55"/>
  <c r="IQ6" i="55"/>
  <c r="IP6" i="55"/>
  <c r="IO6" i="55"/>
  <c r="IN6" i="55"/>
  <c r="IM6" i="55"/>
  <c r="IL6" i="55"/>
  <c r="IK6" i="55"/>
  <c r="IJ6" i="55"/>
  <c r="II6" i="55"/>
  <c r="IH6" i="55"/>
  <c r="IG6" i="55"/>
  <c r="IF6" i="55"/>
  <c r="IE6" i="55"/>
  <c r="ID6" i="55"/>
  <c r="IC6" i="55"/>
  <c r="IB6" i="55"/>
  <c r="IA6" i="55"/>
  <c r="HZ6" i="55"/>
  <c r="HY6" i="55"/>
  <c r="HX6" i="55"/>
  <c r="HW6" i="55"/>
  <c r="HV6" i="55"/>
  <c r="HU6" i="55"/>
  <c r="HT6" i="55"/>
  <c r="HS6" i="55"/>
  <c r="HR6" i="55"/>
  <c r="HQ6" i="55"/>
  <c r="HP6" i="55"/>
  <c r="HO6" i="55"/>
  <c r="HN6" i="55"/>
  <c r="HM6" i="55"/>
  <c r="HL6" i="55"/>
  <c r="HI6" i="55"/>
  <c r="HH6" i="55"/>
  <c r="HG6" i="55"/>
  <c r="HF6" i="55"/>
  <c r="HE6" i="55"/>
  <c r="HD6" i="55"/>
  <c r="HC6" i="55"/>
  <c r="HB6" i="55"/>
  <c r="HA6" i="55"/>
  <c r="GY6" i="55"/>
  <c r="GX6" i="55"/>
  <c r="GW6" i="55"/>
  <c r="GV6" i="55"/>
  <c r="GU6" i="55"/>
  <c r="GT6" i="55"/>
  <c r="GS6" i="55"/>
  <c r="GR6" i="55"/>
  <c r="GQ6" i="55"/>
  <c r="GP6" i="55"/>
  <c r="GO6" i="55"/>
  <c r="GN6" i="55"/>
  <c r="GM6" i="55"/>
  <c r="GK6" i="55"/>
  <c r="GI6" i="55"/>
  <c r="GH6" i="55"/>
  <c r="GG6" i="55"/>
  <c r="GF6" i="55"/>
  <c r="GE6" i="55"/>
  <c r="GD6" i="55"/>
  <c r="GC6" i="55"/>
  <c r="GB6" i="55"/>
  <c r="GA6" i="55"/>
  <c r="FZ6" i="55"/>
  <c r="FY6" i="55"/>
  <c r="FW6" i="55"/>
  <c r="FV6" i="55"/>
  <c r="FU6" i="55"/>
  <c r="FT6" i="55"/>
  <c r="AD6" i="55"/>
  <c r="AA6" i="55"/>
  <c r="Z6" i="55"/>
  <c r="Y6" i="55"/>
  <c r="X6" i="55"/>
  <c r="W6" i="55"/>
  <c r="V6" i="55"/>
  <c r="U6" i="55"/>
  <c r="T6" i="55"/>
  <c r="S6" i="55"/>
  <c r="R6" i="55"/>
  <c r="Q6" i="55"/>
  <c r="P6" i="55"/>
  <c r="O6" i="55"/>
  <c r="N6" i="55"/>
  <c r="L6" i="55"/>
  <c r="BL6" i="55" s="1"/>
  <c r="N6" i="57" s="1"/>
  <c r="K6" i="55"/>
  <c r="BU6" i="55" s="1"/>
  <c r="W6" i="57" s="1"/>
  <c r="J6" i="55"/>
  <c r="AZ6" i="55" s="1"/>
  <c r="G6" i="55"/>
  <c r="BQ6" i="55" s="1"/>
  <c r="S6" i="57" s="1"/>
  <c r="F6" i="55"/>
  <c r="BP6" i="55" s="1"/>
  <c r="R6" i="57" s="1"/>
  <c r="E6" i="55"/>
  <c r="AU6" i="55" s="1"/>
  <c r="D6" i="55"/>
  <c r="BD6" i="55" s="1"/>
  <c r="F6" i="57" s="1"/>
  <c r="B6" i="55"/>
  <c r="AG6" i="55" s="1"/>
  <c r="B6" i="57" s="1"/>
  <c r="A6" i="55"/>
  <c r="AF6" i="55" s="1"/>
  <c r="A6" i="57" s="1"/>
  <c r="JO5" i="55"/>
  <c r="JN5" i="55"/>
  <c r="JM5" i="55"/>
  <c r="JL5" i="55"/>
  <c r="JK5" i="55"/>
  <c r="JJ5" i="55"/>
  <c r="JI5" i="55"/>
  <c r="JH5" i="55"/>
  <c r="JG5" i="55"/>
  <c r="JF5" i="55"/>
  <c r="JE5" i="55"/>
  <c r="JD5" i="55"/>
  <c r="JC5" i="55"/>
  <c r="JB5" i="55"/>
  <c r="JA5" i="55"/>
  <c r="IZ5" i="55"/>
  <c r="IY5" i="55"/>
  <c r="IX5" i="55"/>
  <c r="IW5" i="55"/>
  <c r="IV5" i="55"/>
  <c r="IU5" i="55"/>
  <c r="IT5" i="55"/>
  <c r="IS5" i="55"/>
  <c r="IR5" i="55"/>
  <c r="IQ5" i="55"/>
  <c r="IP5" i="55"/>
  <c r="IO5" i="55"/>
  <c r="IN5" i="55"/>
  <c r="IM5" i="55"/>
  <c r="IL5" i="55"/>
  <c r="IK5" i="55"/>
  <c r="IJ5" i="55"/>
  <c r="II5" i="55"/>
  <c r="IH5" i="55"/>
  <c r="IG5" i="55"/>
  <c r="IF5" i="55"/>
  <c r="IE5" i="55"/>
  <c r="ID5" i="55"/>
  <c r="IC5" i="55"/>
  <c r="IB5" i="55"/>
  <c r="IA5" i="55"/>
  <c r="HZ5" i="55"/>
  <c r="HY5" i="55"/>
  <c r="HX5" i="55"/>
  <c r="HW5" i="55"/>
  <c r="HV5" i="55"/>
  <c r="HU5" i="55"/>
  <c r="HT5" i="55"/>
  <c r="HS5" i="55"/>
  <c r="HR5" i="55"/>
  <c r="HQ5" i="55"/>
  <c r="HP5" i="55"/>
  <c r="HO5" i="55"/>
  <c r="HN5" i="55"/>
  <c r="HM5" i="55"/>
  <c r="HL5" i="55"/>
  <c r="HI5" i="55"/>
  <c r="HH5" i="55"/>
  <c r="HG5" i="55"/>
  <c r="HF5" i="55"/>
  <c r="HE5" i="55"/>
  <c r="HD5" i="55"/>
  <c r="HC5" i="55"/>
  <c r="HB5" i="55"/>
  <c r="HA5" i="55"/>
  <c r="GZ5" i="55"/>
  <c r="GY5" i="55"/>
  <c r="GX5" i="55"/>
  <c r="GW5" i="55"/>
  <c r="GV5" i="55"/>
  <c r="GU5" i="55"/>
  <c r="GT5" i="55"/>
  <c r="GS5" i="55"/>
  <c r="GR5" i="55"/>
  <c r="GQ5" i="55"/>
  <c r="GP5" i="55"/>
  <c r="GO5" i="55"/>
  <c r="GN5" i="55"/>
  <c r="GM5" i="55"/>
  <c r="GL5" i="55"/>
  <c r="GK5" i="55"/>
  <c r="GJ5" i="55"/>
  <c r="GI5" i="55"/>
  <c r="GH5" i="55"/>
  <c r="GG5" i="55"/>
  <c r="GF5" i="55"/>
  <c r="GE5" i="55"/>
  <c r="GC5" i="55"/>
  <c r="GB5" i="55"/>
  <c r="GA5" i="55"/>
  <c r="FZ5" i="55"/>
  <c r="FY5" i="55"/>
  <c r="FX5" i="55"/>
  <c r="FW5" i="55"/>
  <c r="FV5" i="55"/>
  <c r="FU5" i="55"/>
  <c r="FT5" i="55"/>
  <c r="AU5" i="55"/>
  <c r="AD5" i="55"/>
  <c r="AA5" i="55"/>
  <c r="Z5" i="55"/>
  <c r="Y5" i="55"/>
  <c r="X5" i="55"/>
  <c r="W5" i="55"/>
  <c r="V5" i="55"/>
  <c r="U5" i="55"/>
  <c r="T5" i="55"/>
  <c r="S5" i="55"/>
  <c r="R5" i="55"/>
  <c r="Q5" i="55"/>
  <c r="P5" i="55"/>
  <c r="O5" i="55"/>
  <c r="N5" i="55"/>
  <c r="L5" i="55"/>
  <c r="BV5" i="55" s="1"/>
  <c r="X5" i="57" s="1"/>
  <c r="K5" i="55"/>
  <c r="BU5" i="55" s="1"/>
  <c r="W5" i="57" s="1"/>
  <c r="J5" i="55"/>
  <c r="BT5" i="55" s="1"/>
  <c r="V5" i="57" s="1"/>
  <c r="G5" i="55"/>
  <c r="BG5" i="55" s="1"/>
  <c r="I5" i="57" s="1"/>
  <c r="F5" i="55"/>
  <c r="BF5" i="55" s="1"/>
  <c r="H5" i="57" s="1"/>
  <c r="E5" i="55"/>
  <c r="BO5" i="55" s="1"/>
  <c r="Q5" i="57" s="1"/>
  <c r="D5" i="55"/>
  <c r="BN5" i="55" s="1"/>
  <c r="P5" i="57" s="1"/>
  <c r="B5" i="55"/>
  <c r="AG5" i="55" s="1"/>
  <c r="B5" i="57" s="1"/>
  <c r="A5" i="55"/>
  <c r="AF5" i="55" s="1"/>
  <c r="A5" i="57" s="1"/>
  <c r="JO4" i="55"/>
  <c r="JN4" i="55"/>
  <c r="JM4" i="55"/>
  <c r="JL4" i="55"/>
  <c r="JK4" i="55"/>
  <c r="JJ4" i="55"/>
  <c r="JI4" i="55"/>
  <c r="JH4" i="55"/>
  <c r="JG4" i="55"/>
  <c r="JF4" i="55"/>
  <c r="JE4" i="55"/>
  <c r="JD4" i="55"/>
  <c r="JC4" i="55"/>
  <c r="JB4" i="55"/>
  <c r="JA4" i="55"/>
  <c r="IZ4" i="55"/>
  <c r="IY4" i="55"/>
  <c r="IX4" i="55"/>
  <c r="IW4" i="55"/>
  <c r="IV4" i="55"/>
  <c r="IU4" i="55"/>
  <c r="IT4" i="55"/>
  <c r="IS4" i="55"/>
  <c r="IR4" i="55"/>
  <c r="IQ4" i="55"/>
  <c r="IP4" i="55"/>
  <c r="IO4" i="55"/>
  <c r="IN4" i="55"/>
  <c r="IM4" i="55"/>
  <c r="IL4" i="55"/>
  <c r="IK4" i="55"/>
  <c r="IJ4" i="55"/>
  <c r="II4" i="55"/>
  <c r="IH4" i="55"/>
  <c r="IG4" i="55"/>
  <c r="IF4" i="55"/>
  <c r="IE4" i="55"/>
  <c r="ID4" i="55"/>
  <c r="IC4" i="55"/>
  <c r="IB4" i="55"/>
  <c r="IA4" i="55"/>
  <c r="HZ4" i="55"/>
  <c r="HY4" i="55"/>
  <c r="HX4" i="55"/>
  <c r="HW4" i="55"/>
  <c r="HV4" i="55"/>
  <c r="HU4" i="55"/>
  <c r="HT4" i="55"/>
  <c r="HS4" i="55"/>
  <c r="HR4" i="55"/>
  <c r="HQ4" i="55"/>
  <c r="HP4" i="55"/>
  <c r="HO4" i="55"/>
  <c r="HN4" i="55"/>
  <c r="HM4" i="55"/>
  <c r="HL4" i="55"/>
  <c r="HJ4" i="55"/>
  <c r="HI4" i="55"/>
  <c r="HH4" i="55"/>
  <c r="HG4" i="55"/>
  <c r="HF4" i="55"/>
  <c r="HE4" i="55"/>
  <c r="HD4" i="55"/>
  <c r="HC4" i="55"/>
  <c r="HB4" i="55"/>
  <c r="HA4" i="55"/>
  <c r="GZ4" i="55"/>
  <c r="GY4" i="55"/>
  <c r="GX4" i="55"/>
  <c r="GW4" i="55"/>
  <c r="GV4" i="55"/>
  <c r="GU4" i="55"/>
  <c r="GT4" i="55"/>
  <c r="GS4" i="55"/>
  <c r="GR4" i="55"/>
  <c r="GQ4" i="55"/>
  <c r="GP4" i="55"/>
  <c r="GO4" i="55"/>
  <c r="GN4" i="55"/>
  <c r="GM4" i="55"/>
  <c r="GL4" i="55"/>
  <c r="GK4" i="55"/>
  <c r="GJ4" i="55"/>
  <c r="GI4" i="55"/>
  <c r="GH4" i="55"/>
  <c r="GF4" i="55"/>
  <c r="GE4" i="55"/>
  <c r="GD4" i="55"/>
  <c r="GC4" i="55"/>
  <c r="GB4" i="55"/>
  <c r="GA4" i="55"/>
  <c r="FZ4" i="55"/>
  <c r="FY4" i="55"/>
  <c r="FW4" i="55"/>
  <c r="FV4" i="55"/>
  <c r="FT4" i="55"/>
  <c r="AD4" i="55"/>
  <c r="AA4" i="55"/>
  <c r="Z4" i="55"/>
  <c r="Y4" i="55"/>
  <c r="X4" i="55"/>
  <c r="W4" i="55"/>
  <c r="V4" i="55"/>
  <c r="U4" i="55"/>
  <c r="T4" i="55"/>
  <c r="S4" i="55"/>
  <c r="R4" i="55"/>
  <c r="Q4" i="55"/>
  <c r="P4" i="55"/>
  <c r="O4" i="55"/>
  <c r="N4" i="55"/>
  <c r="L4" i="55"/>
  <c r="BV4" i="55" s="1"/>
  <c r="X4" i="57" s="1"/>
  <c r="K4" i="55"/>
  <c r="BU4" i="55" s="1"/>
  <c r="W4" i="57" s="1"/>
  <c r="J4" i="55"/>
  <c r="AZ4" i="55" s="1"/>
  <c r="G4" i="55"/>
  <c r="BQ4" i="55" s="1"/>
  <c r="S4" i="57" s="1"/>
  <c r="F4" i="55"/>
  <c r="BP4" i="55" s="1"/>
  <c r="R4" i="57" s="1"/>
  <c r="E4" i="55"/>
  <c r="BO4" i="55" s="1"/>
  <c r="Q4" i="57" s="1"/>
  <c r="D4" i="55"/>
  <c r="BN4" i="55" s="1"/>
  <c r="P4" i="57" s="1"/>
  <c r="B4" i="55"/>
  <c r="AG4" i="55" s="1"/>
  <c r="B4" i="57" s="1"/>
  <c r="A4" i="55"/>
  <c r="AF4" i="55" s="1"/>
  <c r="A4" i="57" s="1"/>
  <c r="JO3" i="55"/>
  <c r="JN3" i="55"/>
  <c r="JM3" i="55"/>
  <c r="JL3" i="55"/>
  <c r="JK3" i="55"/>
  <c r="JJ3" i="55"/>
  <c r="JI3" i="55"/>
  <c r="JH3" i="55"/>
  <c r="JG3" i="55"/>
  <c r="JF3" i="55"/>
  <c r="JE3" i="55"/>
  <c r="JD3" i="55"/>
  <c r="JC3" i="55"/>
  <c r="JB3" i="55"/>
  <c r="JA3" i="55"/>
  <c r="IZ3" i="55"/>
  <c r="IY3" i="55"/>
  <c r="IX3" i="55"/>
  <c r="IW3" i="55"/>
  <c r="IV3" i="55"/>
  <c r="IU3" i="55"/>
  <c r="IT3" i="55"/>
  <c r="IS3" i="55"/>
  <c r="IR3" i="55"/>
  <c r="IQ3" i="55"/>
  <c r="IP3" i="55"/>
  <c r="IO3" i="55"/>
  <c r="IN3" i="55"/>
  <c r="IM3" i="55"/>
  <c r="IL3" i="55"/>
  <c r="IK3" i="55"/>
  <c r="IJ3" i="55"/>
  <c r="II3" i="55"/>
  <c r="IH3" i="55"/>
  <c r="IG3" i="55"/>
  <c r="IF3" i="55"/>
  <c r="IE3" i="55"/>
  <c r="ID3" i="55"/>
  <c r="IC3" i="55"/>
  <c r="IB3" i="55"/>
  <c r="IA3" i="55"/>
  <c r="HZ3" i="55"/>
  <c r="HY3" i="55"/>
  <c r="HX3" i="55"/>
  <c r="HW3" i="55"/>
  <c r="HV3" i="55"/>
  <c r="HU3" i="55"/>
  <c r="HT3" i="55"/>
  <c r="HS3" i="55"/>
  <c r="HR3" i="55"/>
  <c r="HQ3" i="55"/>
  <c r="HP3" i="55"/>
  <c r="HO3" i="55"/>
  <c r="HN3" i="55"/>
  <c r="HM3" i="55"/>
  <c r="HL3" i="55"/>
  <c r="HI3" i="55"/>
  <c r="HH3" i="55"/>
  <c r="HG3" i="55"/>
  <c r="HF3" i="55"/>
  <c r="HE3" i="55"/>
  <c r="HD3" i="55"/>
  <c r="HC3" i="55"/>
  <c r="HB3" i="55"/>
  <c r="HA3" i="55"/>
  <c r="GZ3" i="55"/>
  <c r="GY3" i="55"/>
  <c r="GX3" i="55"/>
  <c r="GW3" i="55"/>
  <c r="GV3" i="55"/>
  <c r="GU3" i="55"/>
  <c r="GT3" i="55"/>
  <c r="GS3" i="55"/>
  <c r="GR3" i="55"/>
  <c r="GQ3" i="55"/>
  <c r="GP3" i="55"/>
  <c r="GO3" i="55"/>
  <c r="GN3" i="55"/>
  <c r="GM3" i="55"/>
  <c r="GL3" i="55"/>
  <c r="GK3" i="55"/>
  <c r="GJ3" i="55"/>
  <c r="GI3" i="55"/>
  <c r="GH3" i="55"/>
  <c r="GG3" i="55"/>
  <c r="GF3" i="55"/>
  <c r="GE3" i="55"/>
  <c r="GC3" i="55"/>
  <c r="GB3" i="55"/>
  <c r="GA3" i="55"/>
  <c r="FZ3" i="55"/>
  <c r="FY3" i="55"/>
  <c r="FX3" i="55"/>
  <c r="FW3" i="55"/>
  <c r="FV3" i="55"/>
  <c r="FU3" i="55"/>
  <c r="AD3" i="55"/>
  <c r="AA3" i="55"/>
  <c r="Z3" i="55"/>
  <c r="Y3" i="55"/>
  <c r="X3" i="55"/>
  <c r="W3" i="55"/>
  <c r="V3" i="55"/>
  <c r="U3" i="55"/>
  <c r="T3" i="55"/>
  <c r="S3" i="55"/>
  <c r="R3" i="55"/>
  <c r="Q3" i="55"/>
  <c r="P3" i="55"/>
  <c r="O3" i="55"/>
  <c r="N3" i="55"/>
  <c r="L3" i="55"/>
  <c r="BV3" i="55" s="1"/>
  <c r="X3" i="57" s="1"/>
  <c r="K3" i="55"/>
  <c r="BA3" i="55" s="1"/>
  <c r="J3" i="55"/>
  <c r="AZ3" i="55" s="1"/>
  <c r="G3" i="55"/>
  <c r="BQ3" i="55" s="1"/>
  <c r="S3" i="57" s="1"/>
  <c r="F3" i="55"/>
  <c r="BP3" i="55" s="1"/>
  <c r="R3" i="57" s="1"/>
  <c r="E3" i="55"/>
  <c r="BO3" i="55" s="1"/>
  <c r="Q3" i="57" s="1"/>
  <c r="D3" i="55"/>
  <c r="BN3" i="55" s="1"/>
  <c r="P3" i="57" s="1"/>
  <c r="B3" i="55"/>
  <c r="AG3" i="55" s="1"/>
  <c r="B3" i="57" s="1"/>
  <c r="A3" i="55"/>
  <c r="AF3" i="55" s="1"/>
  <c r="A3" i="57" s="1"/>
  <c r="FS2" i="55"/>
  <c r="FR2" i="55"/>
  <c r="FQ2" i="55"/>
  <c r="FP2" i="55"/>
  <c r="FO2" i="55"/>
  <c r="FN2" i="55"/>
  <c r="FM2" i="55"/>
  <c r="FL2" i="55"/>
  <c r="FK2" i="55"/>
  <c r="FJ2" i="55"/>
  <c r="FI2" i="55"/>
  <c r="FH2" i="55"/>
  <c r="FG2" i="55"/>
  <c r="FF2" i="55"/>
  <c r="FE2" i="55"/>
  <c r="FD2" i="55"/>
  <c r="FA2" i="55"/>
  <c r="EZ2" i="55"/>
  <c r="EY2" i="55"/>
  <c r="EW2" i="55"/>
  <c r="EV2" i="55"/>
  <c r="EU2" i="55"/>
  <c r="ET2" i="55"/>
  <c r="ES2" i="55"/>
  <c r="ER2" i="55"/>
  <c r="EQ2" i="55"/>
  <c r="EP2" i="55"/>
  <c r="EO2" i="55"/>
  <c r="EN2" i="55"/>
  <c r="EM2" i="55"/>
  <c r="EL2" i="55"/>
  <c r="EJ2" i="55"/>
  <c r="EI2" i="55"/>
  <c r="EH2" i="55"/>
  <c r="EG2" i="55"/>
  <c r="EF2" i="55"/>
  <c r="EE2" i="55"/>
  <c r="ED2" i="55"/>
  <c r="EC2" i="55"/>
  <c r="EB2" i="55"/>
  <c r="EA2" i="55"/>
  <c r="DX2" i="55"/>
  <c r="DW2" i="55"/>
  <c r="DV2" i="55"/>
  <c r="DU2" i="55"/>
  <c r="DT2" i="55"/>
  <c r="DS2" i="55"/>
  <c r="HO52" i="55" s="1"/>
  <c r="DR2" i="55"/>
  <c r="DQ2" i="55"/>
  <c r="DP2" i="55"/>
  <c r="HL47" i="55" s="1"/>
  <c r="DO2" i="55"/>
  <c r="DN2" i="55"/>
  <c r="HJ45" i="55" s="1"/>
  <c r="DM2" i="55"/>
  <c r="DL2" i="55"/>
  <c r="DK2" i="55"/>
  <c r="HG42" i="55" s="1"/>
  <c r="DJ2" i="55"/>
  <c r="HF41" i="55" s="1"/>
  <c r="DI2" i="55"/>
  <c r="DH2" i="55"/>
  <c r="DE2" i="55"/>
  <c r="DD2" i="55"/>
  <c r="GZ51" i="55" s="1"/>
  <c r="DC2" i="55"/>
  <c r="DB2" i="55"/>
  <c r="GX33" i="55" s="1"/>
  <c r="DA2" i="55"/>
  <c r="CX2" i="55"/>
  <c r="CW2" i="55"/>
  <c r="CV2" i="55"/>
  <c r="GR27" i="55" s="1"/>
  <c r="CU2" i="55"/>
  <c r="CT2" i="55"/>
  <c r="CS2" i="55"/>
  <c r="CR2" i="55"/>
  <c r="CO2" i="55"/>
  <c r="GK20" i="55" s="1"/>
  <c r="CN2" i="55"/>
  <c r="GJ22" i="55" s="1"/>
  <c r="CM2" i="55"/>
  <c r="CL2" i="55"/>
  <c r="CI2" i="55"/>
  <c r="CF2" i="55"/>
  <c r="CE2" i="55"/>
  <c r="CB2" i="55"/>
  <c r="FX53" i="55" s="1"/>
  <c r="CA2" i="55"/>
  <c r="AA2" i="55"/>
  <c r="Z2" i="55"/>
  <c r="Y2" i="55"/>
  <c r="X2" i="55"/>
  <c r="W2" i="55"/>
  <c r="V2" i="55"/>
  <c r="U2" i="55"/>
  <c r="T2" i="55"/>
  <c r="S2" i="55"/>
  <c r="R2" i="55"/>
  <c r="Q2" i="55"/>
  <c r="P2" i="55"/>
  <c r="O2" i="55"/>
  <c r="N2" i="55"/>
  <c r="M2" i="55"/>
  <c r="L2" i="55"/>
  <c r="BV1" i="55" s="1"/>
  <c r="X1" i="57" s="1"/>
  <c r="K2" i="55"/>
  <c r="BK1" i="55" s="1"/>
  <c r="M1" i="57" s="1"/>
  <c r="J2" i="55"/>
  <c r="BT1" i="55" s="1"/>
  <c r="V1" i="57" s="1"/>
  <c r="I2" i="55"/>
  <c r="BI1" i="55" s="1"/>
  <c r="K1" i="57" s="1"/>
  <c r="H2" i="55"/>
  <c r="AM1" i="55" s="1"/>
  <c r="G2" i="55"/>
  <c r="AW1" i="55" s="1"/>
  <c r="F2" i="55"/>
  <c r="BF1" i="55" s="1"/>
  <c r="H1" i="57" s="1"/>
  <c r="E2" i="55"/>
  <c r="BO1" i="55" s="1"/>
  <c r="Q1" i="57" s="1"/>
  <c r="D2" i="55"/>
  <c r="BN1" i="55" s="1"/>
  <c r="P1" i="57" s="1"/>
  <c r="C2" i="55"/>
  <c r="BC1" i="55" s="1"/>
  <c r="E1" i="57" s="1"/>
  <c r="BU1" i="55"/>
  <c r="W1" i="57" s="1"/>
  <c r="BS1" i="55"/>
  <c r="U1" i="57" s="1"/>
  <c r="BP1" i="55"/>
  <c r="R1" i="57" s="1"/>
  <c r="BM1" i="55"/>
  <c r="O1" i="57" s="1"/>
  <c r="BA1" i="55"/>
  <c r="AZ1" i="55"/>
  <c r="AV1" i="55"/>
  <c r="AU1" i="55"/>
  <c r="AS1" i="55"/>
  <c r="AP1" i="55"/>
  <c r="AL1" i="55"/>
  <c r="AK1" i="55"/>
  <c r="AJ1" i="55"/>
  <c r="AI1" i="55"/>
  <c r="AH1" i="55"/>
  <c r="AG1" i="55"/>
  <c r="B1" i="57" s="1"/>
  <c r="AF1" i="55"/>
  <c r="A1" i="57" s="1"/>
  <c r="B115" i="54"/>
  <c r="AC105" i="54"/>
  <c r="JO102" i="54"/>
  <c r="JN102" i="54"/>
  <c r="JM102" i="54"/>
  <c r="JL102" i="54"/>
  <c r="JK102" i="54"/>
  <c r="JJ102" i="54"/>
  <c r="JI102" i="54"/>
  <c r="JH102" i="54"/>
  <c r="JG102" i="54"/>
  <c r="JF102" i="54"/>
  <c r="JE102" i="54"/>
  <c r="JD102" i="54"/>
  <c r="JC102" i="54"/>
  <c r="JB102" i="54"/>
  <c r="JA102" i="54"/>
  <c r="IZ102" i="54"/>
  <c r="IY102" i="54"/>
  <c r="IX102" i="54"/>
  <c r="IW102" i="54"/>
  <c r="IV102" i="54"/>
  <c r="IU102" i="54"/>
  <c r="IT102" i="54"/>
  <c r="IS102" i="54"/>
  <c r="IR102" i="54"/>
  <c r="IQ102" i="54"/>
  <c r="IP102" i="54"/>
  <c r="IO102" i="54"/>
  <c r="IN102" i="54"/>
  <c r="IM102" i="54"/>
  <c r="IL102" i="54"/>
  <c r="IK102" i="54"/>
  <c r="IJ102" i="54"/>
  <c r="II102" i="54"/>
  <c r="IH102" i="54"/>
  <c r="IG102" i="54"/>
  <c r="IF102" i="54"/>
  <c r="IE102" i="54"/>
  <c r="ID102" i="54"/>
  <c r="IC102" i="54"/>
  <c r="IB102" i="54"/>
  <c r="IA102" i="54"/>
  <c r="HZ102" i="54"/>
  <c r="HY102" i="54"/>
  <c r="HX102" i="54"/>
  <c r="HW102" i="54"/>
  <c r="HV102" i="54"/>
  <c r="HU102" i="54"/>
  <c r="HT102" i="54"/>
  <c r="HS102" i="54"/>
  <c r="HR102" i="54"/>
  <c r="HQ102" i="54"/>
  <c r="HP102" i="54"/>
  <c r="HO102" i="54"/>
  <c r="HN102" i="54"/>
  <c r="HM102" i="54"/>
  <c r="HL102" i="54"/>
  <c r="HK102" i="54"/>
  <c r="HJ102" i="54"/>
  <c r="HI102" i="54"/>
  <c r="HH102" i="54"/>
  <c r="HG102" i="54"/>
  <c r="HF102" i="54"/>
  <c r="HE102" i="54"/>
  <c r="HD102" i="54"/>
  <c r="HC102" i="54"/>
  <c r="HB102" i="54"/>
  <c r="HA102" i="54"/>
  <c r="GZ102" i="54"/>
  <c r="GY102" i="54"/>
  <c r="GX102" i="54"/>
  <c r="GW102" i="54"/>
  <c r="GV102" i="54"/>
  <c r="GU102" i="54"/>
  <c r="GT102" i="54"/>
  <c r="GS102" i="54"/>
  <c r="GR102" i="54"/>
  <c r="GQ102" i="54"/>
  <c r="GP102" i="54"/>
  <c r="GO102" i="54"/>
  <c r="GN102" i="54"/>
  <c r="GM102" i="54"/>
  <c r="GL102" i="54"/>
  <c r="GK102" i="54"/>
  <c r="GJ102" i="54"/>
  <c r="GI102" i="54"/>
  <c r="GH102" i="54"/>
  <c r="GG102" i="54"/>
  <c r="GF102" i="54"/>
  <c r="GE102" i="54"/>
  <c r="GD102" i="54"/>
  <c r="GC102" i="54"/>
  <c r="GB102" i="54"/>
  <c r="GA102" i="54"/>
  <c r="FZ102" i="54"/>
  <c r="FY102" i="54"/>
  <c r="FX102" i="54"/>
  <c r="FW102" i="54"/>
  <c r="FV102" i="54"/>
  <c r="FU102" i="54"/>
  <c r="FT102" i="54"/>
  <c r="AD102" i="54"/>
  <c r="AA102" i="54"/>
  <c r="Z102" i="54"/>
  <c r="Y102" i="54"/>
  <c r="X102" i="54"/>
  <c r="W102" i="54"/>
  <c r="V102" i="54"/>
  <c r="U102" i="54"/>
  <c r="T102" i="54"/>
  <c r="S102" i="54"/>
  <c r="R102" i="54"/>
  <c r="Q102" i="54"/>
  <c r="P102" i="54"/>
  <c r="O102" i="54"/>
  <c r="N102" i="54"/>
  <c r="M102" i="54"/>
  <c r="L102" i="54"/>
  <c r="BV102" i="54" s="1"/>
  <c r="X102" i="56" s="1"/>
  <c r="K102" i="54"/>
  <c r="J102" i="54"/>
  <c r="AZ102" i="54" s="1"/>
  <c r="I102" i="54"/>
  <c r="AY102" i="54" s="1"/>
  <c r="H102" i="54"/>
  <c r="AX102" i="54" s="1"/>
  <c r="G102" i="54"/>
  <c r="BG102" i="54" s="1"/>
  <c r="I102" i="56" s="1"/>
  <c r="F102" i="54"/>
  <c r="BP102" i="54" s="1"/>
  <c r="R102" i="56" s="1"/>
  <c r="E102" i="54"/>
  <c r="BO102" i="54" s="1"/>
  <c r="Q102" i="56" s="1"/>
  <c r="D102" i="54"/>
  <c r="BN102" i="54" s="1"/>
  <c r="P102" i="56" s="1"/>
  <c r="C102" i="54"/>
  <c r="BM102" i="54" s="1"/>
  <c r="O102" i="56" s="1"/>
  <c r="B102" i="54"/>
  <c r="AG102" i="54" s="1"/>
  <c r="B102" i="56" s="1"/>
  <c r="A102" i="54"/>
  <c r="AF102" i="54" s="1"/>
  <c r="A102" i="56" s="1"/>
  <c r="JO101" i="54"/>
  <c r="JN101" i="54"/>
  <c r="JM101" i="54"/>
  <c r="JL101" i="54"/>
  <c r="JK101" i="54"/>
  <c r="JJ101" i="54"/>
  <c r="JI101" i="54"/>
  <c r="JH101" i="54"/>
  <c r="JG101" i="54"/>
  <c r="JF101" i="54"/>
  <c r="JE101" i="54"/>
  <c r="JD101" i="54"/>
  <c r="JC101" i="54"/>
  <c r="JB101" i="54"/>
  <c r="JA101" i="54"/>
  <c r="IZ101" i="54"/>
  <c r="IY101" i="54"/>
  <c r="IX101" i="54"/>
  <c r="IW101" i="54"/>
  <c r="IV101" i="54"/>
  <c r="IU101" i="54"/>
  <c r="IT101" i="54"/>
  <c r="IS101" i="54"/>
  <c r="IR101" i="54"/>
  <c r="IQ101" i="54"/>
  <c r="IP101" i="54"/>
  <c r="IO101" i="54"/>
  <c r="IN101" i="54"/>
  <c r="IM101" i="54"/>
  <c r="IL101" i="54"/>
  <c r="IK101" i="54"/>
  <c r="IJ101" i="54"/>
  <c r="II101" i="54"/>
  <c r="IH101" i="54"/>
  <c r="IG101" i="54"/>
  <c r="IF101" i="54"/>
  <c r="IE101" i="54"/>
  <c r="ID101" i="54"/>
  <c r="IC101" i="54"/>
  <c r="IB101" i="54"/>
  <c r="IA101" i="54"/>
  <c r="HZ101" i="54"/>
  <c r="HY101" i="54"/>
  <c r="HX101" i="54"/>
  <c r="HW101" i="54"/>
  <c r="HV101" i="54"/>
  <c r="HU101" i="54"/>
  <c r="HT101" i="54"/>
  <c r="HS101" i="54"/>
  <c r="HR101" i="54"/>
  <c r="HQ101" i="54"/>
  <c r="HP101" i="54"/>
  <c r="HO101" i="54"/>
  <c r="HN101" i="54"/>
  <c r="HM101" i="54"/>
  <c r="HL101" i="54"/>
  <c r="HK101" i="54"/>
  <c r="HJ101" i="54"/>
  <c r="HI101" i="54"/>
  <c r="HH101" i="54"/>
  <c r="HG101" i="54"/>
  <c r="HF101" i="54"/>
  <c r="HE101" i="54"/>
  <c r="HD101" i="54"/>
  <c r="HC101" i="54"/>
  <c r="HB101" i="54"/>
  <c r="HA101" i="54"/>
  <c r="GZ101" i="54"/>
  <c r="GY101" i="54"/>
  <c r="GX101" i="54"/>
  <c r="GW101" i="54"/>
  <c r="GV101" i="54"/>
  <c r="GU101" i="54"/>
  <c r="GT101" i="54"/>
  <c r="GS101" i="54"/>
  <c r="GR101" i="54"/>
  <c r="GQ101" i="54"/>
  <c r="GP101" i="54"/>
  <c r="GO101" i="54"/>
  <c r="GN101" i="54"/>
  <c r="GM101" i="54"/>
  <c r="GL101" i="54"/>
  <c r="GK101" i="54"/>
  <c r="GJ101" i="54"/>
  <c r="GI101" i="54"/>
  <c r="GH101" i="54"/>
  <c r="GG101" i="54"/>
  <c r="GF101" i="54"/>
  <c r="GE101" i="54"/>
  <c r="GD101" i="54"/>
  <c r="GC101" i="54"/>
  <c r="GB101" i="54"/>
  <c r="GA101" i="54"/>
  <c r="FZ101" i="54"/>
  <c r="FY101" i="54"/>
  <c r="FX101" i="54"/>
  <c r="FW101" i="54"/>
  <c r="FV101" i="54"/>
  <c r="FU101" i="54"/>
  <c r="FT101" i="54"/>
  <c r="AD101" i="54"/>
  <c r="AA101" i="54"/>
  <c r="Z101" i="54"/>
  <c r="Y101" i="54"/>
  <c r="X101" i="54"/>
  <c r="W101" i="54"/>
  <c r="V101" i="54"/>
  <c r="U101" i="54"/>
  <c r="T101" i="54"/>
  <c r="S101" i="54"/>
  <c r="R101" i="54"/>
  <c r="Q101" i="54"/>
  <c r="P101" i="54"/>
  <c r="O101" i="54"/>
  <c r="N101" i="54"/>
  <c r="M101" i="54"/>
  <c r="L101" i="54"/>
  <c r="BV101" i="54" s="1"/>
  <c r="X101" i="56" s="1"/>
  <c r="K101" i="54"/>
  <c r="BA101" i="54" s="1"/>
  <c r="J101" i="54"/>
  <c r="AZ101" i="54" s="1"/>
  <c r="I101" i="54"/>
  <c r="AY101" i="54" s="1"/>
  <c r="H101" i="54"/>
  <c r="BH101" i="54" s="1"/>
  <c r="J101" i="56" s="1"/>
  <c r="G101" i="54"/>
  <c r="BQ101" i="54" s="1"/>
  <c r="S101" i="56" s="1"/>
  <c r="F101" i="54"/>
  <c r="BP101" i="54" s="1"/>
  <c r="R101" i="56" s="1"/>
  <c r="E101" i="54"/>
  <c r="BO101" i="54" s="1"/>
  <c r="Q101" i="56" s="1"/>
  <c r="D101" i="54"/>
  <c r="BN101" i="54" s="1"/>
  <c r="P101" i="56" s="1"/>
  <c r="C101" i="54"/>
  <c r="AS101" i="54" s="1"/>
  <c r="B101" i="54"/>
  <c r="AG101" i="54" s="1"/>
  <c r="B101" i="56" s="1"/>
  <c r="A101" i="54"/>
  <c r="AF101" i="54" s="1"/>
  <c r="A101" i="56" s="1"/>
  <c r="JO100" i="54"/>
  <c r="JN100" i="54"/>
  <c r="JM100" i="54"/>
  <c r="JL100" i="54"/>
  <c r="JK100" i="54"/>
  <c r="JJ100" i="54"/>
  <c r="JI100" i="54"/>
  <c r="JH100" i="54"/>
  <c r="JG100" i="54"/>
  <c r="JF100" i="54"/>
  <c r="JE100" i="54"/>
  <c r="JD100" i="54"/>
  <c r="JC100" i="54"/>
  <c r="JB100" i="54"/>
  <c r="JA100" i="54"/>
  <c r="IZ100" i="54"/>
  <c r="IY100" i="54"/>
  <c r="IX100" i="54"/>
  <c r="IW100" i="54"/>
  <c r="IV100" i="54"/>
  <c r="IU100" i="54"/>
  <c r="IT100" i="54"/>
  <c r="IS100" i="54"/>
  <c r="IR100" i="54"/>
  <c r="IQ100" i="54"/>
  <c r="IP100" i="54"/>
  <c r="IO100" i="54"/>
  <c r="IN100" i="54"/>
  <c r="IM100" i="54"/>
  <c r="IL100" i="54"/>
  <c r="IK100" i="54"/>
  <c r="IJ100" i="54"/>
  <c r="II100" i="54"/>
  <c r="IH100" i="54"/>
  <c r="IG100" i="54"/>
  <c r="IF100" i="54"/>
  <c r="IE100" i="54"/>
  <c r="ID100" i="54"/>
  <c r="IC100" i="54"/>
  <c r="IB100" i="54"/>
  <c r="IA100" i="54"/>
  <c r="HZ100" i="54"/>
  <c r="HY100" i="54"/>
  <c r="HX100" i="54"/>
  <c r="HW100" i="54"/>
  <c r="HV100" i="54"/>
  <c r="HU100" i="54"/>
  <c r="HT100" i="54"/>
  <c r="HS100" i="54"/>
  <c r="HR100" i="54"/>
  <c r="HQ100" i="54"/>
  <c r="HP100" i="54"/>
  <c r="HO100" i="54"/>
  <c r="HN100" i="54"/>
  <c r="HM100" i="54"/>
  <c r="HL100" i="54"/>
  <c r="HK100" i="54"/>
  <c r="HJ100" i="54"/>
  <c r="HI100" i="54"/>
  <c r="HH100" i="54"/>
  <c r="HG100" i="54"/>
  <c r="HF100" i="54"/>
  <c r="HE100" i="54"/>
  <c r="HD100" i="54"/>
  <c r="HC100" i="54"/>
  <c r="HB100" i="54"/>
  <c r="HA100" i="54"/>
  <c r="GZ100" i="54"/>
  <c r="GY100" i="54"/>
  <c r="GX100" i="54"/>
  <c r="GW100" i="54"/>
  <c r="GV100" i="54"/>
  <c r="GU100" i="54"/>
  <c r="GT100" i="54"/>
  <c r="GS100" i="54"/>
  <c r="GR100" i="54"/>
  <c r="GQ100" i="54"/>
  <c r="GP100" i="54"/>
  <c r="GO100" i="54"/>
  <c r="GN100" i="54"/>
  <c r="GM100" i="54"/>
  <c r="GL100" i="54"/>
  <c r="GK100" i="54"/>
  <c r="GJ100" i="54"/>
  <c r="GI100" i="54"/>
  <c r="GH100" i="54"/>
  <c r="GG100" i="54"/>
  <c r="GF100" i="54"/>
  <c r="GE100" i="54"/>
  <c r="GD100" i="54"/>
  <c r="GC100" i="54"/>
  <c r="GB100" i="54"/>
  <c r="GA100" i="54"/>
  <c r="FZ100" i="54"/>
  <c r="FY100" i="54"/>
  <c r="FX100" i="54"/>
  <c r="FW100" i="54"/>
  <c r="FV100" i="54"/>
  <c r="FU100" i="54"/>
  <c r="FT100" i="54"/>
  <c r="AD100" i="54"/>
  <c r="AA100" i="54"/>
  <c r="Z100" i="54"/>
  <c r="Y100" i="54"/>
  <c r="X100" i="54"/>
  <c r="W100" i="54"/>
  <c r="V100" i="54"/>
  <c r="U100" i="54"/>
  <c r="T100" i="54"/>
  <c r="S100" i="54"/>
  <c r="R100" i="54"/>
  <c r="Q100" i="54"/>
  <c r="P100" i="54"/>
  <c r="O100" i="54"/>
  <c r="N100" i="54"/>
  <c r="M100" i="54"/>
  <c r="L100" i="54"/>
  <c r="BB100" i="54" s="1"/>
  <c r="K100" i="54"/>
  <c r="BA100" i="54" s="1"/>
  <c r="J100" i="54"/>
  <c r="AZ100" i="54" s="1"/>
  <c r="I100" i="54"/>
  <c r="BI100" i="54" s="1"/>
  <c r="K100" i="56" s="1"/>
  <c r="H100" i="54"/>
  <c r="BR100" i="54" s="1"/>
  <c r="T100" i="56" s="1"/>
  <c r="G100" i="54"/>
  <c r="BQ100" i="54" s="1"/>
  <c r="S100" i="56" s="1"/>
  <c r="F100" i="54"/>
  <c r="BP100" i="54" s="1"/>
  <c r="R100" i="56" s="1"/>
  <c r="E100" i="54"/>
  <c r="BO100" i="54" s="1"/>
  <c r="Q100" i="56" s="1"/>
  <c r="D100" i="54"/>
  <c r="AT100" i="54" s="1"/>
  <c r="C100" i="54"/>
  <c r="AS100" i="54" s="1"/>
  <c r="B100" i="54"/>
  <c r="AG100" i="54" s="1"/>
  <c r="B100" i="56" s="1"/>
  <c r="A100" i="54"/>
  <c r="AF100" i="54" s="1"/>
  <c r="A100" i="56" s="1"/>
  <c r="JO99" i="54"/>
  <c r="JN99" i="54"/>
  <c r="JM99" i="54"/>
  <c r="JL99" i="54"/>
  <c r="JK99" i="54"/>
  <c r="JJ99" i="54"/>
  <c r="JI99" i="54"/>
  <c r="JH99" i="54"/>
  <c r="JG99" i="54"/>
  <c r="JF99" i="54"/>
  <c r="JE99" i="54"/>
  <c r="JD99" i="54"/>
  <c r="JC99" i="54"/>
  <c r="JB99" i="54"/>
  <c r="JA99" i="54"/>
  <c r="IZ99" i="54"/>
  <c r="IY99" i="54"/>
  <c r="IX99" i="54"/>
  <c r="IW99" i="54"/>
  <c r="IV99" i="54"/>
  <c r="IU99" i="54"/>
  <c r="IT99" i="54"/>
  <c r="IS99" i="54"/>
  <c r="IR99" i="54"/>
  <c r="IQ99" i="54"/>
  <c r="IP99" i="54"/>
  <c r="IO99" i="54"/>
  <c r="IN99" i="54"/>
  <c r="IM99" i="54"/>
  <c r="IL99" i="54"/>
  <c r="IK99" i="54"/>
  <c r="IJ99" i="54"/>
  <c r="II99" i="54"/>
  <c r="IH99" i="54"/>
  <c r="IG99" i="54"/>
  <c r="IF99" i="54"/>
  <c r="IE99" i="54"/>
  <c r="ID99" i="54"/>
  <c r="IC99" i="54"/>
  <c r="IB99" i="54"/>
  <c r="IA99" i="54"/>
  <c r="HZ99" i="54"/>
  <c r="HY99" i="54"/>
  <c r="HX99" i="54"/>
  <c r="HW99" i="54"/>
  <c r="HV99" i="54"/>
  <c r="HU99" i="54"/>
  <c r="HT99" i="54"/>
  <c r="HS99" i="54"/>
  <c r="HR99" i="54"/>
  <c r="HQ99" i="54"/>
  <c r="HP99" i="54"/>
  <c r="HO99" i="54"/>
  <c r="HN99" i="54"/>
  <c r="HM99" i="54"/>
  <c r="HL99" i="54"/>
  <c r="HK99" i="54"/>
  <c r="HJ99" i="54"/>
  <c r="HI99" i="54"/>
  <c r="HH99" i="54"/>
  <c r="HG99" i="54"/>
  <c r="HF99" i="54"/>
  <c r="HE99" i="54"/>
  <c r="HD99" i="54"/>
  <c r="HC99" i="54"/>
  <c r="HB99" i="54"/>
  <c r="HA99" i="54"/>
  <c r="GZ99" i="54"/>
  <c r="GY99" i="54"/>
  <c r="GX99" i="54"/>
  <c r="GW99" i="54"/>
  <c r="GV99" i="54"/>
  <c r="GU99" i="54"/>
  <c r="GT99" i="54"/>
  <c r="GS99" i="54"/>
  <c r="GR99" i="54"/>
  <c r="GQ99" i="54"/>
  <c r="GP99" i="54"/>
  <c r="GO99" i="54"/>
  <c r="GN99" i="54"/>
  <c r="GM99" i="54"/>
  <c r="GL99" i="54"/>
  <c r="GK99" i="54"/>
  <c r="GJ99" i="54"/>
  <c r="GI99" i="54"/>
  <c r="GH99" i="54"/>
  <c r="GG99" i="54"/>
  <c r="GF99" i="54"/>
  <c r="GE99" i="54"/>
  <c r="GD99" i="54"/>
  <c r="GC99" i="54"/>
  <c r="GB99" i="54"/>
  <c r="GA99" i="54"/>
  <c r="FZ99" i="54"/>
  <c r="FY99" i="54"/>
  <c r="FX99" i="54"/>
  <c r="FW99" i="54"/>
  <c r="FV99" i="54"/>
  <c r="FU99" i="54"/>
  <c r="FT99" i="54"/>
  <c r="AG99" i="54"/>
  <c r="B99" i="56" s="1"/>
  <c r="AD99" i="54"/>
  <c r="AA99" i="54"/>
  <c r="Z99" i="54"/>
  <c r="Y99" i="54"/>
  <c r="X99" i="54"/>
  <c r="W99" i="54"/>
  <c r="V99" i="54"/>
  <c r="U99" i="54"/>
  <c r="T99" i="54"/>
  <c r="S99" i="54"/>
  <c r="R99" i="54"/>
  <c r="Q99" i="54"/>
  <c r="P99" i="54"/>
  <c r="O99" i="54"/>
  <c r="N99" i="54"/>
  <c r="M99" i="54"/>
  <c r="L99" i="54"/>
  <c r="BB99" i="54" s="1"/>
  <c r="K99" i="54"/>
  <c r="BA99" i="54" s="1"/>
  <c r="J99" i="54"/>
  <c r="BJ99" i="54" s="1"/>
  <c r="L99" i="56" s="1"/>
  <c r="I99" i="54"/>
  <c r="BS99" i="54" s="1"/>
  <c r="U99" i="56" s="1"/>
  <c r="H99" i="54"/>
  <c r="BR99" i="54" s="1"/>
  <c r="T99" i="56" s="1"/>
  <c r="G99" i="54"/>
  <c r="BQ99" i="54" s="1"/>
  <c r="S99" i="56" s="1"/>
  <c r="F99" i="54"/>
  <c r="BP99" i="54" s="1"/>
  <c r="R99" i="56" s="1"/>
  <c r="E99" i="54"/>
  <c r="BO99" i="54" s="1"/>
  <c r="Q99" i="56" s="1"/>
  <c r="D99" i="54"/>
  <c r="AT99" i="54" s="1"/>
  <c r="C99" i="54"/>
  <c r="B99" i="54"/>
  <c r="A99" i="54"/>
  <c r="AF99" i="54" s="1"/>
  <c r="A99" i="56" s="1"/>
  <c r="JO98" i="54"/>
  <c r="JN98" i="54"/>
  <c r="JM98" i="54"/>
  <c r="JL98" i="54"/>
  <c r="JK98" i="54"/>
  <c r="JJ98" i="54"/>
  <c r="JI98" i="54"/>
  <c r="JH98" i="54"/>
  <c r="JG98" i="54"/>
  <c r="JF98" i="54"/>
  <c r="JE98" i="54"/>
  <c r="JD98" i="54"/>
  <c r="JC98" i="54"/>
  <c r="JB98" i="54"/>
  <c r="JA98" i="54"/>
  <c r="IZ98" i="54"/>
  <c r="IY98" i="54"/>
  <c r="IX98" i="54"/>
  <c r="IW98" i="54"/>
  <c r="IV98" i="54"/>
  <c r="IU98" i="54"/>
  <c r="IT98" i="54"/>
  <c r="IS98" i="54"/>
  <c r="IR98" i="54"/>
  <c r="IQ98" i="54"/>
  <c r="IP98" i="54"/>
  <c r="IO98" i="54"/>
  <c r="IN98" i="54"/>
  <c r="IM98" i="54"/>
  <c r="IL98" i="54"/>
  <c r="IK98" i="54"/>
  <c r="IJ98" i="54"/>
  <c r="II98" i="54"/>
  <c r="IH98" i="54"/>
  <c r="IG98" i="54"/>
  <c r="IF98" i="54"/>
  <c r="IE98" i="54"/>
  <c r="ID98" i="54"/>
  <c r="IC98" i="54"/>
  <c r="IB98" i="54"/>
  <c r="IA98" i="54"/>
  <c r="HZ98" i="54"/>
  <c r="HY98" i="54"/>
  <c r="HX98" i="54"/>
  <c r="HW98" i="54"/>
  <c r="HV98" i="54"/>
  <c r="HU98" i="54"/>
  <c r="HT98" i="54"/>
  <c r="HS98" i="54"/>
  <c r="HR98" i="54"/>
  <c r="HQ98" i="54"/>
  <c r="HP98" i="54"/>
  <c r="HO98" i="54"/>
  <c r="HN98" i="54"/>
  <c r="HM98" i="54"/>
  <c r="HL98" i="54"/>
  <c r="HK98" i="54"/>
  <c r="HJ98" i="54"/>
  <c r="HI98" i="54"/>
  <c r="HH98" i="54"/>
  <c r="HG98" i="54"/>
  <c r="HF98" i="54"/>
  <c r="HE98" i="54"/>
  <c r="HD98" i="54"/>
  <c r="HC98" i="54"/>
  <c r="HB98" i="54"/>
  <c r="HA98" i="54"/>
  <c r="GZ98" i="54"/>
  <c r="GY98" i="54"/>
  <c r="GX98" i="54"/>
  <c r="GW98" i="54"/>
  <c r="GV98" i="54"/>
  <c r="GU98" i="54"/>
  <c r="GT98" i="54"/>
  <c r="GS98" i="54"/>
  <c r="GR98" i="54"/>
  <c r="GQ98" i="54"/>
  <c r="GP98" i="54"/>
  <c r="GO98" i="54"/>
  <c r="GN98" i="54"/>
  <c r="GM98" i="54"/>
  <c r="GL98" i="54"/>
  <c r="GK98" i="54"/>
  <c r="GJ98" i="54"/>
  <c r="GI98" i="54"/>
  <c r="GH98" i="54"/>
  <c r="GG98" i="54"/>
  <c r="GF98" i="54"/>
  <c r="GE98" i="54"/>
  <c r="GD98" i="54"/>
  <c r="GC98" i="54"/>
  <c r="GB98" i="54"/>
  <c r="GA98" i="54"/>
  <c r="FZ98" i="54"/>
  <c r="FY98" i="54"/>
  <c r="FX98" i="54"/>
  <c r="FW98" i="54"/>
  <c r="FV98" i="54"/>
  <c r="FU98" i="54"/>
  <c r="FT98" i="54"/>
  <c r="AD98" i="54"/>
  <c r="AA98" i="54"/>
  <c r="Z98" i="54"/>
  <c r="Y98" i="54"/>
  <c r="X98" i="54"/>
  <c r="W98" i="54"/>
  <c r="V98" i="54"/>
  <c r="U98" i="54"/>
  <c r="T98" i="54"/>
  <c r="S98" i="54"/>
  <c r="R98" i="54"/>
  <c r="Q98" i="54"/>
  <c r="P98" i="54"/>
  <c r="O98" i="54"/>
  <c r="N98" i="54"/>
  <c r="M98" i="54"/>
  <c r="L98" i="54"/>
  <c r="BB98" i="54" s="1"/>
  <c r="K98" i="54"/>
  <c r="BK98" i="54" s="1"/>
  <c r="M98" i="56" s="1"/>
  <c r="J98" i="54"/>
  <c r="BT98" i="54" s="1"/>
  <c r="V98" i="56" s="1"/>
  <c r="I98" i="54"/>
  <c r="BS98" i="54" s="1"/>
  <c r="U98" i="56" s="1"/>
  <c r="H98" i="54"/>
  <c r="BR98" i="54" s="1"/>
  <c r="T98" i="56" s="1"/>
  <c r="G98" i="54"/>
  <c r="F98" i="54"/>
  <c r="BP98" i="54" s="1"/>
  <c r="R98" i="56" s="1"/>
  <c r="E98" i="54"/>
  <c r="AU98" i="54" s="1"/>
  <c r="D98" i="54"/>
  <c r="C98" i="54"/>
  <c r="BC98" i="54" s="1"/>
  <c r="E98" i="56" s="1"/>
  <c r="B98" i="54"/>
  <c r="AG98" i="54" s="1"/>
  <c r="B98" i="56" s="1"/>
  <c r="A98" i="54"/>
  <c r="AF98" i="54" s="1"/>
  <c r="A98" i="56" s="1"/>
  <c r="JO97" i="54"/>
  <c r="JN97" i="54"/>
  <c r="JM97" i="54"/>
  <c r="JL97" i="54"/>
  <c r="JK97" i="54"/>
  <c r="JJ97" i="54"/>
  <c r="JI97" i="54"/>
  <c r="JH97" i="54"/>
  <c r="JG97" i="54"/>
  <c r="JF97" i="54"/>
  <c r="JE97" i="54"/>
  <c r="JD97" i="54"/>
  <c r="JC97" i="54"/>
  <c r="JB97" i="54"/>
  <c r="JA97" i="54"/>
  <c r="IZ97" i="54"/>
  <c r="IY97" i="54"/>
  <c r="IX97" i="54"/>
  <c r="IW97" i="54"/>
  <c r="IV97" i="54"/>
  <c r="IU97" i="54"/>
  <c r="IT97" i="54"/>
  <c r="IS97" i="54"/>
  <c r="IR97" i="54"/>
  <c r="IQ97" i="54"/>
  <c r="IP97" i="54"/>
  <c r="IO97" i="54"/>
  <c r="IN97" i="54"/>
  <c r="IM97" i="54"/>
  <c r="IL97" i="54"/>
  <c r="IK97" i="54"/>
  <c r="IJ97" i="54"/>
  <c r="II97" i="54"/>
  <c r="IH97" i="54"/>
  <c r="IG97" i="54"/>
  <c r="IF97" i="54"/>
  <c r="IE97" i="54"/>
  <c r="ID97" i="54"/>
  <c r="IC97" i="54"/>
  <c r="IB97" i="54"/>
  <c r="IA97" i="54"/>
  <c r="HZ97" i="54"/>
  <c r="HY97" i="54"/>
  <c r="HX97" i="54"/>
  <c r="HW97" i="54"/>
  <c r="HV97" i="54"/>
  <c r="HU97" i="54"/>
  <c r="HT97" i="54"/>
  <c r="HS97" i="54"/>
  <c r="HR97" i="54"/>
  <c r="HQ97" i="54"/>
  <c r="HP97" i="54"/>
  <c r="HO97" i="54"/>
  <c r="HN97" i="54"/>
  <c r="HM97" i="54"/>
  <c r="HL97" i="54"/>
  <c r="HK97" i="54"/>
  <c r="HJ97" i="54"/>
  <c r="HI97" i="54"/>
  <c r="HH97" i="54"/>
  <c r="HG97" i="54"/>
  <c r="HF97" i="54"/>
  <c r="HE97" i="54"/>
  <c r="HD97" i="54"/>
  <c r="HC97" i="54"/>
  <c r="HB97" i="54"/>
  <c r="HA97" i="54"/>
  <c r="GZ97" i="54"/>
  <c r="GY97" i="54"/>
  <c r="GX97" i="54"/>
  <c r="GW97" i="54"/>
  <c r="GV97" i="54"/>
  <c r="GU97" i="54"/>
  <c r="GT97" i="54"/>
  <c r="GS97" i="54"/>
  <c r="GR97" i="54"/>
  <c r="GQ97" i="54"/>
  <c r="GP97" i="54"/>
  <c r="GO97" i="54"/>
  <c r="GN97" i="54"/>
  <c r="GM97" i="54"/>
  <c r="GL97" i="54"/>
  <c r="GK97" i="54"/>
  <c r="GJ97" i="54"/>
  <c r="GI97" i="54"/>
  <c r="GH97" i="54"/>
  <c r="GG97" i="54"/>
  <c r="GF97" i="54"/>
  <c r="GE97" i="54"/>
  <c r="GD97" i="54"/>
  <c r="GC97" i="54"/>
  <c r="GB97" i="54"/>
  <c r="GA97" i="54"/>
  <c r="FZ97" i="54"/>
  <c r="FY97" i="54"/>
  <c r="FX97" i="54"/>
  <c r="FW97" i="54"/>
  <c r="FV97" i="54"/>
  <c r="FU97" i="54"/>
  <c r="FT97" i="54"/>
  <c r="AD97" i="54"/>
  <c r="AA97" i="54"/>
  <c r="Z97" i="54"/>
  <c r="Y97" i="54"/>
  <c r="X97" i="54"/>
  <c r="W97" i="54"/>
  <c r="V97" i="54"/>
  <c r="U97" i="54"/>
  <c r="T97" i="54"/>
  <c r="S97" i="54"/>
  <c r="R97" i="54"/>
  <c r="Q97" i="54"/>
  <c r="P97" i="54"/>
  <c r="O97" i="54"/>
  <c r="N97" i="54"/>
  <c r="M97" i="54"/>
  <c r="L97" i="54"/>
  <c r="BL97" i="54" s="1"/>
  <c r="N97" i="56" s="1"/>
  <c r="K97" i="54"/>
  <c r="BU97" i="54" s="1"/>
  <c r="W97" i="56" s="1"/>
  <c r="J97" i="54"/>
  <c r="BT97" i="54" s="1"/>
  <c r="V97" i="56" s="1"/>
  <c r="I97" i="54"/>
  <c r="BS97" i="54" s="1"/>
  <c r="U97" i="56" s="1"/>
  <c r="H97" i="54"/>
  <c r="G97" i="54"/>
  <c r="AW97" i="54" s="1"/>
  <c r="F97" i="54"/>
  <c r="AV97" i="54" s="1"/>
  <c r="E97" i="54"/>
  <c r="AU97" i="54" s="1"/>
  <c r="D97" i="54"/>
  <c r="BD97" i="54" s="1"/>
  <c r="F97" i="56" s="1"/>
  <c r="C97" i="54"/>
  <c r="BM97" i="54" s="1"/>
  <c r="O97" i="56" s="1"/>
  <c r="B97" i="54"/>
  <c r="AG97" i="54" s="1"/>
  <c r="B97" i="56" s="1"/>
  <c r="A97" i="54"/>
  <c r="AF97" i="54" s="1"/>
  <c r="A97" i="56" s="1"/>
  <c r="JO96" i="54"/>
  <c r="JN96" i="54"/>
  <c r="JM96" i="54"/>
  <c r="JL96" i="54"/>
  <c r="JK96" i="54"/>
  <c r="JJ96" i="54"/>
  <c r="JI96" i="54"/>
  <c r="JH96" i="54"/>
  <c r="JG96" i="54"/>
  <c r="JF96" i="54"/>
  <c r="JE96" i="54"/>
  <c r="JD96" i="54"/>
  <c r="JC96" i="54"/>
  <c r="JB96" i="54"/>
  <c r="JA96" i="54"/>
  <c r="IZ96" i="54"/>
  <c r="IY96" i="54"/>
  <c r="IX96" i="54"/>
  <c r="IW96" i="54"/>
  <c r="IV96" i="54"/>
  <c r="IU96" i="54"/>
  <c r="IT96" i="54"/>
  <c r="IS96" i="54"/>
  <c r="IR96" i="54"/>
  <c r="IQ96" i="54"/>
  <c r="IP96" i="54"/>
  <c r="IO96" i="54"/>
  <c r="IN96" i="54"/>
  <c r="IM96" i="54"/>
  <c r="IL96" i="54"/>
  <c r="IK96" i="54"/>
  <c r="IJ96" i="54"/>
  <c r="II96" i="54"/>
  <c r="IH96" i="54"/>
  <c r="IG96" i="54"/>
  <c r="IF96" i="54"/>
  <c r="IE96" i="54"/>
  <c r="ID96" i="54"/>
  <c r="IC96" i="54"/>
  <c r="IB96" i="54"/>
  <c r="IA96" i="54"/>
  <c r="HZ96" i="54"/>
  <c r="HY96" i="54"/>
  <c r="HX96" i="54"/>
  <c r="HW96" i="54"/>
  <c r="HV96" i="54"/>
  <c r="HU96" i="54"/>
  <c r="HT96" i="54"/>
  <c r="HS96" i="54"/>
  <c r="HR96" i="54"/>
  <c r="HQ96" i="54"/>
  <c r="HP96" i="54"/>
  <c r="HO96" i="54"/>
  <c r="HN96" i="54"/>
  <c r="HM96" i="54"/>
  <c r="HL96" i="54"/>
  <c r="HK96" i="54"/>
  <c r="HJ96" i="54"/>
  <c r="HI96" i="54"/>
  <c r="HH96" i="54"/>
  <c r="HG96" i="54"/>
  <c r="HF96" i="54"/>
  <c r="HE96" i="54"/>
  <c r="HD96" i="54"/>
  <c r="HC96" i="54"/>
  <c r="HB96" i="54"/>
  <c r="HA96" i="54"/>
  <c r="GZ96" i="54"/>
  <c r="GY96" i="54"/>
  <c r="GX96" i="54"/>
  <c r="GW96" i="54"/>
  <c r="GV96" i="54"/>
  <c r="GU96" i="54"/>
  <c r="GT96" i="54"/>
  <c r="GS96" i="54"/>
  <c r="GR96" i="54"/>
  <c r="GQ96" i="54"/>
  <c r="GP96" i="54"/>
  <c r="GO96" i="54"/>
  <c r="GN96" i="54"/>
  <c r="GM96" i="54"/>
  <c r="GL96" i="54"/>
  <c r="GK96" i="54"/>
  <c r="GJ96" i="54"/>
  <c r="GI96" i="54"/>
  <c r="GH96" i="54"/>
  <c r="GG96" i="54"/>
  <c r="GF96" i="54"/>
  <c r="GE96" i="54"/>
  <c r="GD96" i="54"/>
  <c r="GC96" i="54"/>
  <c r="GB96" i="54"/>
  <c r="GA96" i="54"/>
  <c r="FZ96" i="54"/>
  <c r="FY96" i="54"/>
  <c r="FX96" i="54"/>
  <c r="FW96" i="54"/>
  <c r="FV96" i="54"/>
  <c r="FU96" i="54"/>
  <c r="FT96" i="54"/>
  <c r="AZ96" i="54"/>
  <c r="AD96" i="54"/>
  <c r="AA96" i="54"/>
  <c r="Z96" i="54"/>
  <c r="Y96" i="54"/>
  <c r="X96" i="54"/>
  <c r="W96" i="54"/>
  <c r="V96" i="54"/>
  <c r="U96" i="54"/>
  <c r="T96" i="54"/>
  <c r="S96" i="54"/>
  <c r="R96" i="54"/>
  <c r="Q96" i="54"/>
  <c r="P96" i="54"/>
  <c r="O96" i="54"/>
  <c r="N96" i="54"/>
  <c r="M96" i="54"/>
  <c r="L96" i="54"/>
  <c r="BV96" i="54" s="1"/>
  <c r="X96" i="56" s="1"/>
  <c r="K96" i="54"/>
  <c r="BU96" i="54" s="1"/>
  <c r="W96" i="56" s="1"/>
  <c r="J96" i="54"/>
  <c r="BT96" i="54" s="1"/>
  <c r="V96" i="56" s="1"/>
  <c r="I96" i="54"/>
  <c r="H96" i="54"/>
  <c r="AX96" i="54" s="1"/>
  <c r="G96" i="54"/>
  <c r="AW96" i="54" s="1"/>
  <c r="F96" i="54"/>
  <c r="AV96" i="54" s="1"/>
  <c r="E96" i="54"/>
  <c r="BE96" i="54" s="1"/>
  <c r="G96" i="56" s="1"/>
  <c r="D96" i="54"/>
  <c r="BN96" i="54" s="1"/>
  <c r="P96" i="56" s="1"/>
  <c r="C96" i="54"/>
  <c r="BM96" i="54" s="1"/>
  <c r="O96" i="56" s="1"/>
  <c r="B96" i="54"/>
  <c r="AG96" i="54" s="1"/>
  <c r="B96" i="56" s="1"/>
  <c r="A96" i="54"/>
  <c r="AF96" i="54" s="1"/>
  <c r="A96" i="56" s="1"/>
  <c r="JO95" i="54"/>
  <c r="JN95" i="54"/>
  <c r="JM95" i="54"/>
  <c r="JL95" i="54"/>
  <c r="JK95" i="54"/>
  <c r="JJ95" i="54"/>
  <c r="JI95" i="54"/>
  <c r="JH95" i="54"/>
  <c r="JG95" i="54"/>
  <c r="JF95" i="54"/>
  <c r="JE95" i="54"/>
  <c r="JD95" i="54"/>
  <c r="JC95" i="54"/>
  <c r="JB95" i="54"/>
  <c r="JA95" i="54"/>
  <c r="IZ95" i="54"/>
  <c r="IY95" i="54"/>
  <c r="IX95" i="54"/>
  <c r="IW95" i="54"/>
  <c r="IV95" i="54"/>
  <c r="IU95" i="54"/>
  <c r="IT95" i="54"/>
  <c r="IS95" i="54"/>
  <c r="IR95" i="54"/>
  <c r="IQ95" i="54"/>
  <c r="IP95" i="54"/>
  <c r="IO95" i="54"/>
  <c r="IN95" i="54"/>
  <c r="IM95" i="54"/>
  <c r="IL95" i="54"/>
  <c r="IK95" i="54"/>
  <c r="IJ95" i="54"/>
  <c r="II95" i="54"/>
  <c r="IH95" i="54"/>
  <c r="IG95" i="54"/>
  <c r="IF95" i="54"/>
  <c r="IE95" i="54"/>
  <c r="ID95" i="54"/>
  <c r="IC95" i="54"/>
  <c r="IB95" i="54"/>
  <c r="IA95" i="54"/>
  <c r="HZ95" i="54"/>
  <c r="HY95" i="54"/>
  <c r="HX95" i="54"/>
  <c r="HW95" i="54"/>
  <c r="HV95" i="54"/>
  <c r="HU95" i="54"/>
  <c r="HT95" i="54"/>
  <c r="HS95" i="54"/>
  <c r="HR95" i="54"/>
  <c r="HQ95" i="54"/>
  <c r="HP95" i="54"/>
  <c r="HO95" i="54"/>
  <c r="HN95" i="54"/>
  <c r="HM95" i="54"/>
  <c r="HL95" i="54"/>
  <c r="HK95" i="54"/>
  <c r="HJ95" i="54"/>
  <c r="HI95" i="54"/>
  <c r="HH95" i="54"/>
  <c r="HG95" i="54"/>
  <c r="HF95" i="54"/>
  <c r="HE95" i="54"/>
  <c r="HD95" i="54"/>
  <c r="HC95" i="54"/>
  <c r="HB95" i="54"/>
  <c r="HA95" i="54"/>
  <c r="GZ95" i="54"/>
  <c r="GY95" i="54"/>
  <c r="GX95" i="54"/>
  <c r="GW95" i="54"/>
  <c r="GV95" i="54"/>
  <c r="GU95" i="54"/>
  <c r="GT95" i="54"/>
  <c r="GS95" i="54"/>
  <c r="GR95" i="54"/>
  <c r="GQ95" i="54"/>
  <c r="GP95" i="54"/>
  <c r="GO95" i="54"/>
  <c r="GN95" i="54"/>
  <c r="GM95" i="54"/>
  <c r="GL95" i="54"/>
  <c r="GK95" i="54"/>
  <c r="GJ95" i="54"/>
  <c r="GI95" i="54"/>
  <c r="GH95" i="54"/>
  <c r="GG95" i="54"/>
  <c r="GF95" i="54"/>
  <c r="GE95" i="54"/>
  <c r="GD95" i="54"/>
  <c r="GC95" i="54"/>
  <c r="GB95" i="54"/>
  <c r="GA95" i="54"/>
  <c r="FZ95" i="54"/>
  <c r="FY95" i="54"/>
  <c r="FX95" i="54"/>
  <c r="FW95" i="54"/>
  <c r="FV95" i="54"/>
  <c r="FU95" i="54"/>
  <c r="FT95" i="54"/>
  <c r="AD95" i="54"/>
  <c r="AA95" i="54"/>
  <c r="Z95" i="54"/>
  <c r="Y95" i="54"/>
  <c r="X95" i="54"/>
  <c r="W95" i="54"/>
  <c r="V95" i="54"/>
  <c r="U95" i="54"/>
  <c r="T95" i="54"/>
  <c r="S95" i="54"/>
  <c r="R95" i="54"/>
  <c r="Q95" i="54"/>
  <c r="P95" i="54"/>
  <c r="O95" i="54"/>
  <c r="N95" i="54"/>
  <c r="M95" i="54"/>
  <c r="L95" i="54"/>
  <c r="BV95" i="54" s="1"/>
  <c r="X95" i="56" s="1"/>
  <c r="K95" i="54"/>
  <c r="BU95" i="54" s="1"/>
  <c r="W95" i="56" s="1"/>
  <c r="J95" i="54"/>
  <c r="I95" i="54"/>
  <c r="AY95" i="54" s="1"/>
  <c r="H95" i="54"/>
  <c r="AX95" i="54" s="1"/>
  <c r="G95" i="54"/>
  <c r="AW95" i="54" s="1"/>
  <c r="F95" i="54"/>
  <c r="BF95" i="54" s="1"/>
  <c r="H95" i="56" s="1"/>
  <c r="E95" i="54"/>
  <c r="BO95" i="54" s="1"/>
  <c r="Q95" i="56" s="1"/>
  <c r="D95" i="54"/>
  <c r="BN95" i="54" s="1"/>
  <c r="P95" i="56" s="1"/>
  <c r="C95" i="54"/>
  <c r="BM95" i="54" s="1"/>
  <c r="O95" i="56" s="1"/>
  <c r="B95" i="54"/>
  <c r="AG95" i="54" s="1"/>
  <c r="B95" i="56" s="1"/>
  <c r="A95" i="54"/>
  <c r="AF95" i="54" s="1"/>
  <c r="A95" i="56" s="1"/>
  <c r="JO94" i="54"/>
  <c r="JN94" i="54"/>
  <c r="JM94" i="54"/>
  <c r="JL94" i="54"/>
  <c r="JK94" i="54"/>
  <c r="JJ94" i="54"/>
  <c r="JI94" i="54"/>
  <c r="JH94" i="54"/>
  <c r="JG94" i="54"/>
  <c r="JF94" i="54"/>
  <c r="JE94" i="54"/>
  <c r="JD94" i="54"/>
  <c r="JC94" i="54"/>
  <c r="JB94" i="54"/>
  <c r="JA94" i="54"/>
  <c r="IZ94" i="54"/>
  <c r="IY94" i="54"/>
  <c r="IX94" i="54"/>
  <c r="IW94" i="54"/>
  <c r="IV94" i="54"/>
  <c r="IU94" i="54"/>
  <c r="IT94" i="54"/>
  <c r="IS94" i="54"/>
  <c r="IR94" i="54"/>
  <c r="IQ94" i="54"/>
  <c r="IP94" i="54"/>
  <c r="IO94" i="54"/>
  <c r="IN94" i="54"/>
  <c r="IM94" i="54"/>
  <c r="IL94" i="54"/>
  <c r="IK94" i="54"/>
  <c r="IJ94" i="54"/>
  <c r="II94" i="54"/>
  <c r="IH94" i="54"/>
  <c r="IG94" i="54"/>
  <c r="IF94" i="54"/>
  <c r="IE94" i="54"/>
  <c r="ID94" i="54"/>
  <c r="IC94" i="54"/>
  <c r="IB94" i="54"/>
  <c r="IA94" i="54"/>
  <c r="HZ94" i="54"/>
  <c r="HY94" i="54"/>
  <c r="HX94" i="54"/>
  <c r="HW94" i="54"/>
  <c r="HV94" i="54"/>
  <c r="HU94" i="54"/>
  <c r="HT94" i="54"/>
  <c r="HS94" i="54"/>
  <c r="HR94" i="54"/>
  <c r="HQ94" i="54"/>
  <c r="HP94" i="54"/>
  <c r="HO94" i="54"/>
  <c r="HN94" i="54"/>
  <c r="HM94" i="54"/>
  <c r="HL94" i="54"/>
  <c r="HK94" i="54"/>
  <c r="HJ94" i="54"/>
  <c r="HI94" i="54"/>
  <c r="HH94" i="54"/>
  <c r="HG94" i="54"/>
  <c r="HF94" i="54"/>
  <c r="HE94" i="54"/>
  <c r="HD94" i="54"/>
  <c r="HC94" i="54"/>
  <c r="HB94" i="54"/>
  <c r="HA94" i="54"/>
  <c r="GZ94" i="54"/>
  <c r="GY94" i="54"/>
  <c r="GX94" i="54"/>
  <c r="GW94" i="54"/>
  <c r="GV94" i="54"/>
  <c r="GU94" i="54"/>
  <c r="GT94" i="54"/>
  <c r="GS94" i="54"/>
  <c r="GR94" i="54"/>
  <c r="GQ94" i="54"/>
  <c r="GP94" i="54"/>
  <c r="GO94" i="54"/>
  <c r="GN94" i="54"/>
  <c r="GM94" i="54"/>
  <c r="GL94" i="54"/>
  <c r="GK94" i="54"/>
  <c r="GJ94" i="54"/>
  <c r="GI94" i="54"/>
  <c r="GH94" i="54"/>
  <c r="GG94" i="54"/>
  <c r="GF94" i="54"/>
  <c r="GE94" i="54"/>
  <c r="GD94" i="54"/>
  <c r="GC94" i="54"/>
  <c r="GB94" i="54"/>
  <c r="GA94" i="54"/>
  <c r="FZ94" i="54"/>
  <c r="FY94" i="54"/>
  <c r="FX94" i="54"/>
  <c r="FW94" i="54"/>
  <c r="FV94" i="54"/>
  <c r="FU94" i="54"/>
  <c r="FT94" i="54"/>
  <c r="AD94" i="54"/>
  <c r="AA94" i="54"/>
  <c r="Z94" i="54"/>
  <c r="Y94" i="54"/>
  <c r="X94" i="54"/>
  <c r="W94" i="54"/>
  <c r="V94" i="54"/>
  <c r="U94" i="54"/>
  <c r="T94" i="54"/>
  <c r="S94" i="54"/>
  <c r="R94" i="54"/>
  <c r="Q94" i="54"/>
  <c r="P94" i="54"/>
  <c r="O94" i="54"/>
  <c r="N94" i="54"/>
  <c r="M94" i="54"/>
  <c r="L94" i="54"/>
  <c r="BV94" i="54" s="1"/>
  <c r="X94" i="56" s="1"/>
  <c r="K94" i="54"/>
  <c r="BU94" i="54" s="1"/>
  <c r="W94" i="56" s="1"/>
  <c r="J94" i="54"/>
  <c r="AZ94" i="54" s="1"/>
  <c r="I94" i="54"/>
  <c r="AY94" i="54" s="1"/>
  <c r="H94" i="54"/>
  <c r="G94" i="54"/>
  <c r="BG94" i="54" s="1"/>
  <c r="I94" i="56" s="1"/>
  <c r="F94" i="54"/>
  <c r="BP94" i="54" s="1"/>
  <c r="R94" i="56" s="1"/>
  <c r="E94" i="54"/>
  <c r="BO94" i="54" s="1"/>
  <c r="Q94" i="56" s="1"/>
  <c r="D94" i="54"/>
  <c r="BN94" i="54" s="1"/>
  <c r="P94" i="56" s="1"/>
  <c r="C94" i="54"/>
  <c r="BM94" i="54" s="1"/>
  <c r="O94" i="56" s="1"/>
  <c r="B94" i="54"/>
  <c r="AG94" i="54" s="1"/>
  <c r="B94" i="56" s="1"/>
  <c r="A94" i="54"/>
  <c r="AF94" i="54" s="1"/>
  <c r="A94" i="56" s="1"/>
  <c r="JO93" i="54"/>
  <c r="JN93" i="54"/>
  <c r="JM93" i="54"/>
  <c r="JL93" i="54"/>
  <c r="JK93" i="54"/>
  <c r="JJ93" i="54"/>
  <c r="JI93" i="54"/>
  <c r="JH93" i="54"/>
  <c r="JG93" i="54"/>
  <c r="JF93" i="54"/>
  <c r="JE93" i="54"/>
  <c r="JD93" i="54"/>
  <c r="JC93" i="54"/>
  <c r="JB93" i="54"/>
  <c r="JA93" i="54"/>
  <c r="IZ93" i="54"/>
  <c r="IY93" i="54"/>
  <c r="IX93" i="54"/>
  <c r="IW93" i="54"/>
  <c r="IV93" i="54"/>
  <c r="IU93" i="54"/>
  <c r="IT93" i="54"/>
  <c r="IS93" i="54"/>
  <c r="IR93" i="54"/>
  <c r="IQ93" i="54"/>
  <c r="IP93" i="54"/>
  <c r="IO93" i="54"/>
  <c r="IN93" i="54"/>
  <c r="IM93" i="54"/>
  <c r="IL93" i="54"/>
  <c r="IK93" i="54"/>
  <c r="IJ93" i="54"/>
  <c r="II93" i="54"/>
  <c r="IH93" i="54"/>
  <c r="IG93" i="54"/>
  <c r="IF93" i="54"/>
  <c r="IE93" i="54"/>
  <c r="ID93" i="54"/>
  <c r="IC93" i="54"/>
  <c r="IB93" i="54"/>
  <c r="IA93" i="54"/>
  <c r="HZ93" i="54"/>
  <c r="HY93" i="54"/>
  <c r="HX93" i="54"/>
  <c r="HW93" i="54"/>
  <c r="HV93" i="54"/>
  <c r="HU93" i="54"/>
  <c r="HT93" i="54"/>
  <c r="HS93" i="54"/>
  <c r="HR93" i="54"/>
  <c r="HQ93" i="54"/>
  <c r="HP93" i="54"/>
  <c r="HO93" i="54"/>
  <c r="HN93" i="54"/>
  <c r="HM93" i="54"/>
  <c r="HL93" i="54"/>
  <c r="HK93" i="54"/>
  <c r="HJ93" i="54"/>
  <c r="HI93" i="54"/>
  <c r="HH93" i="54"/>
  <c r="HG93" i="54"/>
  <c r="HF93" i="54"/>
  <c r="HE93" i="54"/>
  <c r="HD93" i="54"/>
  <c r="HC93" i="54"/>
  <c r="HB93" i="54"/>
  <c r="HA93" i="54"/>
  <c r="GZ93" i="54"/>
  <c r="GY93" i="54"/>
  <c r="GX93" i="54"/>
  <c r="GW93" i="54"/>
  <c r="GV93" i="54"/>
  <c r="GU93" i="54"/>
  <c r="GT93" i="54"/>
  <c r="GS93" i="54"/>
  <c r="GR93" i="54"/>
  <c r="GQ93" i="54"/>
  <c r="GP93" i="54"/>
  <c r="GO93" i="54"/>
  <c r="GN93" i="54"/>
  <c r="GM93" i="54"/>
  <c r="GL93" i="54"/>
  <c r="GK93" i="54"/>
  <c r="GJ93" i="54"/>
  <c r="GI93" i="54"/>
  <c r="GH93" i="54"/>
  <c r="GG93" i="54"/>
  <c r="GF93" i="54"/>
  <c r="GE93" i="54"/>
  <c r="GD93" i="54"/>
  <c r="GC93" i="54"/>
  <c r="GB93" i="54"/>
  <c r="GA93" i="54"/>
  <c r="FZ93" i="54"/>
  <c r="FY93" i="54"/>
  <c r="FX93" i="54"/>
  <c r="FW93" i="54"/>
  <c r="FV93" i="54"/>
  <c r="FU93" i="54"/>
  <c r="FT93" i="54"/>
  <c r="AD93" i="54"/>
  <c r="AA93" i="54"/>
  <c r="Z93" i="54"/>
  <c r="Y93" i="54"/>
  <c r="X93" i="54"/>
  <c r="W93" i="54"/>
  <c r="V93" i="54"/>
  <c r="U93" i="54"/>
  <c r="T93" i="54"/>
  <c r="S93" i="54"/>
  <c r="R93" i="54"/>
  <c r="Q93" i="54"/>
  <c r="P93" i="54"/>
  <c r="O93" i="54"/>
  <c r="N93" i="54"/>
  <c r="M93" i="54"/>
  <c r="L93" i="54"/>
  <c r="K93" i="54"/>
  <c r="BA93" i="54" s="1"/>
  <c r="J93" i="54"/>
  <c r="AZ93" i="54" s="1"/>
  <c r="I93" i="54"/>
  <c r="AY93" i="54" s="1"/>
  <c r="H93" i="54"/>
  <c r="BH93" i="54" s="1"/>
  <c r="J93" i="56" s="1"/>
  <c r="G93" i="54"/>
  <c r="BQ93" i="54" s="1"/>
  <c r="S93" i="56" s="1"/>
  <c r="F93" i="54"/>
  <c r="BP93" i="54" s="1"/>
  <c r="R93" i="56" s="1"/>
  <c r="E93" i="54"/>
  <c r="BO93" i="54" s="1"/>
  <c r="Q93" i="56" s="1"/>
  <c r="D93" i="54"/>
  <c r="BN93" i="54" s="1"/>
  <c r="P93" i="56" s="1"/>
  <c r="C93" i="54"/>
  <c r="AS93" i="54" s="1"/>
  <c r="B93" i="54"/>
  <c r="AG93" i="54" s="1"/>
  <c r="B93" i="56" s="1"/>
  <c r="A93" i="54"/>
  <c r="AF93" i="54" s="1"/>
  <c r="A93" i="56" s="1"/>
  <c r="JO92" i="54"/>
  <c r="JN92" i="54"/>
  <c r="JM92" i="54"/>
  <c r="JL92" i="54"/>
  <c r="JK92" i="54"/>
  <c r="JJ92" i="54"/>
  <c r="JI92" i="54"/>
  <c r="JH92" i="54"/>
  <c r="JG92" i="54"/>
  <c r="JF92" i="54"/>
  <c r="JE92" i="54"/>
  <c r="JD92" i="54"/>
  <c r="JC92" i="54"/>
  <c r="JB92" i="54"/>
  <c r="JA92" i="54"/>
  <c r="IZ92" i="54"/>
  <c r="IY92" i="54"/>
  <c r="IX92" i="54"/>
  <c r="IW92" i="54"/>
  <c r="IV92" i="54"/>
  <c r="IU92" i="54"/>
  <c r="IT92" i="54"/>
  <c r="IS92" i="54"/>
  <c r="IR92" i="54"/>
  <c r="IQ92" i="54"/>
  <c r="IP92" i="54"/>
  <c r="IO92" i="54"/>
  <c r="IN92" i="54"/>
  <c r="IM92" i="54"/>
  <c r="IL92" i="54"/>
  <c r="IK92" i="54"/>
  <c r="IJ92" i="54"/>
  <c r="II92" i="54"/>
  <c r="IH92" i="54"/>
  <c r="IG92" i="54"/>
  <c r="IF92" i="54"/>
  <c r="IE92" i="54"/>
  <c r="ID92" i="54"/>
  <c r="IC92" i="54"/>
  <c r="IB92" i="54"/>
  <c r="IA92" i="54"/>
  <c r="HZ92" i="54"/>
  <c r="HY92" i="54"/>
  <c r="HX92" i="54"/>
  <c r="HW92" i="54"/>
  <c r="HV92" i="54"/>
  <c r="HU92" i="54"/>
  <c r="HT92" i="54"/>
  <c r="HS92" i="54"/>
  <c r="HR92" i="54"/>
  <c r="HQ92" i="54"/>
  <c r="HP92" i="54"/>
  <c r="HO92" i="54"/>
  <c r="HN92" i="54"/>
  <c r="HM92" i="54"/>
  <c r="HL92" i="54"/>
  <c r="HK92" i="54"/>
  <c r="HJ92" i="54"/>
  <c r="HI92" i="54"/>
  <c r="HH92" i="54"/>
  <c r="HG92" i="54"/>
  <c r="HF92" i="54"/>
  <c r="HE92" i="54"/>
  <c r="HD92" i="54"/>
  <c r="HC92" i="54"/>
  <c r="HB92" i="54"/>
  <c r="HA92" i="54"/>
  <c r="GZ92" i="54"/>
  <c r="GY92" i="54"/>
  <c r="GX92" i="54"/>
  <c r="GW92" i="54"/>
  <c r="GV92" i="54"/>
  <c r="GU92" i="54"/>
  <c r="GT92" i="54"/>
  <c r="GS92" i="54"/>
  <c r="GR92" i="54"/>
  <c r="GQ92" i="54"/>
  <c r="GP92" i="54"/>
  <c r="GO92" i="54"/>
  <c r="GN92" i="54"/>
  <c r="GM92" i="54"/>
  <c r="GL92" i="54"/>
  <c r="GK92" i="54"/>
  <c r="GJ92" i="54"/>
  <c r="GI92" i="54"/>
  <c r="GH92" i="54"/>
  <c r="GG92" i="54"/>
  <c r="GF92" i="54"/>
  <c r="GE92" i="54"/>
  <c r="GD92" i="54"/>
  <c r="GC92" i="54"/>
  <c r="GB92" i="54"/>
  <c r="GA92" i="54"/>
  <c r="FZ92" i="54"/>
  <c r="FY92" i="54"/>
  <c r="FX92" i="54"/>
  <c r="FW92" i="54"/>
  <c r="FV92" i="54"/>
  <c r="FU92" i="54"/>
  <c r="FT92" i="54"/>
  <c r="AD92" i="54"/>
  <c r="AA92" i="54"/>
  <c r="Z92" i="54"/>
  <c r="Y92" i="54"/>
  <c r="X92" i="54"/>
  <c r="W92" i="54"/>
  <c r="V92" i="54"/>
  <c r="U92" i="54"/>
  <c r="T92" i="54"/>
  <c r="S92" i="54"/>
  <c r="R92" i="54"/>
  <c r="Q92" i="54"/>
  <c r="P92" i="54"/>
  <c r="O92" i="54"/>
  <c r="N92" i="54"/>
  <c r="M92" i="54"/>
  <c r="L92" i="54"/>
  <c r="BB92" i="54" s="1"/>
  <c r="K92" i="54"/>
  <c r="BU92" i="54" s="1"/>
  <c r="W92" i="56" s="1"/>
  <c r="J92" i="54"/>
  <c r="AZ92" i="54" s="1"/>
  <c r="I92" i="54"/>
  <c r="BI92" i="54" s="1"/>
  <c r="K92" i="56" s="1"/>
  <c r="H92" i="54"/>
  <c r="BR92" i="54" s="1"/>
  <c r="T92" i="56" s="1"/>
  <c r="G92" i="54"/>
  <c r="BQ92" i="54" s="1"/>
  <c r="S92" i="56" s="1"/>
  <c r="F92" i="54"/>
  <c r="BP92" i="54" s="1"/>
  <c r="R92" i="56" s="1"/>
  <c r="E92" i="54"/>
  <c r="BO92" i="54" s="1"/>
  <c r="Q92" i="56" s="1"/>
  <c r="D92" i="54"/>
  <c r="AT92" i="54" s="1"/>
  <c r="C92" i="54"/>
  <c r="BC92" i="54" s="1"/>
  <c r="E92" i="56" s="1"/>
  <c r="B92" i="54"/>
  <c r="AG92" i="54" s="1"/>
  <c r="B92" i="56" s="1"/>
  <c r="A92" i="54"/>
  <c r="AF92" i="54" s="1"/>
  <c r="A92" i="56" s="1"/>
  <c r="JO91" i="54"/>
  <c r="JN91" i="54"/>
  <c r="JM91" i="54"/>
  <c r="JL91" i="54"/>
  <c r="JK91" i="54"/>
  <c r="JJ91" i="54"/>
  <c r="JI91" i="54"/>
  <c r="JH91" i="54"/>
  <c r="JG91" i="54"/>
  <c r="JF91" i="54"/>
  <c r="JE91" i="54"/>
  <c r="JD91" i="54"/>
  <c r="JC91" i="54"/>
  <c r="JB91" i="54"/>
  <c r="JA91" i="54"/>
  <c r="IZ91" i="54"/>
  <c r="IY91" i="54"/>
  <c r="IX91" i="54"/>
  <c r="IW91" i="54"/>
  <c r="IV91" i="54"/>
  <c r="IU91" i="54"/>
  <c r="IT91" i="54"/>
  <c r="IS91" i="54"/>
  <c r="IR91" i="54"/>
  <c r="IQ91" i="54"/>
  <c r="IP91" i="54"/>
  <c r="IO91" i="54"/>
  <c r="IN91" i="54"/>
  <c r="IM91" i="54"/>
  <c r="IL91" i="54"/>
  <c r="IK91" i="54"/>
  <c r="IJ91" i="54"/>
  <c r="II91" i="54"/>
  <c r="IH91" i="54"/>
  <c r="IG91" i="54"/>
  <c r="IF91" i="54"/>
  <c r="IE91" i="54"/>
  <c r="ID91" i="54"/>
  <c r="IC91" i="54"/>
  <c r="IB91" i="54"/>
  <c r="IA91" i="54"/>
  <c r="HZ91" i="54"/>
  <c r="HY91" i="54"/>
  <c r="HX91" i="54"/>
  <c r="HW91" i="54"/>
  <c r="HV91" i="54"/>
  <c r="HU91" i="54"/>
  <c r="HT91" i="54"/>
  <c r="HS91" i="54"/>
  <c r="HR91" i="54"/>
  <c r="HQ91" i="54"/>
  <c r="HP91" i="54"/>
  <c r="HO91" i="54"/>
  <c r="HN91" i="54"/>
  <c r="HM91" i="54"/>
  <c r="HL91" i="54"/>
  <c r="HK91" i="54"/>
  <c r="HJ91" i="54"/>
  <c r="HI91" i="54"/>
  <c r="HH91" i="54"/>
  <c r="HG91" i="54"/>
  <c r="HF91" i="54"/>
  <c r="HE91" i="54"/>
  <c r="HD91" i="54"/>
  <c r="HC91" i="54"/>
  <c r="HB91" i="54"/>
  <c r="HA91" i="54"/>
  <c r="GZ91" i="54"/>
  <c r="GY91" i="54"/>
  <c r="GX91" i="54"/>
  <c r="GW91" i="54"/>
  <c r="GV91" i="54"/>
  <c r="GU91" i="54"/>
  <c r="GT91" i="54"/>
  <c r="GS91" i="54"/>
  <c r="GR91" i="54"/>
  <c r="GQ91" i="54"/>
  <c r="GP91" i="54"/>
  <c r="GO91" i="54"/>
  <c r="GN91" i="54"/>
  <c r="GM91" i="54"/>
  <c r="GL91" i="54"/>
  <c r="GK91" i="54"/>
  <c r="GJ91" i="54"/>
  <c r="GI91" i="54"/>
  <c r="GH91" i="54"/>
  <c r="GG91" i="54"/>
  <c r="GF91" i="54"/>
  <c r="GE91" i="54"/>
  <c r="GD91" i="54"/>
  <c r="GC91" i="54"/>
  <c r="GB91" i="54"/>
  <c r="GA91" i="54"/>
  <c r="FZ91" i="54"/>
  <c r="FY91" i="54"/>
  <c r="FX91" i="54"/>
  <c r="FW91" i="54"/>
  <c r="FV91" i="54"/>
  <c r="FU91" i="54"/>
  <c r="FT91" i="54"/>
  <c r="AD91" i="54"/>
  <c r="AA91" i="54"/>
  <c r="Z91" i="54"/>
  <c r="Y91" i="54"/>
  <c r="X91" i="54"/>
  <c r="W91" i="54"/>
  <c r="V91" i="54"/>
  <c r="U91" i="54"/>
  <c r="T91" i="54"/>
  <c r="S91" i="54"/>
  <c r="R91" i="54"/>
  <c r="Q91" i="54"/>
  <c r="P91" i="54"/>
  <c r="O91" i="54"/>
  <c r="N91" i="54"/>
  <c r="M91" i="54"/>
  <c r="L91" i="54"/>
  <c r="BV91" i="54" s="1"/>
  <c r="X91" i="56" s="1"/>
  <c r="K91" i="54"/>
  <c r="BA91" i="54" s="1"/>
  <c r="J91" i="54"/>
  <c r="BJ91" i="54" s="1"/>
  <c r="L91" i="56" s="1"/>
  <c r="I91" i="54"/>
  <c r="BS91" i="54" s="1"/>
  <c r="U91" i="56" s="1"/>
  <c r="H91" i="54"/>
  <c r="BR91" i="54" s="1"/>
  <c r="T91" i="56" s="1"/>
  <c r="G91" i="54"/>
  <c r="BQ91" i="54" s="1"/>
  <c r="S91" i="56" s="1"/>
  <c r="F91" i="54"/>
  <c r="E91" i="54"/>
  <c r="AU91" i="54" s="1"/>
  <c r="D91" i="54"/>
  <c r="BN91" i="54" s="1"/>
  <c r="P91" i="56" s="1"/>
  <c r="C91" i="54"/>
  <c r="AS91" i="54" s="1"/>
  <c r="B91" i="54"/>
  <c r="AG91" i="54" s="1"/>
  <c r="B91" i="56" s="1"/>
  <c r="A91" i="54"/>
  <c r="AF91" i="54" s="1"/>
  <c r="A91" i="56" s="1"/>
  <c r="JO90" i="54"/>
  <c r="JN90" i="54"/>
  <c r="JM90" i="54"/>
  <c r="JL90" i="54"/>
  <c r="JK90" i="54"/>
  <c r="JJ90" i="54"/>
  <c r="JI90" i="54"/>
  <c r="JH90" i="54"/>
  <c r="JG90" i="54"/>
  <c r="JF90" i="54"/>
  <c r="JE90" i="54"/>
  <c r="JD90" i="54"/>
  <c r="JC90" i="54"/>
  <c r="JB90" i="54"/>
  <c r="JA90" i="54"/>
  <c r="IZ90" i="54"/>
  <c r="IY90" i="54"/>
  <c r="IX90" i="54"/>
  <c r="IW90" i="54"/>
  <c r="IV90" i="54"/>
  <c r="IU90" i="54"/>
  <c r="IT90" i="54"/>
  <c r="IS90" i="54"/>
  <c r="IR90" i="54"/>
  <c r="IQ90" i="54"/>
  <c r="IP90" i="54"/>
  <c r="IO90" i="54"/>
  <c r="IN90" i="54"/>
  <c r="IM90" i="54"/>
  <c r="IL90" i="54"/>
  <c r="IK90" i="54"/>
  <c r="IJ90" i="54"/>
  <c r="II90" i="54"/>
  <c r="IH90" i="54"/>
  <c r="IG90" i="54"/>
  <c r="IF90" i="54"/>
  <c r="IE90" i="54"/>
  <c r="ID90" i="54"/>
  <c r="IC90" i="54"/>
  <c r="IB90" i="54"/>
  <c r="IA90" i="54"/>
  <c r="HZ90" i="54"/>
  <c r="HY90" i="54"/>
  <c r="HX90" i="54"/>
  <c r="HW90" i="54"/>
  <c r="HV90" i="54"/>
  <c r="HU90" i="54"/>
  <c r="HT90" i="54"/>
  <c r="HS90" i="54"/>
  <c r="HR90" i="54"/>
  <c r="HQ90" i="54"/>
  <c r="HP90" i="54"/>
  <c r="HO90" i="54"/>
  <c r="HN90" i="54"/>
  <c r="HM90" i="54"/>
  <c r="HL90" i="54"/>
  <c r="HK90" i="54"/>
  <c r="HJ90" i="54"/>
  <c r="HI90" i="54"/>
  <c r="HH90" i="54"/>
  <c r="HG90" i="54"/>
  <c r="HF90" i="54"/>
  <c r="HE90" i="54"/>
  <c r="HD90" i="54"/>
  <c r="HC90" i="54"/>
  <c r="HB90" i="54"/>
  <c r="HA90" i="54"/>
  <c r="GZ90" i="54"/>
  <c r="GY90" i="54"/>
  <c r="GX90" i="54"/>
  <c r="GW90" i="54"/>
  <c r="GV90" i="54"/>
  <c r="GU90" i="54"/>
  <c r="GT90" i="54"/>
  <c r="GS90" i="54"/>
  <c r="GR90" i="54"/>
  <c r="GQ90" i="54"/>
  <c r="GP90" i="54"/>
  <c r="GO90" i="54"/>
  <c r="GN90" i="54"/>
  <c r="GM90" i="54"/>
  <c r="GL90" i="54"/>
  <c r="GK90" i="54"/>
  <c r="GJ90" i="54"/>
  <c r="GI90" i="54"/>
  <c r="GH90" i="54"/>
  <c r="GG90" i="54"/>
  <c r="GF90" i="54"/>
  <c r="GE90" i="54"/>
  <c r="GD90" i="54"/>
  <c r="GC90" i="54"/>
  <c r="GB90" i="54"/>
  <c r="GA90" i="54"/>
  <c r="FZ90" i="54"/>
  <c r="FY90" i="54"/>
  <c r="FX90" i="54"/>
  <c r="FW90" i="54"/>
  <c r="FV90" i="54"/>
  <c r="FU90" i="54"/>
  <c r="FT90" i="54"/>
  <c r="AD90" i="54"/>
  <c r="AA90" i="54"/>
  <c r="Z90" i="54"/>
  <c r="Y90" i="54"/>
  <c r="X90" i="54"/>
  <c r="W90" i="54"/>
  <c r="V90" i="54"/>
  <c r="U90" i="54"/>
  <c r="T90" i="54"/>
  <c r="S90" i="54"/>
  <c r="R90" i="54"/>
  <c r="Q90" i="54"/>
  <c r="P90" i="54"/>
  <c r="O90" i="54"/>
  <c r="N90" i="54"/>
  <c r="M90" i="54"/>
  <c r="L90" i="54"/>
  <c r="BB90" i="54" s="1"/>
  <c r="K90" i="54"/>
  <c r="BK90" i="54" s="1"/>
  <c r="M90" i="56" s="1"/>
  <c r="J90" i="54"/>
  <c r="AZ90" i="54" s="1"/>
  <c r="I90" i="54"/>
  <c r="BS90" i="54" s="1"/>
  <c r="U90" i="56" s="1"/>
  <c r="H90" i="54"/>
  <c r="G90" i="54"/>
  <c r="BQ90" i="54" s="1"/>
  <c r="S90" i="56" s="1"/>
  <c r="F90" i="54"/>
  <c r="E90" i="54"/>
  <c r="BO90" i="54" s="1"/>
  <c r="Q90" i="56" s="1"/>
  <c r="D90" i="54"/>
  <c r="AT90" i="54" s="1"/>
  <c r="C90" i="54"/>
  <c r="BC90" i="54" s="1"/>
  <c r="E90" i="56" s="1"/>
  <c r="B90" i="54"/>
  <c r="AG90" i="54" s="1"/>
  <c r="B90" i="56" s="1"/>
  <c r="A90" i="54"/>
  <c r="AF90" i="54" s="1"/>
  <c r="A90" i="56" s="1"/>
  <c r="JO89" i="54"/>
  <c r="JN89" i="54"/>
  <c r="JM89" i="54"/>
  <c r="JL89" i="54"/>
  <c r="JK89" i="54"/>
  <c r="JJ89" i="54"/>
  <c r="JI89" i="54"/>
  <c r="JH89" i="54"/>
  <c r="JG89" i="54"/>
  <c r="JF89" i="54"/>
  <c r="JE89" i="54"/>
  <c r="JD89" i="54"/>
  <c r="JC89" i="54"/>
  <c r="JB89" i="54"/>
  <c r="JA89" i="54"/>
  <c r="IZ89" i="54"/>
  <c r="IY89" i="54"/>
  <c r="IX89" i="54"/>
  <c r="IW89" i="54"/>
  <c r="IV89" i="54"/>
  <c r="IU89" i="54"/>
  <c r="IT89" i="54"/>
  <c r="IS89" i="54"/>
  <c r="IR89" i="54"/>
  <c r="IQ89" i="54"/>
  <c r="IP89" i="54"/>
  <c r="IO89" i="54"/>
  <c r="IN89" i="54"/>
  <c r="IM89" i="54"/>
  <c r="IL89" i="54"/>
  <c r="IK89" i="54"/>
  <c r="IJ89" i="54"/>
  <c r="II89" i="54"/>
  <c r="IH89" i="54"/>
  <c r="IG89" i="54"/>
  <c r="IF89" i="54"/>
  <c r="IE89" i="54"/>
  <c r="ID89" i="54"/>
  <c r="IC89" i="54"/>
  <c r="IB89" i="54"/>
  <c r="IA89" i="54"/>
  <c r="HZ89" i="54"/>
  <c r="HY89" i="54"/>
  <c r="HX89" i="54"/>
  <c r="HW89" i="54"/>
  <c r="HV89" i="54"/>
  <c r="HU89" i="54"/>
  <c r="HT89" i="54"/>
  <c r="HS89" i="54"/>
  <c r="HR89" i="54"/>
  <c r="HQ89" i="54"/>
  <c r="HP89" i="54"/>
  <c r="HO89" i="54"/>
  <c r="HN89" i="54"/>
  <c r="HM89" i="54"/>
  <c r="HL89" i="54"/>
  <c r="HK89" i="54"/>
  <c r="HJ89" i="54"/>
  <c r="HI89" i="54"/>
  <c r="HH89" i="54"/>
  <c r="HG89" i="54"/>
  <c r="HF89" i="54"/>
  <c r="HE89" i="54"/>
  <c r="HD89" i="54"/>
  <c r="HC89" i="54"/>
  <c r="HB89" i="54"/>
  <c r="HA89" i="54"/>
  <c r="GZ89" i="54"/>
  <c r="GY89" i="54"/>
  <c r="GX89" i="54"/>
  <c r="GW89" i="54"/>
  <c r="GV89" i="54"/>
  <c r="GU89" i="54"/>
  <c r="GT89" i="54"/>
  <c r="GS89" i="54"/>
  <c r="GR89" i="54"/>
  <c r="GQ89" i="54"/>
  <c r="GP89" i="54"/>
  <c r="GO89" i="54"/>
  <c r="GN89" i="54"/>
  <c r="GM89" i="54"/>
  <c r="GL89" i="54"/>
  <c r="GK89" i="54"/>
  <c r="GJ89" i="54"/>
  <c r="GI89" i="54"/>
  <c r="GH89" i="54"/>
  <c r="GG89" i="54"/>
  <c r="GF89" i="54"/>
  <c r="GE89" i="54"/>
  <c r="GD89" i="54"/>
  <c r="GC89" i="54"/>
  <c r="GB89" i="54"/>
  <c r="GA89" i="54"/>
  <c r="FZ89" i="54"/>
  <c r="FY89" i="54"/>
  <c r="FX89" i="54"/>
  <c r="FW89" i="54"/>
  <c r="FV89" i="54"/>
  <c r="FU89" i="54"/>
  <c r="FT89" i="54"/>
  <c r="AD89" i="54"/>
  <c r="AA89" i="54"/>
  <c r="Z89" i="54"/>
  <c r="Y89" i="54"/>
  <c r="X89" i="54"/>
  <c r="W89" i="54"/>
  <c r="V89" i="54"/>
  <c r="U89" i="54"/>
  <c r="T89" i="54"/>
  <c r="S89" i="54"/>
  <c r="R89" i="54"/>
  <c r="Q89" i="54"/>
  <c r="P89" i="54"/>
  <c r="O89" i="54"/>
  <c r="N89" i="54"/>
  <c r="M89" i="54"/>
  <c r="L89" i="54"/>
  <c r="K89" i="54"/>
  <c r="BK89" i="54" s="1"/>
  <c r="M89" i="56" s="1"/>
  <c r="J89" i="54"/>
  <c r="BT89" i="54" s="1"/>
  <c r="V89" i="56" s="1"/>
  <c r="I89" i="54"/>
  <c r="BS89" i="54" s="1"/>
  <c r="U89" i="56" s="1"/>
  <c r="H89" i="54"/>
  <c r="G89" i="54"/>
  <c r="BG89" i="54" s="1"/>
  <c r="I89" i="56" s="1"/>
  <c r="F89" i="54"/>
  <c r="BP89" i="54" s="1"/>
  <c r="R89" i="56" s="1"/>
  <c r="E89" i="54"/>
  <c r="AU89" i="54" s="1"/>
  <c r="D89" i="54"/>
  <c r="C89" i="54"/>
  <c r="BC89" i="54" s="1"/>
  <c r="E89" i="56" s="1"/>
  <c r="B89" i="54"/>
  <c r="AG89" i="54" s="1"/>
  <c r="B89" i="56" s="1"/>
  <c r="A89" i="54"/>
  <c r="AF89" i="54" s="1"/>
  <c r="A89" i="56" s="1"/>
  <c r="JO88" i="54"/>
  <c r="JN88" i="54"/>
  <c r="JM88" i="54"/>
  <c r="JL88" i="54"/>
  <c r="JK88" i="54"/>
  <c r="JJ88" i="54"/>
  <c r="JI88" i="54"/>
  <c r="JH88" i="54"/>
  <c r="JG88" i="54"/>
  <c r="JF88" i="54"/>
  <c r="JE88" i="54"/>
  <c r="JD88" i="54"/>
  <c r="JC88" i="54"/>
  <c r="JB88" i="54"/>
  <c r="JA88" i="54"/>
  <c r="IZ88" i="54"/>
  <c r="IY88" i="54"/>
  <c r="IX88" i="54"/>
  <c r="IW88" i="54"/>
  <c r="IV88" i="54"/>
  <c r="IU88" i="54"/>
  <c r="IT88" i="54"/>
  <c r="IS88" i="54"/>
  <c r="IR88" i="54"/>
  <c r="IQ88" i="54"/>
  <c r="IP88" i="54"/>
  <c r="IO88" i="54"/>
  <c r="IN88" i="54"/>
  <c r="IM88" i="54"/>
  <c r="IL88" i="54"/>
  <c r="IK88" i="54"/>
  <c r="IJ88" i="54"/>
  <c r="II88" i="54"/>
  <c r="IH88" i="54"/>
  <c r="IG88" i="54"/>
  <c r="IF88" i="54"/>
  <c r="IE88" i="54"/>
  <c r="ID88" i="54"/>
  <c r="IC88" i="54"/>
  <c r="IB88" i="54"/>
  <c r="IA88" i="54"/>
  <c r="HZ88" i="54"/>
  <c r="HY88" i="54"/>
  <c r="HX88" i="54"/>
  <c r="HW88" i="54"/>
  <c r="HV88" i="54"/>
  <c r="HU88" i="54"/>
  <c r="HT88" i="54"/>
  <c r="HS88" i="54"/>
  <c r="HR88" i="54"/>
  <c r="HQ88" i="54"/>
  <c r="HP88" i="54"/>
  <c r="HO88" i="54"/>
  <c r="HN88" i="54"/>
  <c r="HM88" i="54"/>
  <c r="HL88" i="54"/>
  <c r="HK88" i="54"/>
  <c r="HJ88" i="54"/>
  <c r="HI88" i="54"/>
  <c r="HH88" i="54"/>
  <c r="HG88" i="54"/>
  <c r="HF88" i="54"/>
  <c r="HE88" i="54"/>
  <c r="HD88" i="54"/>
  <c r="HC88" i="54"/>
  <c r="HB88" i="54"/>
  <c r="HA88" i="54"/>
  <c r="GZ88" i="54"/>
  <c r="GY88" i="54"/>
  <c r="GX88" i="54"/>
  <c r="GW88" i="54"/>
  <c r="GV88" i="54"/>
  <c r="GU88" i="54"/>
  <c r="GT88" i="54"/>
  <c r="GS88" i="54"/>
  <c r="GR88" i="54"/>
  <c r="GQ88" i="54"/>
  <c r="GP88" i="54"/>
  <c r="GO88" i="54"/>
  <c r="GN88" i="54"/>
  <c r="GM88" i="54"/>
  <c r="GL88" i="54"/>
  <c r="GK88" i="54"/>
  <c r="GJ88" i="54"/>
  <c r="GI88" i="54"/>
  <c r="GH88" i="54"/>
  <c r="GG88" i="54"/>
  <c r="GF88" i="54"/>
  <c r="GE88" i="54"/>
  <c r="GD88" i="54"/>
  <c r="GC88" i="54"/>
  <c r="GB88" i="54"/>
  <c r="GA88" i="54"/>
  <c r="FZ88" i="54"/>
  <c r="FY88" i="54"/>
  <c r="FX88" i="54"/>
  <c r="FW88" i="54"/>
  <c r="FV88" i="54"/>
  <c r="FU88" i="54"/>
  <c r="FT88" i="54"/>
  <c r="AG88" i="54"/>
  <c r="B88" i="56" s="1"/>
  <c r="AD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BL88" i="54" s="1"/>
  <c r="N88" i="56" s="1"/>
  <c r="K88" i="54"/>
  <c r="BA88" i="54" s="1"/>
  <c r="J88" i="54"/>
  <c r="BT88" i="54" s="1"/>
  <c r="V88" i="56" s="1"/>
  <c r="I88" i="54"/>
  <c r="BI88" i="54" s="1"/>
  <c r="K88" i="56" s="1"/>
  <c r="H88" i="54"/>
  <c r="G88" i="54"/>
  <c r="BQ88" i="54" s="1"/>
  <c r="S88" i="56" s="1"/>
  <c r="F88" i="54"/>
  <c r="E88" i="54"/>
  <c r="AU88" i="54" s="1"/>
  <c r="D88" i="54"/>
  <c r="BD88" i="54" s="1"/>
  <c r="F88" i="56" s="1"/>
  <c r="C88" i="54"/>
  <c r="AS88" i="54" s="1"/>
  <c r="B88" i="54"/>
  <c r="A88" i="54"/>
  <c r="AF88" i="54" s="1"/>
  <c r="A88" i="56" s="1"/>
  <c r="JO87" i="54"/>
  <c r="JN87" i="54"/>
  <c r="JM87" i="54"/>
  <c r="JL87" i="54"/>
  <c r="JK87" i="54"/>
  <c r="JJ87" i="54"/>
  <c r="JI87" i="54"/>
  <c r="JH87" i="54"/>
  <c r="JG87" i="54"/>
  <c r="JF87" i="54"/>
  <c r="JE87" i="54"/>
  <c r="JD87" i="54"/>
  <c r="JC87" i="54"/>
  <c r="JB87" i="54"/>
  <c r="JA87" i="54"/>
  <c r="IZ87" i="54"/>
  <c r="IY87" i="54"/>
  <c r="IX87" i="54"/>
  <c r="IW87" i="54"/>
  <c r="IV87" i="54"/>
  <c r="IU87" i="54"/>
  <c r="IT87" i="54"/>
  <c r="IS87" i="54"/>
  <c r="IR87" i="54"/>
  <c r="IQ87" i="54"/>
  <c r="IP87" i="54"/>
  <c r="IO87" i="54"/>
  <c r="IN87" i="54"/>
  <c r="IM87" i="54"/>
  <c r="IL87" i="54"/>
  <c r="IK87" i="54"/>
  <c r="IJ87" i="54"/>
  <c r="II87" i="54"/>
  <c r="IH87" i="54"/>
  <c r="IG87" i="54"/>
  <c r="IF87" i="54"/>
  <c r="IE87" i="54"/>
  <c r="ID87" i="54"/>
  <c r="IC87" i="54"/>
  <c r="IB87" i="54"/>
  <c r="IA87" i="54"/>
  <c r="HZ87" i="54"/>
  <c r="HY87" i="54"/>
  <c r="HX87" i="54"/>
  <c r="HW87" i="54"/>
  <c r="HV87" i="54"/>
  <c r="HU87" i="54"/>
  <c r="HT87" i="54"/>
  <c r="HS87" i="54"/>
  <c r="HR87" i="54"/>
  <c r="HQ87" i="54"/>
  <c r="HP87" i="54"/>
  <c r="HO87" i="54"/>
  <c r="HN87" i="54"/>
  <c r="HM87" i="54"/>
  <c r="HL87" i="54"/>
  <c r="HK87" i="54"/>
  <c r="HJ87" i="54"/>
  <c r="HI87" i="54"/>
  <c r="HH87" i="54"/>
  <c r="HG87" i="54"/>
  <c r="HF87" i="54"/>
  <c r="HE87" i="54"/>
  <c r="HD87" i="54"/>
  <c r="HC87" i="54"/>
  <c r="HB87" i="54"/>
  <c r="HA87" i="54"/>
  <c r="GZ87" i="54"/>
  <c r="GY87" i="54"/>
  <c r="GX87" i="54"/>
  <c r="GW87" i="54"/>
  <c r="GV87" i="54"/>
  <c r="GU87" i="54"/>
  <c r="GT87" i="54"/>
  <c r="GS87" i="54"/>
  <c r="GR87" i="54"/>
  <c r="GQ87" i="54"/>
  <c r="GP87" i="54"/>
  <c r="GO87" i="54"/>
  <c r="GN87" i="54"/>
  <c r="GM87" i="54"/>
  <c r="GL87" i="54"/>
  <c r="GK87" i="54"/>
  <c r="GJ87" i="54"/>
  <c r="GI87" i="54"/>
  <c r="GH87" i="54"/>
  <c r="GG87" i="54"/>
  <c r="GF87" i="54"/>
  <c r="GE87" i="54"/>
  <c r="GD87" i="54"/>
  <c r="GC87" i="54"/>
  <c r="GB87" i="54"/>
  <c r="GA87" i="54"/>
  <c r="FZ87" i="54"/>
  <c r="FY87" i="54"/>
  <c r="FX87" i="54"/>
  <c r="FW87" i="54"/>
  <c r="FV87" i="54"/>
  <c r="FU87" i="54"/>
  <c r="FT87" i="54"/>
  <c r="AD87" i="54"/>
  <c r="AA87" i="54"/>
  <c r="Z87" i="54"/>
  <c r="Y87" i="54"/>
  <c r="X87" i="54"/>
  <c r="W87" i="54"/>
  <c r="V87" i="54"/>
  <c r="U87" i="54"/>
  <c r="T87" i="54"/>
  <c r="S87" i="54"/>
  <c r="R87" i="54"/>
  <c r="Q87" i="54"/>
  <c r="P87" i="54"/>
  <c r="O87" i="54"/>
  <c r="N87" i="54"/>
  <c r="M87" i="54"/>
  <c r="L87" i="54"/>
  <c r="BB87" i="54" s="1"/>
  <c r="K87" i="54"/>
  <c r="BU87" i="54" s="1"/>
  <c r="W87" i="56" s="1"/>
  <c r="J87" i="54"/>
  <c r="BT87" i="54" s="1"/>
  <c r="V87" i="56" s="1"/>
  <c r="I87" i="54"/>
  <c r="BS87" i="54" s="1"/>
  <c r="U87" i="56" s="1"/>
  <c r="H87" i="54"/>
  <c r="BR87" i="54" s="1"/>
  <c r="T87" i="56" s="1"/>
  <c r="G87" i="54"/>
  <c r="AW87" i="54" s="1"/>
  <c r="F87" i="54"/>
  <c r="BP87" i="54" s="1"/>
  <c r="R87" i="56" s="1"/>
  <c r="E87" i="54"/>
  <c r="BE87" i="54" s="1"/>
  <c r="G87" i="56" s="1"/>
  <c r="D87" i="54"/>
  <c r="C87" i="54"/>
  <c r="BM87" i="54" s="1"/>
  <c r="O87" i="56" s="1"/>
  <c r="B87" i="54"/>
  <c r="AG87" i="54" s="1"/>
  <c r="B87" i="56" s="1"/>
  <c r="A87" i="54"/>
  <c r="AF87" i="54" s="1"/>
  <c r="A87" i="56" s="1"/>
  <c r="JO86" i="54"/>
  <c r="JN86" i="54"/>
  <c r="JM86" i="54"/>
  <c r="JL86" i="54"/>
  <c r="JK86" i="54"/>
  <c r="JJ86" i="54"/>
  <c r="JI86" i="54"/>
  <c r="JH86" i="54"/>
  <c r="JG86" i="54"/>
  <c r="JF86" i="54"/>
  <c r="JE86" i="54"/>
  <c r="JD86" i="54"/>
  <c r="JC86" i="54"/>
  <c r="JB86" i="54"/>
  <c r="JA86" i="54"/>
  <c r="IZ86" i="54"/>
  <c r="IY86" i="54"/>
  <c r="IX86" i="54"/>
  <c r="IW86" i="54"/>
  <c r="IV86" i="54"/>
  <c r="IU86" i="54"/>
  <c r="IT86" i="54"/>
  <c r="IS86" i="54"/>
  <c r="IR86" i="54"/>
  <c r="IQ86" i="54"/>
  <c r="IP86" i="54"/>
  <c r="IO86" i="54"/>
  <c r="IN86" i="54"/>
  <c r="IM86" i="54"/>
  <c r="IL86" i="54"/>
  <c r="IK86" i="54"/>
  <c r="IJ86" i="54"/>
  <c r="II86" i="54"/>
  <c r="IH86" i="54"/>
  <c r="IG86" i="54"/>
  <c r="IF86" i="54"/>
  <c r="IE86" i="54"/>
  <c r="ID86" i="54"/>
  <c r="IC86" i="54"/>
  <c r="IB86" i="54"/>
  <c r="IA86" i="54"/>
  <c r="HZ86" i="54"/>
  <c r="HY86" i="54"/>
  <c r="HX86" i="54"/>
  <c r="HW86" i="54"/>
  <c r="HV86" i="54"/>
  <c r="HU86" i="54"/>
  <c r="HT86" i="54"/>
  <c r="HS86" i="54"/>
  <c r="HR86" i="54"/>
  <c r="HQ86" i="54"/>
  <c r="HP86" i="54"/>
  <c r="HO86" i="54"/>
  <c r="HN86" i="54"/>
  <c r="HM86" i="54"/>
  <c r="HL86" i="54"/>
  <c r="HK86" i="54"/>
  <c r="HJ86" i="54"/>
  <c r="HI86" i="54"/>
  <c r="HH86" i="54"/>
  <c r="HG86" i="54"/>
  <c r="HF86" i="54"/>
  <c r="HE86" i="54"/>
  <c r="HD86" i="54"/>
  <c r="HC86" i="54"/>
  <c r="HB86" i="54"/>
  <c r="HA86" i="54"/>
  <c r="GZ86" i="54"/>
  <c r="GY86" i="54"/>
  <c r="GX86" i="54"/>
  <c r="GW86" i="54"/>
  <c r="GV86" i="54"/>
  <c r="GU86" i="54"/>
  <c r="GT86" i="54"/>
  <c r="GS86" i="54"/>
  <c r="GR86" i="54"/>
  <c r="GQ86" i="54"/>
  <c r="GP86" i="54"/>
  <c r="GO86" i="54"/>
  <c r="GN86" i="54"/>
  <c r="GM86" i="54"/>
  <c r="GL86" i="54"/>
  <c r="GK86" i="54"/>
  <c r="GJ86" i="54"/>
  <c r="GI86" i="54"/>
  <c r="GH86" i="54"/>
  <c r="GG86" i="54"/>
  <c r="GF86" i="54"/>
  <c r="GE86" i="54"/>
  <c r="GD86" i="54"/>
  <c r="GC86" i="54"/>
  <c r="GB86" i="54"/>
  <c r="GA86" i="54"/>
  <c r="FZ86" i="54"/>
  <c r="FY86" i="54"/>
  <c r="FX86" i="54"/>
  <c r="FW86" i="54"/>
  <c r="FV86" i="54"/>
  <c r="FU86" i="54"/>
  <c r="FT86" i="54"/>
  <c r="AW86" i="54"/>
  <c r="AD86" i="54"/>
  <c r="AA86" i="54"/>
  <c r="Z86" i="54"/>
  <c r="Y86" i="54"/>
  <c r="X86" i="54"/>
  <c r="W86" i="54"/>
  <c r="V86" i="54"/>
  <c r="U86" i="54"/>
  <c r="T86" i="54"/>
  <c r="S86" i="54"/>
  <c r="R86" i="54"/>
  <c r="Q86" i="54"/>
  <c r="P86" i="54"/>
  <c r="O86" i="54"/>
  <c r="N86" i="54"/>
  <c r="M86" i="54"/>
  <c r="L86" i="54"/>
  <c r="BV86" i="54" s="1"/>
  <c r="X86" i="56" s="1"/>
  <c r="K86" i="54"/>
  <c r="BA86" i="54" s="1"/>
  <c r="J86" i="54"/>
  <c r="BJ86" i="54" s="1"/>
  <c r="L86" i="56" s="1"/>
  <c r="I86" i="54"/>
  <c r="H86" i="54"/>
  <c r="G86" i="54"/>
  <c r="BG86" i="54" s="1"/>
  <c r="I86" i="56" s="1"/>
  <c r="F86" i="54"/>
  <c r="E86" i="54"/>
  <c r="BO86" i="54" s="1"/>
  <c r="Q86" i="56" s="1"/>
  <c r="D86" i="54"/>
  <c r="BN86" i="54" s="1"/>
  <c r="P86" i="56" s="1"/>
  <c r="C86" i="54"/>
  <c r="AS86" i="54" s="1"/>
  <c r="B86" i="54"/>
  <c r="AG86" i="54" s="1"/>
  <c r="B86" i="56" s="1"/>
  <c r="A86" i="54"/>
  <c r="AF86" i="54" s="1"/>
  <c r="A86" i="56" s="1"/>
  <c r="JO85" i="54"/>
  <c r="JN85" i="54"/>
  <c r="JM85" i="54"/>
  <c r="JL85" i="54"/>
  <c r="JK85" i="54"/>
  <c r="JJ85" i="54"/>
  <c r="JI85" i="54"/>
  <c r="JH85" i="54"/>
  <c r="JG85" i="54"/>
  <c r="JF85" i="54"/>
  <c r="JE85" i="54"/>
  <c r="JD85" i="54"/>
  <c r="JC85" i="54"/>
  <c r="JB85" i="54"/>
  <c r="JA85" i="54"/>
  <c r="IZ85" i="54"/>
  <c r="IY85" i="54"/>
  <c r="IX85" i="54"/>
  <c r="IW85" i="54"/>
  <c r="IV85" i="54"/>
  <c r="IU85" i="54"/>
  <c r="IT85" i="54"/>
  <c r="IS85" i="54"/>
  <c r="IR85" i="54"/>
  <c r="IQ85" i="54"/>
  <c r="IP85" i="54"/>
  <c r="IO85" i="54"/>
  <c r="IN85" i="54"/>
  <c r="IM85" i="54"/>
  <c r="IL85" i="54"/>
  <c r="IK85" i="54"/>
  <c r="IJ85" i="54"/>
  <c r="II85" i="54"/>
  <c r="IH85" i="54"/>
  <c r="IG85" i="54"/>
  <c r="IF85" i="54"/>
  <c r="IE85" i="54"/>
  <c r="ID85" i="54"/>
  <c r="IC85" i="54"/>
  <c r="IB85" i="54"/>
  <c r="IA85" i="54"/>
  <c r="HZ85" i="54"/>
  <c r="HY85" i="54"/>
  <c r="HX85" i="54"/>
  <c r="HW85" i="54"/>
  <c r="HV85" i="54"/>
  <c r="HU85" i="54"/>
  <c r="HT85" i="54"/>
  <c r="HS85" i="54"/>
  <c r="HR85" i="54"/>
  <c r="HQ85" i="54"/>
  <c r="HP85" i="54"/>
  <c r="HO85" i="54"/>
  <c r="HN85" i="54"/>
  <c r="HM85" i="54"/>
  <c r="HL85" i="54"/>
  <c r="HK85" i="54"/>
  <c r="HJ85" i="54"/>
  <c r="HI85" i="54"/>
  <c r="HH85" i="54"/>
  <c r="HG85" i="54"/>
  <c r="HF85" i="54"/>
  <c r="HE85" i="54"/>
  <c r="HD85" i="54"/>
  <c r="HC85" i="54"/>
  <c r="HB85" i="54"/>
  <c r="HA85" i="54"/>
  <c r="GZ85" i="54"/>
  <c r="GY85" i="54"/>
  <c r="GX85" i="54"/>
  <c r="GW85" i="54"/>
  <c r="GV85" i="54"/>
  <c r="GU85" i="54"/>
  <c r="GT85" i="54"/>
  <c r="GS85" i="54"/>
  <c r="GR85" i="54"/>
  <c r="GQ85" i="54"/>
  <c r="GP85" i="54"/>
  <c r="GO85" i="54"/>
  <c r="GN85" i="54"/>
  <c r="GM85" i="54"/>
  <c r="GL85" i="54"/>
  <c r="GK85" i="54"/>
  <c r="GJ85" i="54"/>
  <c r="GI85" i="54"/>
  <c r="GH85" i="54"/>
  <c r="GG85" i="54"/>
  <c r="GF85" i="54"/>
  <c r="GE85" i="54"/>
  <c r="GD85" i="54"/>
  <c r="GC85" i="54"/>
  <c r="GB85" i="54"/>
  <c r="GA85" i="54"/>
  <c r="FZ85" i="54"/>
  <c r="FY85" i="54"/>
  <c r="FX85" i="54"/>
  <c r="FW85" i="54"/>
  <c r="FV85" i="54"/>
  <c r="FU85" i="54"/>
  <c r="FT85" i="54"/>
  <c r="BU85" i="54"/>
  <c r="W85" i="56" s="1"/>
  <c r="BL85" i="54"/>
  <c r="N85" i="56" s="1"/>
  <c r="AD85" i="54"/>
  <c r="AA85" i="54"/>
  <c r="Z85" i="54"/>
  <c r="Y85" i="54"/>
  <c r="X85" i="54"/>
  <c r="W85" i="54"/>
  <c r="V85" i="54"/>
  <c r="U85" i="54"/>
  <c r="T85" i="54"/>
  <c r="S85" i="54"/>
  <c r="R85" i="54"/>
  <c r="Q85" i="54"/>
  <c r="P85" i="54"/>
  <c r="O85" i="54"/>
  <c r="N85" i="54"/>
  <c r="M85" i="54"/>
  <c r="L85" i="54"/>
  <c r="BB85" i="54" s="1"/>
  <c r="K85" i="54"/>
  <c r="BK85" i="54" s="1"/>
  <c r="M85" i="56" s="1"/>
  <c r="J85" i="54"/>
  <c r="BT85" i="54" s="1"/>
  <c r="V85" i="56" s="1"/>
  <c r="I85" i="54"/>
  <c r="AY85" i="54" s="1"/>
  <c r="H85" i="54"/>
  <c r="BH85" i="54" s="1"/>
  <c r="J85" i="56" s="1"/>
  <c r="G85" i="54"/>
  <c r="BG85" i="54" s="1"/>
  <c r="I85" i="56" s="1"/>
  <c r="F85" i="54"/>
  <c r="BP85" i="54" s="1"/>
  <c r="R85" i="56" s="1"/>
  <c r="E85" i="54"/>
  <c r="BO85" i="54" s="1"/>
  <c r="Q85" i="56" s="1"/>
  <c r="D85" i="54"/>
  <c r="AT85" i="54" s="1"/>
  <c r="C85" i="54"/>
  <c r="BC85" i="54" s="1"/>
  <c r="E85" i="56" s="1"/>
  <c r="B85" i="54"/>
  <c r="AG85" i="54" s="1"/>
  <c r="B85" i="56" s="1"/>
  <c r="A85" i="54"/>
  <c r="AF85" i="54" s="1"/>
  <c r="A85" i="56" s="1"/>
  <c r="JO84" i="54"/>
  <c r="JN84" i="54"/>
  <c r="JM84" i="54"/>
  <c r="JL84" i="54"/>
  <c r="JK84" i="54"/>
  <c r="JJ84" i="54"/>
  <c r="JI84" i="54"/>
  <c r="JH84" i="54"/>
  <c r="JG84" i="54"/>
  <c r="JF84" i="54"/>
  <c r="JE84" i="54"/>
  <c r="JD84" i="54"/>
  <c r="JC84" i="54"/>
  <c r="JB84" i="54"/>
  <c r="JA84" i="54"/>
  <c r="IZ84" i="54"/>
  <c r="IY84" i="54"/>
  <c r="IX84" i="54"/>
  <c r="IW84" i="54"/>
  <c r="IV84" i="54"/>
  <c r="IU84" i="54"/>
  <c r="IT84" i="54"/>
  <c r="IS84" i="54"/>
  <c r="IR84" i="54"/>
  <c r="IQ84" i="54"/>
  <c r="IP84" i="54"/>
  <c r="IO84" i="54"/>
  <c r="IN84" i="54"/>
  <c r="IM84" i="54"/>
  <c r="IL84" i="54"/>
  <c r="IK84" i="54"/>
  <c r="IJ84" i="54"/>
  <c r="II84" i="54"/>
  <c r="IH84" i="54"/>
  <c r="IG84" i="54"/>
  <c r="IF84" i="54"/>
  <c r="IE84" i="54"/>
  <c r="ID84" i="54"/>
  <c r="IC84" i="54"/>
  <c r="IB84" i="54"/>
  <c r="IA84" i="54"/>
  <c r="HZ84" i="54"/>
  <c r="HY84" i="54"/>
  <c r="HX84" i="54"/>
  <c r="HW84" i="54"/>
  <c r="HV84" i="54"/>
  <c r="HU84" i="54"/>
  <c r="HT84" i="54"/>
  <c r="HS84" i="54"/>
  <c r="HR84" i="54"/>
  <c r="HQ84" i="54"/>
  <c r="HP84" i="54"/>
  <c r="HO84" i="54"/>
  <c r="HN84" i="54"/>
  <c r="HM84" i="54"/>
  <c r="HL84" i="54"/>
  <c r="HK84" i="54"/>
  <c r="HJ84" i="54"/>
  <c r="HI84" i="54"/>
  <c r="HH84" i="54"/>
  <c r="HG84" i="54"/>
  <c r="HF84" i="54"/>
  <c r="HE84" i="54"/>
  <c r="HD84" i="54"/>
  <c r="HC84" i="54"/>
  <c r="HB84" i="54"/>
  <c r="HA84" i="54"/>
  <c r="GZ84" i="54"/>
  <c r="GY84" i="54"/>
  <c r="GX84" i="54"/>
  <c r="GW84" i="54"/>
  <c r="GV84" i="54"/>
  <c r="GU84" i="54"/>
  <c r="GT84" i="54"/>
  <c r="GS84" i="54"/>
  <c r="GR84" i="54"/>
  <c r="GQ84" i="54"/>
  <c r="GP84" i="54"/>
  <c r="GO84" i="54"/>
  <c r="GN84" i="54"/>
  <c r="GM84" i="54"/>
  <c r="GL84" i="54"/>
  <c r="GK84" i="54"/>
  <c r="GJ84" i="54"/>
  <c r="GI84" i="54"/>
  <c r="GH84" i="54"/>
  <c r="GG84" i="54"/>
  <c r="GF84" i="54"/>
  <c r="GE84" i="54"/>
  <c r="GD84" i="54"/>
  <c r="GC84" i="54"/>
  <c r="GB84" i="54"/>
  <c r="GA84" i="54"/>
  <c r="FZ84" i="54"/>
  <c r="FY84" i="54"/>
  <c r="FX84" i="54"/>
  <c r="FW84" i="54"/>
  <c r="FV84" i="54"/>
  <c r="FU84" i="54"/>
  <c r="FT84" i="54"/>
  <c r="AD84" i="54"/>
  <c r="AA84" i="54"/>
  <c r="Z84" i="54"/>
  <c r="Y84" i="54"/>
  <c r="X84" i="54"/>
  <c r="W84" i="54"/>
  <c r="V84" i="54"/>
  <c r="U84" i="54"/>
  <c r="T84" i="54"/>
  <c r="S84" i="54"/>
  <c r="R84" i="54"/>
  <c r="Q84" i="54"/>
  <c r="P84" i="54"/>
  <c r="O84" i="54"/>
  <c r="N84" i="54"/>
  <c r="M84" i="54"/>
  <c r="L84" i="54"/>
  <c r="BL84" i="54" s="1"/>
  <c r="N84" i="56" s="1"/>
  <c r="K84" i="54"/>
  <c r="BU84" i="54" s="1"/>
  <c r="W84" i="56" s="1"/>
  <c r="J84" i="54"/>
  <c r="AZ84" i="54" s="1"/>
  <c r="I84" i="54"/>
  <c r="BI84" i="54" s="1"/>
  <c r="K84" i="56" s="1"/>
  <c r="H84" i="54"/>
  <c r="G84" i="54"/>
  <c r="BQ84" i="54" s="1"/>
  <c r="S84" i="56" s="1"/>
  <c r="F84" i="54"/>
  <c r="BP84" i="54" s="1"/>
  <c r="R84" i="56" s="1"/>
  <c r="E84" i="54"/>
  <c r="AU84" i="54" s="1"/>
  <c r="D84" i="54"/>
  <c r="BD84" i="54" s="1"/>
  <c r="F84" i="56" s="1"/>
  <c r="C84" i="54"/>
  <c r="BM84" i="54" s="1"/>
  <c r="O84" i="56" s="1"/>
  <c r="B84" i="54"/>
  <c r="AG84" i="54" s="1"/>
  <c r="B84" i="56" s="1"/>
  <c r="A84" i="54"/>
  <c r="AF84" i="54" s="1"/>
  <c r="A84" i="56" s="1"/>
  <c r="JO83" i="54"/>
  <c r="JN83" i="54"/>
  <c r="JM83" i="54"/>
  <c r="JL83" i="54"/>
  <c r="JK83" i="54"/>
  <c r="JJ83" i="54"/>
  <c r="JI83" i="54"/>
  <c r="JH83" i="54"/>
  <c r="JG83" i="54"/>
  <c r="JF83" i="54"/>
  <c r="JE83" i="54"/>
  <c r="JD83" i="54"/>
  <c r="JC83" i="54"/>
  <c r="JB83" i="54"/>
  <c r="JA83" i="54"/>
  <c r="IZ83" i="54"/>
  <c r="IY83" i="54"/>
  <c r="IX83" i="54"/>
  <c r="IW83" i="54"/>
  <c r="IV83" i="54"/>
  <c r="IU83" i="54"/>
  <c r="IT83" i="54"/>
  <c r="IS83" i="54"/>
  <c r="IR83" i="54"/>
  <c r="IQ83" i="54"/>
  <c r="IP83" i="54"/>
  <c r="IO83" i="54"/>
  <c r="IN83" i="54"/>
  <c r="IM83" i="54"/>
  <c r="IL83" i="54"/>
  <c r="IK83" i="54"/>
  <c r="IJ83" i="54"/>
  <c r="II83" i="54"/>
  <c r="IH83" i="54"/>
  <c r="IG83" i="54"/>
  <c r="IF83" i="54"/>
  <c r="IE83" i="54"/>
  <c r="ID83" i="54"/>
  <c r="IC83" i="54"/>
  <c r="IB83" i="54"/>
  <c r="IA83" i="54"/>
  <c r="HZ83" i="54"/>
  <c r="HY83" i="54"/>
  <c r="HX83" i="54"/>
  <c r="HW83" i="54"/>
  <c r="HV83" i="54"/>
  <c r="HU83" i="54"/>
  <c r="HT83" i="54"/>
  <c r="HS83" i="54"/>
  <c r="HR83" i="54"/>
  <c r="HQ83" i="54"/>
  <c r="HP83" i="54"/>
  <c r="HO83" i="54"/>
  <c r="HN83" i="54"/>
  <c r="HM83" i="54"/>
  <c r="HL83" i="54"/>
  <c r="HK83" i="54"/>
  <c r="HJ83" i="54"/>
  <c r="HI83" i="54"/>
  <c r="HH83" i="54"/>
  <c r="HG83" i="54"/>
  <c r="HF83" i="54"/>
  <c r="HE83" i="54"/>
  <c r="HD83" i="54"/>
  <c r="HC83" i="54"/>
  <c r="HB83" i="54"/>
  <c r="HA83" i="54"/>
  <c r="GZ83" i="54"/>
  <c r="GY83" i="54"/>
  <c r="GX83" i="54"/>
  <c r="GW83" i="54"/>
  <c r="GV83" i="54"/>
  <c r="GU83" i="54"/>
  <c r="GT83" i="54"/>
  <c r="GS83" i="54"/>
  <c r="GR83" i="54"/>
  <c r="GQ83" i="54"/>
  <c r="GP83" i="54"/>
  <c r="GO83" i="54"/>
  <c r="GN83" i="54"/>
  <c r="GM83" i="54"/>
  <c r="GL83" i="54"/>
  <c r="GK83" i="54"/>
  <c r="GJ83" i="54"/>
  <c r="GI83" i="54"/>
  <c r="GH83" i="54"/>
  <c r="GG83" i="54"/>
  <c r="GF83" i="54"/>
  <c r="GE83" i="54"/>
  <c r="GD83" i="54"/>
  <c r="GC83" i="54"/>
  <c r="GB83" i="54"/>
  <c r="GA83" i="54"/>
  <c r="FZ83" i="54"/>
  <c r="FY83" i="54"/>
  <c r="FX83" i="54"/>
  <c r="FW83" i="54"/>
  <c r="FV83" i="54"/>
  <c r="FU83" i="54"/>
  <c r="FT83" i="54"/>
  <c r="AU83" i="54"/>
  <c r="AD83" i="54"/>
  <c r="AA83" i="54"/>
  <c r="Z83" i="54"/>
  <c r="Y83" i="54"/>
  <c r="X83" i="54"/>
  <c r="W83" i="54"/>
  <c r="V83" i="54"/>
  <c r="U83" i="54"/>
  <c r="T83" i="54"/>
  <c r="S83" i="54"/>
  <c r="R83" i="54"/>
  <c r="Q83" i="54"/>
  <c r="P83" i="54"/>
  <c r="O83" i="54"/>
  <c r="N83" i="54"/>
  <c r="M83" i="54"/>
  <c r="L83" i="54"/>
  <c r="BV83" i="54" s="1"/>
  <c r="X83" i="56" s="1"/>
  <c r="K83" i="54"/>
  <c r="BA83" i="54" s="1"/>
  <c r="J83" i="54"/>
  <c r="BJ83" i="54" s="1"/>
  <c r="L83" i="56" s="1"/>
  <c r="I83" i="54"/>
  <c r="BI83" i="54" s="1"/>
  <c r="K83" i="56" s="1"/>
  <c r="H83" i="54"/>
  <c r="BR83" i="54" s="1"/>
  <c r="T83" i="56" s="1"/>
  <c r="G83" i="54"/>
  <c r="BQ83" i="54" s="1"/>
  <c r="S83" i="56" s="1"/>
  <c r="F83" i="54"/>
  <c r="AV83" i="54" s="1"/>
  <c r="E83" i="54"/>
  <c r="BE83" i="54" s="1"/>
  <c r="G83" i="56" s="1"/>
  <c r="D83" i="54"/>
  <c r="BN83" i="54" s="1"/>
  <c r="P83" i="56" s="1"/>
  <c r="C83" i="54"/>
  <c r="AS83" i="54" s="1"/>
  <c r="B83" i="54"/>
  <c r="AG83" i="54" s="1"/>
  <c r="B83" i="56" s="1"/>
  <c r="A83" i="54"/>
  <c r="AF83" i="54" s="1"/>
  <c r="A83" i="56" s="1"/>
  <c r="JO82" i="54"/>
  <c r="JN82" i="54"/>
  <c r="JM82" i="54"/>
  <c r="JL82" i="54"/>
  <c r="JK82" i="54"/>
  <c r="JJ82" i="54"/>
  <c r="JI82" i="54"/>
  <c r="JH82" i="54"/>
  <c r="JG82" i="54"/>
  <c r="JF82" i="54"/>
  <c r="JE82" i="54"/>
  <c r="JD82" i="54"/>
  <c r="JC82" i="54"/>
  <c r="JB82" i="54"/>
  <c r="JA82" i="54"/>
  <c r="IZ82" i="54"/>
  <c r="IY82" i="54"/>
  <c r="IX82" i="54"/>
  <c r="IW82" i="54"/>
  <c r="IV82" i="54"/>
  <c r="IU82" i="54"/>
  <c r="IT82" i="54"/>
  <c r="IS82" i="54"/>
  <c r="IR82" i="54"/>
  <c r="IQ82" i="54"/>
  <c r="IP82" i="54"/>
  <c r="IO82" i="54"/>
  <c r="IN82" i="54"/>
  <c r="IM82" i="54"/>
  <c r="IL82" i="54"/>
  <c r="IK82" i="54"/>
  <c r="IJ82" i="54"/>
  <c r="II82" i="54"/>
  <c r="IH82" i="54"/>
  <c r="IG82" i="54"/>
  <c r="IF82" i="54"/>
  <c r="IE82" i="54"/>
  <c r="ID82" i="54"/>
  <c r="IC82" i="54"/>
  <c r="IB82" i="54"/>
  <c r="IA82" i="54"/>
  <c r="HZ82" i="54"/>
  <c r="HY82" i="54"/>
  <c r="HX82" i="54"/>
  <c r="HW82" i="54"/>
  <c r="HV82" i="54"/>
  <c r="HU82" i="54"/>
  <c r="HT82" i="54"/>
  <c r="HS82" i="54"/>
  <c r="HR82" i="54"/>
  <c r="HQ82" i="54"/>
  <c r="HP82" i="54"/>
  <c r="HO82" i="54"/>
  <c r="HN82" i="54"/>
  <c r="HM82" i="54"/>
  <c r="HL82" i="54"/>
  <c r="HK82" i="54"/>
  <c r="HJ82" i="54"/>
  <c r="HI82" i="54"/>
  <c r="HH82" i="54"/>
  <c r="HG82" i="54"/>
  <c r="HF82" i="54"/>
  <c r="HE82" i="54"/>
  <c r="HD82" i="54"/>
  <c r="HC82" i="54"/>
  <c r="HB82" i="54"/>
  <c r="HA82" i="54"/>
  <c r="GZ82" i="54"/>
  <c r="GY82" i="54"/>
  <c r="GX82" i="54"/>
  <c r="GW82" i="54"/>
  <c r="GV82" i="54"/>
  <c r="GU82" i="54"/>
  <c r="GT82" i="54"/>
  <c r="GS82" i="54"/>
  <c r="GR82" i="54"/>
  <c r="GQ82" i="54"/>
  <c r="GP82" i="54"/>
  <c r="GO82" i="54"/>
  <c r="GN82" i="54"/>
  <c r="GM82" i="54"/>
  <c r="GL82" i="54"/>
  <c r="GK82" i="54"/>
  <c r="GJ82" i="54"/>
  <c r="GI82" i="54"/>
  <c r="GH82" i="54"/>
  <c r="GG82" i="54"/>
  <c r="GF82" i="54"/>
  <c r="GE82" i="54"/>
  <c r="GD82" i="54"/>
  <c r="GC82" i="54"/>
  <c r="GB82" i="54"/>
  <c r="GA82" i="54"/>
  <c r="FZ82" i="54"/>
  <c r="FY82" i="54"/>
  <c r="FX82" i="54"/>
  <c r="FW82" i="54"/>
  <c r="FV82" i="54"/>
  <c r="FU82" i="54"/>
  <c r="FT82" i="54"/>
  <c r="AD82" i="54"/>
  <c r="AA82" i="54"/>
  <c r="Z82" i="54"/>
  <c r="Y82" i="54"/>
  <c r="X82" i="54"/>
  <c r="W82" i="54"/>
  <c r="V82" i="54"/>
  <c r="U82" i="54"/>
  <c r="T82" i="54"/>
  <c r="S82" i="54"/>
  <c r="R82" i="54"/>
  <c r="Q82" i="54"/>
  <c r="P82" i="54"/>
  <c r="O82" i="54"/>
  <c r="N82" i="54"/>
  <c r="M82" i="54"/>
  <c r="L82" i="54"/>
  <c r="K82" i="54"/>
  <c r="BK82" i="54" s="1"/>
  <c r="M82" i="56" s="1"/>
  <c r="J82" i="54"/>
  <c r="BJ82" i="54" s="1"/>
  <c r="L82" i="56" s="1"/>
  <c r="I82" i="54"/>
  <c r="BS82" i="54" s="1"/>
  <c r="U82" i="56" s="1"/>
  <c r="H82" i="54"/>
  <c r="AX82" i="54" s="1"/>
  <c r="G82" i="54"/>
  <c r="AW82" i="54" s="1"/>
  <c r="F82" i="54"/>
  <c r="BF82" i="54" s="1"/>
  <c r="H82" i="56" s="1"/>
  <c r="E82" i="54"/>
  <c r="BO82" i="54" s="1"/>
  <c r="Q82" i="56" s="1"/>
  <c r="D82" i="54"/>
  <c r="AT82" i="54" s="1"/>
  <c r="C82" i="54"/>
  <c r="BC82" i="54" s="1"/>
  <c r="E82" i="56" s="1"/>
  <c r="B82" i="54"/>
  <c r="AG82" i="54" s="1"/>
  <c r="B82" i="56" s="1"/>
  <c r="A82" i="54"/>
  <c r="AF82" i="54" s="1"/>
  <c r="A82" i="56" s="1"/>
  <c r="JO81" i="54"/>
  <c r="JN81" i="54"/>
  <c r="JM81" i="54"/>
  <c r="JL81" i="54"/>
  <c r="JK81" i="54"/>
  <c r="JJ81" i="54"/>
  <c r="JI81" i="54"/>
  <c r="JH81" i="54"/>
  <c r="JG81" i="54"/>
  <c r="JF81" i="54"/>
  <c r="JE81" i="54"/>
  <c r="JD81" i="54"/>
  <c r="JC81" i="54"/>
  <c r="JB81" i="54"/>
  <c r="JA81" i="54"/>
  <c r="IZ81" i="54"/>
  <c r="IY81" i="54"/>
  <c r="IX81" i="54"/>
  <c r="IW81" i="54"/>
  <c r="IV81" i="54"/>
  <c r="IU81" i="54"/>
  <c r="IT81" i="54"/>
  <c r="IS81" i="54"/>
  <c r="IR81" i="54"/>
  <c r="IQ81" i="54"/>
  <c r="IP81" i="54"/>
  <c r="IO81" i="54"/>
  <c r="IN81" i="54"/>
  <c r="IM81" i="54"/>
  <c r="IL81" i="54"/>
  <c r="IK81" i="54"/>
  <c r="IJ81" i="54"/>
  <c r="II81" i="54"/>
  <c r="IH81" i="54"/>
  <c r="IG81" i="54"/>
  <c r="IF81" i="54"/>
  <c r="IE81" i="54"/>
  <c r="ID81" i="54"/>
  <c r="IC81" i="54"/>
  <c r="IB81" i="54"/>
  <c r="IA81" i="54"/>
  <c r="HZ81" i="54"/>
  <c r="HY81" i="54"/>
  <c r="HX81" i="54"/>
  <c r="HW81" i="54"/>
  <c r="HV81" i="54"/>
  <c r="HU81" i="54"/>
  <c r="HT81" i="54"/>
  <c r="HS81" i="54"/>
  <c r="HR81" i="54"/>
  <c r="HQ81" i="54"/>
  <c r="HP81" i="54"/>
  <c r="HO81" i="54"/>
  <c r="HN81" i="54"/>
  <c r="HM81" i="54"/>
  <c r="HL81" i="54"/>
  <c r="HK81" i="54"/>
  <c r="HJ81" i="54"/>
  <c r="HI81" i="54"/>
  <c r="HH81" i="54"/>
  <c r="HG81" i="54"/>
  <c r="HF81" i="54"/>
  <c r="HE81" i="54"/>
  <c r="HD81" i="54"/>
  <c r="HC81" i="54"/>
  <c r="HB81" i="54"/>
  <c r="HA81" i="54"/>
  <c r="GZ81" i="54"/>
  <c r="GY81" i="54"/>
  <c r="GX81" i="54"/>
  <c r="GW81" i="54"/>
  <c r="GV81" i="54"/>
  <c r="GU81" i="54"/>
  <c r="GT81" i="54"/>
  <c r="GS81" i="54"/>
  <c r="GR81" i="54"/>
  <c r="GQ81" i="54"/>
  <c r="GP81" i="54"/>
  <c r="GO81" i="54"/>
  <c r="GN81" i="54"/>
  <c r="GM81" i="54"/>
  <c r="GL81" i="54"/>
  <c r="GK81" i="54"/>
  <c r="GJ81" i="54"/>
  <c r="GI81" i="54"/>
  <c r="GH81" i="54"/>
  <c r="GG81" i="54"/>
  <c r="GF81" i="54"/>
  <c r="GE81" i="54"/>
  <c r="GD81" i="54"/>
  <c r="GC81" i="54"/>
  <c r="GB81" i="54"/>
  <c r="GA81" i="54"/>
  <c r="FZ81" i="54"/>
  <c r="FY81" i="54"/>
  <c r="FX81" i="54"/>
  <c r="FW81" i="54"/>
  <c r="FV81" i="54"/>
  <c r="FU81" i="54"/>
  <c r="FT81" i="54"/>
  <c r="BB81" i="54"/>
  <c r="AD81" i="54"/>
  <c r="AA81" i="54"/>
  <c r="Z81" i="54"/>
  <c r="Y81" i="54"/>
  <c r="X81" i="54"/>
  <c r="W81" i="54"/>
  <c r="V81" i="54"/>
  <c r="U81" i="54"/>
  <c r="T81" i="54"/>
  <c r="S81" i="54"/>
  <c r="R81" i="54"/>
  <c r="Q81" i="54"/>
  <c r="P81" i="54"/>
  <c r="O81" i="54"/>
  <c r="N81" i="54"/>
  <c r="M81" i="54"/>
  <c r="L81" i="54"/>
  <c r="BL81" i="54" s="1"/>
  <c r="N81" i="56" s="1"/>
  <c r="K81" i="54"/>
  <c r="BK81" i="54" s="1"/>
  <c r="M81" i="56" s="1"/>
  <c r="J81" i="54"/>
  <c r="BT81" i="54" s="1"/>
  <c r="V81" i="56" s="1"/>
  <c r="I81" i="54"/>
  <c r="BS81" i="54" s="1"/>
  <c r="U81" i="56" s="1"/>
  <c r="H81" i="54"/>
  <c r="AX81" i="54" s="1"/>
  <c r="G81" i="54"/>
  <c r="BG81" i="54" s="1"/>
  <c r="I81" i="56" s="1"/>
  <c r="F81" i="54"/>
  <c r="BP81" i="54" s="1"/>
  <c r="R81" i="56" s="1"/>
  <c r="E81" i="54"/>
  <c r="AU81" i="54" s="1"/>
  <c r="D81" i="54"/>
  <c r="BD81" i="54" s="1"/>
  <c r="F81" i="56" s="1"/>
  <c r="C81" i="54"/>
  <c r="BC81" i="54" s="1"/>
  <c r="E81" i="56" s="1"/>
  <c r="B81" i="54"/>
  <c r="AG81" i="54" s="1"/>
  <c r="B81" i="56" s="1"/>
  <c r="A81" i="54"/>
  <c r="AF81" i="54" s="1"/>
  <c r="A81" i="56" s="1"/>
  <c r="JO80" i="54"/>
  <c r="JN80" i="54"/>
  <c r="JM80" i="54"/>
  <c r="JL80" i="54"/>
  <c r="JK80" i="54"/>
  <c r="JJ80" i="54"/>
  <c r="JI80" i="54"/>
  <c r="JH80" i="54"/>
  <c r="JG80" i="54"/>
  <c r="JF80" i="54"/>
  <c r="JE80" i="54"/>
  <c r="JD80" i="54"/>
  <c r="JC80" i="54"/>
  <c r="JB80" i="54"/>
  <c r="JA80" i="54"/>
  <c r="IZ80" i="54"/>
  <c r="IY80" i="54"/>
  <c r="IX80" i="54"/>
  <c r="IW80" i="54"/>
  <c r="IV80" i="54"/>
  <c r="IU80" i="54"/>
  <c r="IT80" i="54"/>
  <c r="IS80" i="54"/>
  <c r="IR80" i="54"/>
  <c r="IQ80" i="54"/>
  <c r="IP80" i="54"/>
  <c r="IO80" i="54"/>
  <c r="IN80" i="54"/>
  <c r="IM80" i="54"/>
  <c r="IL80" i="54"/>
  <c r="IK80" i="54"/>
  <c r="IJ80" i="54"/>
  <c r="II80" i="54"/>
  <c r="IH80" i="54"/>
  <c r="IG80" i="54"/>
  <c r="IF80" i="54"/>
  <c r="IE80" i="54"/>
  <c r="ID80" i="54"/>
  <c r="IC80" i="54"/>
  <c r="IB80" i="54"/>
  <c r="IA80" i="54"/>
  <c r="HZ80" i="54"/>
  <c r="HY80" i="54"/>
  <c r="HX80" i="54"/>
  <c r="HW80" i="54"/>
  <c r="HV80" i="54"/>
  <c r="HU80" i="54"/>
  <c r="HT80" i="54"/>
  <c r="HS80" i="54"/>
  <c r="HR80" i="54"/>
  <c r="HQ80" i="54"/>
  <c r="HP80" i="54"/>
  <c r="HO80" i="54"/>
  <c r="HN80" i="54"/>
  <c r="HM80" i="54"/>
  <c r="HL80" i="54"/>
  <c r="HK80" i="54"/>
  <c r="HJ80" i="54"/>
  <c r="HI80" i="54"/>
  <c r="HH80" i="54"/>
  <c r="HG80" i="54"/>
  <c r="HF80" i="54"/>
  <c r="HE80" i="54"/>
  <c r="HD80" i="54"/>
  <c r="HC80" i="54"/>
  <c r="HB80" i="54"/>
  <c r="HA80" i="54"/>
  <c r="GZ80" i="54"/>
  <c r="GY80" i="54"/>
  <c r="GX80" i="54"/>
  <c r="GW80" i="54"/>
  <c r="GV80" i="54"/>
  <c r="GU80" i="54"/>
  <c r="GT80" i="54"/>
  <c r="GS80" i="54"/>
  <c r="GR80" i="54"/>
  <c r="GQ80" i="54"/>
  <c r="GP80" i="54"/>
  <c r="GO80" i="54"/>
  <c r="GN80" i="54"/>
  <c r="GM80" i="54"/>
  <c r="GL80" i="54"/>
  <c r="GK80" i="54"/>
  <c r="GJ80" i="54"/>
  <c r="GI80" i="54"/>
  <c r="GH80" i="54"/>
  <c r="GG80" i="54"/>
  <c r="GF80" i="54"/>
  <c r="GE80" i="54"/>
  <c r="GD80" i="54"/>
  <c r="GC80" i="54"/>
  <c r="GB80" i="54"/>
  <c r="GA80" i="54"/>
  <c r="FZ80" i="54"/>
  <c r="FY80" i="54"/>
  <c r="FX80" i="54"/>
  <c r="FW80" i="54"/>
  <c r="FV80" i="54"/>
  <c r="FU80" i="54"/>
  <c r="FT80" i="54"/>
  <c r="AD80" i="54"/>
  <c r="AA80" i="54"/>
  <c r="Z80" i="54"/>
  <c r="Y80" i="54"/>
  <c r="X80" i="54"/>
  <c r="W80" i="54"/>
  <c r="V80" i="54"/>
  <c r="U80" i="54"/>
  <c r="T80" i="54"/>
  <c r="S80" i="54"/>
  <c r="R80" i="54"/>
  <c r="Q80" i="54"/>
  <c r="P80" i="54"/>
  <c r="O80" i="54"/>
  <c r="N80" i="54"/>
  <c r="M80" i="54"/>
  <c r="L80" i="54"/>
  <c r="BL80" i="54" s="1"/>
  <c r="N80" i="56" s="1"/>
  <c r="K80" i="54"/>
  <c r="BU80" i="54" s="1"/>
  <c r="W80" i="56" s="1"/>
  <c r="J80" i="54"/>
  <c r="AZ80" i="54" s="1"/>
  <c r="I80" i="54"/>
  <c r="AY80" i="54" s="1"/>
  <c r="H80" i="54"/>
  <c r="BH80" i="54" s="1"/>
  <c r="J80" i="56" s="1"/>
  <c r="G80" i="54"/>
  <c r="BQ80" i="54" s="1"/>
  <c r="S80" i="56" s="1"/>
  <c r="F80" i="54"/>
  <c r="AV80" i="54" s="1"/>
  <c r="E80" i="54"/>
  <c r="D80" i="54"/>
  <c r="BD80" i="54" s="1"/>
  <c r="F80" i="56" s="1"/>
  <c r="C80" i="54"/>
  <c r="BC80" i="54" s="1"/>
  <c r="E80" i="56" s="1"/>
  <c r="B80" i="54"/>
  <c r="AG80" i="54" s="1"/>
  <c r="B80" i="56" s="1"/>
  <c r="A80" i="54"/>
  <c r="AF80" i="54" s="1"/>
  <c r="A80" i="56" s="1"/>
  <c r="JO79" i="54"/>
  <c r="JN79" i="54"/>
  <c r="JM79" i="54"/>
  <c r="JL79" i="54"/>
  <c r="JK79" i="54"/>
  <c r="JJ79" i="54"/>
  <c r="JI79" i="54"/>
  <c r="JH79" i="54"/>
  <c r="JG79" i="54"/>
  <c r="JF79" i="54"/>
  <c r="JE79" i="54"/>
  <c r="JD79" i="54"/>
  <c r="JC79" i="54"/>
  <c r="JB79" i="54"/>
  <c r="JA79" i="54"/>
  <c r="IZ79" i="54"/>
  <c r="IY79" i="54"/>
  <c r="IX79" i="54"/>
  <c r="IW79" i="54"/>
  <c r="IV79" i="54"/>
  <c r="IU79" i="54"/>
  <c r="IT79" i="54"/>
  <c r="IS79" i="54"/>
  <c r="IR79" i="54"/>
  <c r="IQ79" i="54"/>
  <c r="IP79" i="54"/>
  <c r="IO79" i="54"/>
  <c r="IN79" i="54"/>
  <c r="IM79" i="54"/>
  <c r="IL79" i="54"/>
  <c r="IK79" i="54"/>
  <c r="IJ79" i="54"/>
  <c r="II79" i="54"/>
  <c r="IH79" i="54"/>
  <c r="IG79" i="54"/>
  <c r="IF79" i="54"/>
  <c r="IE79" i="54"/>
  <c r="ID79" i="54"/>
  <c r="IC79" i="54"/>
  <c r="IB79" i="54"/>
  <c r="IA79" i="54"/>
  <c r="HZ79" i="54"/>
  <c r="HY79" i="54"/>
  <c r="HX79" i="54"/>
  <c r="HW79" i="54"/>
  <c r="HV79" i="54"/>
  <c r="HU79" i="54"/>
  <c r="HT79" i="54"/>
  <c r="HS79" i="54"/>
  <c r="HR79" i="54"/>
  <c r="HQ79" i="54"/>
  <c r="HP79" i="54"/>
  <c r="HO79" i="54"/>
  <c r="HN79" i="54"/>
  <c r="HM79" i="54"/>
  <c r="HL79" i="54"/>
  <c r="HK79" i="54"/>
  <c r="HJ79" i="54"/>
  <c r="HI79" i="54"/>
  <c r="HH79" i="54"/>
  <c r="HG79" i="54"/>
  <c r="HF79" i="54"/>
  <c r="HE79" i="54"/>
  <c r="HD79" i="54"/>
  <c r="HC79" i="54"/>
  <c r="HB79" i="54"/>
  <c r="HA79" i="54"/>
  <c r="GZ79" i="54"/>
  <c r="GY79" i="54"/>
  <c r="GX79" i="54"/>
  <c r="GW79" i="54"/>
  <c r="GV79" i="54"/>
  <c r="GU79" i="54"/>
  <c r="GT79" i="54"/>
  <c r="GS79" i="54"/>
  <c r="GR79" i="54"/>
  <c r="GQ79" i="54"/>
  <c r="GP79" i="54"/>
  <c r="GO79" i="54"/>
  <c r="GN79" i="54"/>
  <c r="GM79" i="54"/>
  <c r="GL79" i="54"/>
  <c r="GK79" i="54"/>
  <c r="GJ79" i="54"/>
  <c r="GI79" i="54"/>
  <c r="GH79" i="54"/>
  <c r="GG79" i="54"/>
  <c r="GF79" i="54"/>
  <c r="GE79" i="54"/>
  <c r="GD79" i="54"/>
  <c r="GC79" i="54"/>
  <c r="GB79" i="54"/>
  <c r="GA79" i="54"/>
  <c r="FZ79" i="54"/>
  <c r="FY79" i="54"/>
  <c r="FX79" i="54"/>
  <c r="FW79" i="54"/>
  <c r="FV79" i="54"/>
  <c r="FU79" i="54"/>
  <c r="FT79" i="54"/>
  <c r="AD79" i="54"/>
  <c r="AA79" i="54"/>
  <c r="Z79" i="54"/>
  <c r="Y79" i="54"/>
  <c r="X79" i="54"/>
  <c r="W79" i="54"/>
  <c r="V79" i="54"/>
  <c r="U79" i="54"/>
  <c r="T79" i="54"/>
  <c r="S79" i="54"/>
  <c r="R79" i="54"/>
  <c r="Q79" i="54"/>
  <c r="P79" i="54"/>
  <c r="O79" i="54"/>
  <c r="N79" i="54"/>
  <c r="M79" i="54"/>
  <c r="L79" i="54"/>
  <c r="BV79" i="54" s="1"/>
  <c r="X79" i="56" s="1"/>
  <c r="K79" i="54"/>
  <c r="BU79" i="54" s="1"/>
  <c r="W79" i="56" s="1"/>
  <c r="J79" i="54"/>
  <c r="BJ79" i="54" s="1"/>
  <c r="L79" i="56" s="1"/>
  <c r="I79" i="54"/>
  <c r="BI79" i="54" s="1"/>
  <c r="K79" i="56" s="1"/>
  <c r="H79" i="54"/>
  <c r="BR79" i="54" s="1"/>
  <c r="T79" i="56" s="1"/>
  <c r="G79" i="54"/>
  <c r="F79" i="54"/>
  <c r="BF79" i="54" s="1"/>
  <c r="H79" i="56" s="1"/>
  <c r="E79" i="54"/>
  <c r="BE79" i="54" s="1"/>
  <c r="G79" i="56" s="1"/>
  <c r="D79" i="54"/>
  <c r="BN79" i="54" s="1"/>
  <c r="P79" i="56" s="1"/>
  <c r="C79" i="54"/>
  <c r="BM79" i="54" s="1"/>
  <c r="O79" i="56" s="1"/>
  <c r="B79" i="54"/>
  <c r="AG79" i="54" s="1"/>
  <c r="B79" i="56" s="1"/>
  <c r="A79" i="54"/>
  <c r="AF79" i="54" s="1"/>
  <c r="A79" i="56" s="1"/>
  <c r="JO78" i="54"/>
  <c r="JN78" i="54"/>
  <c r="JM78" i="54"/>
  <c r="JL78" i="54"/>
  <c r="JK78" i="54"/>
  <c r="JJ78" i="54"/>
  <c r="JI78" i="54"/>
  <c r="JH78" i="54"/>
  <c r="JG78" i="54"/>
  <c r="JF78" i="54"/>
  <c r="JE78" i="54"/>
  <c r="JD78" i="54"/>
  <c r="JC78" i="54"/>
  <c r="JB78" i="54"/>
  <c r="JA78" i="54"/>
  <c r="IZ78" i="54"/>
  <c r="IY78" i="54"/>
  <c r="IX78" i="54"/>
  <c r="IW78" i="54"/>
  <c r="IV78" i="54"/>
  <c r="IU78" i="54"/>
  <c r="IT78" i="54"/>
  <c r="IS78" i="54"/>
  <c r="IR78" i="54"/>
  <c r="IQ78" i="54"/>
  <c r="IP78" i="54"/>
  <c r="IO78" i="54"/>
  <c r="IN78" i="54"/>
  <c r="IM78" i="54"/>
  <c r="IL78" i="54"/>
  <c r="IK78" i="54"/>
  <c r="IJ78" i="54"/>
  <c r="II78" i="54"/>
  <c r="IH78" i="54"/>
  <c r="IG78" i="54"/>
  <c r="IF78" i="54"/>
  <c r="IE78" i="54"/>
  <c r="ID78" i="54"/>
  <c r="IC78" i="54"/>
  <c r="IB78" i="54"/>
  <c r="IA78" i="54"/>
  <c r="HZ78" i="54"/>
  <c r="HY78" i="54"/>
  <c r="HX78" i="54"/>
  <c r="HW78" i="54"/>
  <c r="HV78" i="54"/>
  <c r="HU78" i="54"/>
  <c r="HT78" i="54"/>
  <c r="HS78" i="54"/>
  <c r="HR78" i="54"/>
  <c r="HQ78" i="54"/>
  <c r="HP78" i="54"/>
  <c r="HO78" i="54"/>
  <c r="HN78" i="54"/>
  <c r="HM78" i="54"/>
  <c r="HL78" i="54"/>
  <c r="HK78" i="54"/>
  <c r="HJ78" i="54"/>
  <c r="HI78" i="54"/>
  <c r="HH78" i="54"/>
  <c r="HG78" i="54"/>
  <c r="HF78" i="54"/>
  <c r="HE78" i="54"/>
  <c r="HD78" i="54"/>
  <c r="HC78" i="54"/>
  <c r="HB78" i="54"/>
  <c r="HA78" i="54"/>
  <c r="GZ78" i="54"/>
  <c r="GY78" i="54"/>
  <c r="GX78" i="54"/>
  <c r="GW78" i="54"/>
  <c r="GV78" i="54"/>
  <c r="GU78" i="54"/>
  <c r="GT78" i="54"/>
  <c r="GS78" i="54"/>
  <c r="GR78" i="54"/>
  <c r="GQ78" i="54"/>
  <c r="GP78" i="54"/>
  <c r="GO78" i="54"/>
  <c r="GN78" i="54"/>
  <c r="GM78" i="54"/>
  <c r="GL78" i="54"/>
  <c r="GK78" i="54"/>
  <c r="GJ78" i="54"/>
  <c r="GI78" i="54"/>
  <c r="GH78" i="54"/>
  <c r="GG78" i="54"/>
  <c r="GF78" i="54"/>
  <c r="GE78" i="54"/>
  <c r="GD78" i="54"/>
  <c r="GC78" i="54"/>
  <c r="GB78" i="54"/>
  <c r="GA78" i="54"/>
  <c r="FZ78" i="54"/>
  <c r="FY78" i="54"/>
  <c r="FX78" i="54"/>
  <c r="FW78" i="54"/>
  <c r="FV78" i="54"/>
  <c r="FU78" i="54"/>
  <c r="FT78" i="54"/>
  <c r="AD78" i="54"/>
  <c r="AA78" i="54"/>
  <c r="Z78" i="54"/>
  <c r="Y78" i="54"/>
  <c r="X78" i="54"/>
  <c r="W78" i="54"/>
  <c r="V78" i="54"/>
  <c r="U78" i="54"/>
  <c r="T78" i="54"/>
  <c r="S78" i="54"/>
  <c r="R78" i="54"/>
  <c r="Q78" i="54"/>
  <c r="P78" i="54"/>
  <c r="O78" i="54"/>
  <c r="N78" i="54"/>
  <c r="M78" i="54"/>
  <c r="L78" i="54"/>
  <c r="K78" i="54"/>
  <c r="BA78" i="54" s="1"/>
  <c r="J78" i="54"/>
  <c r="BJ78" i="54" s="1"/>
  <c r="L78" i="56" s="1"/>
  <c r="I78" i="54"/>
  <c r="H78" i="54"/>
  <c r="AX78" i="54" s="1"/>
  <c r="G78" i="54"/>
  <c r="BG78" i="54" s="1"/>
  <c r="I78" i="56" s="1"/>
  <c r="F78" i="54"/>
  <c r="BF78" i="54" s="1"/>
  <c r="H78" i="56" s="1"/>
  <c r="E78" i="54"/>
  <c r="BO78" i="54" s="1"/>
  <c r="Q78" i="56" s="1"/>
  <c r="D78" i="54"/>
  <c r="C78" i="54"/>
  <c r="B78" i="54"/>
  <c r="AG78" i="54" s="1"/>
  <c r="B78" i="56" s="1"/>
  <c r="A78" i="54"/>
  <c r="AF78" i="54" s="1"/>
  <c r="A78" i="56" s="1"/>
  <c r="JO77" i="54"/>
  <c r="JN77" i="54"/>
  <c r="JM77" i="54"/>
  <c r="JL77" i="54"/>
  <c r="JK77" i="54"/>
  <c r="JJ77" i="54"/>
  <c r="JI77" i="54"/>
  <c r="JH77" i="54"/>
  <c r="JG77" i="54"/>
  <c r="JF77" i="54"/>
  <c r="JE77" i="54"/>
  <c r="JD77" i="54"/>
  <c r="JC77" i="54"/>
  <c r="JB77" i="54"/>
  <c r="JA77" i="54"/>
  <c r="IZ77" i="54"/>
  <c r="IY77" i="54"/>
  <c r="IX77" i="54"/>
  <c r="IW77" i="54"/>
  <c r="IV77" i="54"/>
  <c r="IU77" i="54"/>
  <c r="IT77" i="54"/>
  <c r="IS77" i="54"/>
  <c r="IR77" i="54"/>
  <c r="IQ77" i="54"/>
  <c r="IP77" i="54"/>
  <c r="IO77" i="54"/>
  <c r="IN77" i="54"/>
  <c r="IM77" i="54"/>
  <c r="IL77" i="54"/>
  <c r="IK77" i="54"/>
  <c r="IJ77" i="54"/>
  <c r="II77" i="54"/>
  <c r="IH77" i="54"/>
  <c r="IG77" i="54"/>
  <c r="IF77" i="54"/>
  <c r="IE77" i="54"/>
  <c r="ID77" i="54"/>
  <c r="IC77" i="54"/>
  <c r="IB77" i="54"/>
  <c r="IA77" i="54"/>
  <c r="HZ77" i="54"/>
  <c r="HY77" i="54"/>
  <c r="HX77" i="54"/>
  <c r="HW77" i="54"/>
  <c r="HV77" i="54"/>
  <c r="HU77" i="54"/>
  <c r="HT77" i="54"/>
  <c r="HS77" i="54"/>
  <c r="HR77" i="54"/>
  <c r="HQ77" i="54"/>
  <c r="HP77" i="54"/>
  <c r="HO77" i="54"/>
  <c r="HN77" i="54"/>
  <c r="HM77" i="54"/>
  <c r="HL77" i="54"/>
  <c r="HK77" i="54"/>
  <c r="HJ77" i="54"/>
  <c r="HI77" i="54"/>
  <c r="HH77" i="54"/>
  <c r="HG77" i="54"/>
  <c r="HF77" i="54"/>
  <c r="HE77" i="54"/>
  <c r="HD77" i="54"/>
  <c r="HC77" i="54"/>
  <c r="HB77" i="54"/>
  <c r="HA77" i="54"/>
  <c r="GZ77" i="54"/>
  <c r="GY77" i="54"/>
  <c r="GX77" i="54"/>
  <c r="GW77" i="54"/>
  <c r="GV77" i="54"/>
  <c r="GU77" i="54"/>
  <c r="GT77" i="54"/>
  <c r="GS77" i="54"/>
  <c r="GR77" i="54"/>
  <c r="GQ77" i="54"/>
  <c r="GP77" i="54"/>
  <c r="GO77" i="54"/>
  <c r="GN77" i="54"/>
  <c r="GM77" i="54"/>
  <c r="GL77" i="54"/>
  <c r="GK77" i="54"/>
  <c r="GJ77" i="54"/>
  <c r="GI77" i="54"/>
  <c r="GH77" i="54"/>
  <c r="GG77" i="54"/>
  <c r="GF77" i="54"/>
  <c r="GE77" i="54"/>
  <c r="GD77" i="54"/>
  <c r="GC77" i="54"/>
  <c r="GB77" i="54"/>
  <c r="GA77" i="54"/>
  <c r="FZ77" i="54"/>
  <c r="FY77" i="54"/>
  <c r="FX77" i="54"/>
  <c r="FW77" i="54"/>
  <c r="FV77" i="54"/>
  <c r="FU77" i="54"/>
  <c r="FT77" i="54"/>
  <c r="BF77" i="54"/>
  <c r="H77" i="56" s="1"/>
  <c r="AD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BK77" i="54" s="1"/>
  <c r="M77" i="56" s="1"/>
  <c r="J77" i="54"/>
  <c r="BT77" i="54" s="1"/>
  <c r="V77" i="56" s="1"/>
  <c r="I77" i="54"/>
  <c r="H77" i="54"/>
  <c r="G77" i="54"/>
  <c r="BG77" i="54" s="1"/>
  <c r="I77" i="56" s="1"/>
  <c r="F77" i="54"/>
  <c r="BP77" i="54" s="1"/>
  <c r="R77" i="56" s="1"/>
  <c r="E77" i="54"/>
  <c r="BO77" i="54" s="1"/>
  <c r="Q77" i="56" s="1"/>
  <c r="D77" i="54"/>
  <c r="C77" i="54"/>
  <c r="BC77" i="54" s="1"/>
  <c r="E77" i="56" s="1"/>
  <c r="B77" i="54"/>
  <c r="AG77" i="54" s="1"/>
  <c r="B77" i="56" s="1"/>
  <c r="A77" i="54"/>
  <c r="AF77" i="54" s="1"/>
  <c r="A77" i="56" s="1"/>
  <c r="JO76" i="54"/>
  <c r="JN76" i="54"/>
  <c r="JM76" i="54"/>
  <c r="JL76" i="54"/>
  <c r="JK76" i="54"/>
  <c r="JJ76" i="54"/>
  <c r="JI76" i="54"/>
  <c r="JH76" i="54"/>
  <c r="JG76" i="54"/>
  <c r="JF76" i="54"/>
  <c r="JE76" i="54"/>
  <c r="JD76" i="54"/>
  <c r="JC76" i="54"/>
  <c r="JB76" i="54"/>
  <c r="JA76" i="54"/>
  <c r="IZ76" i="54"/>
  <c r="IY76" i="54"/>
  <c r="IX76" i="54"/>
  <c r="IW76" i="54"/>
  <c r="IV76" i="54"/>
  <c r="IU76" i="54"/>
  <c r="IT76" i="54"/>
  <c r="IS76" i="54"/>
  <c r="IR76" i="54"/>
  <c r="IQ76" i="54"/>
  <c r="IP76" i="54"/>
  <c r="IO76" i="54"/>
  <c r="IN76" i="54"/>
  <c r="IM76" i="54"/>
  <c r="IL76" i="54"/>
  <c r="IK76" i="54"/>
  <c r="IJ76" i="54"/>
  <c r="II76" i="54"/>
  <c r="IH76" i="54"/>
  <c r="IG76" i="54"/>
  <c r="IF76" i="54"/>
  <c r="IE76" i="54"/>
  <c r="ID76" i="54"/>
  <c r="IC76" i="54"/>
  <c r="IB76" i="54"/>
  <c r="IA76" i="54"/>
  <c r="HZ76" i="54"/>
  <c r="HY76" i="54"/>
  <c r="HX76" i="54"/>
  <c r="HW76" i="54"/>
  <c r="HV76" i="54"/>
  <c r="HU76" i="54"/>
  <c r="HT76" i="54"/>
  <c r="HS76" i="54"/>
  <c r="HR76" i="54"/>
  <c r="HQ76" i="54"/>
  <c r="HP76" i="54"/>
  <c r="HO76" i="54"/>
  <c r="HN76" i="54"/>
  <c r="HM76" i="54"/>
  <c r="HL76" i="54"/>
  <c r="HK76" i="54"/>
  <c r="HJ76" i="54"/>
  <c r="HI76" i="54"/>
  <c r="HH76" i="54"/>
  <c r="HG76" i="54"/>
  <c r="HF76" i="54"/>
  <c r="HE76" i="54"/>
  <c r="HD76" i="54"/>
  <c r="HC76" i="54"/>
  <c r="HB76" i="54"/>
  <c r="HA76" i="54"/>
  <c r="GZ76" i="54"/>
  <c r="GY76" i="54"/>
  <c r="GX76" i="54"/>
  <c r="GW76" i="54"/>
  <c r="GV76" i="54"/>
  <c r="GU76" i="54"/>
  <c r="GT76" i="54"/>
  <c r="GS76" i="54"/>
  <c r="GR76" i="54"/>
  <c r="GQ76" i="54"/>
  <c r="GP76" i="54"/>
  <c r="GO76" i="54"/>
  <c r="GN76" i="54"/>
  <c r="GM76" i="54"/>
  <c r="GL76" i="54"/>
  <c r="GK76" i="54"/>
  <c r="GJ76" i="54"/>
  <c r="GI76" i="54"/>
  <c r="GH76" i="54"/>
  <c r="GG76" i="54"/>
  <c r="GF76" i="54"/>
  <c r="GE76" i="54"/>
  <c r="GD76" i="54"/>
  <c r="GC76" i="54"/>
  <c r="GB76" i="54"/>
  <c r="GA76" i="54"/>
  <c r="FZ76" i="54"/>
  <c r="FY76" i="54"/>
  <c r="FX76" i="54"/>
  <c r="FW76" i="54"/>
  <c r="FV76" i="54"/>
  <c r="FU76" i="54"/>
  <c r="FT76" i="54"/>
  <c r="AD76" i="54"/>
  <c r="AA76" i="54"/>
  <c r="Z76" i="54"/>
  <c r="Y76" i="54"/>
  <c r="X76" i="54"/>
  <c r="W76" i="54"/>
  <c r="V76" i="54"/>
  <c r="U76" i="54"/>
  <c r="T76" i="54"/>
  <c r="S76" i="54"/>
  <c r="R76" i="54"/>
  <c r="Q76" i="54"/>
  <c r="P76" i="54"/>
  <c r="O76" i="54"/>
  <c r="N76" i="54"/>
  <c r="M76" i="54"/>
  <c r="L76" i="54"/>
  <c r="BL76" i="54" s="1"/>
  <c r="N76" i="56" s="1"/>
  <c r="K76" i="54"/>
  <c r="BU76" i="54" s="1"/>
  <c r="W76" i="56" s="1"/>
  <c r="J76" i="54"/>
  <c r="I76" i="54"/>
  <c r="BI76" i="54" s="1"/>
  <c r="K76" i="56" s="1"/>
  <c r="H76" i="54"/>
  <c r="G76" i="54"/>
  <c r="BQ76" i="54" s="1"/>
  <c r="S76" i="56" s="1"/>
  <c r="F76" i="54"/>
  <c r="BP76" i="54" s="1"/>
  <c r="R76" i="56" s="1"/>
  <c r="E76" i="54"/>
  <c r="AU76" i="54" s="1"/>
  <c r="D76" i="54"/>
  <c r="BD76" i="54" s="1"/>
  <c r="F76" i="56" s="1"/>
  <c r="C76" i="54"/>
  <c r="BM76" i="54" s="1"/>
  <c r="O76" i="56" s="1"/>
  <c r="B76" i="54"/>
  <c r="AG76" i="54" s="1"/>
  <c r="B76" i="56" s="1"/>
  <c r="A76" i="54"/>
  <c r="AF76" i="54" s="1"/>
  <c r="A76" i="56" s="1"/>
  <c r="JO75" i="54"/>
  <c r="JN75" i="54"/>
  <c r="JM75" i="54"/>
  <c r="JL75" i="54"/>
  <c r="JK75" i="54"/>
  <c r="JJ75" i="54"/>
  <c r="JI75" i="54"/>
  <c r="JH75" i="54"/>
  <c r="JG75" i="54"/>
  <c r="JF75" i="54"/>
  <c r="JE75" i="54"/>
  <c r="JD75" i="54"/>
  <c r="JC75" i="54"/>
  <c r="JB75" i="54"/>
  <c r="JA75" i="54"/>
  <c r="IZ75" i="54"/>
  <c r="IY75" i="54"/>
  <c r="IX75" i="54"/>
  <c r="IW75" i="54"/>
  <c r="IV75" i="54"/>
  <c r="IU75" i="54"/>
  <c r="IT75" i="54"/>
  <c r="IS75" i="54"/>
  <c r="IR75" i="54"/>
  <c r="IQ75" i="54"/>
  <c r="IP75" i="54"/>
  <c r="IO75" i="54"/>
  <c r="IN75" i="54"/>
  <c r="IM75" i="54"/>
  <c r="IL75" i="54"/>
  <c r="IK75" i="54"/>
  <c r="IJ75" i="54"/>
  <c r="II75" i="54"/>
  <c r="IH75" i="54"/>
  <c r="IG75" i="54"/>
  <c r="IF75" i="54"/>
  <c r="IE75" i="54"/>
  <c r="ID75" i="54"/>
  <c r="IC75" i="54"/>
  <c r="IB75" i="54"/>
  <c r="IA75" i="54"/>
  <c r="HZ75" i="54"/>
  <c r="HY75" i="54"/>
  <c r="HX75" i="54"/>
  <c r="HW75" i="54"/>
  <c r="HV75" i="54"/>
  <c r="HU75" i="54"/>
  <c r="HT75" i="54"/>
  <c r="HS75" i="54"/>
  <c r="HR75" i="54"/>
  <c r="HQ75" i="54"/>
  <c r="HP75" i="54"/>
  <c r="HO75" i="54"/>
  <c r="HN75" i="54"/>
  <c r="HM75" i="54"/>
  <c r="HL75" i="54"/>
  <c r="HK75" i="54"/>
  <c r="HJ75" i="54"/>
  <c r="HI75" i="54"/>
  <c r="HH75" i="54"/>
  <c r="HG75" i="54"/>
  <c r="HF75" i="54"/>
  <c r="HE75" i="54"/>
  <c r="HD75" i="54"/>
  <c r="HC75" i="54"/>
  <c r="HB75" i="54"/>
  <c r="HA75" i="54"/>
  <c r="GZ75" i="54"/>
  <c r="GY75" i="54"/>
  <c r="GX75" i="54"/>
  <c r="GW75" i="54"/>
  <c r="GV75" i="54"/>
  <c r="GU75" i="54"/>
  <c r="GT75" i="54"/>
  <c r="GS75" i="54"/>
  <c r="GR75" i="54"/>
  <c r="GQ75" i="54"/>
  <c r="GP75" i="54"/>
  <c r="GO75" i="54"/>
  <c r="GN75" i="54"/>
  <c r="GM75" i="54"/>
  <c r="GL75" i="54"/>
  <c r="GK75" i="54"/>
  <c r="GJ75" i="54"/>
  <c r="GI75" i="54"/>
  <c r="GH75" i="54"/>
  <c r="GG75" i="54"/>
  <c r="GF75" i="54"/>
  <c r="GE75" i="54"/>
  <c r="GD75" i="54"/>
  <c r="GC75" i="54"/>
  <c r="GB75" i="54"/>
  <c r="GA75" i="54"/>
  <c r="FZ75" i="54"/>
  <c r="FY75" i="54"/>
  <c r="FX75" i="54"/>
  <c r="FW75" i="54"/>
  <c r="FV75" i="54"/>
  <c r="FU75" i="54"/>
  <c r="FT75" i="54"/>
  <c r="BV75" i="54"/>
  <c r="X75" i="56" s="1"/>
  <c r="BK75" i="54"/>
  <c r="M75" i="56" s="1"/>
  <c r="AG75" i="54"/>
  <c r="B75" i="56" s="1"/>
  <c r="AD75" i="54"/>
  <c r="AA75" i="54"/>
  <c r="Z75" i="54"/>
  <c r="Y75" i="54"/>
  <c r="X75" i="54"/>
  <c r="W75" i="54"/>
  <c r="V75" i="54"/>
  <c r="U75" i="54"/>
  <c r="T75" i="54"/>
  <c r="S75" i="54"/>
  <c r="R75" i="54"/>
  <c r="Q75" i="54"/>
  <c r="P75" i="54"/>
  <c r="O75" i="54"/>
  <c r="N75" i="54"/>
  <c r="M75" i="54"/>
  <c r="L75" i="54"/>
  <c r="K75" i="54"/>
  <c r="BA75" i="54" s="1"/>
  <c r="J75" i="54"/>
  <c r="BJ75" i="54" s="1"/>
  <c r="L75" i="56" s="1"/>
  <c r="I75" i="54"/>
  <c r="BI75" i="54" s="1"/>
  <c r="K75" i="56" s="1"/>
  <c r="H75" i="54"/>
  <c r="BR75" i="54" s="1"/>
  <c r="T75" i="56" s="1"/>
  <c r="G75" i="54"/>
  <c r="BQ75" i="54" s="1"/>
  <c r="S75" i="56" s="1"/>
  <c r="F75" i="54"/>
  <c r="E75" i="54"/>
  <c r="D75" i="54"/>
  <c r="BN75" i="54" s="1"/>
  <c r="P75" i="56" s="1"/>
  <c r="C75" i="54"/>
  <c r="AS75" i="54" s="1"/>
  <c r="B75" i="54"/>
  <c r="A75" i="54"/>
  <c r="AF75" i="54" s="1"/>
  <c r="A75" i="56" s="1"/>
  <c r="JO74" i="54"/>
  <c r="JN74" i="54"/>
  <c r="JM74" i="54"/>
  <c r="JL74" i="54"/>
  <c r="JK74" i="54"/>
  <c r="JJ74" i="54"/>
  <c r="JI74" i="54"/>
  <c r="JH74" i="54"/>
  <c r="JG74" i="54"/>
  <c r="JF74" i="54"/>
  <c r="JE74" i="54"/>
  <c r="JD74" i="54"/>
  <c r="JC74" i="54"/>
  <c r="JB74" i="54"/>
  <c r="JA74" i="54"/>
  <c r="IZ74" i="54"/>
  <c r="IY74" i="54"/>
  <c r="IX74" i="54"/>
  <c r="IW74" i="54"/>
  <c r="IV74" i="54"/>
  <c r="IU74" i="54"/>
  <c r="IT74" i="54"/>
  <c r="IS74" i="54"/>
  <c r="IR74" i="54"/>
  <c r="IQ74" i="54"/>
  <c r="IP74" i="54"/>
  <c r="IO74" i="54"/>
  <c r="IN74" i="54"/>
  <c r="IM74" i="54"/>
  <c r="IL74" i="54"/>
  <c r="IK74" i="54"/>
  <c r="IJ74" i="54"/>
  <c r="II74" i="54"/>
  <c r="IH74" i="54"/>
  <c r="IG74" i="54"/>
  <c r="IF74" i="54"/>
  <c r="IE74" i="54"/>
  <c r="ID74" i="54"/>
  <c r="IC74" i="54"/>
  <c r="IB74" i="54"/>
  <c r="IA74" i="54"/>
  <c r="HZ74" i="54"/>
  <c r="HY74" i="54"/>
  <c r="HX74" i="54"/>
  <c r="HW74" i="54"/>
  <c r="HV74" i="54"/>
  <c r="HU74" i="54"/>
  <c r="HT74" i="54"/>
  <c r="HS74" i="54"/>
  <c r="HR74" i="54"/>
  <c r="HQ74" i="54"/>
  <c r="HP74" i="54"/>
  <c r="HO74" i="54"/>
  <c r="HN74" i="54"/>
  <c r="HM74" i="54"/>
  <c r="HL74" i="54"/>
  <c r="HK74" i="54"/>
  <c r="HJ74" i="54"/>
  <c r="HI74" i="54"/>
  <c r="HH74" i="54"/>
  <c r="HG74" i="54"/>
  <c r="HF74" i="54"/>
  <c r="HE74" i="54"/>
  <c r="HD74" i="54"/>
  <c r="HC74" i="54"/>
  <c r="HB74" i="54"/>
  <c r="HA74" i="54"/>
  <c r="GZ74" i="54"/>
  <c r="GY74" i="54"/>
  <c r="GX74" i="54"/>
  <c r="GW74" i="54"/>
  <c r="GV74" i="54"/>
  <c r="GU74" i="54"/>
  <c r="GT74" i="54"/>
  <c r="GS74" i="54"/>
  <c r="GR74" i="54"/>
  <c r="GQ74" i="54"/>
  <c r="GP74" i="54"/>
  <c r="GO74" i="54"/>
  <c r="GN74" i="54"/>
  <c r="GM74" i="54"/>
  <c r="GL74" i="54"/>
  <c r="GK74" i="54"/>
  <c r="GJ74" i="54"/>
  <c r="GI74" i="54"/>
  <c r="GH74" i="54"/>
  <c r="GG74" i="54"/>
  <c r="GF74" i="54"/>
  <c r="GE74" i="54"/>
  <c r="GD74" i="54"/>
  <c r="GC74" i="54"/>
  <c r="GB74" i="54"/>
  <c r="GA74" i="54"/>
  <c r="FZ74" i="54"/>
  <c r="FY74" i="54"/>
  <c r="FX74" i="54"/>
  <c r="FW74" i="54"/>
  <c r="FV74" i="54"/>
  <c r="FU74" i="54"/>
  <c r="FT74" i="54"/>
  <c r="AD74" i="54"/>
  <c r="AA74" i="54"/>
  <c r="Z74" i="54"/>
  <c r="Y74" i="54"/>
  <c r="X74" i="54"/>
  <c r="W74" i="54"/>
  <c r="V74" i="54"/>
  <c r="U74" i="54"/>
  <c r="T74" i="54"/>
  <c r="S74" i="54"/>
  <c r="R74" i="54"/>
  <c r="Q74" i="54"/>
  <c r="P74" i="54"/>
  <c r="O74" i="54"/>
  <c r="N74" i="54"/>
  <c r="M74" i="54"/>
  <c r="L74" i="54"/>
  <c r="BB74" i="54" s="1"/>
  <c r="K74" i="54"/>
  <c r="J74" i="54"/>
  <c r="BJ74" i="54" s="1"/>
  <c r="L74" i="56" s="1"/>
  <c r="I74" i="54"/>
  <c r="BS74" i="54" s="1"/>
  <c r="U74" i="56" s="1"/>
  <c r="H74" i="54"/>
  <c r="BR74" i="54" s="1"/>
  <c r="T74" i="56" s="1"/>
  <c r="G74" i="54"/>
  <c r="AW74" i="54" s="1"/>
  <c r="F74" i="54"/>
  <c r="E74" i="54"/>
  <c r="BO74" i="54" s="1"/>
  <c r="Q74" i="56" s="1"/>
  <c r="D74" i="54"/>
  <c r="AT74" i="54" s="1"/>
  <c r="C74" i="54"/>
  <c r="B74" i="54"/>
  <c r="AG74" i="54" s="1"/>
  <c r="B74" i="56" s="1"/>
  <c r="A74" i="54"/>
  <c r="AF74" i="54" s="1"/>
  <c r="A74" i="56" s="1"/>
  <c r="JO73" i="54"/>
  <c r="JN73" i="54"/>
  <c r="JM73" i="54"/>
  <c r="JL73" i="54"/>
  <c r="JK73" i="54"/>
  <c r="JJ73" i="54"/>
  <c r="JI73" i="54"/>
  <c r="JH73" i="54"/>
  <c r="JG73" i="54"/>
  <c r="JF73" i="54"/>
  <c r="JE73" i="54"/>
  <c r="JD73" i="54"/>
  <c r="JC73" i="54"/>
  <c r="JB73" i="54"/>
  <c r="JA73" i="54"/>
  <c r="IZ73" i="54"/>
  <c r="IY73" i="54"/>
  <c r="IX73" i="54"/>
  <c r="IW73" i="54"/>
  <c r="IV73" i="54"/>
  <c r="IU73" i="54"/>
  <c r="IT73" i="54"/>
  <c r="IS73" i="54"/>
  <c r="IR73" i="54"/>
  <c r="IQ73" i="54"/>
  <c r="IP73" i="54"/>
  <c r="IO73" i="54"/>
  <c r="IN73" i="54"/>
  <c r="IM73" i="54"/>
  <c r="IL73" i="54"/>
  <c r="IK73" i="54"/>
  <c r="IJ73" i="54"/>
  <c r="II73" i="54"/>
  <c r="IH73" i="54"/>
  <c r="IG73" i="54"/>
  <c r="IF73" i="54"/>
  <c r="IE73" i="54"/>
  <c r="ID73" i="54"/>
  <c r="IC73" i="54"/>
  <c r="IB73" i="54"/>
  <c r="IA73" i="54"/>
  <c r="HZ73" i="54"/>
  <c r="HY73" i="54"/>
  <c r="HX73" i="54"/>
  <c r="HW73" i="54"/>
  <c r="HV73" i="54"/>
  <c r="HU73" i="54"/>
  <c r="HT73" i="54"/>
  <c r="HS73" i="54"/>
  <c r="HR73" i="54"/>
  <c r="HQ73" i="54"/>
  <c r="HP73" i="54"/>
  <c r="HO73" i="54"/>
  <c r="HN73" i="54"/>
  <c r="HM73" i="54"/>
  <c r="HL73" i="54"/>
  <c r="HK73" i="54"/>
  <c r="HJ73" i="54"/>
  <c r="HI73" i="54"/>
  <c r="HH73" i="54"/>
  <c r="HG73" i="54"/>
  <c r="HF73" i="54"/>
  <c r="HE73" i="54"/>
  <c r="HD73" i="54"/>
  <c r="HC73" i="54"/>
  <c r="HB73" i="54"/>
  <c r="HA73" i="54"/>
  <c r="GZ73" i="54"/>
  <c r="GY73" i="54"/>
  <c r="GX73" i="54"/>
  <c r="GW73" i="54"/>
  <c r="GV73" i="54"/>
  <c r="GU73" i="54"/>
  <c r="GT73" i="54"/>
  <c r="GS73" i="54"/>
  <c r="GR73" i="54"/>
  <c r="GQ73" i="54"/>
  <c r="GP73" i="54"/>
  <c r="GO73" i="54"/>
  <c r="GN73" i="54"/>
  <c r="GM73" i="54"/>
  <c r="GL73" i="54"/>
  <c r="GK73" i="54"/>
  <c r="GJ73" i="54"/>
  <c r="GI73" i="54"/>
  <c r="GH73" i="54"/>
  <c r="GG73" i="54"/>
  <c r="GF73" i="54"/>
  <c r="GE73" i="54"/>
  <c r="GD73" i="54"/>
  <c r="GC73" i="54"/>
  <c r="GB73" i="54"/>
  <c r="GA73" i="54"/>
  <c r="FZ73" i="54"/>
  <c r="FY73" i="54"/>
  <c r="FX73" i="54"/>
  <c r="FW73" i="54"/>
  <c r="FV73" i="54"/>
  <c r="FU73" i="54"/>
  <c r="FT73" i="54"/>
  <c r="BE73" i="54"/>
  <c r="G73" i="56" s="1"/>
  <c r="AD73" i="54"/>
  <c r="AA73" i="54"/>
  <c r="Z73" i="54"/>
  <c r="Y73" i="54"/>
  <c r="X73" i="54"/>
  <c r="W73" i="54"/>
  <c r="V73" i="54"/>
  <c r="U73" i="54"/>
  <c r="T73" i="54"/>
  <c r="S73" i="54"/>
  <c r="R73" i="54"/>
  <c r="Q73" i="54"/>
  <c r="P73" i="54"/>
  <c r="O73" i="54"/>
  <c r="N73" i="54"/>
  <c r="M73" i="54"/>
  <c r="L73" i="54"/>
  <c r="BL73" i="54" s="1"/>
  <c r="N73" i="56" s="1"/>
  <c r="K73" i="54"/>
  <c r="BA73" i="54" s="1"/>
  <c r="J73" i="54"/>
  <c r="BJ73" i="54" s="1"/>
  <c r="L73" i="56" s="1"/>
  <c r="I73" i="54"/>
  <c r="H73" i="54"/>
  <c r="AX73" i="54" s="1"/>
  <c r="G73" i="54"/>
  <c r="AW73" i="54" s="1"/>
  <c r="F73" i="54"/>
  <c r="BP73" i="54" s="1"/>
  <c r="R73" i="56" s="1"/>
  <c r="E73" i="54"/>
  <c r="AU73" i="54" s="1"/>
  <c r="D73" i="54"/>
  <c r="BD73" i="54" s="1"/>
  <c r="F73" i="56" s="1"/>
  <c r="C73" i="54"/>
  <c r="BC73" i="54" s="1"/>
  <c r="E73" i="56" s="1"/>
  <c r="B73" i="54"/>
  <c r="AG73" i="54" s="1"/>
  <c r="B73" i="56" s="1"/>
  <c r="A73" i="54"/>
  <c r="AF73" i="54" s="1"/>
  <c r="A73" i="56" s="1"/>
  <c r="JO72" i="54"/>
  <c r="JN72" i="54"/>
  <c r="JM72" i="54"/>
  <c r="JL72" i="54"/>
  <c r="JK72" i="54"/>
  <c r="JJ72" i="54"/>
  <c r="JI72" i="54"/>
  <c r="JH72" i="54"/>
  <c r="JG72" i="54"/>
  <c r="JF72" i="54"/>
  <c r="JE72" i="54"/>
  <c r="JD72" i="54"/>
  <c r="JC72" i="54"/>
  <c r="JB72" i="54"/>
  <c r="JA72" i="54"/>
  <c r="IZ72" i="54"/>
  <c r="IY72" i="54"/>
  <c r="IX72" i="54"/>
  <c r="IW72" i="54"/>
  <c r="IV72" i="54"/>
  <c r="IU72" i="54"/>
  <c r="IT72" i="54"/>
  <c r="IS72" i="54"/>
  <c r="IR72" i="54"/>
  <c r="IQ72" i="54"/>
  <c r="IP72" i="54"/>
  <c r="IO72" i="54"/>
  <c r="IN72" i="54"/>
  <c r="IM72" i="54"/>
  <c r="IL72" i="54"/>
  <c r="IK72" i="54"/>
  <c r="IJ72" i="54"/>
  <c r="II72" i="54"/>
  <c r="IH72" i="54"/>
  <c r="IG72" i="54"/>
  <c r="IF72" i="54"/>
  <c r="IE72" i="54"/>
  <c r="ID72" i="54"/>
  <c r="IC72" i="54"/>
  <c r="IB72" i="54"/>
  <c r="IA72" i="54"/>
  <c r="HZ72" i="54"/>
  <c r="HY72" i="54"/>
  <c r="HX72" i="54"/>
  <c r="HW72" i="54"/>
  <c r="HV72" i="54"/>
  <c r="HU72" i="54"/>
  <c r="HT72" i="54"/>
  <c r="HS72" i="54"/>
  <c r="HR72" i="54"/>
  <c r="HQ72" i="54"/>
  <c r="HP72" i="54"/>
  <c r="HO72" i="54"/>
  <c r="HN72" i="54"/>
  <c r="HM72" i="54"/>
  <c r="HL72" i="54"/>
  <c r="HK72" i="54"/>
  <c r="HJ72" i="54"/>
  <c r="HI72" i="54"/>
  <c r="HH72" i="54"/>
  <c r="HG72" i="54"/>
  <c r="HF72" i="54"/>
  <c r="HE72" i="54"/>
  <c r="HD72" i="54"/>
  <c r="HC72" i="54"/>
  <c r="HB72" i="54"/>
  <c r="HA72" i="54"/>
  <c r="GZ72" i="54"/>
  <c r="GY72" i="54"/>
  <c r="GX72" i="54"/>
  <c r="GW72" i="54"/>
  <c r="GV72" i="54"/>
  <c r="GU72" i="54"/>
  <c r="GT72" i="54"/>
  <c r="GS72" i="54"/>
  <c r="GR72" i="54"/>
  <c r="GQ72" i="54"/>
  <c r="GP72" i="54"/>
  <c r="GO72" i="54"/>
  <c r="GN72" i="54"/>
  <c r="GM72" i="54"/>
  <c r="GL72" i="54"/>
  <c r="GK72" i="54"/>
  <c r="GJ72" i="54"/>
  <c r="GI72" i="54"/>
  <c r="GH72" i="54"/>
  <c r="GG72" i="54"/>
  <c r="GF72" i="54"/>
  <c r="GE72" i="54"/>
  <c r="GD72" i="54"/>
  <c r="GC72" i="54"/>
  <c r="GB72" i="54"/>
  <c r="GA72" i="54"/>
  <c r="FZ72" i="54"/>
  <c r="FY72" i="54"/>
  <c r="FX72" i="54"/>
  <c r="FW72" i="54"/>
  <c r="FV72" i="54"/>
  <c r="FU72" i="54"/>
  <c r="FT72" i="54"/>
  <c r="AD72" i="54"/>
  <c r="AA72" i="54"/>
  <c r="Z72" i="54"/>
  <c r="Y72" i="54"/>
  <c r="X72" i="54"/>
  <c r="W72" i="54"/>
  <c r="V72" i="54"/>
  <c r="U72" i="54"/>
  <c r="T72" i="54"/>
  <c r="S72" i="54"/>
  <c r="R72" i="54"/>
  <c r="Q72" i="54"/>
  <c r="P72" i="54"/>
  <c r="O72" i="54"/>
  <c r="N72" i="54"/>
  <c r="M72" i="54"/>
  <c r="L72" i="54"/>
  <c r="BL72" i="54" s="1"/>
  <c r="N72" i="56" s="1"/>
  <c r="K72" i="54"/>
  <c r="J72" i="54"/>
  <c r="BT72" i="54" s="1"/>
  <c r="V72" i="56" s="1"/>
  <c r="I72" i="54"/>
  <c r="AY72" i="54" s="1"/>
  <c r="H72" i="54"/>
  <c r="BH72" i="54" s="1"/>
  <c r="J72" i="56" s="1"/>
  <c r="G72" i="54"/>
  <c r="BQ72" i="54" s="1"/>
  <c r="S72" i="56" s="1"/>
  <c r="F72" i="54"/>
  <c r="AV72" i="54" s="1"/>
  <c r="E72" i="54"/>
  <c r="BE72" i="54" s="1"/>
  <c r="G72" i="56" s="1"/>
  <c r="D72" i="54"/>
  <c r="C72" i="54"/>
  <c r="BC72" i="54" s="1"/>
  <c r="E72" i="56" s="1"/>
  <c r="B72" i="54"/>
  <c r="EO2" i="54" s="1"/>
  <c r="A72" i="54"/>
  <c r="AF72" i="54" s="1"/>
  <c r="A72" i="56" s="1"/>
  <c r="JO71" i="54"/>
  <c r="JN71" i="54"/>
  <c r="JM71" i="54"/>
  <c r="JL71" i="54"/>
  <c r="JK71" i="54"/>
  <c r="JJ71" i="54"/>
  <c r="JI71" i="54"/>
  <c r="JH71" i="54"/>
  <c r="JG71" i="54"/>
  <c r="JF71" i="54"/>
  <c r="JE71" i="54"/>
  <c r="JD71" i="54"/>
  <c r="JC71" i="54"/>
  <c r="JB71" i="54"/>
  <c r="JA71" i="54"/>
  <c r="IZ71" i="54"/>
  <c r="IY71" i="54"/>
  <c r="IX71" i="54"/>
  <c r="IW71" i="54"/>
  <c r="IV71" i="54"/>
  <c r="IU71" i="54"/>
  <c r="IT71" i="54"/>
  <c r="IS71" i="54"/>
  <c r="IR71" i="54"/>
  <c r="IQ71" i="54"/>
  <c r="IP71" i="54"/>
  <c r="IO71" i="54"/>
  <c r="IN71" i="54"/>
  <c r="IM71" i="54"/>
  <c r="IL71" i="54"/>
  <c r="IK71" i="54"/>
  <c r="IJ71" i="54"/>
  <c r="II71" i="54"/>
  <c r="IH71" i="54"/>
  <c r="IG71" i="54"/>
  <c r="IF71" i="54"/>
  <c r="IE71" i="54"/>
  <c r="ID71" i="54"/>
  <c r="IC71" i="54"/>
  <c r="IB71" i="54"/>
  <c r="IA71" i="54"/>
  <c r="HZ71" i="54"/>
  <c r="HY71" i="54"/>
  <c r="HX71" i="54"/>
  <c r="HW71" i="54"/>
  <c r="HV71" i="54"/>
  <c r="HU71" i="54"/>
  <c r="HT71" i="54"/>
  <c r="HS71" i="54"/>
  <c r="HR71" i="54"/>
  <c r="HQ71" i="54"/>
  <c r="HP71" i="54"/>
  <c r="HO71" i="54"/>
  <c r="HN71" i="54"/>
  <c r="HM71" i="54"/>
  <c r="HL71" i="54"/>
  <c r="HK71" i="54"/>
  <c r="HJ71" i="54"/>
  <c r="HI71" i="54"/>
  <c r="HH71" i="54"/>
  <c r="HG71" i="54"/>
  <c r="HF71" i="54"/>
  <c r="HE71" i="54"/>
  <c r="HD71" i="54"/>
  <c r="HC71" i="54"/>
  <c r="HB71" i="54"/>
  <c r="HA71" i="54"/>
  <c r="GZ71" i="54"/>
  <c r="GY71" i="54"/>
  <c r="GX71" i="54"/>
  <c r="GW71" i="54"/>
  <c r="GV71" i="54"/>
  <c r="GU71" i="54"/>
  <c r="GT71" i="54"/>
  <c r="GS71" i="54"/>
  <c r="GR71" i="54"/>
  <c r="GQ71" i="54"/>
  <c r="GP71" i="54"/>
  <c r="GO71" i="54"/>
  <c r="GN71" i="54"/>
  <c r="GM71" i="54"/>
  <c r="GL71" i="54"/>
  <c r="GK71" i="54"/>
  <c r="GJ71" i="54"/>
  <c r="GI71" i="54"/>
  <c r="GH71" i="54"/>
  <c r="GG71" i="54"/>
  <c r="GF71" i="54"/>
  <c r="GE71" i="54"/>
  <c r="GD71" i="54"/>
  <c r="GC71" i="54"/>
  <c r="GB71" i="54"/>
  <c r="GA71" i="54"/>
  <c r="FZ71" i="54"/>
  <c r="FY71" i="54"/>
  <c r="FX71" i="54"/>
  <c r="FW71" i="54"/>
  <c r="FV71" i="54"/>
  <c r="FU71" i="54"/>
  <c r="FT71" i="54"/>
  <c r="BT71" i="54"/>
  <c r="V71" i="56" s="1"/>
  <c r="BK71" i="54"/>
  <c r="M71" i="56" s="1"/>
  <c r="AD71" i="54"/>
  <c r="AA71" i="54"/>
  <c r="Z71" i="54"/>
  <c r="Y71" i="54"/>
  <c r="X71" i="54"/>
  <c r="W71" i="54"/>
  <c r="V71" i="54"/>
  <c r="U71" i="54"/>
  <c r="T71" i="54"/>
  <c r="S71" i="54"/>
  <c r="R71" i="54"/>
  <c r="Q71" i="54"/>
  <c r="P71" i="54"/>
  <c r="O71" i="54"/>
  <c r="N71" i="54"/>
  <c r="M71" i="54"/>
  <c r="L71" i="54"/>
  <c r="BV71" i="54" s="1"/>
  <c r="X71" i="56" s="1"/>
  <c r="K71" i="54"/>
  <c r="BU71" i="54" s="1"/>
  <c r="W71" i="56" s="1"/>
  <c r="J71" i="54"/>
  <c r="I71" i="54"/>
  <c r="AY71" i="54" s="1"/>
  <c r="H71" i="54"/>
  <c r="BR71" i="54" s="1"/>
  <c r="T71" i="56" s="1"/>
  <c r="G71" i="54"/>
  <c r="AW71" i="54" s="1"/>
  <c r="F71" i="54"/>
  <c r="BF71" i="54" s="1"/>
  <c r="H71" i="56" s="1"/>
  <c r="E71" i="54"/>
  <c r="BE71" i="54" s="1"/>
  <c r="G71" i="56" s="1"/>
  <c r="D71" i="54"/>
  <c r="C71" i="54"/>
  <c r="B71" i="54"/>
  <c r="AG71" i="54" s="1"/>
  <c r="B71" i="56" s="1"/>
  <c r="A71" i="54"/>
  <c r="AF71" i="54" s="1"/>
  <c r="A71" i="56" s="1"/>
  <c r="JO70" i="54"/>
  <c r="JN70" i="54"/>
  <c r="JM70" i="54"/>
  <c r="JL70" i="54"/>
  <c r="JK70" i="54"/>
  <c r="JJ70" i="54"/>
  <c r="JI70" i="54"/>
  <c r="JH70" i="54"/>
  <c r="JG70" i="54"/>
  <c r="JF70" i="54"/>
  <c r="JE70" i="54"/>
  <c r="JD70" i="54"/>
  <c r="JC70" i="54"/>
  <c r="JB70" i="54"/>
  <c r="JA70" i="54"/>
  <c r="IZ70" i="54"/>
  <c r="IY70" i="54"/>
  <c r="IX70" i="54"/>
  <c r="IW70" i="54"/>
  <c r="IV70" i="54"/>
  <c r="IU70" i="54"/>
  <c r="IT70" i="54"/>
  <c r="IS70" i="54"/>
  <c r="IR70" i="54"/>
  <c r="IQ70" i="54"/>
  <c r="IP70" i="54"/>
  <c r="IO70" i="54"/>
  <c r="IN70" i="54"/>
  <c r="IM70" i="54"/>
  <c r="IL70" i="54"/>
  <c r="IK70" i="54"/>
  <c r="IJ70" i="54"/>
  <c r="II70" i="54"/>
  <c r="IH70" i="54"/>
  <c r="IG70" i="54"/>
  <c r="IF70" i="54"/>
  <c r="IE70" i="54"/>
  <c r="ID70" i="54"/>
  <c r="IC70" i="54"/>
  <c r="IB70" i="54"/>
  <c r="IA70" i="54"/>
  <c r="HZ70" i="54"/>
  <c r="HY70" i="54"/>
  <c r="HX70" i="54"/>
  <c r="HW70" i="54"/>
  <c r="HV70" i="54"/>
  <c r="HU70" i="54"/>
  <c r="HT70" i="54"/>
  <c r="HS70" i="54"/>
  <c r="HR70" i="54"/>
  <c r="HQ70" i="54"/>
  <c r="HP70" i="54"/>
  <c r="HO70" i="54"/>
  <c r="HN70" i="54"/>
  <c r="HM70" i="54"/>
  <c r="HL70" i="54"/>
  <c r="HK70" i="54"/>
  <c r="HJ70" i="54"/>
  <c r="HI70" i="54"/>
  <c r="HH70" i="54"/>
  <c r="HG70" i="54"/>
  <c r="HF70" i="54"/>
  <c r="HE70" i="54"/>
  <c r="HD70" i="54"/>
  <c r="HC70" i="54"/>
  <c r="HB70" i="54"/>
  <c r="HA70" i="54"/>
  <c r="GZ70" i="54"/>
  <c r="GY70" i="54"/>
  <c r="GX70" i="54"/>
  <c r="GW70" i="54"/>
  <c r="GV70" i="54"/>
  <c r="GU70" i="54"/>
  <c r="GT70" i="54"/>
  <c r="GS70" i="54"/>
  <c r="GR70" i="54"/>
  <c r="GQ70" i="54"/>
  <c r="GP70" i="54"/>
  <c r="GO70" i="54"/>
  <c r="GN70" i="54"/>
  <c r="GM70" i="54"/>
  <c r="GL70" i="54"/>
  <c r="GK70" i="54"/>
  <c r="GJ70" i="54"/>
  <c r="GI70" i="54"/>
  <c r="GH70" i="54"/>
  <c r="GG70" i="54"/>
  <c r="GF70" i="54"/>
  <c r="GE70" i="54"/>
  <c r="GD70" i="54"/>
  <c r="GC70" i="54"/>
  <c r="GB70" i="54"/>
  <c r="GA70" i="54"/>
  <c r="FZ70" i="54"/>
  <c r="FY70" i="54"/>
  <c r="FX70" i="54"/>
  <c r="FW70" i="54"/>
  <c r="FV70" i="54"/>
  <c r="FU70" i="54"/>
  <c r="FT70" i="54"/>
  <c r="AG70" i="54"/>
  <c r="B70" i="56" s="1"/>
  <c r="AD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BV70" i="54" s="1"/>
  <c r="X70" i="56" s="1"/>
  <c r="K70" i="54"/>
  <c r="BA70" i="54" s="1"/>
  <c r="J70" i="54"/>
  <c r="BT70" i="54" s="1"/>
  <c r="V70" i="56" s="1"/>
  <c r="I70" i="54"/>
  <c r="H70" i="54"/>
  <c r="AX70" i="54" s="1"/>
  <c r="G70" i="54"/>
  <c r="BG70" i="54" s="1"/>
  <c r="I70" i="56" s="1"/>
  <c r="F70" i="54"/>
  <c r="BP70" i="54" s="1"/>
  <c r="R70" i="56" s="1"/>
  <c r="E70" i="54"/>
  <c r="BO70" i="54" s="1"/>
  <c r="Q70" i="56" s="1"/>
  <c r="D70" i="54"/>
  <c r="BD70" i="54" s="1"/>
  <c r="F70" i="56" s="1"/>
  <c r="C70" i="54"/>
  <c r="AS70" i="54" s="1"/>
  <c r="B70" i="54"/>
  <c r="A70" i="54"/>
  <c r="AF70" i="54" s="1"/>
  <c r="A70" i="56" s="1"/>
  <c r="JO69" i="54"/>
  <c r="JN69" i="54"/>
  <c r="JM69" i="54"/>
  <c r="JL69" i="54"/>
  <c r="JK69" i="54"/>
  <c r="JJ69" i="54"/>
  <c r="JI69" i="54"/>
  <c r="JH69" i="54"/>
  <c r="JG69" i="54"/>
  <c r="JF69" i="54"/>
  <c r="JE69" i="54"/>
  <c r="JD69" i="54"/>
  <c r="JC69" i="54"/>
  <c r="JB69" i="54"/>
  <c r="JA69" i="54"/>
  <c r="IZ69" i="54"/>
  <c r="IY69" i="54"/>
  <c r="IX69" i="54"/>
  <c r="IW69" i="54"/>
  <c r="IV69" i="54"/>
  <c r="IU69" i="54"/>
  <c r="IT69" i="54"/>
  <c r="IS69" i="54"/>
  <c r="IR69" i="54"/>
  <c r="IQ69" i="54"/>
  <c r="IP69" i="54"/>
  <c r="IO69" i="54"/>
  <c r="IN69" i="54"/>
  <c r="IM69" i="54"/>
  <c r="IL69" i="54"/>
  <c r="IK69" i="54"/>
  <c r="IJ69" i="54"/>
  <c r="II69" i="54"/>
  <c r="IH69" i="54"/>
  <c r="IG69" i="54"/>
  <c r="IF69" i="54"/>
  <c r="IE69" i="54"/>
  <c r="ID69" i="54"/>
  <c r="IC69" i="54"/>
  <c r="IB69" i="54"/>
  <c r="IA69" i="54"/>
  <c r="HZ69" i="54"/>
  <c r="HY69" i="54"/>
  <c r="HX69" i="54"/>
  <c r="HW69" i="54"/>
  <c r="HV69" i="54"/>
  <c r="HU69" i="54"/>
  <c r="HT69" i="54"/>
  <c r="HS69" i="54"/>
  <c r="HR69" i="54"/>
  <c r="HQ69" i="54"/>
  <c r="HP69" i="54"/>
  <c r="HO69" i="54"/>
  <c r="HN69" i="54"/>
  <c r="HM69" i="54"/>
  <c r="HL69" i="54"/>
  <c r="HK69" i="54"/>
  <c r="HJ69" i="54"/>
  <c r="HI69" i="54"/>
  <c r="HH69" i="54"/>
  <c r="HG69" i="54"/>
  <c r="HF69" i="54"/>
  <c r="HE69" i="54"/>
  <c r="HD69" i="54"/>
  <c r="HC69" i="54"/>
  <c r="HB69" i="54"/>
  <c r="HA69" i="54"/>
  <c r="GZ69" i="54"/>
  <c r="GY69" i="54"/>
  <c r="GX69" i="54"/>
  <c r="GW69" i="54"/>
  <c r="GV69" i="54"/>
  <c r="GU69" i="54"/>
  <c r="GT69" i="54"/>
  <c r="GS69" i="54"/>
  <c r="GR69" i="54"/>
  <c r="GQ69" i="54"/>
  <c r="GP69" i="54"/>
  <c r="GO69" i="54"/>
  <c r="GN69" i="54"/>
  <c r="GM69" i="54"/>
  <c r="GL69" i="54"/>
  <c r="GK69" i="54"/>
  <c r="GJ69" i="54"/>
  <c r="GI69" i="54"/>
  <c r="GH69" i="54"/>
  <c r="GG69" i="54"/>
  <c r="GF69" i="54"/>
  <c r="GE69" i="54"/>
  <c r="GD69" i="54"/>
  <c r="GC69" i="54"/>
  <c r="GB69" i="54"/>
  <c r="GA69" i="54"/>
  <c r="FZ69" i="54"/>
  <c r="FY69" i="54"/>
  <c r="FX69" i="54"/>
  <c r="FW69" i="54"/>
  <c r="FV69" i="54"/>
  <c r="FU69" i="54"/>
  <c r="FT69" i="54"/>
  <c r="AD69" i="54"/>
  <c r="AA69" i="54"/>
  <c r="Z69" i="54"/>
  <c r="Y69" i="54"/>
  <c r="X69" i="54"/>
  <c r="W69" i="54"/>
  <c r="V69" i="54"/>
  <c r="U69" i="54"/>
  <c r="T69" i="54"/>
  <c r="S69" i="54"/>
  <c r="R69" i="54"/>
  <c r="Q69" i="54"/>
  <c r="P69" i="54"/>
  <c r="O69" i="54"/>
  <c r="N69" i="54"/>
  <c r="M69" i="54"/>
  <c r="L69" i="54"/>
  <c r="BB69" i="54" s="1"/>
  <c r="K69" i="54"/>
  <c r="BU69" i="54" s="1"/>
  <c r="W69" i="56" s="1"/>
  <c r="J69" i="54"/>
  <c r="I69" i="54"/>
  <c r="AY69" i="54" s="1"/>
  <c r="H69" i="54"/>
  <c r="BH69" i="54" s="1"/>
  <c r="J69" i="56" s="1"/>
  <c r="G69" i="54"/>
  <c r="BG69" i="54" s="1"/>
  <c r="I69" i="56" s="1"/>
  <c r="F69" i="54"/>
  <c r="BP69" i="54" s="1"/>
  <c r="R69" i="56" s="1"/>
  <c r="E69" i="54"/>
  <c r="BO69" i="54" s="1"/>
  <c r="Q69" i="56" s="1"/>
  <c r="D69" i="54"/>
  <c r="AT69" i="54" s="1"/>
  <c r="C69" i="54"/>
  <c r="BC69" i="54" s="1"/>
  <c r="E69" i="56" s="1"/>
  <c r="B69" i="54"/>
  <c r="AG69" i="54" s="1"/>
  <c r="B69" i="56" s="1"/>
  <c r="A69" i="54"/>
  <c r="AF69" i="54" s="1"/>
  <c r="A69" i="56" s="1"/>
  <c r="JO68" i="54"/>
  <c r="JN68" i="54"/>
  <c r="JM68" i="54"/>
  <c r="JL68" i="54"/>
  <c r="JK68" i="54"/>
  <c r="JJ68" i="54"/>
  <c r="JI68" i="54"/>
  <c r="JH68" i="54"/>
  <c r="JG68" i="54"/>
  <c r="JF68" i="54"/>
  <c r="JE68" i="54"/>
  <c r="JD68" i="54"/>
  <c r="JC68" i="54"/>
  <c r="JB68" i="54"/>
  <c r="JA68" i="54"/>
  <c r="IZ68" i="54"/>
  <c r="IY68" i="54"/>
  <c r="IX68" i="54"/>
  <c r="IW68" i="54"/>
  <c r="IV68" i="54"/>
  <c r="IU68" i="54"/>
  <c r="IT68" i="54"/>
  <c r="IS68" i="54"/>
  <c r="IR68" i="54"/>
  <c r="IQ68" i="54"/>
  <c r="IP68" i="54"/>
  <c r="IO68" i="54"/>
  <c r="IN68" i="54"/>
  <c r="IM68" i="54"/>
  <c r="IL68" i="54"/>
  <c r="IK68" i="54"/>
  <c r="IJ68" i="54"/>
  <c r="II68" i="54"/>
  <c r="IH68" i="54"/>
  <c r="IG68" i="54"/>
  <c r="IF68" i="54"/>
  <c r="IE68" i="54"/>
  <c r="ID68" i="54"/>
  <c r="IC68" i="54"/>
  <c r="IB68" i="54"/>
  <c r="IA68" i="54"/>
  <c r="HZ68" i="54"/>
  <c r="HY68" i="54"/>
  <c r="HX68" i="54"/>
  <c r="HW68" i="54"/>
  <c r="HV68" i="54"/>
  <c r="HU68" i="54"/>
  <c r="HT68" i="54"/>
  <c r="HS68" i="54"/>
  <c r="HR68" i="54"/>
  <c r="HQ68" i="54"/>
  <c r="HP68" i="54"/>
  <c r="HO68" i="54"/>
  <c r="HN68" i="54"/>
  <c r="HM68" i="54"/>
  <c r="HL68" i="54"/>
  <c r="HK68" i="54"/>
  <c r="HJ68" i="54"/>
  <c r="HI68" i="54"/>
  <c r="HH68" i="54"/>
  <c r="HG68" i="54"/>
  <c r="HF68" i="54"/>
  <c r="HE68" i="54"/>
  <c r="HD68" i="54"/>
  <c r="HC68" i="54"/>
  <c r="HB68" i="54"/>
  <c r="HA68" i="54"/>
  <c r="GZ68" i="54"/>
  <c r="GY68" i="54"/>
  <c r="GX68" i="54"/>
  <c r="GW68" i="54"/>
  <c r="GV68" i="54"/>
  <c r="GU68" i="54"/>
  <c r="GT68" i="54"/>
  <c r="GS68" i="54"/>
  <c r="GR68" i="54"/>
  <c r="GQ68" i="54"/>
  <c r="GP68" i="54"/>
  <c r="GO68" i="54"/>
  <c r="GN68" i="54"/>
  <c r="GM68" i="54"/>
  <c r="GL68" i="54"/>
  <c r="GK68" i="54"/>
  <c r="GJ68" i="54"/>
  <c r="GI68" i="54"/>
  <c r="GH68" i="54"/>
  <c r="GG68" i="54"/>
  <c r="GF68" i="54"/>
  <c r="GE68" i="54"/>
  <c r="GD68" i="54"/>
  <c r="GC68" i="54"/>
  <c r="GB68" i="54"/>
  <c r="GA68" i="54"/>
  <c r="FZ68" i="54"/>
  <c r="FY68" i="54"/>
  <c r="FX68" i="54"/>
  <c r="FW68" i="54"/>
  <c r="FV68" i="54"/>
  <c r="FU68" i="54"/>
  <c r="FT68" i="54"/>
  <c r="AD68" i="54"/>
  <c r="AA68" i="54"/>
  <c r="Z68" i="54"/>
  <c r="Y68" i="54"/>
  <c r="X68" i="54"/>
  <c r="W68" i="54"/>
  <c r="V68" i="54"/>
  <c r="U68" i="54"/>
  <c r="T68" i="54"/>
  <c r="S68" i="54"/>
  <c r="R68" i="54"/>
  <c r="Q68" i="54"/>
  <c r="P68" i="54"/>
  <c r="O68" i="54"/>
  <c r="N68" i="54"/>
  <c r="M68" i="54"/>
  <c r="L68" i="54"/>
  <c r="BV68" i="54" s="1"/>
  <c r="X68" i="56" s="1"/>
  <c r="K68" i="54"/>
  <c r="J68" i="54"/>
  <c r="BT68" i="54" s="1"/>
  <c r="V68" i="56" s="1"/>
  <c r="I68" i="54"/>
  <c r="AY68" i="54" s="1"/>
  <c r="H68" i="54"/>
  <c r="G68" i="54"/>
  <c r="BQ68" i="54" s="1"/>
  <c r="S68" i="56" s="1"/>
  <c r="F68" i="54"/>
  <c r="AV68" i="54" s="1"/>
  <c r="E68" i="54"/>
  <c r="BO68" i="54" s="1"/>
  <c r="Q68" i="56" s="1"/>
  <c r="D68" i="54"/>
  <c r="BN68" i="54" s="1"/>
  <c r="P68" i="56" s="1"/>
  <c r="C68" i="54"/>
  <c r="AS68" i="54" s="1"/>
  <c r="B68" i="54"/>
  <c r="AG68" i="54" s="1"/>
  <c r="B68" i="56" s="1"/>
  <c r="A68" i="54"/>
  <c r="AF68" i="54" s="1"/>
  <c r="A68" i="56" s="1"/>
  <c r="JO67" i="54"/>
  <c r="JN67" i="54"/>
  <c r="JM67" i="54"/>
  <c r="JL67" i="54"/>
  <c r="JK67" i="54"/>
  <c r="JJ67" i="54"/>
  <c r="JI67" i="54"/>
  <c r="JH67" i="54"/>
  <c r="JG67" i="54"/>
  <c r="JF67" i="54"/>
  <c r="JE67" i="54"/>
  <c r="JD67" i="54"/>
  <c r="JC67" i="54"/>
  <c r="JB67" i="54"/>
  <c r="JA67" i="54"/>
  <c r="IZ67" i="54"/>
  <c r="IY67" i="54"/>
  <c r="IX67" i="54"/>
  <c r="IW67" i="54"/>
  <c r="IV67" i="54"/>
  <c r="IU67" i="54"/>
  <c r="IT67" i="54"/>
  <c r="IS67" i="54"/>
  <c r="IR67" i="54"/>
  <c r="IQ67" i="54"/>
  <c r="IP67" i="54"/>
  <c r="IO67" i="54"/>
  <c r="IN67" i="54"/>
  <c r="IM67" i="54"/>
  <c r="IL67" i="54"/>
  <c r="IK67" i="54"/>
  <c r="IJ67" i="54"/>
  <c r="II67" i="54"/>
  <c r="IH67" i="54"/>
  <c r="IG67" i="54"/>
  <c r="IF67" i="54"/>
  <c r="IE67" i="54"/>
  <c r="ID67" i="54"/>
  <c r="IC67" i="54"/>
  <c r="IB67" i="54"/>
  <c r="IA67" i="54"/>
  <c r="HZ67" i="54"/>
  <c r="HY67" i="54"/>
  <c r="HX67" i="54"/>
  <c r="HW67" i="54"/>
  <c r="HV67" i="54"/>
  <c r="HU67" i="54"/>
  <c r="HT67" i="54"/>
  <c r="HS67" i="54"/>
  <c r="HR67" i="54"/>
  <c r="HQ67" i="54"/>
  <c r="HP67" i="54"/>
  <c r="HO67" i="54"/>
  <c r="HN67" i="54"/>
  <c r="HM67" i="54"/>
  <c r="HL67" i="54"/>
  <c r="HK67" i="54"/>
  <c r="HJ67" i="54"/>
  <c r="HI67" i="54"/>
  <c r="HH67" i="54"/>
  <c r="HG67" i="54"/>
  <c r="HF67" i="54"/>
  <c r="HE67" i="54"/>
  <c r="HD67" i="54"/>
  <c r="HC67" i="54"/>
  <c r="HB67" i="54"/>
  <c r="HA67" i="54"/>
  <c r="GZ67" i="54"/>
  <c r="GY67" i="54"/>
  <c r="GX67" i="54"/>
  <c r="GW67" i="54"/>
  <c r="GV67" i="54"/>
  <c r="GU67" i="54"/>
  <c r="GT67" i="54"/>
  <c r="GS67" i="54"/>
  <c r="GR67" i="54"/>
  <c r="GQ67" i="54"/>
  <c r="GP67" i="54"/>
  <c r="GO67" i="54"/>
  <c r="GN67" i="54"/>
  <c r="GM67" i="54"/>
  <c r="GL67" i="54"/>
  <c r="GK67" i="54"/>
  <c r="GJ67" i="54"/>
  <c r="GI67" i="54"/>
  <c r="GH67" i="54"/>
  <c r="GG67" i="54"/>
  <c r="GF67" i="54"/>
  <c r="GE67" i="54"/>
  <c r="GD67" i="54"/>
  <c r="GC67" i="54"/>
  <c r="GB67" i="54"/>
  <c r="GA67" i="54"/>
  <c r="FZ67" i="54"/>
  <c r="FY67" i="54"/>
  <c r="FX67" i="54"/>
  <c r="FW67" i="54"/>
  <c r="FV67" i="54"/>
  <c r="FU67" i="54"/>
  <c r="FT67" i="54"/>
  <c r="AD67" i="54"/>
  <c r="AA67" i="54"/>
  <c r="Z67" i="54"/>
  <c r="Y67" i="54"/>
  <c r="X67" i="54"/>
  <c r="W67" i="54"/>
  <c r="V67" i="54"/>
  <c r="U67" i="54"/>
  <c r="T67" i="54"/>
  <c r="S67" i="54"/>
  <c r="R67" i="54"/>
  <c r="Q67" i="54"/>
  <c r="P67" i="54"/>
  <c r="O67" i="54"/>
  <c r="N67" i="54"/>
  <c r="M67" i="54"/>
  <c r="L67" i="54"/>
  <c r="BL67" i="54" s="1"/>
  <c r="N67" i="56" s="1"/>
  <c r="K67" i="54"/>
  <c r="BU67" i="54" s="1"/>
  <c r="W67" i="56" s="1"/>
  <c r="J67" i="54"/>
  <c r="BT67" i="54" s="1"/>
  <c r="V67" i="56" s="1"/>
  <c r="I67" i="54"/>
  <c r="BS67" i="54" s="1"/>
  <c r="U67" i="56" s="1"/>
  <c r="H67" i="54"/>
  <c r="BR67" i="54" s="1"/>
  <c r="T67" i="56" s="1"/>
  <c r="G67" i="54"/>
  <c r="AW67" i="54" s="1"/>
  <c r="F67" i="54"/>
  <c r="E67" i="54"/>
  <c r="BE67" i="54" s="1"/>
  <c r="G67" i="56" s="1"/>
  <c r="D67" i="54"/>
  <c r="BD67" i="54" s="1"/>
  <c r="F67" i="56" s="1"/>
  <c r="C67" i="54"/>
  <c r="B67" i="54"/>
  <c r="AG67" i="54" s="1"/>
  <c r="B67" i="56" s="1"/>
  <c r="A67" i="54"/>
  <c r="AF67" i="54" s="1"/>
  <c r="A67" i="56" s="1"/>
  <c r="JO66" i="54"/>
  <c r="JN66" i="54"/>
  <c r="JM66" i="54"/>
  <c r="JL66" i="54"/>
  <c r="JK66" i="54"/>
  <c r="JJ66" i="54"/>
  <c r="JI66" i="54"/>
  <c r="JH66" i="54"/>
  <c r="JG66" i="54"/>
  <c r="JF66" i="54"/>
  <c r="JE66" i="54"/>
  <c r="JD66" i="54"/>
  <c r="JC66" i="54"/>
  <c r="JB66" i="54"/>
  <c r="JA66" i="54"/>
  <c r="IZ66" i="54"/>
  <c r="IY66" i="54"/>
  <c r="IX66" i="54"/>
  <c r="IW66" i="54"/>
  <c r="IV66" i="54"/>
  <c r="IU66" i="54"/>
  <c r="IT66" i="54"/>
  <c r="IS66" i="54"/>
  <c r="IR66" i="54"/>
  <c r="IQ66" i="54"/>
  <c r="IP66" i="54"/>
  <c r="IO66" i="54"/>
  <c r="IN66" i="54"/>
  <c r="IM66" i="54"/>
  <c r="IL66" i="54"/>
  <c r="IK66" i="54"/>
  <c r="IJ66" i="54"/>
  <c r="II66" i="54"/>
  <c r="IH66" i="54"/>
  <c r="IG66" i="54"/>
  <c r="IF66" i="54"/>
  <c r="IE66" i="54"/>
  <c r="ID66" i="54"/>
  <c r="IC66" i="54"/>
  <c r="IB66" i="54"/>
  <c r="IA66" i="54"/>
  <c r="HZ66" i="54"/>
  <c r="HY66" i="54"/>
  <c r="HX66" i="54"/>
  <c r="HW66" i="54"/>
  <c r="HV66" i="54"/>
  <c r="HU66" i="54"/>
  <c r="HT66" i="54"/>
  <c r="HS66" i="54"/>
  <c r="HR66" i="54"/>
  <c r="HQ66" i="54"/>
  <c r="HP66" i="54"/>
  <c r="HO66" i="54"/>
  <c r="HN66" i="54"/>
  <c r="HM66" i="54"/>
  <c r="HL66" i="54"/>
  <c r="HK66" i="54"/>
  <c r="HJ66" i="54"/>
  <c r="HI66" i="54"/>
  <c r="HH66" i="54"/>
  <c r="HG66" i="54"/>
  <c r="HF66" i="54"/>
  <c r="HE66" i="54"/>
  <c r="HD66" i="54"/>
  <c r="HC66" i="54"/>
  <c r="HB66" i="54"/>
  <c r="HA66" i="54"/>
  <c r="GZ66" i="54"/>
  <c r="GY66" i="54"/>
  <c r="GX66" i="54"/>
  <c r="GW66" i="54"/>
  <c r="GV66" i="54"/>
  <c r="GU66" i="54"/>
  <c r="GT66" i="54"/>
  <c r="GS66" i="54"/>
  <c r="GR66" i="54"/>
  <c r="GQ66" i="54"/>
  <c r="GP66" i="54"/>
  <c r="GO66" i="54"/>
  <c r="GN66" i="54"/>
  <c r="GM66" i="54"/>
  <c r="GL66" i="54"/>
  <c r="GK66" i="54"/>
  <c r="GJ66" i="54"/>
  <c r="GI66" i="54"/>
  <c r="GH66" i="54"/>
  <c r="GG66" i="54"/>
  <c r="GF66" i="54"/>
  <c r="GE66" i="54"/>
  <c r="GD66" i="54"/>
  <c r="GC66" i="54"/>
  <c r="GB66" i="54"/>
  <c r="GA66" i="54"/>
  <c r="FZ66" i="54"/>
  <c r="FY66" i="54"/>
  <c r="FX66" i="54"/>
  <c r="FW66" i="54"/>
  <c r="FV66" i="54"/>
  <c r="FU66" i="54"/>
  <c r="FT66" i="54"/>
  <c r="BL66" i="54"/>
  <c r="N66" i="56" s="1"/>
  <c r="AD66" i="54"/>
  <c r="AA66" i="54"/>
  <c r="Z66" i="54"/>
  <c r="Y66" i="54"/>
  <c r="X66" i="54"/>
  <c r="W66" i="54"/>
  <c r="V66" i="54"/>
  <c r="U66" i="54"/>
  <c r="T66" i="54"/>
  <c r="S66" i="54"/>
  <c r="R66" i="54"/>
  <c r="Q66" i="54"/>
  <c r="P66" i="54"/>
  <c r="O66" i="54"/>
  <c r="N66" i="54"/>
  <c r="M66" i="54"/>
  <c r="L66" i="54"/>
  <c r="BV66" i="54" s="1"/>
  <c r="X66" i="56" s="1"/>
  <c r="K66" i="54"/>
  <c r="BU66" i="54" s="1"/>
  <c r="W66" i="56" s="1"/>
  <c r="J66" i="54"/>
  <c r="BT66" i="54" s="1"/>
  <c r="V66" i="56" s="1"/>
  <c r="I66" i="54"/>
  <c r="BS66" i="54" s="1"/>
  <c r="U66" i="56" s="1"/>
  <c r="H66" i="54"/>
  <c r="G66" i="54"/>
  <c r="BQ66" i="54" s="1"/>
  <c r="S66" i="56" s="1"/>
  <c r="F66" i="54"/>
  <c r="AV66" i="54" s="1"/>
  <c r="E66" i="54"/>
  <c r="BE66" i="54" s="1"/>
  <c r="G66" i="56" s="1"/>
  <c r="D66" i="54"/>
  <c r="BN66" i="54" s="1"/>
  <c r="P66" i="56" s="1"/>
  <c r="C66" i="54"/>
  <c r="BM66" i="54" s="1"/>
  <c r="O66" i="56" s="1"/>
  <c r="B66" i="54"/>
  <c r="AG66" i="54" s="1"/>
  <c r="B66" i="56" s="1"/>
  <c r="A66" i="54"/>
  <c r="AF66" i="54" s="1"/>
  <c r="A66" i="56" s="1"/>
  <c r="JO65" i="54"/>
  <c r="JN65" i="54"/>
  <c r="JM65" i="54"/>
  <c r="JL65" i="54"/>
  <c r="JK65" i="54"/>
  <c r="JJ65" i="54"/>
  <c r="JI65" i="54"/>
  <c r="JH65" i="54"/>
  <c r="JG65" i="54"/>
  <c r="JF65" i="54"/>
  <c r="JE65" i="54"/>
  <c r="JD65" i="54"/>
  <c r="JC65" i="54"/>
  <c r="JB65" i="54"/>
  <c r="JA65" i="54"/>
  <c r="IZ65" i="54"/>
  <c r="IY65" i="54"/>
  <c r="IX65" i="54"/>
  <c r="IW65" i="54"/>
  <c r="IV65" i="54"/>
  <c r="IU65" i="54"/>
  <c r="IT65" i="54"/>
  <c r="IS65" i="54"/>
  <c r="IR65" i="54"/>
  <c r="IQ65" i="54"/>
  <c r="IP65" i="54"/>
  <c r="IO65" i="54"/>
  <c r="IN65" i="54"/>
  <c r="IM65" i="54"/>
  <c r="IL65" i="54"/>
  <c r="IK65" i="54"/>
  <c r="IJ65" i="54"/>
  <c r="II65" i="54"/>
  <c r="IH65" i="54"/>
  <c r="IG65" i="54"/>
  <c r="IF65" i="54"/>
  <c r="IE65" i="54"/>
  <c r="ID65" i="54"/>
  <c r="IC65" i="54"/>
  <c r="IB65" i="54"/>
  <c r="IA65" i="54"/>
  <c r="HZ65" i="54"/>
  <c r="HY65" i="54"/>
  <c r="HX65" i="54"/>
  <c r="HW65" i="54"/>
  <c r="HV65" i="54"/>
  <c r="HU65" i="54"/>
  <c r="HT65" i="54"/>
  <c r="HS65" i="54"/>
  <c r="HR65" i="54"/>
  <c r="HQ65" i="54"/>
  <c r="HP65" i="54"/>
  <c r="HO65" i="54"/>
  <c r="HN65" i="54"/>
  <c r="HM65" i="54"/>
  <c r="HL65" i="54"/>
  <c r="HK65" i="54"/>
  <c r="HJ65" i="54"/>
  <c r="HI65" i="54"/>
  <c r="HH65" i="54"/>
  <c r="HG65" i="54"/>
  <c r="HF65" i="54"/>
  <c r="HE65" i="54"/>
  <c r="HD65" i="54"/>
  <c r="HC65" i="54"/>
  <c r="HB65" i="54"/>
  <c r="HA65" i="54"/>
  <c r="GZ65" i="54"/>
  <c r="GY65" i="54"/>
  <c r="GX65" i="54"/>
  <c r="GW65" i="54"/>
  <c r="GV65" i="54"/>
  <c r="GU65" i="54"/>
  <c r="GT65" i="54"/>
  <c r="GS65" i="54"/>
  <c r="GR65" i="54"/>
  <c r="GQ65" i="54"/>
  <c r="GP65" i="54"/>
  <c r="GO65" i="54"/>
  <c r="GN65" i="54"/>
  <c r="GM65" i="54"/>
  <c r="GL65" i="54"/>
  <c r="GK65" i="54"/>
  <c r="GJ65" i="54"/>
  <c r="GI65" i="54"/>
  <c r="GH65" i="54"/>
  <c r="GG65" i="54"/>
  <c r="GF65" i="54"/>
  <c r="GE65" i="54"/>
  <c r="GD65" i="54"/>
  <c r="GC65" i="54"/>
  <c r="GB65" i="54"/>
  <c r="GA65" i="54"/>
  <c r="FZ65" i="54"/>
  <c r="FY65" i="54"/>
  <c r="FX65" i="54"/>
  <c r="FW65" i="54"/>
  <c r="FV65" i="54"/>
  <c r="FU65" i="54"/>
  <c r="FT65" i="54"/>
  <c r="AD65" i="54"/>
  <c r="AA65" i="54"/>
  <c r="Z65" i="54"/>
  <c r="Y65" i="54"/>
  <c r="X65" i="54"/>
  <c r="W65" i="54"/>
  <c r="V65" i="54"/>
  <c r="U65" i="54"/>
  <c r="T65" i="54"/>
  <c r="S65" i="54"/>
  <c r="R65" i="54"/>
  <c r="Q65" i="54"/>
  <c r="P65" i="54"/>
  <c r="O65" i="54"/>
  <c r="N65" i="54"/>
  <c r="M65" i="54"/>
  <c r="L65" i="54"/>
  <c r="BV65" i="54" s="1"/>
  <c r="X65" i="56" s="1"/>
  <c r="K65" i="54"/>
  <c r="BK65" i="54" s="1"/>
  <c r="M65" i="56" s="1"/>
  <c r="J65" i="54"/>
  <c r="BT65" i="54" s="1"/>
  <c r="V65" i="56" s="1"/>
  <c r="I65" i="54"/>
  <c r="AY65" i="54" s="1"/>
  <c r="H65" i="54"/>
  <c r="AX65" i="54" s="1"/>
  <c r="G65" i="54"/>
  <c r="BG65" i="54" s="1"/>
  <c r="I65" i="56" s="1"/>
  <c r="F65" i="54"/>
  <c r="BP65" i="54" s="1"/>
  <c r="R65" i="56" s="1"/>
  <c r="E65" i="54"/>
  <c r="BO65" i="54" s="1"/>
  <c r="Q65" i="56" s="1"/>
  <c r="D65" i="54"/>
  <c r="BN65" i="54" s="1"/>
  <c r="P65" i="56" s="1"/>
  <c r="C65" i="54"/>
  <c r="BC65" i="54" s="1"/>
  <c r="E65" i="56" s="1"/>
  <c r="B65" i="54"/>
  <c r="EH2" i="54" s="1"/>
  <c r="A65" i="54"/>
  <c r="AF65" i="54" s="1"/>
  <c r="A65" i="56" s="1"/>
  <c r="JO64" i="54"/>
  <c r="JN64" i="54"/>
  <c r="JM64" i="54"/>
  <c r="JL64" i="54"/>
  <c r="JK64" i="54"/>
  <c r="JJ64" i="54"/>
  <c r="JI64" i="54"/>
  <c r="JH64" i="54"/>
  <c r="JG64" i="54"/>
  <c r="JF64" i="54"/>
  <c r="JE64" i="54"/>
  <c r="JD64" i="54"/>
  <c r="JC64" i="54"/>
  <c r="JB64" i="54"/>
  <c r="JA64" i="54"/>
  <c r="IZ64" i="54"/>
  <c r="IY64" i="54"/>
  <c r="IX64" i="54"/>
  <c r="IW64" i="54"/>
  <c r="IV64" i="54"/>
  <c r="IU64" i="54"/>
  <c r="IT64" i="54"/>
  <c r="IS64" i="54"/>
  <c r="IR64" i="54"/>
  <c r="IQ64" i="54"/>
  <c r="IP64" i="54"/>
  <c r="IO64" i="54"/>
  <c r="IN64" i="54"/>
  <c r="IM64" i="54"/>
  <c r="IL64" i="54"/>
  <c r="IK64" i="54"/>
  <c r="IJ64" i="54"/>
  <c r="II64" i="54"/>
  <c r="IH64" i="54"/>
  <c r="IG64" i="54"/>
  <c r="IF64" i="54"/>
  <c r="IE64" i="54"/>
  <c r="ID64" i="54"/>
  <c r="IC64" i="54"/>
  <c r="IB64" i="54"/>
  <c r="IA64" i="54"/>
  <c r="HZ64" i="54"/>
  <c r="HY64" i="54"/>
  <c r="HX64" i="54"/>
  <c r="HW64" i="54"/>
  <c r="HV64" i="54"/>
  <c r="HU64" i="54"/>
  <c r="HT64" i="54"/>
  <c r="HS64" i="54"/>
  <c r="HR64" i="54"/>
  <c r="HQ64" i="54"/>
  <c r="HP64" i="54"/>
  <c r="HO64" i="54"/>
  <c r="HN64" i="54"/>
  <c r="HM64" i="54"/>
  <c r="HL64" i="54"/>
  <c r="HK64" i="54"/>
  <c r="HJ64" i="54"/>
  <c r="HI64" i="54"/>
  <c r="HH64" i="54"/>
  <c r="HG64" i="54"/>
  <c r="HF64" i="54"/>
  <c r="HE64" i="54"/>
  <c r="HD64" i="54"/>
  <c r="HC64" i="54"/>
  <c r="HB64" i="54"/>
  <c r="HA64" i="54"/>
  <c r="GZ64" i="54"/>
  <c r="GY64" i="54"/>
  <c r="GX64" i="54"/>
  <c r="GW64" i="54"/>
  <c r="GV64" i="54"/>
  <c r="GU64" i="54"/>
  <c r="GT64" i="54"/>
  <c r="GS64" i="54"/>
  <c r="GR64" i="54"/>
  <c r="GQ64" i="54"/>
  <c r="GP64" i="54"/>
  <c r="GO64" i="54"/>
  <c r="GN64" i="54"/>
  <c r="GM64" i="54"/>
  <c r="GL64" i="54"/>
  <c r="GK64" i="54"/>
  <c r="GJ64" i="54"/>
  <c r="GI64" i="54"/>
  <c r="GH64" i="54"/>
  <c r="GG64" i="54"/>
  <c r="GF64" i="54"/>
  <c r="GE64" i="54"/>
  <c r="GD64" i="54"/>
  <c r="GC64" i="54"/>
  <c r="GB64" i="54"/>
  <c r="GA64" i="54"/>
  <c r="FZ64" i="54"/>
  <c r="FY64" i="54"/>
  <c r="FX64" i="54"/>
  <c r="FW64" i="54"/>
  <c r="FV64" i="54"/>
  <c r="FU64" i="54"/>
  <c r="FT64" i="54"/>
  <c r="AD64" i="54"/>
  <c r="AA64" i="54"/>
  <c r="Z64" i="54"/>
  <c r="Y64" i="54"/>
  <c r="X64" i="54"/>
  <c r="W64" i="54"/>
  <c r="V64" i="54"/>
  <c r="U64" i="54"/>
  <c r="T64" i="54"/>
  <c r="S64" i="54"/>
  <c r="R64" i="54"/>
  <c r="Q64" i="54"/>
  <c r="P64" i="54"/>
  <c r="O64" i="54"/>
  <c r="N64" i="54"/>
  <c r="M64" i="54"/>
  <c r="L64" i="54"/>
  <c r="BL64" i="54" s="1"/>
  <c r="N64" i="56" s="1"/>
  <c r="K64" i="54"/>
  <c r="BU64" i="54" s="1"/>
  <c r="W64" i="56" s="1"/>
  <c r="J64" i="54"/>
  <c r="AZ64" i="54" s="1"/>
  <c r="I64" i="54"/>
  <c r="BI64" i="54" s="1"/>
  <c r="K64" i="56" s="1"/>
  <c r="H64" i="54"/>
  <c r="G64" i="54"/>
  <c r="BQ64" i="54" s="1"/>
  <c r="S64" i="56" s="1"/>
  <c r="F64" i="54"/>
  <c r="BP64" i="54" s="1"/>
  <c r="R64" i="56" s="1"/>
  <c r="E64" i="54"/>
  <c r="AU64" i="54" s="1"/>
  <c r="D64" i="54"/>
  <c r="C64" i="54"/>
  <c r="B64" i="54"/>
  <c r="AG64" i="54" s="1"/>
  <c r="B64" i="56" s="1"/>
  <c r="A64" i="54"/>
  <c r="AF64" i="54" s="1"/>
  <c r="A64" i="56" s="1"/>
  <c r="JO63" i="54"/>
  <c r="JN63" i="54"/>
  <c r="JM63" i="54"/>
  <c r="JL63" i="54"/>
  <c r="JK63" i="54"/>
  <c r="JJ63" i="54"/>
  <c r="JI63" i="54"/>
  <c r="JH63" i="54"/>
  <c r="JG63" i="54"/>
  <c r="JF63" i="54"/>
  <c r="JE63" i="54"/>
  <c r="JD63" i="54"/>
  <c r="JC63" i="54"/>
  <c r="JB63" i="54"/>
  <c r="JA63" i="54"/>
  <c r="IZ63" i="54"/>
  <c r="IY63" i="54"/>
  <c r="IX63" i="54"/>
  <c r="IW63" i="54"/>
  <c r="IV63" i="54"/>
  <c r="IU63" i="54"/>
  <c r="IT63" i="54"/>
  <c r="IS63" i="54"/>
  <c r="IR63" i="54"/>
  <c r="IQ63" i="54"/>
  <c r="IP63" i="54"/>
  <c r="IO63" i="54"/>
  <c r="IN63" i="54"/>
  <c r="IM63" i="54"/>
  <c r="IL63" i="54"/>
  <c r="IK63" i="54"/>
  <c r="IJ63" i="54"/>
  <c r="II63" i="54"/>
  <c r="IH63" i="54"/>
  <c r="IG63" i="54"/>
  <c r="IF63" i="54"/>
  <c r="IE63" i="54"/>
  <c r="ID63" i="54"/>
  <c r="IC63" i="54"/>
  <c r="IB63" i="54"/>
  <c r="IA63" i="54"/>
  <c r="HZ63" i="54"/>
  <c r="HY63" i="54"/>
  <c r="HX63" i="54"/>
  <c r="HW63" i="54"/>
  <c r="HV63" i="54"/>
  <c r="HU63" i="54"/>
  <c r="HT63" i="54"/>
  <c r="HS63" i="54"/>
  <c r="HR63" i="54"/>
  <c r="HQ63" i="54"/>
  <c r="HP63" i="54"/>
  <c r="HO63" i="54"/>
  <c r="HN63" i="54"/>
  <c r="HM63" i="54"/>
  <c r="HL63" i="54"/>
  <c r="HK63" i="54"/>
  <c r="HJ63" i="54"/>
  <c r="HI63" i="54"/>
  <c r="HH63" i="54"/>
  <c r="HG63" i="54"/>
  <c r="HF63" i="54"/>
  <c r="HE63" i="54"/>
  <c r="HD63" i="54"/>
  <c r="HC63" i="54"/>
  <c r="HB63" i="54"/>
  <c r="HA63" i="54"/>
  <c r="GZ63" i="54"/>
  <c r="GY63" i="54"/>
  <c r="GX63" i="54"/>
  <c r="GW63" i="54"/>
  <c r="GV63" i="54"/>
  <c r="GU63" i="54"/>
  <c r="GT63" i="54"/>
  <c r="GS63" i="54"/>
  <c r="GR63" i="54"/>
  <c r="GQ63" i="54"/>
  <c r="GP63" i="54"/>
  <c r="GO63" i="54"/>
  <c r="GN63" i="54"/>
  <c r="GM63" i="54"/>
  <c r="GL63" i="54"/>
  <c r="GK63" i="54"/>
  <c r="GJ63" i="54"/>
  <c r="GI63" i="54"/>
  <c r="GH63" i="54"/>
  <c r="GG63" i="54"/>
  <c r="GF63" i="54"/>
  <c r="GE63" i="54"/>
  <c r="GD63" i="54"/>
  <c r="GC63" i="54"/>
  <c r="GB63" i="54"/>
  <c r="GA63" i="54"/>
  <c r="FZ63" i="54"/>
  <c r="FY63" i="54"/>
  <c r="FX63" i="54"/>
  <c r="FW63" i="54"/>
  <c r="FV63" i="54"/>
  <c r="FU63" i="54"/>
  <c r="FT63" i="54"/>
  <c r="AD63" i="54"/>
  <c r="AA63" i="54"/>
  <c r="Z63" i="54"/>
  <c r="Y63" i="54"/>
  <c r="X63" i="54"/>
  <c r="W63" i="54"/>
  <c r="V63" i="54"/>
  <c r="U63" i="54"/>
  <c r="T63" i="54"/>
  <c r="S63" i="54"/>
  <c r="R63" i="54"/>
  <c r="Q63" i="54"/>
  <c r="P63" i="54"/>
  <c r="O63" i="54"/>
  <c r="N63" i="54"/>
  <c r="M63" i="54"/>
  <c r="L63" i="54"/>
  <c r="BV63" i="54" s="1"/>
  <c r="X63" i="56" s="1"/>
  <c r="K63" i="54"/>
  <c r="BA63" i="54" s="1"/>
  <c r="J63" i="54"/>
  <c r="BJ63" i="54" s="1"/>
  <c r="L63" i="56" s="1"/>
  <c r="I63" i="54"/>
  <c r="H63" i="54"/>
  <c r="AX63" i="54" s="1"/>
  <c r="G63" i="54"/>
  <c r="BG63" i="54" s="1"/>
  <c r="I63" i="56" s="1"/>
  <c r="F63" i="54"/>
  <c r="BF63" i="54" s="1"/>
  <c r="H63" i="56" s="1"/>
  <c r="E63" i="54"/>
  <c r="D63" i="54"/>
  <c r="BN63" i="54" s="1"/>
  <c r="P63" i="56" s="1"/>
  <c r="C63" i="54"/>
  <c r="BM63" i="54" s="1"/>
  <c r="O63" i="56" s="1"/>
  <c r="B63" i="54"/>
  <c r="AG63" i="54" s="1"/>
  <c r="B63" i="56" s="1"/>
  <c r="A63" i="54"/>
  <c r="AF63" i="54" s="1"/>
  <c r="A63" i="56" s="1"/>
  <c r="JO62" i="54"/>
  <c r="JN62" i="54"/>
  <c r="JM62" i="54"/>
  <c r="JL62" i="54"/>
  <c r="JK62" i="54"/>
  <c r="JJ62" i="54"/>
  <c r="JI62" i="54"/>
  <c r="JH62" i="54"/>
  <c r="JG62" i="54"/>
  <c r="JF62" i="54"/>
  <c r="JE62" i="54"/>
  <c r="JD62" i="54"/>
  <c r="JC62" i="54"/>
  <c r="JB62" i="54"/>
  <c r="JA62" i="54"/>
  <c r="IZ62" i="54"/>
  <c r="IY62" i="54"/>
  <c r="IX62" i="54"/>
  <c r="IW62" i="54"/>
  <c r="IV62" i="54"/>
  <c r="IU62" i="54"/>
  <c r="IT62" i="54"/>
  <c r="IS62" i="54"/>
  <c r="IR62" i="54"/>
  <c r="IQ62" i="54"/>
  <c r="IP62" i="54"/>
  <c r="IO62" i="54"/>
  <c r="IN62" i="54"/>
  <c r="IM62" i="54"/>
  <c r="IL62" i="54"/>
  <c r="IK62" i="54"/>
  <c r="IJ62" i="54"/>
  <c r="II62" i="54"/>
  <c r="IH62" i="54"/>
  <c r="IG62" i="54"/>
  <c r="IF62" i="54"/>
  <c r="IE62" i="54"/>
  <c r="ID62" i="54"/>
  <c r="IC62" i="54"/>
  <c r="IB62" i="54"/>
  <c r="IA62" i="54"/>
  <c r="HZ62" i="54"/>
  <c r="HY62" i="54"/>
  <c r="HX62" i="54"/>
  <c r="HW62" i="54"/>
  <c r="HV62" i="54"/>
  <c r="HU62" i="54"/>
  <c r="HT62" i="54"/>
  <c r="HS62" i="54"/>
  <c r="HR62" i="54"/>
  <c r="HQ62" i="54"/>
  <c r="HP62" i="54"/>
  <c r="HO62" i="54"/>
  <c r="HN62" i="54"/>
  <c r="HM62" i="54"/>
  <c r="HL62" i="54"/>
  <c r="HK62" i="54"/>
  <c r="HJ62" i="54"/>
  <c r="HI62" i="54"/>
  <c r="HH62" i="54"/>
  <c r="HG62" i="54"/>
  <c r="HF62" i="54"/>
  <c r="HE62" i="54"/>
  <c r="HD62" i="54"/>
  <c r="HC62" i="54"/>
  <c r="HB62" i="54"/>
  <c r="HA62" i="54"/>
  <c r="GZ62" i="54"/>
  <c r="GY62" i="54"/>
  <c r="GX62" i="54"/>
  <c r="GW62" i="54"/>
  <c r="GV62" i="54"/>
  <c r="GU62" i="54"/>
  <c r="GT62" i="54"/>
  <c r="GS62" i="54"/>
  <c r="GR62" i="54"/>
  <c r="GQ62" i="54"/>
  <c r="GP62" i="54"/>
  <c r="GO62" i="54"/>
  <c r="GN62" i="54"/>
  <c r="GM62" i="54"/>
  <c r="GL62" i="54"/>
  <c r="GK62" i="54"/>
  <c r="GJ62" i="54"/>
  <c r="GI62" i="54"/>
  <c r="GH62" i="54"/>
  <c r="GG62" i="54"/>
  <c r="GF62" i="54"/>
  <c r="GE62" i="54"/>
  <c r="GD62" i="54"/>
  <c r="GC62" i="54"/>
  <c r="GB62" i="54"/>
  <c r="GA62" i="54"/>
  <c r="FZ62" i="54"/>
  <c r="FY62" i="54"/>
  <c r="FX62" i="54"/>
  <c r="FW62" i="54"/>
  <c r="FV62" i="54"/>
  <c r="FU62" i="54"/>
  <c r="FT62" i="54"/>
  <c r="BV62" i="54"/>
  <c r="X62" i="56" s="1"/>
  <c r="BA62" i="54"/>
  <c r="AD62" i="54"/>
  <c r="AA62" i="54"/>
  <c r="Z62" i="54"/>
  <c r="Y62" i="54"/>
  <c r="X62" i="54"/>
  <c r="W62" i="54"/>
  <c r="V62" i="54"/>
  <c r="U62" i="54"/>
  <c r="T62" i="54"/>
  <c r="S62" i="54"/>
  <c r="R62" i="54"/>
  <c r="Q62" i="54"/>
  <c r="P62" i="54"/>
  <c r="O62" i="54"/>
  <c r="N62" i="54"/>
  <c r="M62" i="54"/>
  <c r="L62" i="54"/>
  <c r="BL62" i="54" s="1"/>
  <c r="N62" i="56" s="1"/>
  <c r="K62" i="54"/>
  <c r="J62" i="54"/>
  <c r="BJ62" i="54" s="1"/>
  <c r="L62" i="56" s="1"/>
  <c r="I62" i="54"/>
  <c r="H62" i="54"/>
  <c r="BR62" i="54" s="1"/>
  <c r="T62" i="56" s="1"/>
  <c r="G62" i="54"/>
  <c r="BG62" i="54" s="1"/>
  <c r="I62" i="56" s="1"/>
  <c r="F62" i="54"/>
  <c r="BP62" i="54" s="1"/>
  <c r="R62" i="56" s="1"/>
  <c r="E62" i="54"/>
  <c r="BO62" i="54" s="1"/>
  <c r="Q62" i="56" s="1"/>
  <c r="D62" i="54"/>
  <c r="BD62" i="54" s="1"/>
  <c r="F62" i="56" s="1"/>
  <c r="C62" i="54"/>
  <c r="BC62" i="54" s="1"/>
  <c r="E62" i="56" s="1"/>
  <c r="B62" i="54"/>
  <c r="AG62" i="54" s="1"/>
  <c r="B62" i="56" s="1"/>
  <c r="A62" i="54"/>
  <c r="AF62" i="54" s="1"/>
  <c r="A62" i="56" s="1"/>
  <c r="JO61" i="54"/>
  <c r="JN61" i="54"/>
  <c r="JM61" i="54"/>
  <c r="JL61" i="54"/>
  <c r="JK61" i="54"/>
  <c r="JJ61" i="54"/>
  <c r="JI61" i="54"/>
  <c r="JH61" i="54"/>
  <c r="JG61" i="54"/>
  <c r="JF61" i="54"/>
  <c r="JE61" i="54"/>
  <c r="JD61" i="54"/>
  <c r="JC61" i="54"/>
  <c r="JB61" i="54"/>
  <c r="JA61" i="54"/>
  <c r="IZ61" i="54"/>
  <c r="IY61" i="54"/>
  <c r="IX61" i="54"/>
  <c r="IW61" i="54"/>
  <c r="IV61" i="54"/>
  <c r="IU61" i="54"/>
  <c r="IT61" i="54"/>
  <c r="IS61" i="54"/>
  <c r="IR61" i="54"/>
  <c r="IQ61" i="54"/>
  <c r="IP61" i="54"/>
  <c r="IO61" i="54"/>
  <c r="IN61" i="54"/>
  <c r="IM61" i="54"/>
  <c r="IL61" i="54"/>
  <c r="IK61" i="54"/>
  <c r="IJ61" i="54"/>
  <c r="II61" i="54"/>
  <c r="IH61" i="54"/>
  <c r="IG61" i="54"/>
  <c r="IF61" i="54"/>
  <c r="IE61" i="54"/>
  <c r="ID61" i="54"/>
  <c r="IC61" i="54"/>
  <c r="IB61" i="54"/>
  <c r="IA61" i="54"/>
  <c r="HZ61" i="54"/>
  <c r="HY61" i="54"/>
  <c r="HX61" i="54"/>
  <c r="HW61" i="54"/>
  <c r="HV61" i="54"/>
  <c r="HU61" i="54"/>
  <c r="HT61" i="54"/>
  <c r="HS61" i="54"/>
  <c r="HR61" i="54"/>
  <c r="HQ61" i="54"/>
  <c r="HP61" i="54"/>
  <c r="HO61" i="54"/>
  <c r="HN61" i="54"/>
  <c r="HM61" i="54"/>
  <c r="HL61" i="54"/>
  <c r="HK61" i="54"/>
  <c r="HJ61" i="54"/>
  <c r="HI61" i="54"/>
  <c r="HH61" i="54"/>
  <c r="HG61" i="54"/>
  <c r="HF61" i="54"/>
  <c r="HE61" i="54"/>
  <c r="HD61" i="54"/>
  <c r="HC61" i="54"/>
  <c r="HB61" i="54"/>
  <c r="HA61" i="54"/>
  <c r="GZ61" i="54"/>
  <c r="GY61" i="54"/>
  <c r="GX61" i="54"/>
  <c r="GW61" i="54"/>
  <c r="GV61" i="54"/>
  <c r="GU61" i="54"/>
  <c r="GT61" i="54"/>
  <c r="GS61" i="54"/>
  <c r="GR61" i="54"/>
  <c r="GQ61" i="54"/>
  <c r="GP61" i="54"/>
  <c r="GO61" i="54"/>
  <c r="GN61" i="54"/>
  <c r="GM61" i="54"/>
  <c r="GL61" i="54"/>
  <c r="GK61" i="54"/>
  <c r="GJ61" i="54"/>
  <c r="GI61" i="54"/>
  <c r="GH61" i="54"/>
  <c r="GG61" i="54"/>
  <c r="GF61" i="54"/>
  <c r="GE61" i="54"/>
  <c r="GD61" i="54"/>
  <c r="GC61" i="54"/>
  <c r="GB61" i="54"/>
  <c r="GA61" i="54"/>
  <c r="FZ61" i="54"/>
  <c r="FY61" i="54"/>
  <c r="FX61" i="54"/>
  <c r="FW61" i="54"/>
  <c r="FV61" i="54"/>
  <c r="FU61" i="54"/>
  <c r="FT61" i="54"/>
  <c r="BK61" i="54"/>
  <c r="M61" i="56" s="1"/>
  <c r="AD61" i="54"/>
  <c r="AA61" i="54"/>
  <c r="Z61" i="54"/>
  <c r="Y61" i="54"/>
  <c r="X61" i="54"/>
  <c r="W61" i="54"/>
  <c r="V61" i="54"/>
  <c r="U61" i="54"/>
  <c r="T61" i="54"/>
  <c r="S61" i="54"/>
  <c r="R61" i="54"/>
  <c r="Q61" i="54"/>
  <c r="P61" i="54"/>
  <c r="O61" i="54"/>
  <c r="N61" i="54"/>
  <c r="M61" i="54"/>
  <c r="L61" i="54"/>
  <c r="BL61" i="54" s="1"/>
  <c r="N61" i="56" s="1"/>
  <c r="K61" i="54"/>
  <c r="BU61" i="54" s="1"/>
  <c r="W61" i="56" s="1"/>
  <c r="J61" i="54"/>
  <c r="AZ61" i="54" s="1"/>
  <c r="I61" i="54"/>
  <c r="BI61" i="54" s="1"/>
  <c r="K61" i="56" s="1"/>
  <c r="H61" i="54"/>
  <c r="BH61" i="54" s="1"/>
  <c r="J61" i="56" s="1"/>
  <c r="G61" i="54"/>
  <c r="AW61" i="54" s="1"/>
  <c r="F61" i="54"/>
  <c r="BP61" i="54" s="1"/>
  <c r="R61" i="56" s="1"/>
  <c r="E61" i="54"/>
  <c r="BO61" i="54" s="1"/>
  <c r="Q61" i="56" s="1"/>
  <c r="D61" i="54"/>
  <c r="AT61" i="54" s="1"/>
  <c r="C61" i="54"/>
  <c r="B61" i="54"/>
  <c r="AG61" i="54" s="1"/>
  <c r="B61" i="56" s="1"/>
  <c r="A61" i="54"/>
  <c r="AF61" i="54" s="1"/>
  <c r="A61" i="56" s="1"/>
  <c r="JO60" i="54"/>
  <c r="JN60" i="54"/>
  <c r="JM60" i="54"/>
  <c r="JL60" i="54"/>
  <c r="JK60" i="54"/>
  <c r="JJ60" i="54"/>
  <c r="JI60" i="54"/>
  <c r="JH60" i="54"/>
  <c r="JG60" i="54"/>
  <c r="JF60" i="54"/>
  <c r="JE60" i="54"/>
  <c r="JD60" i="54"/>
  <c r="JC60" i="54"/>
  <c r="JB60" i="54"/>
  <c r="JA60" i="54"/>
  <c r="IZ60" i="54"/>
  <c r="IY60" i="54"/>
  <c r="IX60" i="54"/>
  <c r="IW60" i="54"/>
  <c r="IV60" i="54"/>
  <c r="IU60" i="54"/>
  <c r="IT60" i="54"/>
  <c r="IS60" i="54"/>
  <c r="IR60" i="54"/>
  <c r="IQ60" i="54"/>
  <c r="IP60" i="54"/>
  <c r="IO60" i="54"/>
  <c r="IN60" i="54"/>
  <c r="IM60" i="54"/>
  <c r="IL60" i="54"/>
  <c r="IK60" i="54"/>
  <c r="IJ60" i="54"/>
  <c r="II60" i="54"/>
  <c r="IH60" i="54"/>
  <c r="IG60" i="54"/>
  <c r="IF60" i="54"/>
  <c r="IE60" i="54"/>
  <c r="ID60" i="54"/>
  <c r="IC60" i="54"/>
  <c r="IB60" i="54"/>
  <c r="IA60" i="54"/>
  <c r="HZ60" i="54"/>
  <c r="HY60" i="54"/>
  <c r="HX60" i="54"/>
  <c r="HW60" i="54"/>
  <c r="HV60" i="54"/>
  <c r="HU60" i="54"/>
  <c r="HT60" i="54"/>
  <c r="HS60" i="54"/>
  <c r="HR60" i="54"/>
  <c r="HQ60" i="54"/>
  <c r="HP60" i="54"/>
  <c r="HO60" i="54"/>
  <c r="HN60" i="54"/>
  <c r="HM60" i="54"/>
  <c r="HL60" i="54"/>
  <c r="HK60" i="54"/>
  <c r="HJ60" i="54"/>
  <c r="HI60" i="54"/>
  <c r="HH60" i="54"/>
  <c r="HG60" i="54"/>
  <c r="HF60" i="54"/>
  <c r="HE60" i="54"/>
  <c r="HD60" i="54"/>
  <c r="HC60" i="54"/>
  <c r="HB60" i="54"/>
  <c r="HA60" i="54"/>
  <c r="GZ60" i="54"/>
  <c r="GY60" i="54"/>
  <c r="GX60" i="54"/>
  <c r="GW60" i="54"/>
  <c r="GV60" i="54"/>
  <c r="GU60" i="54"/>
  <c r="GT60" i="54"/>
  <c r="GS60" i="54"/>
  <c r="GR60" i="54"/>
  <c r="GQ60" i="54"/>
  <c r="GP60" i="54"/>
  <c r="GO60" i="54"/>
  <c r="GN60" i="54"/>
  <c r="GM60" i="54"/>
  <c r="GL60" i="54"/>
  <c r="GK60" i="54"/>
  <c r="GJ60" i="54"/>
  <c r="GI60" i="54"/>
  <c r="GH60" i="54"/>
  <c r="GG60" i="54"/>
  <c r="GF60" i="54"/>
  <c r="GE60" i="54"/>
  <c r="GD60" i="54"/>
  <c r="GC60" i="54"/>
  <c r="GB60" i="54"/>
  <c r="GA60" i="54"/>
  <c r="FZ60" i="54"/>
  <c r="FY60" i="54"/>
  <c r="FX60" i="54"/>
  <c r="FW60" i="54"/>
  <c r="FV60" i="54"/>
  <c r="FU60" i="54"/>
  <c r="FT60" i="54"/>
  <c r="BE60" i="54"/>
  <c r="G60" i="56" s="1"/>
  <c r="AD60" i="54"/>
  <c r="AA60" i="54"/>
  <c r="Z60" i="54"/>
  <c r="Y60" i="54"/>
  <c r="X60" i="54"/>
  <c r="W60" i="54"/>
  <c r="V60" i="54"/>
  <c r="U60" i="54"/>
  <c r="T60" i="54"/>
  <c r="S60" i="54"/>
  <c r="R60" i="54"/>
  <c r="Q60" i="54"/>
  <c r="P60" i="54"/>
  <c r="O60" i="54"/>
  <c r="N60" i="54"/>
  <c r="M60" i="54"/>
  <c r="L60" i="54"/>
  <c r="BL60" i="54" s="1"/>
  <c r="N60" i="56" s="1"/>
  <c r="K60" i="54"/>
  <c r="J60" i="54"/>
  <c r="BT60" i="54" s="1"/>
  <c r="V60" i="56" s="1"/>
  <c r="I60" i="54"/>
  <c r="BI60" i="54" s="1"/>
  <c r="K60" i="56" s="1"/>
  <c r="H60" i="54"/>
  <c r="BR60" i="54" s="1"/>
  <c r="T60" i="56" s="1"/>
  <c r="G60" i="54"/>
  <c r="BQ60" i="54" s="1"/>
  <c r="S60" i="56" s="1"/>
  <c r="F60" i="54"/>
  <c r="AV60" i="54" s="1"/>
  <c r="E60" i="54"/>
  <c r="AU60" i="54" s="1"/>
  <c r="D60" i="54"/>
  <c r="AT60" i="54" s="1"/>
  <c r="C60" i="54"/>
  <c r="B60" i="54"/>
  <c r="AG60" i="54" s="1"/>
  <c r="B60" i="56" s="1"/>
  <c r="A60" i="54"/>
  <c r="AF60" i="54" s="1"/>
  <c r="A60" i="56" s="1"/>
  <c r="JO59" i="54"/>
  <c r="JN59" i="54"/>
  <c r="JM59" i="54"/>
  <c r="JL59" i="54"/>
  <c r="JK59" i="54"/>
  <c r="JJ59" i="54"/>
  <c r="JI59" i="54"/>
  <c r="JH59" i="54"/>
  <c r="JG59" i="54"/>
  <c r="JF59" i="54"/>
  <c r="JE59" i="54"/>
  <c r="JD59" i="54"/>
  <c r="JC59" i="54"/>
  <c r="JB59" i="54"/>
  <c r="JA59" i="54"/>
  <c r="IZ59" i="54"/>
  <c r="IY59" i="54"/>
  <c r="IX59" i="54"/>
  <c r="IW59" i="54"/>
  <c r="IV59" i="54"/>
  <c r="IU59" i="54"/>
  <c r="IT59" i="54"/>
  <c r="IS59" i="54"/>
  <c r="IR59" i="54"/>
  <c r="IQ59" i="54"/>
  <c r="IP59" i="54"/>
  <c r="IO59" i="54"/>
  <c r="IN59" i="54"/>
  <c r="IM59" i="54"/>
  <c r="IL59" i="54"/>
  <c r="IK59" i="54"/>
  <c r="IJ59" i="54"/>
  <c r="II59" i="54"/>
  <c r="IH59" i="54"/>
  <c r="IG59" i="54"/>
  <c r="IF59" i="54"/>
  <c r="IE59" i="54"/>
  <c r="ID59" i="54"/>
  <c r="IC59" i="54"/>
  <c r="IB59" i="54"/>
  <c r="IA59" i="54"/>
  <c r="HZ59" i="54"/>
  <c r="HY59" i="54"/>
  <c r="HX59" i="54"/>
  <c r="HW59" i="54"/>
  <c r="HV59" i="54"/>
  <c r="HU59" i="54"/>
  <c r="HT59" i="54"/>
  <c r="HS59" i="54"/>
  <c r="HR59" i="54"/>
  <c r="HQ59" i="54"/>
  <c r="HP59" i="54"/>
  <c r="HO59" i="54"/>
  <c r="HN59" i="54"/>
  <c r="HM59" i="54"/>
  <c r="HL59" i="54"/>
  <c r="HK59" i="54"/>
  <c r="HJ59" i="54"/>
  <c r="HI59" i="54"/>
  <c r="HH59" i="54"/>
  <c r="HG59" i="54"/>
  <c r="HF59" i="54"/>
  <c r="HE59" i="54"/>
  <c r="HD59" i="54"/>
  <c r="HC59" i="54"/>
  <c r="HB59" i="54"/>
  <c r="HA59" i="54"/>
  <c r="GZ59" i="54"/>
  <c r="GY59" i="54"/>
  <c r="GX59" i="54"/>
  <c r="GW59" i="54"/>
  <c r="GV59" i="54"/>
  <c r="GU59" i="54"/>
  <c r="GT59" i="54"/>
  <c r="GS59" i="54"/>
  <c r="GR59" i="54"/>
  <c r="GQ59" i="54"/>
  <c r="GP59" i="54"/>
  <c r="GO59" i="54"/>
  <c r="GN59" i="54"/>
  <c r="GM59" i="54"/>
  <c r="GL59" i="54"/>
  <c r="GK59" i="54"/>
  <c r="GJ59" i="54"/>
  <c r="GI59" i="54"/>
  <c r="GH59" i="54"/>
  <c r="GG59" i="54"/>
  <c r="GF59" i="54"/>
  <c r="GE59" i="54"/>
  <c r="GD59" i="54"/>
  <c r="GC59" i="54"/>
  <c r="GB59" i="54"/>
  <c r="GA59" i="54"/>
  <c r="FZ59" i="54"/>
  <c r="FY59" i="54"/>
  <c r="FX59" i="54"/>
  <c r="FW59" i="54"/>
  <c r="FV59" i="54"/>
  <c r="FU59" i="54"/>
  <c r="FT59" i="54"/>
  <c r="AZ59" i="54"/>
  <c r="AG59" i="54"/>
  <c r="B59" i="56" s="1"/>
  <c r="AD59" i="54"/>
  <c r="AA59" i="54"/>
  <c r="Z59" i="54"/>
  <c r="Y59" i="54"/>
  <c r="X59" i="54"/>
  <c r="W59" i="54"/>
  <c r="V59" i="54"/>
  <c r="U59" i="54"/>
  <c r="T59" i="54"/>
  <c r="S59" i="54"/>
  <c r="R59" i="54"/>
  <c r="Q59" i="54"/>
  <c r="P59" i="54"/>
  <c r="O59" i="54"/>
  <c r="N59" i="54"/>
  <c r="M59" i="54"/>
  <c r="L59" i="54"/>
  <c r="BB59" i="54" s="1"/>
  <c r="K59" i="54"/>
  <c r="BU59" i="54" s="1"/>
  <c r="W59" i="56" s="1"/>
  <c r="J59" i="54"/>
  <c r="BJ59" i="54" s="1"/>
  <c r="L59" i="56" s="1"/>
  <c r="I59" i="54"/>
  <c r="AY59" i="54" s="1"/>
  <c r="H59" i="54"/>
  <c r="BR59" i="54" s="1"/>
  <c r="T59" i="56" s="1"/>
  <c r="G59" i="54"/>
  <c r="BQ59" i="54" s="1"/>
  <c r="S59" i="56" s="1"/>
  <c r="F59" i="54"/>
  <c r="AV59" i="54" s="1"/>
  <c r="E59" i="54"/>
  <c r="BE59" i="54" s="1"/>
  <c r="G59" i="56" s="1"/>
  <c r="D59" i="54"/>
  <c r="C59" i="54"/>
  <c r="BC59" i="54" s="1"/>
  <c r="E59" i="56" s="1"/>
  <c r="B59" i="54"/>
  <c r="A59" i="54"/>
  <c r="AF59" i="54" s="1"/>
  <c r="A59" i="56" s="1"/>
  <c r="JO58" i="54"/>
  <c r="JN58" i="54"/>
  <c r="JM58" i="54"/>
  <c r="JL58" i="54"/>
  <c r="JK58" i="54"/>
  <c r="JJ58" i="54"/>
  <c r="JI58" i="54"/>
  <c r="JH58" i="54"/>
  <c r="JG58" i="54"/>
  <c r="JF58" i="54"/>
  <c r="JE58" i="54"/>
  <c r="JD58" i="54"/>
  <c r="JC58" i="54"/>
  <c r="JB58" i="54"/>
  <c r="JA58" i="54"/>
  <c r="IZ58" i="54"/>
  <c r="IY58" i="54"/>
  <c r="IX58" i="54"/>
  <c r="IW58" i="54"/>
  <c r="IV58" i="54"/>
  <c r="IU58" i="54"/>
  <c r="IT58" i="54"/>
  <c r="IS58" i="54"/>
  <c r="IR58" i="54"/>
  <c r="IQ58" i="54"/>
  <c r="IP58" i="54"/>
  <c r="IO58" i="54"/>
  <c r="IN58" i="54"/>
  <c r="IM58" i="54"/>
  <c r="IL58" i="54"/>
  <c r="IK58" i="54"/>
  <c r="IJ58" i="54"/>
  <c r="II58" i="54"/>
  <c r="IH58" i="54"/>
  <c r="IG58" i="54"/>
  <c r="IF58" i="54"/>
  <c r="IE58" i="54"/>
  <c r="ID58" i="54"/>
  <c r="IC58" i="54"/>
  <c r="IB58" i="54"/>
  <c r="IA58" i="54"/>
  <c r="HZ58" i="54"/>
  <c r="HY58" i="54"/>
  <c r="HX58" i="54"/>
  <c r="HW58" i="54"/>
  <c r="HV58" i="54"/>
  <c r="HU58" i="54"/>
  <c r="HT58" i="54"/>
  <c r="HS58" i="54"/>
  <c r="HR58" i="54"/>
  <c r="HQ58" i="54"/>
  <c r="HP58" i="54"/>
  <c r="HO58" i="54"/>
  <c r="HN58" i="54"/>
  <c r="HM58" i="54"/>
  <c r="HL58" i="54"/>
  <c r="HK58" i="54"/>
  <c r="HJ58" i="54"/>
  <c r="HI58" i="54"/>
  <c r="HH58" i="54"/>
  <c r="HG58" i="54"/>
  <c r="HF58" i="54"/>
  <c r="HE58" i="54"/>
  <c r="HD58" i="54"/>
  <c r="HC58" i="54"/>
  <c r="HB58" i="54"/>
  <c r="HA58" i="54"/>
  <c r="GZ58" i="54"/>
  <c r="GY58" i="54"/>
  <c r="GX58" i="54"/>
  <c r="GW58" i="54"/>
  <c r="GV58" i="54"/>
  <c r="GU58" i="54"/>
  <c r="GT58" i="54"/>
  <c r="GS58" i="54"/>
  <c r="GR58" i="54"/>
  <c r="GQ58" i="54"/>
  <c r="GP58" i="54"/>
  <c r="GO58" i="54"/>
  <c r="GN58" i="54"/>
  <c r="GM58" i="54"/>
  <c r="GL58" i="54"/>
  <c r="GK58" i="54"/>
  <c r="GJ58" i="54"/>
  <c r="GI58" i="54"/>
  <c r="GH58" i="54"/>
  <c r="GG58" i="54"/>
  <c r="GF58" i="54"/>
  <c r="GE58" i="54"/>
  <c r="GD58" i="54"/>
  <c r="GC58" i="54"/>
  <c r="GB58" i="54"/>
  <c r="GA58" i="54"/>
  <c r="FZ58" i="54"/>
  <c r="FY58" i="54"/>
  <c r="FX58" i="54"/>
  <c r="FW58" i="54"/>
  <c r="FV58" i="54"/>
  <c r="FU58" i="54"/>
  <c r="FT58" i="54"/>
  <c r="BV58" i="54"/>
  <c r="X58" i="56" s="1"/>
  <c r="AD58" i="54"/>
  <c r="AA58" i="54"/>
  <c r="Z58" i="54"/>
  <c r="Y58" i="54"/>
  <c r="X58" i="54"/>
  <c r="W58" i="54"/>
  <c r="V58" i="54"/>
  <c r="U58" i="54"/>
  <c r="T58" i="54"/>
  <c r="S58" i="54"/>
  <c r="R58" i="54"/>
  <c r="Q58" i="54"/>
  <c r="P58" i="54"/>
  <c r="O58" i="54"/>
  <c r="N58" i="54"/>
  <c r="M58" i="54"/>
  <c r="L58" i="54"/>
  <c r="BL58" i="54" s="1"/>
  <c r="N58" i="56" s="1"/>
  <c r="K58" i="54"/>
  <c r="BK58" i="54" s="1"/>
  <c r="M58" i="56" s="1"/>
  <c r="J58" i="54"/>
  <c r="BT58" i="54" s="1"/>
  <c r="V58" i="56" s="1"/>
  <c r="I58" i="54"/>
  <c r="BS58" i="54" s="1"/>
  <c r="U58" i="56" s="1"/>
  <c r="H58" i="54"/>
  <c r="BH58" i="54" s="1"/>
  <c r="J58" i="56" s="1"/>
  <c r="G58" i="54"/>
  <c r="BG58" i="54" s="1"/>
  <c r="I58" i="56" s="1"/>
  <c r="F58" i="54"/>
  <c r="AV58" i="54" s="1"/>
  <c r="E58" i="54"/>
  <c r="D58" i="54"/>
  <c r="C58" i="54"/>
  <c r="B58" i="54"/>
  <c r="AG58" i="54" s="1"/>
  <c r="B58" i="56" s="1"/>
  <c r="A58" i="54"/>
  <c r="AF58" i="54" s="1"/>
  <c r="A58" i="56" s="1"/>
  <c r="JO57" i="54"/>
  <c r="JN57" i="54"/>
  <c r="JM57" i="54"/>
  <c r="JL57" i="54"/>
  <c r="JK57" i="54"/>
  <c r="JJ57" i="54"/>
  <c r="JI57" i="54"/>
  <c r="JH57" i="54"/>
  <c r="JG57" i="54"/>
  <c r="JF57" i="54"/>
  <c r="JE57" i="54"/>
  <c r="JD57" i="54"/>
  <c r="JC57" i="54"/>
  <c r="JB57" i="54"/>
  <c r="JA57" i="54"/>
  <c r="IZ57" i="54"/>
  <c r="IY57" i="54"/>
  <c r="IX57" i="54"/>
  <c r="IW57" i="54"/>
  <c r="IV57" i="54"/>
  <c r="IU57" i="54"/>
  <c r="IT57" i="54"/>
  <c r="IS57" i="54"/>
  <c r="IR57" i="54"/>
  <c r="IQ57" i="54"/>
  <c r="IP57" i="54"/>
  <c r="IO57" i="54"/>
  <c r="IN57" i="54"/>
  <c r="IM57" i="54"/>
  <c r="IL57" i="54"/>
  <c r="IK57" i="54"/>
  <c r="IJ57" i="54"/>
  <c r="II57" i="54"/>
  <c r="IH57" i="54"/>
  <c r="IG57" i="54"/>
  <c r="IF57" i="54"/>
  <c r="IE57" i="54"/>
  <c r="ID57" i="54"/>
  <c r="IC57" i="54"/>
  <c r="IB57" i="54"/>
  <c r="IA57" i="54"/>
  <c r="HZ57" i="54"/>
  <c r="HY57" i="54"/>
  <c r="HX57" i="54"/>
  <c r="HW57" i="54"/>
  <c r="HV57" i="54"/>
  <c r="HU57" i="54"/>
  <c r="HT57" i="54"/>
  <c r="HS57" i="54"/>
  <c r="HR57" i="54"/>
  <c r="HQ57" i="54"/>
  <c r="HP57" i="54"/>
  <c r="HO57" i="54"/>
  <c r="HN57" i="54"/>
  <c r="HM57" i="54"/>
  <c r="HL57" i="54"/>
  <c r="HK57" i="54"/>
  <c r="HJ57" i="54"/>
  <c r="HI57" i="54"/>
  <c r="HH57" i="54"/>
  <c r="HG57" i="54"/>
  <c r="HF57" i="54"/>
  <c r="HE57" i="54"/>
  <c r="HD57" i="54"/>
  <c r="HC57" i="54"/>
  <c r="HB57" i="54"/>
  <c r="HA57" i="54"/>
  <c r="GZ57" i="54"/>
  <c r="GY57" i="54"/>
  <c r="GX57" i="54"/>
  <c r="GW57" i="54"/>
  <c r="GV57" i="54"/>
  <c r="GU57" i="54"/>
  <c r="GT57" i="54"/>
  <c r="GS57" i="54"/>
  <c r="GR57" i="54"/>
  <c r="GQ57" i="54"/>
  <c r="GP57" i="54"/>
  <c r="GO57" i="54"/>
  <c r="GN57" i="54"/>
  <c r="GM57" i="54"/>
  <c r="GL57" i="54"/>
  <c r="GK57" i="54"/>
  <c r="GJ57" i="54"/>
  <c r="GI57" i="54"/>
  <c r="GH57" i="54"/>
  <c r="GG57" i="54"/>
  <c r="GF57" i="54"/>
  <c r="GE57" i="54"/>
  <c r="GD57" i="54"/>
  <c r="GC57" i="54"/>
  <c r="GB57" i="54"/>
  <c r="GA57" i="54"/>
  <c r="FZ57" i="54"/>
  <c r="FY57" i="54"/>
  <c r="FX57" i="54"/>
  <c r="FW57" i="54"/>
  <c r="FV57" i="54"/>
  <c r="FU57" i="54"/>
  <c r="FT57" i="54"/>
  <c r="AD57" i="54"/>
  <c r="AA57" i="54"/>
  <c r="Z57" i="54"/>
  <c r="Y57" i="54"/>
  <c r="X57" i="54"/>
  <c r="W57" i="54"/>
  <c r="V57" i="54"/>
  <c r="U57" i="54"/>
  <c r="T57" i="54"/>
  <c r="S57" i="54"/>
  <c r="R57" i="54"/>
  <c r="Q57" i="54"/>
  <c r="P57" i="54"/>
  <c r="O57" i="54"/>
  <c r="N57" i="54"/>
  <c r="M57" i="54"/>
  <c r="L57" i="54"/>
  <c r="BL57" i="54" s="1"/>
  <c r="N57" i="56" s="1"/>
  <c r="K57" i="54"/>
  <c r="BA57" i="54" s="1"/>
  <c r="J57" i="54"/>
  <c r="BT57" i="54" s="1"/>
  <c r="V57" i="56" s="1"/>
  <c r="I57" i="54"/>
  <c r="BS57" i="54" s="1"/>
  <c r="U57" i="56" s="1"/>
  <c r="H57" i="54"/>
  <c r="AX57" i="54" s="1"/>
  <c r="G57" i="54"/>
  <c r="BG57" i="54" s="1"/>
  <c r="I57" i="56" s="1"/>
  <c r="F57" i="54"/>
  <c r="AV57" i="54" s="1"/>
  <c r="E57" i="54"/>
  <c r="BE57" i="54" s="1"/>
  <c r="G57" i="56" s="1"/>
  <c r="D57" i="54"/>
  <c r="BD57" i="54" s="1"/>
  <c r="F57" i="56" s="1"/>
  <c r="C57" i="54"/>
  <c r="BC57" i="54" s="1"/>
  <c r="E57" i="56" s="1"/>
  <c r="B57" i="54"/>
  <c r="AG57" i="54" s="1"/>
  <c r="B57" i="56" s="1"/>
  <c r="A57" i="54"/>
  <c r="AF57" i="54" s="1"/>
  <c r="A57" i="56" s="1"/>
  <c r="JO56" i="54"/>
  <c r="JN56" i="54"/>
  <c r="JM56" i="54"/>
  <c r="JL56" i="54"/>
  <c r="JK56" i="54"/>
  <c r="JJ56" i="54"/>
  <c r="JI56" i="54"/>
  <c r="JH56" i="54"/>
  <c r="JG56" i="54"/>
  <c r="JF56" i="54"/>
  <c r="JE56" i="54"/>
  <c r="JD56" i="54"/>
  <c r="JC56" i="54"/>
  <c r="JB56" i="54"/>
  <c r="JA56" i="54"/>
  <c r="IZ56" i="54"/>
  <c r="IY56" i="54"/>
  <c r="IX56" i="54"/>
  <c r="IW56" i="54"/>
  <c r="IV56" i="54"/>
  <c r="IU56" i="54"/>
  <c r="IT56" i="54"/>
  <c r="IS56" i="54"/>
  <c r="IR56" i="54"/>
  <c r="IQ56" i="54"/>
  <c r="IP56" i="54"/>
  <c r="IO56" i="54"/>
  <c r="IN56" i="54"/>
  <c r="IM56" i="54"/>
  <c r="IL56" i="54"/>
  <c r="IK56" i="54"/>
  <c r="IJ56" i="54"/>
  <c r="II56" i="54"/>
  <c r="IH56" i="54"/>
  <c r="IG56" i="54"/>
  <c r="IF56" i="54"/>
  <c r="IE56" i="54"/>
  <c r="ID56" i="54"/>
  <c r="IC56" i="54"/>
  <c r="IB56" i="54"/>
  <c r="IA56" i="54"/>
  <c r="HZ56" i="54"/>
  <c r="HY56" i="54"/>
  <c r="HX56" i="54"/>
  <c r="HW56" i="54"/>
  <c r="HV56" i="54"/>
  <c r="HU56" i="54"/>
  <c r="HT56" i="54"/>
  <c r="HS56" i="54"/>
  <c r="HR56" i="54"/>
  <c r="HQ56" i="54"/>
  <c r="HP56" i="54"/>
  <c r="HO56" i="54"/>
  <c r="HN56" i="54"/>
  <c r="HM56" i="54"/>
  <c r="HL56" i="54"/>
  <c r="HK56" i="54"/>
  <c r="HJ56" i="54"/>
  <c r="HI56" i="54"/>
  <c r="HH56" i="54"/>
  <c r="HG56" i="54"/>
  <c r="HF56" i="54"/>
  <c r="HE56" i="54"/>
  <c r="HD56" i="54"/>
  <c r="HC56" i="54"/>
  <c r="HB56" i="54"/>
  <c r="HA56" i="54"/>
  <c r="GZ56" i="54"/>
  <c r="GY56" i="54"/>
  <c r="GX56" i="54"/>
  <c r="GW56" i="54"/>
  <c r="GV56" i="54"/>
  <c r="GU56" i="54"/>
  <c r="GT56" i="54"/>
  <c r="GS56" i="54"/>
  <c r="GR56" i="54"/>
  <c r="GQ56" i="54"/>
  <c r="GP56" i="54"/>
  <c r="GO56" i="54"/>
  <c r="GN56" i="54"/>
  <c r="GM56" i="54"/>
  <c r="GL56" i="54"/>
  <c r="GK56" i="54"/>
  <c r="GJ56" i="54"/>
  <c r="GI56" i="54"/>
  <c r="GH56" i="54"/>
  <c r="GG56" i="54"/>
  <c r="GF56" i="54"/>
  <c r="GE56" i="54"/>
  <c r="GD56" i="54"/>
  <c r="GC56" i="54"/>
  <c r="GB56" i="54"/>
  <c r="GA56" i="54"/>
  <c r="FZ56" i="54"/>
  <c r="FY56" i="54"/>
  <c r="FX56" i="54"/>
  <c r="FW56" i="54"/>
  <c r="FV56" i="54"/>
  <c r="FU56" i="54"/>
  <c r="FT56" i="54"/>
  <c r="BT56" i="54"/>
  <c r="V56" i="56" s="1"/>
  <c r="AF56" i="54"/>
  <c r="A56" i="56" s="1"/>
  <c r="AD56" i="54"/>
  <c r="AA56" i="54"/>
  <c r="Z56" i="54"/>
  <c r="Y56" i="54"/>
  <c r="X56" i="54"/>
  <c r="W56" i="54"/>
  <c r="V56" i="54"/>
  <c r="U56" i="54"/>
  <c r="T56" i="54"/>
  <c r="S56" i="54"/>
  <c r="R56" i="54"/>
  <c r="Q56" i="54"/>
  <c r="P56" i="54"/>
  <c r="O56" i="54"/>
  <c r="N56" i="54"/>
  <c r="M56" i="54"/>
  <c r="L56" i="54"/>
  <c r="BV56" i="54" s="1"/>
  <c r="X56" i="56" s="1"/>
  <c r="K56" i="54"/>
  <c r="BU56" i="54" s="1"/>
  <c r="W56" i="56" s="1"/>
  <c r="J56" i="54"/>
  <c r="BJ56" i="54" s="1"/>
  <c r="L56" i="56" s="1"/>
  <c r="I56" i="54"/>
  <c r="BI56" i="54" s="1"/>
  <c r="K56" i="56" s="1"/>
  <c r="H56" i="54"/>
  <c r="AX56" i="54" s="1"/>
  <c r="G56" i="54"/>
  <c r="F56" i="54"/>
  <c r="BP56" i="54" s="1"/>
  <c r="R56" i="56" s="1"/>
  <c r="E56" i="54"/>
  <c r="BE56" i="54" s="1"/>
  <c r="G56" i="56" s="1"/>
  <c r="D56" i="54"/>
  <c r="AT56" i="54" s="1"/>
  <c r="C56" i="54"/>
  <c r="BM56" i="54" s="1"/>
  <c r="O56" i="56" s="1"/>
  <c r="B56" i="54"/>
  <c r="AG56" i="54" s="1"/>
  <c r="B56" i="56" s="1"/>
  <c r="A56" i="54"/>
  <c r="JO55" i="54"/>
  <c r="JN55" i="54"/>
  <c r="JM55" i="54"/>
  <c r="JL55" i="54"/>
  <c r="JK55" i="54"/>
  <c r="JJ55" i="54"/>
  <c r="JI55" i="54"/>
  <c r="JH55" i="54"/>
  <c r="JG55" i="54"/>
  <c r="JF55" i="54"/>
  <c r="JE55" i="54"/>
  <c r="JD55" i="54"/>
  <c r="JC55" i="54"/>
  <c r="JB55" i="54"/>
  <c r="JA55" i="54"/>
  <c r="IZ55" i="54"/>
  <c r="IY55" i="54"/>
  <c r="IX55" i="54"/>
  <c r="IW55" i="54"/>
  <c r="IV55" i="54"/>
  <c r="IU55" i="54"/>
  <c r="IT55" i="54"/>
  <c r="IS55" i="54"/>
  <c r="IR55" i="54"/>
  <c r="IQ55" i="54"/>
  <c r="IP55" i="54"/>
  <c r="IO55" i="54"/>
  <c r="IN55" i="54"/>
  <c r="IM55" i="54"/>
  <c r="IL55" i="54"/>
  <c r="IK55" i="54"/>
  <c r="IJ55" i="54"/>
  <c r="II55" i="54"/>
  <c r="IH55" i="54"/>
  <c r="IG55" i="54"/>
  <c r="IF55" i="54"/>
  <c r="IE55" i="54"/>
  <c r="ID55" i="54"/>
  <c r="IC55" i="54"/>
  <c r="IB55" i="54"/>
  <c r="IA55" i="54"/>
  <c r="HZ55" i="54"/>
  <c r="HY55" i="54"/>
  <c r="HX55" i="54"/>
  <c r="HW55" i="54"/>
  <c r="HV55" i="54"/>
  <c r="HU55" i="54"/>
  <c r="HT55" i="54"/>
  <c r="HS55" i="54"/>
  <c r="HR55" i="54"/>
  <c r="HQ55" i="54"/>
  <c r="HP55" i="54"/>
  <c r="HO55" i="54"/>
  <c r="HN55" i="54"/>
  <c r="HM55" i="54"/>
  <c r="HL55" i="54"/>
  <c r="HK55" i="54"/>
  <c r="HJ55" i="54"/>
  <c r="HI55" i="54"/>
  <c r="HH55" i="54"/>
  <c r="HG55" i="54"/>
  <c r="HF55" i="54"/>
  <c r="HE55" i="54"/>
  <c r="HD55" i="54"/>
  <c r="HC55" i="54"/>
  <c r="HB55" i="54"/>
  <c r="HA55" i="54"/>
  <c r="GZ55" i="54"/>
  <c r="GY55" i="54"/>
  <c r="GX55" i="54"/>
  <c r="GW55" i="54"/>
  <c r="GV55" i="54"/>
  <c r="GU55" i="54"/>
  <c r="GT55" i="54"/>
  <c r="GS55" i="54"/>
  <c r="GR55" i="54"/>
  <c r="GQ55" i="54"/>
  <c r="GP55" i="54"/>
  <c r="GO55" i="54"/>
  <c r="GN55" i="54"/>
  <c r="GM55" i="54"/>
  <c r="GL55" i="54"/>
  <c r="GK55" i="54"/>
  <c r="GJ55" i="54"/>
  <c r="GI55" i="54"/>
  <c r="GH55" i="54"/>
  <c r="GG55" i="54"/>
  <c r="GF55" i="54"/>
  <c r="GE55" i="54"/>
  <c r="GD55" i="54"/>
  <c r="GC55" i="54"/>
  <c r="GB55" i="54"/>
  <c r="GA55" i="54"/>
  <c r="FZ55" i="54"/>
  <c r="FY55" i="54"/>
  <c r="FX55" i="54"/>
  <c r="FW55" i="54"/>
  <c r="FV55" i="54"/>
  <c r="FU55" i="54"/>
  <c r="FT55" i="54"/>
  <c r="BL55" i="54"/>
  <c r="N55" i="56" s="1"/>
  <c r="AD55" i="54"/>
  <c r="AA55" i="54"/>
  <c r="Z55" i="54"/>
  <c r="Y55" i="54"/>
  <c r="X55" i="54"/>
  <c r="W55" i="54"/>
  <c r="V55" i="54"/>
  <c r="U55" i="54"/>
  <c r="T55" i="54"/>
  <c r="S55" i="54"/>
  <c r="R55" i="54"/>
  <c r="Q55" i="54"/>
  <c r="P55" i="54"/>
  <c r="O55" i="54"/>
  <c r="N55" i="54"/>
  <c r="M55" i="54"/>
  <c r="L55" i="54"/>
  <c r="BV55" i="54" s="1"/>
  <c r="X55" i="56" s="1"/>
  <c r="K55" i="54"/>
  <c r="BU55" i="54" s="1"/>
  <c r="W55" i="56" s="1"/>
  <c r="J55" i="54"/>
  <c r="AZ55" i="54" s="1"/>
  <c r="I55" i="54"/>
  <c r="BI55" i="54" s="1"/>
  <c r="K55" i="56" s="1"/>
  <c r="H55" i="54"/>
  <c r="AX55" i="54" s="1"/>
  <c r="G55" i="54"/>
  <c r="BG55" i="54" s="1"/>
  <c r="I55" i="56" s="1"/>
  <c r="F55" i="54"/>
  <c r="BF55" i="54" s="1"/>
  <c r="H55" i="56" s="1"/>
  <c r="E55" i="54"/>
  <c r="BO55" i="54" s="1"/>
  <c r="Q55" i="56" s="1"/>
  <c r="D55" i="54"/>
  <c r="BN55" i="54" s="1"/>
  <c r="P55" i="56" s="1"/>
  <c r="C55" i="54"/>
  <c r="BC55" i="54" s="1"/>
  <c r="E55" i="56" s="1"/>
  <c r="B55" i="54"/>
  <c r="AG55" i="54" s="1"/>
  <c r="B55" i="56" s="1"/>
  <c r="A55" i="54"/>
  <c r="AF55" i="54" s="1"/>
  <c r="A55" i="56" s="1"/>
  <c r="JO54" i="54"/>
  <c r="JN54" i="54"/>
  <c r="JM54" i="54"/>
  <c r="JL54" i="54"/>
  <c r="JK54" i="54"/>
  <c r="JJ54" i="54"/>
  <c r="JI54" i="54"/>
  <c r="JH54" i="54"/>
  <c r="JG54" i="54"/>
  <c r="JF54" i="54"/>
  <c r="JE54" i="54"/>
  <c r="JD54" i="54"/>
  <c r="JC54" i="54"/>
  <c r="JB54" i="54"/>
  <c r="JA54" i="54"/>
  <c r="IZ54" i="54"/>
  <c r="IY54" i="54"/>
  <c r="IX54" i="54"/>
  <c r="IW54" i="54"/>
  <c r="IV54" i="54"/>
  <c r="IU54" i="54"/>
  <c r="IT54" i="54"/>
  <c r="IS54" i="54"/>
  <c r="IR54" i="54"/>
  <c r="IQ54" i="54"/>
  <c r="IP54" i="54"/>
  <c r="IO54" i="54"/>
  <c r="IN54" i="54"/>
  <c r="IM54" i="54"/>
  <c r="IL54" i="54"/>
  <c r="IK54" i="54"/>
  <c r="IJ54" i="54"/>
  <c r="II54" i="54"/>
  <c r="IH54" i="54"/>
  <c r="IG54" i="54"/>
  <c r="IF54" i="54"/>
  <c r="IE54" i="54"/>
  <c r="ID54" i="54"/>
  <c r="IC54" i="54"/>
  <c r="IB54" i="54"/>
  <c r="IA54" i="54"/>
  <c r="HZ54" i="54"/>
  <c r="HY54" i="54"/>
  <c r="HX54" i="54"/>
  <c r="HW54" i="54"/>
  <c r="HV54" i="54"/>
  <c r="HU54" i="54"/>
  <c r="HT54" i="54"/>
  <c r="HS54" i="54"/>
  <c r="HR54" i="54"/>
  <c r="HQ54" i="54"/>
  <c r="HP54" i="54"/>
  <c r="HO54" i="54"/>
  <c r="HN54" i="54"/>
  <c r="HM54" i="54"/>
  <c r="HL54" i="54"/>
  <c r="HK54" i="54"/>
  <c r="HJ54" i="54"/>
  <c r="HI54" i="54"/>
  <c r="HH54" i="54"/>
  <c r="HG54" i="54"/>
  <c r="HF54" i="54"/>
  <c r="HE54" i="54"/>
  <c r="HD54" i="54"/>
  <c r="HC54" i="54"/>
  <c r="HB54" i="54"/>
  <c r="HA54" i="54"/>
  <c r="GZ54" i="54"/>
  <c r="GY54" i="54"/>
  <c r="GX54" i="54"/>
  <c r="GW54" i="54"/>
  <c r="GV54" i="54"/>
  <c r="GU54" i="54"/>
  <c r="GT54" i="54"/>
  <c r="GS54" i="54"/>
  <c r="GR54" i="54"/>
  <c r="GQ54" i="54"/>
  <c r="GP54" i="54"/>
  <c r="GO54" i="54"/>
  <c r="GN54" i="54"/>
  <c r="GM54" i="54"/>
  <c r="GL54" i="54"/>
  <c r="GK54" i="54"/>
  <c r="GJ54" i="54"/>
  <c r="GI54" i="54"/>
  <c r="GH54" i="54"/>
  <c r="GG54" i="54"/>
  <c r="GF54" i="54"/>
  <c r="GE54" i="54"/>
  <c r="GD54" i="54"/>
  <c r="GC54" i="54"/>
  <c r="GB54" i="54"/>
  <c r="GA54" i="54"/>
  <c r="FZ54" i="54"/>
  <c r="FY54" i="54"/>
  <c r="FX54" i="54"/>
  <c r="FW54" i="54"/>
  <c r="FV54" i="54"/>
  <c r="FU54" i="54"/>
  <c r="FT54" i="54"/>
  <c r="AD54" i="54"/>
  <c r="AA54" i="54"/>
  <c r="Z54" i="54"/>
  <c r="Y54" i="54"/>
  <c r="X54" i="54"/>
  <c r="W54" i="54"/>
  <c r="V54" i="54"/>
  <c r="U54" i="54"/>
  <c r="T54" i="54"/>
  <c r="S54" i="54"/>
  <c r="R54" i="54"/>
  <c r="Q54" i="54"/>
  <c r="P54" i="54"/>
  <c r="O54" i="54"/>
  <c r="N54" i="54"/>
  <c r="M54" i="54"/>
  <c r="L54" i="54"/>
  <c r="BV54" i="54" s="1"/>
  <c r="X54" i="56" s="1"/>
  <c r="K54" i="54"/>
  <c r="BU54" i="54" s="1"/>
  <c r="W54" i="56" s="1"/>
  <c r="J54" i="54"/>
  <c r="BT54" i="54" s="1"/>
  <c r="V54" i="56" s="1"/>
  <c r="I54" i="54"/>
  <c r="AY54" i="54" s="1"/>
  <c r="H54" i="54"/>
  <c r="BR54" i="54" s="1"/>
  <c r="T54" i="56" s="1"/>
  <c r="G54" i="54"/>
  <c r="BG54" i="54" s="1"/>
  <c r="I54" i="56" s="1"/>
  <c r="F54" i="54"/>
  <c r="BP54" i="54" s="1"/>
  <c r="R54" i="56" s="1"/>
  <c r="E54" i="54"/>
  <c r="BO54" i="54" s="1"/>
  <c r="Q54" i="56" s="1"/>
  <c r="D54" i="54"/>
  <c r="BN54" i="54" s="1"/>
  <c r="P54" i="56" s="1"/>
  <c r="C54" i="54"/>
  <c r="BC54" i="54" s="1"/>
  <c r="E54" i="56" s="1"/>
  <c r="B54" i="54"/>
  <c r="AG54" i="54" s="1"/>
  <c r="B54" i="56" s="1"/>
  <c r="A54" i="54"/>
  <c r="AF54" i="54" s="1"/>
  <c r="A54" i="56" s="1"/>
  <c r="JO53" i="54"/>
  <c r="JN53" i="54"/>
  <c r="JM53" i="54"/>
  <c r="JL53" i="54"/>
  <c r="JK53" i="54"/>
  <c r="JJ53" i="54"/>
  <c r="JI53" i="54"/>
  <c r="JH53" i="54"/>
  <c r="JG53" i="54"/>
  <c r="JF53" i="54"/>
  <c r="JE53" i="54"/>
  <c r="JD53" i="54"/>
  <c r="JC53" i="54"/>
  <c r="JB53" i="54"/>
  <c r="JA53" i="54"/>
  <c r="IZ53" i="54"/>
  <c r="IY53" i="54"/>
  <c r="IX53" i="54"/>
  <c r="IW53" i="54"/>
  <c r="IV53" i="54"/>
  <c r="IU53" i="54"/>
  <c r="IT53" i="54"/>
  <c r="IS53" i="54"/>
  <c r="IR53" i="54"/>
  <c r="IQ53" i="54"/>
  <c r="IP53" i="54"/>
  <c r="IO53" i="54"/>
  <c r="IN53" i="54"/>
  <c r="IM53" i="54"/>
  <c r="IL53" i="54"/>
  <c r="IK53" i="54"/>
  <c r="IJ53" i="54"/>
  <c r="II53" i="54"/>
  <c r="IH53" i="54"/>
  <c r="IG53" i="54"/>
  <c r="IF53" i="54"/>
  <c r="IE53" i="54"/>
  <c r="ID53" i="54"/>
  <c r="IC53" i="54"/>
  <c r="IB53" i="54"/>
  <c r="IA53" i="54"/>
  <c r="HZ53" i="54"/>
  <c r="HY53" i="54"/>
  <c r="HX53" i="54"/>
  <c r="HW53" i="54"/>
  <c r="HV53" i="54"/>
  <c r="HU53" i="54"/>
  <c r="HT53" i="54"/>
  <c r="HS53" i="54"/>
  <c r="HR53" i="54"/>
  <c r="HQ53" i="54"/>
  <c r="HP53" i="54"/>
  <c r="HO53" i="54"/>
  <c r="HN53" i="54"/>
  <c r="HM53" i="54"/>
  <c r="HL53" i="54"/>
  <c r="HJ53" i="54"/>
  <c r="HI53" i="54"/>
  <c r="HH53" i="54"/>
  <c r="HG53" i="54"/>
  <c r="HF53" i="54"/>
  <c r="HE53" i="54"/>
  <c r="HD53" i="54"/>
  <c r="HC53" i="54"/>
  <c r="HB53" i="54"/>
  <c r="HA53" i="54"/>
  <c r="GZ53" i="54"/>
  <c r="GY53" i="54"/>
  <c r="GX53" i="54"/>
  <c r="GW53" i="54"/>
  <c r="GV53" i="54"/>
  <c r="GU53" i="54"/>
  <c r="GT53" i="54"/>
  <c r="GS53" i="54"/>
  <c r="GR53" i="54"/>
  <c r="GQ53" i="54"/>
  <c r="GP53" i="54"/>
  <c r="GO53" i="54"/>
  <c r="GN53" i="54"/>
  <c r="GM53" i="54"/>
  <c r="GL53" i="54"/>
  <c r="GK53" i="54"/>
  <c r="GJ53" i="54"/>
  <c r="GI53" i="54"/>
  <c r="GH53" i="54"/>
  <c r="GG53" i="54"/>
  <c r="GF53" i="54"/>
  <c r="GE53" i="54"/>
  <c r="GD53" i="54"/>
  <c r="GC53" i="54"/>
  <c r="GB53" i="54"/>
  <c r="GA53" i="54"/>
  <c r="FZ53" i="54"/>
  <c r="FY53" i="54"/>
  <c r="FX53" i="54"/>
  <c r="FW53" i="54"/>
  <c r="FV53" i="54"/>
  <c r="FU53" i="54"/>
  <c r="FT53" i="54"/>
  <c r="AT53" i="54"/>
  <c r="AD53" i="54"/>
  <c r="AA53" i="54"/>
  <c r="Z53" i="54"/>
  <c r="Y53" i="54"/>
  <c r="X53" i="54"/>
  <c r="W53" i="54"/>
  <c r="V53" i="54"/>
  <c r="U53" i="54"/>
  <c r="T53" i="54"/>
  <c r="S53" i="54"/>
  <c r="R53" i="54"/>
  <c r="Q53" i="54"/>
  <c r="P53" i="54"/>
  <c r="O53" i="54"/>
  <c r="N53" i="54"/>
  <c r="M53" i="54"/>
  <c r="L53" i="54"/>
  <c r="BV53" i="54" s="1"/>
  <c r="X53" i="56" s="1"/>
  <c r="K53" i="54"/>
  <c r="BU53" i="54" s="1"/>
  <c r="W53" i="56" s="1"/>
  <c r="J53" i="54"/>
  <c r="AZ53" i="54" s="1"/>
  <c r="I53" i="54"/>
  <c r="BS53" i="54" s="1"/>
  <c r="U53" i="56" s="1"/>
  <c r="H53" i="54"/>
  <c r="G53" i="54"/>
  <c r="BQ53" i="54" s="1"/>
  <c r="S53" i="56" s="1"/>
  <c r="F53" i="54"/>
  <c r="BP53" i="54" s="1"/>
  <c r="R53" i="56" s="1"/>
  <c r="E53" i="54"/>
  <c r="BO53" i="54" s="1"/>
  <c r="Q53" i="56" s="1"/>
  <c r="D53" i="54"/>
  <c r="BN53" i="54" s="1"/>
  <c r="P53" i="56" s="1"/>
  <c r="B53" i="54"/>
  <c r="AG53" i="54" s="1"/>
  <c r="B53" i="56" s="1"/>
  <c r="A53" i="54"/>
  <c r="AF53" i="54" s="1"/>
  <c r="A53" i="56" s="1"/>
  <c r="JO52" i="54"/>
  <c r="JN52" i="54"/>
  <c r="JM52" i="54"/>
  <c r="JL52" i="54"/>
  <c r="JK52" i="54"/>
  <c r="JJ52" i="54"/>
  <c r="JI52" i="54"/>
  <c r="JH52" i="54"/>
  <c r="JG52" i="54"/>
  <c r="JF52" i="54"/>
  <c r="JE52" i="54"/>
  <c r="JD52" i="54"/>
  <c r="JC52" i="54"/>
  <c r="JB52" i="54"/>
  <c r="JA52" i="54"/>
  <c r="IZ52" i="54"/>
  <c r="IY52" i="54"/>
  <c r="IX52" i="54"/>
  <c r="IW52" i="54"/>
  <c r="IV52" i="54"/>
  <c r="IU52" i="54"/>
  <c r="IT52" i="54"/>
  <c r="IS52" i="54"/>
  <c r="IR52" i="54"/>
  <c r="IQ52" i="54"/>
  <c r="IP52" i="54"/>
  <c r="IO52" i="54"/>
  <c r="IN52" i="54"/>
  <c r="IM52" i="54"/>
  <c r="IL52" i="54"/>
  <c r="IK52" i="54"/>
  <c r="IJ52" i="54"/>
  <c r="II52" i="54"/>
  <c r="IH52" i="54"/>
  <c r="IG52" i="54"/>
  <c r="IF52" i="54"/>
  <c r="IE52" i="54"/>
  <c r="ID52" i="54"/>
  <c r="IC52" i="54"/>
  <c r="IB52" i="54"/>
  <c r="IA52" i="54"/>
  <c r="HZ52" i="54"/>
  <c r="HY52" i="54"/>
  <c r="HX52" i="54"/>
  <c r="HW52" i="54"/>
  <c r="HV52" i="54"/>
  <c r="HU52" i="54"/>
  <c r="HT52" i="54"/>
  <c r="HS52" i="54"/>
  <c r="HR52" i="54"/>
  <c r="HQ52" i="54"/>
  <c r="HP52" i="54"/>
  <c r="HO52" i="54"/>
  <c r="HN52" i="54"/>
  <c r="HM52" i="54"/>
  <c r="HL52" i="54"/>
  <c r="HI52" i="54"/>
  <c r="HH52" i="54"/>
  <c r="HG52" i="54"/>
  <c r="HF52" i="54"/>
  <c r="HE52" i="54"/>
  <c r="HD52" i="54"/>
  <c r="HC52" i="54"/>
  <c r="HB52" i="54"/>
  <c r="HA52" i="54"/>
  <c r="GZ52" i="54"/>
  <c r="GY52" i="54"/>
  <c r="GX52" i="54"/>
  <c r="GW52" i="54"/>
  <c r="GV52" i="54"/>
  <c r="GU52" i="54"/>
  <c r="GT52" i="54"/>
  <c r="GS52" i="54"/>
  <c r="GR52" i="54"/>
  <c r="GQ52" i="54"/>
  <c r="GP52" i="54"/>
  <c r="GO52" i="54"/>
  <c r="GN52" i="54"/>
  <c r="GM52" i="54"/>
  <c r="GL52" i="54"/>
  <c r="GK52" i="54"/>
  <c r="GJ52" i="54"/>
  <c r="GI52" i="54"/>
  <c r="GH52" i="54"/>
  <c r="GG52" i="54"/>
  <c r="GF52" i="54"/>
  <c r="GE52" i="54"/>
  <c r="GD52" i="54"/>
  <c r="GC52" i="54"/>
  <c r="GB52" i="54"/>
  <c r="GA52" i="54"/>
  <c r="FZ52" i="54"/>
  <c r="FY52" i="54"/>
  <c r="FX52" i="54"/>
  <c r="FW52" i="54"/>
  <c r="FV52" i="54"/>
  <c r="FU52" i="54"/>
  <c r="FT52" i="54"/>
  <c r="AD52" i="54"/>
  <c r="AA52" i="54"/>
  <c r="Z52" i="54"/>
  <c r="Y52" i="54"/>
  <c r="X52" i="54"/>
  <c r="W52" i="54"/>
  <c r="V52" i="54"/>
  <c r="U52" i="54"/>
  <c r="T52" i="54"/>
  <c r="S52" i="54"/>
  <c r="R52" i="54"/>
  <c r="Q52" i="54"/>
  <c r="P52" i="54"/>
  <c r="O52" i="54"/>
  <c r="N52" i="54"/>
  <c r="L52" i="54"/>
  <c r="BV52" i="54" s="1"/>
  <c r="X52" i="56" s="1"/>
  <c r="K52" i="54"/>
  <c r="BA52" i="54" s="1"/>
  <c r="J52" i="54"/>
  <c r="BT52" i="54" s="1"/>
  <c r="V52" i="56" s="1"/>
  <c r="G52" i="54"/>
  <c r="BQ52" i="54" s="1"/>
  <c r="S52" i="56" s="1"/>
  <c r="F52" i="54"/>
  <c r="E52" i="54"/>
  <c r="BO52" i="54" s="1"/>
  <c r="Q52" i="56" s="1"/>
  <c r="D52" i="54"/>
  <c r="BN52" i="54" s="1"/>
  <c r="P52" i="56" s="1"/>
  <c r="B52" i="54"/>
  <c r="AG52" i="54" s="1"/>
  <c r="B52" i="56" s="1"/>
  <c r="A52" i="54"/>
  <c r="AF52" i="54" s="1"/>
  <c r="A52" i="56" s="1"/>
  <c r="JO51" i="54"/>
  <c r="JN51" i="54"/>
  <c r="JM51" i="54"/>
  <c r="JL51" i="54"/>
  <c r="JK51" i="54"/>
  <c r="JJ51" i="54"/>
  <c r="JI51" i="54"/>
  <c r="JH51" i="54"/>
  <c r="JG51" i="54"/>
  <c r="JF51" i="54"/>
  <c r="JE51" i="54"/>
  <c r="JD51" i="54"/>
  <c r="JC51" i="54"/>
  <c r="JB51" i="54"/>
  <c r="JA51" i="54"/>
  <c r="IZ51" i="54"/>
  <c r="IY51" i="54"/>
  <c r="IX51" i="54"/>
  <c r="IW51" i="54"/>
  <c r="IV51" i="54"/>
  <c r="IU51" i="54"/>
  <c r="IT51" i="54"/>
  <c r="IS51" i="54"/>
  <c r="IR51" i="54"/>
  <c r="IQ51" i="54"/>
  <c r="IP51" i="54"/>
  <c r="IO51" i="54"/>
  <c r="IN51" i="54"/>
  <c r="IM51" i="54"/>
  <c r="IL51" i="54"/>
  <c r="IK51" i="54"/>
  <c r="IJ51" i="54"/>
  <c r="II51" i="54"/>
  <c r="IH51" i="54"/>
  <c r="IG51" i="54"/>
  <c r="IF51" i="54"/>
  <c r="IE51" i="54"/>
  <c r="ID51" i="54"/>
  <c r="IC51" i="54"/>
  <c r="IB51" i="54"/>
  <c r="IA51" i="54"/>
  <c r="HZ51" i="54"/>
  <c r="HY51" i="54"/>
  <c r="HX51" i="54"/>
  <c r="HW51" i="54"/>
  <c r="HV51" i="54"/>
  <c r="HU51" i="54"/>
  <c r="HT51" i="54"/>
  <c r="HS51" i="54"/>
  <c r="HR51" i="54"/>
  <c r="HQ51" i="54"/>
  <c r="HP51" i="54"/>
  <c r="HO51" i="54"/>
  <c r="HN51" i="54"/>
  <c r="HM51" i="54"/>
  <c r="HL51" i="54"/>
  <c r="HI51" i="54"/>
  <c r="HH51" i="54"/>
  <c r="HG51" i="54"/>
  <c r="HF51" i="54"/>
  <c r="HE51" i="54"/>
  <c r="HD51" i="54"/>
  <c r="HC51" i="54"/>
  <c r="HB51" i="54"/>
  <c r="HA51" i="54"/>
  <c r="GZ51" i="54"/>
  <c r="GY51" i="54"/>
  <c r="GX51" i="54"/>
  <c r="GW51" i="54"/>
  <c r="GV51" i="54"/>
  <c r="GU51" i="54"/>
  <c r="GT51" i="54"/>
  <c r="GS51" i="54"/>
  <c r="GR51" i="54"/>
  <c r="GQ51" i="54"/>
  <c r="GP51" i="54"/>
  <c r="GO51" i="54"/>
  <c r="GN51" i="54"/>
  <c r="GM51" i="54"/>
  <c r="GL51" i="54"/>
  <c r="GK51" i="54"/>
  <c r="GJ51" i="54"/>
  <c r="GI51" i="54"/>
  <c r="GH51" i="54"/>
  <c r="GG51" i="54"/>
  <c r="GF51" i="54"/>
  <c r="GE51" i="54"/>
  <c r="GD51" i="54"/>
  <c r="GC51" i="54"/>
  <c r="GB51" i="54"/>
  <c r="GA51" i="54"/>
  <c r="FZ51" i="54"/>
  <c r="FY51" i="54"/>
  <c r="FX51" i="54"/>
  <c r="FW51" i="54"/>
  <c r="FV51" i="54"/>
  <c r="FU51" i="54"/>
  <c r="FT51" i="54"/>
  <c r="AD51" i="54"/>
  <c r="AA51" i="54"/>
  <c r="Z51" i="54"/>
  <c r="Y51" i="54"/>
  <c r="X51" i="54"/>
  <c r="W51" i="54"/>
  <c r="V51" i="54"/>
  <c r="U51" i="54"/>
  <c r="T51" i="54"/>
  <c r="S51" i="54"/>
  <c r="R51" i="54"/>
  <c r="Q51" i="54"/>
  <c r="P51" i="54"/>
  <c r="O51" i="54"/>
  <c r="N51" i="54"/>
  <c r="L51" i="54"/>
  <c r="BB51" i="54" s="1"/>
  <c r="K51" i="54"/>
  <c r="BU51" i="54" s="1"/>
  <c r="W51" i="56" s="1"/>
  <c r="J51" i="54"/>
  <c r="BJ51" i="54" s="1"/>
  <c r="L51" i="56" s="1"/>
  <c r="G51" i="54"/>
  <c r="F51" i="54"/>
  <c r="BP51" i="54" s="1"/>
  <c r="R51" i="56" s="1"/>
  <c r="E51" i="54"/>
  <c r="BO51" i="54" s="1"/>
  <c r="Q51" i="56" s="1"/>
  <c r="D51" i="54"/>
  <c r="AT51" i="54" s="1"/>
  <c r="B51" i="54"/>
  <c r="AG51" i="54" s="1"/>
  <c r="B51" i="56" s="1"/>
  <c r="A51" i="54"/>
  <c r="AF51" i="54" s="1"/>
  <c r="A51" i="56" s="1"/>
  <c r="JO50" i="54"/>
  <c r="JN50" i="54"/>
  <c r="JM50" i="54"/>
  <c r="JL50" i="54"/>
  <c r="JK50" i="54"/>
  <c r="JJ50" i="54"/>
  <c r="JI50" i="54"/>
  <c r="JH50" i="54"/>
  <c r="JG50" i="54"/>
  <c r="JF50" i="54"/>
  <c r="JE50" i="54"/>
  <c r="JD50" i="54"/>
  <c r="JC50" i="54"/>
  <c r="JB50" i="54"/>
  <c r="JA50" i="54"/>
  <c r="IZ50" i="54"/>
  <c r="IY50" i="54"/>
  <c r="IX50" i="54"/>
  <c r="IW50" i="54"/>
  <c r="IV50" i="54"/>
  <c r="IU50" i="54"/>
  <c r="IT50" i="54"/>
  <c r="IS50" i="54"/>
  <c r="IR50" i="54"/>
  <c r="IQ50" i="54"/>
  <c r="IP50" i="54"/>
  <c r="IO50" i="54"/>
  <c r="IN50" i="54"/>
  <c r="IM50" i="54"/>
  <c r="IL50" i="54"/>
  <c r="IK50" i="54"/>
  <c r="IJ50" i="54"/>
  <c r="II50" i="54"/>
  <c r="IH50" i="54"/>
  <c r="IG50" i="54"/>
  <c r="IF50" i="54"/>
  <c r="IE50" i="54"/>
  <c r="ID50" i="54"/>
  <c r="IC50" i="54"/>
  <c r="IB50" i="54"/>
  <c r="IA50" i="54"/>
  <c r="HZ50" i="54"/>
  <c r="HY50" i="54"/>
  <c r="HX50" i="54"/>
  <c r="HW50" i="54"/>
  <c r="HV50" i="54"/>
  <c r="HU50" i="54"/>
  <c r="HT50" i="54"/>
  <c r="HS50" i="54"/>
  <c r="HR50" i="54"/>
  <c r="HQ50" i="54"/>
  <c r="HP50" i="54"/>
  <c r="HO50" i="54"/>
  <c r="HN50" i="54"/>
  <c r="HM50" i="54"/>
  <c r="HL50" i="54"/>
  <c r="HI50" i="54"/>
  <c r="HH50" i="54"/>
  <c r="HG50" i="54"/>
  <c r="HF50" i="54"/>
  <c r="HE50" i="54"/>
  <c r="HD50" i="54"/>
  <c r="HC50" i="54"/>
  <c r="HB50" i="54"/>
  <c r="HA50" i="54"/>
  <c r="GZ50" i="54"/>
  <c r="GY50" i="54"/>
  <c r="GX50" i="54"/>
  <c r="GW50" i="54"/>
  <c r="GV50" i="54"/>
  <c r="GU50" i="54"/>
  <c r="GT50" i="54"/>
  <c r="GS50" i="54"/>
  <c r="GR50" i="54"/>
  <c r="GQ50" i="54"/>
  <c r="GP50" i="54"/>
  <c r="GO50" i="54"/>
  <c r="GN50" i="54"/>
  <c r="GM50" i="54"/>
  <c r="GL50" i="54"/>
  <c r="GK50" i="54"/>
  <c r="GJ50" i="54"/>
  <c r="GI50" i="54"/>
  <c r="GH50" i="54"/>
  <c r="GG50" i="54"/>
  <c r="GF50" i="54"/>
  <c r="GE50" i="54"/>
  <c r="GD50" i="54"/>
  <c r="GC50" i="54"/>
  <c r="GB50" i="54"/>
  <c r="GA50" i="54"/>
  <c r="FZ50" i="54"/>
  <c r="FY50" i="54"/>
  <c r="FX50" i="54"/>
  <c r="FW50" i="54"/>
  <c r="FV50" i="54"/>
  <c r="FU50" i="54"/>
  <c r="FT50" i="54"/>
  <c r="AD50" i="54"/>
  <c r="AA50" i="54"/>
  <c r="Z50" i="54"/>
  <c r="Y50" i="54"/>
  <c r="X50" i="54"/>
  <c r="W50" i="54"/>
  <c r="V50" i="54"/>
  <c r="U50" i="54"/>
  <c r="T50" i="54"/>
  <c r="S50" i="54"/>
  <c r="R50" i="54"/>
  <c r="Q50" i="54"/>
  <c r="P50" i="54"/>
  <c r="O50" i="54"/>
  <c r="N50" i="54"/>
  <c r="L50" i="54"/>
  <c r="BV50" i="54" s="1"/>
  <c r="X50" i="56" s="1"/>
  <c r="K50" i="54"/>
  <c r="BK50" i="54" s="1"/>
  <c r="M50" i="56" s="1"/>
  <c r="J50" i="54"/>
  <c r="AZ50" i="54" s="1"/>
  <c r="G50" i="54"/>
  <c r="BQ50" i="54" s="1"/>
  <c r="S50" i="56" s="1"/>
  <c r="F50" i="54"/>
  <c r="BP50" i="54" s="1"/>
  <c r="R50" i="56" s="1"/>
  <c r="E50" i="54"/>
  <c r="AU50" i="54" s="1"/>
  <c r="D50" i="54"/>
  <c r="BN50" i="54" s="1"/>
  <c r="P50" i="56" s="1"/>
  <c r="B50" i="54"/>
  <c r="AG50" i="54" s="1"/>
  <c r="B50" i="56" s="1"/>
  <c r="A50" i="54"/>
  <c r="AF50" i="54" s="1"/>
  <c r="A50" i="56" s="1"/>
  <c r="JO49" i="54"/>
  <c r="JN49" i="54"/>
  <c r="JM49" i="54"/>
  <c r="JL49" i="54"/>
  <c r="JK49" i="54"/>
  <c r="JJ49" i="54"/>
  <c r="JI49" i="54"/>
  <c r="JH49" i="54"/>
  <c r="JG49" i="54"/>
  <c r="JF49" i="54"/>
  <c r="JE49" i="54"/>
  <c r="JD49" i="54"/>
  <c r="JC49" i="54"/>
  <c r="JB49" i="54"/>
  <c r="JA49" i="54"/>
  <c r="IZ49" i="54"/>
  <c r="IY49" i="54"/>
  <c r="IX49" i="54"/>
  <c r="IW49" i="54"/>
  <c r="IV49" i="54"/>
  <c r="IU49" i="54"/>
  <c r="IT49" i="54"/>
  <c r="IS49" i="54"/>
  <c r="IR49" i="54"/>
  <c r="IQ49" i="54"/>
  <c r="IP49" i="54"/>
  <c r="IO49" i="54"/>
  <c r="IN49" i="54"/>
  <c r="IM49" i="54"/>
  <c r="IL49" i="54"/>
  <c r="IK49" i="54"/>
  <c r="IJ49" i="54"/>
  <c r="II49" i="54"/>
  <c r="IH49" i="54"/>
  <c r="IG49" i="54"/>
  <c r="IF49" i="54"/>
  <c r="IE49" i="54"/>
  <c r="ID49" i="54"/>
  <c r="IC49" i="54"/>
  <c r="IB49" i="54"/>
  <c r="IA49" i="54"/>
  <c r="HZ49" i="54"/>
  <c r="HY49" i="54"/>
  <c r="HX49" i="54"/>
  <c r="HW49" i="54"/>
  <c r="HV49" i="54"/>
  <c r="HU49" i="54"/>
  <c r="HT49" i="54"/>
  <c r="HS49" i="54"/>
  <c r="HR49" i="54"/>
  <c r="HQ49" i="54"/>
  <c r="HP49" i="54"/>
  <c r="HO49" i="54"/>
  <c r="HN49" i="54"/>
  <c r="HM49" i="54"/>
  <c r="HL49" i="54"/>
  <c r="HI49" i="54"/>
  <c r="HH49" i="54"/>
  <c r="HG49" i="54"/>
  <c r="HF49" i="54"/>
  <c r="HE49" i="54"/>
  <c r="HD49" i="54"/>
  <c r="HC49" i="54"/>
  <c r="HB49" i="54"/>
  <c r="HA49" i="54"/>
  <c r="GZ49" i="54"/>
  <c r="GY49" i="54"/>
  <c r="GX49" i="54"/>
  <c r="GW49" i="54"/>
  <c r="GV49" i="54"/>
  <c r="GU49" i="54"/>
  <c r="GT49" i="54"/>
  <c r="GS49" i="54"/>
  <c r="GR49" i="54"/>
  <c r="GQ49" i="54"/>
  <c r="GP49" i="54"/>
  <c r="GO49" i="54"/>
  <c r="GN49" i="54"/>
  <c r="GM49" i="54"/>
  <c r="GL49" i="54"/>
  <c r="GK49" i="54"/>
  <c r="GJ49" i="54"/>
  <c r="GI49" i="54"/>
  <c r="GH49" i="54"/>
  <c r="GG49" i="54"/>
  <c r="GF49" i="54"/>
  <c r="GE49" i="54"/>
  <c r="GD49" i="54"/>
  <c r="GC49" i="54"/>
  <c r="GB49" i="54"/>
  <c r="GA49" i="54"/>
  <c r="FZ49" i="54"/>
  <c r="FY49" i="54"/>
  <c r="FX49" i="54"/>
  <c r="FW49" i="54"/>
  <c r="FV49" i="54"/>
  <c r="FU49" i="54"/>
  <c r="FT49" i="54"/>
  <c r="AD49" i="54"/>
  <c r="AA49" i="54"/>
  <c r="Z49" i="54"/>
  <c r="Y49" i="54"/>
  <c r="X49" i="54"/>
  <c r="W49" i="54"/>
  <c r="V49" i="54"/>
  <c r="U49" i="54"/>
  <c r="T49" i="54"/>
  <c r="S49" i="54"/>
  <c r="R49" i="54"/>
  <c r="Q49" i="54"/>
  <c r="P49" i="54"/>
  <c r="O49" i="54"/>
  <c r="N49" i="54"/>
  <c r="L49" i="54"/>
  <c r="BL49" i="54" s="1"/>
  <c r="N49" i="56" s="1"/>
  <c r="K49" i="54"/>
  <c r="BA49" i="54" s="1"/>
  <c r="J49" i="54"/>
  <c r="BT49" i="54" s="1"/>
  <c r="V49" i="56" s="1"/>
  <c r="G49" i="54"/>
  <c r="BQ49" i="54" s="1"/>
  <c r="S49" i="56" s="1"/>
  <c r="F49" i="54"/>
  <c r="AV49" i="54" s="1"/>
  <c r="E49" i="54"/>
  <c r="BO49" i="54" s="1"/>
  <c r="Q49" i="56" s="1"/>
  <c r="D49" i="54"/>
  <c r="BD49" i="54" s="1"/>
  <c r="F49" i="56" s="1"/>
  <c r="B49" i="54"/>
  <c r="AG49" i="54" s="1"/>
  <c r="B49" i="56" s="1"/>
  <c r="A49" i="54"/>
  <c r="AF49" i="54" s="1"/>
  <c r="A49" i="56" s="1"/>
  <c r="JO48" i="54"/>
  <c r="JN48" i="54"/>
  <c r="JM48" i="54"/>
  <c r="JL48" i="54"/>
  <c r="JK48" i="54"/>
  <c r="JJ48" i="54"/>
  <c r="JI48" i="54"/>
  <c r="JH48" i="54"/>
  <c r="JG48" i="54"/>
  <c r="JF48" i="54"/>
  <c r="JE48" i="54"/>
  <c r="JD48" i="54"/>
  <c r="JC48" i="54"/>
  <c r="JB48" i="54"/>
  <c r="JA48" i="54"/>
  <c r="IZ48" i="54"/>
  <c r="IY48" i="54"/>
  <c r="IX48" i="54"/>
  <c r="IW48" i="54"/>
  <c r="IV48" i="54"/>
  <c r="IU48" i="54"/>
  <c r="IT48" i="54"/>
  <c r="IS48" i="54"/>
  <c r="IR48" i="54"/>
  <c r="IQ48" i="54"/>
  <c r="IP48" i="54"/>
  <c r="IO48" i="54"/>
  <c r="IN48" i="54"/>
  <c r="IM48" i="54"/>
  <c r="IL48" i="54"/>
  <c r="IK48" i="54"/>
  <c r="IJ48" i="54"/>
  <c r="II48" i="54"/>
  <c r="IH48" i="54"/>
  <c r="IG48" i="54"/>
  <c r="IF48" i="54"/>
  <c r="IE48" i="54"/>
  <c r="ID48" i="54"/>
  <c r="IC48" i="54"/>
  <c r="IB48" i="54"/>
  <c r="IA48" i="54"/>
  <c r="HZ48" i="54"/>
  <c r="HY48" i="54"/>
  <c r="HX48" i="54"/>
  <c r="HW48" i="54"/>
  <c r="HV48" i="54"/>
  <c r="HU48" i="54"/>
  <c r="HT48" i="54"/>
  <c r="HS48" i="54"/>
  <c r="HR48" i="54"/>
  <c r="HQ48" i="54"/>
  <c r="HP48" i="54"/>
  <c r="HO48" i="54"/>
  <c r="HN48" i="54"/>
  <c r="HM48" i="54"/>
  <c r="HL48" i="54"/>
  <c r="HI48" i="54"/>
  <c r="HH48" i="54"/>
  <c r="HG48" i="54"/>
  <c r="HF48" i="54"/>
  <c r="HE48" i="54"/>
  <c r="HD48" i="54"/>
  <c r="HC48" i="54"/>
  <c r="HB48" i="54"/>
  <c r="HA48" i="54"/>
  <c r="GZ48" i="54"/>
  <c r="GY48" i="54"/>
  <c r="GX48" i="54"/>
  <c r="GW48" i="54"/>
  <c r="GV48" i="54"/>
  <c r="GU48" i="54"/>
  <c r="GT48" i="54"/>
  <c r="GS48" i="54"/>
  <c r="GR48" i="54"/>
  <c r="GQ48" i="54"/>
  <c r="GP48" i="54"/>
  <c r="GO48" i="54"/>
  <c r="GN48" i="54"/>
  <c r="GM48" i="54"/>
  <c r="GL48" i="54"/>
  <c r="GK48" i="54"/>
  <c r="GJ48" i="54"/>
  <c r="GI48" i="54"/>
  <c r="GH48" i="54"/>
  <c r="GG48" i="54"/>
  <c r="GF48" i="54"/>
  <c r="GE48" i="54"/>
  <c r="GD48" i="54"/>
  <c r="GC48" i="54"/>
  <c r="GB48" i="54"/>
  <c r="GA48" i="54"/>
  <c r="FZ48" i="54"/>
  <c r="FY48" i="54"/>
  <c r="FX48" i="54"/>
  <c r="FW48" i="54"/>
  <c r="FV48" i="54"/>
  <c r="FU48" i="54"/>
  <c r="FT48" i="54"/>
  <c r="AD48" i="54"/>
  <c r="AA48" i="54"/>
  <c r="Z48" i="54"/>
  <c r="Y48" i="54"/>
  <c r="X48" i="54"/>
  <c r="W48" i="54"/>
  <c r="V48" i="54"/>
  <c r="U48" i="54"/>
  <c r="T48" i="54"/>
  <c r="S48" i="54"/>
  <c r="R48" i="54"/>
  <c r="Q48" i="54"/>
  <c r="P48" i="54"/>
  <c r="O48" i="54"/>
  <c r="N48" i="54"/>
  <c r="L48" i="54"/>
  <c r="BB48" i="54" s="1"/>
  <c r="K48" i="54"/>
  <c r="BU48" i="54" s="1"/>
  <c r="W48" i="56" s="1"/>
  <c r="J48" i="54"/>
  <c r="BT48" i="54" s="1"/>
  <c r="V48" i="56" s="1"/>
  <c r="G48" i="54"/>
  <c r="AW48" i="54" s="1"/>
  <c r="F48" i="54"/>
  <c r="BP48" i="54" s="1"/>
  <c r="R48" i="56" s="1"/>
  <c r="E48" i="54"/>
  <c r="BE48" i="54" s="1"/>
  <c r="G48" i="56" s="1"/>
  <c r="D48" i="54"/>
  <c r="AT48" i="54" s="1"/>
  <c r="B48" i="54"/>
  <c r="AG48" i="54" s="1"/>
  <c r="B48" i="56" s="1"/>
  <c r="A48" i="54"/>
  <c r="AF48" i="54" s="1"/>
  <c r="A48" i="56" s="1"/>
  <c r="JO47" i="54"/>
  <c r="JN47" i="54"/>
  <c r="JM47" i="54"/>
  <c r="JL47" i="54"/>
  <c r="JK47" i="54"/>
  <c r="JJ47" i="54"/>
  <c r="JI47" i="54"/>
  <c r="JH47" i="54"/>
  <c r="JG47" i="54"/>
  <c r="JF47" i="54"/>
  <c r="JE47" i="54"/>
  <c r="JD47" i="54"/>
  <c r="JC47" i="54"/>
  <c r="JB47" i="54"/>
  <c r="JA47" i="54"/>
  <c r="IZ47" i="54"/>
  <c r="IY47" i="54"/>
  <c r="IX47" i="54"/>
  <c r="IW47" i="54"/>
  <c r="IV47" i="54"/>
  <c r="IU47" i="54"/>
  <c r="IT47" i="54"/>
  <c r="IS47" i="54"/>
  <c r="IR47" i="54"/>
  <c r="IQ47" i="54"/>
  <c r="IP47" i="54"/>
  <c r="IO47" i="54"/>
  <c r="IN47" i="54"/>
  <c r="IM47" i="54"/>
  <c r="IL47" i="54"/>
  <c r="IK47" i="54"/>
  <c r="IJ47" i="54"/>
  <c r="II47" i="54"/>
  <c r="IH47" i="54"/>
  <c r="IG47" i="54"/>
  <c r="IF47" i="54"/>
  <c r="IE47" i="54"/>
  <c r="ID47" i="54"/>
  <c r="IC47" i="54"/>
  <c r="IB47" i="54"/>
  <c r="IA47" i="54"/>
  <c r="HZ47" i="54"/>
  <c r="HY47" i="54"/>
  <c r="HX47" i="54"/>
  <c r="HW47" i="54"/>
  <c r="HV47" i="54"/>
  <c r="HU47" i="54"/>
  <c r="HT47" i="54"/>
  <c r="HS47" i="54"/>
  <c r="HR47" i="54"/>
  <c r="HQ47" i="54"/>
  <c r="HP47" i="54"/>
  <c r="HO47" i="54"/>
  <c r="HN47" i="54"/>
  <c r="HM47" i="54"/>
  <c r="HK47" i="54"/>
  <c r="HI47" i="54"/>
  <c r="HH47" i="54"/>
  <c r="HG47" i="54"/>
  <c r="HF47" i="54"/>
  <c r="HE47" i="54"/>
  <c r="HD47" i="54"/>
  <c r="HC47" i="54"/>
  <c r="HB47" i="54"/>
  <c r="HA47" i="54"/>
  <c r="GZ47" i="54"/>
  <c r="GY47" i="54"/>
  <c r="GX47" i="54"/>
  <c r="GW47" i="54"/>
  <c r="GU47" i="54"/>
  <c r="GT47" i="54"/>
  <c r="GS47" i="54"/>
  <c r="GR47" i="54"/>
  <c r="GQ47" i="54"/>
  <c r="GP47" i="54"/>
  <c r="GO47" i="54"/>
  <c r="GN47" i="54"/>
  <c r="GM47" i="54"/>
  <c r="GL47" i="54"/>
  <c r="GK47" i="54"/>
  <c r="GJ47" i="54"/>
  <c r="GI47" i="54"/>
  <c r="GH47" i="54"/>
  <c r="GG47" i="54"/>
  <c r="GF47" i="54"/>
  <c r="GE47" i="54"/>
  <c r="GD47" i="54"/>
  <c r="GC47" i="54"/>
  <c r="GB47" i="54"/>
  <c r="GA47" i="54"/>
  <c r="FZ47" i="54"/>
  <c r="FY47" i="54"/>
  <c r="FX47" i="54"/>
  <c r="FW47" i="54"/>
  <c r="FV47" i="54"/>
  <c r="FU47" i="54"/>
  <c r="FT47" i="54"/>
  <c r="AD47" i="54"/>
  <c r="AA47" i="54"/>
  <c r="Z47" i="54"/>
  <c r="Y47" i="54"/>
  <c r="X47" i="54"/>
  <c r="W47" i="54"/>
  <c r="V47" i="54"/>
  <c r="U47" i="54"/>
  <c r="T47" i="54"/>
  <c r="S47" i="54"/>
  <c r="R47" i="54"/>
  <c r="Q47" i="54"/>
  <c r="P47" i="54"/>
  <c r="O47" i="54"/>
  <c r="N47" i="54"/>
  <c r="L47" i="54"/>
  <c r="BV47" i="54" s="1"/>
  <c r="X47" i="56" s="1"/>
  <c r="K47" i="54"/>
  <c r="BU47" i="54" s="1"/>
  <c r="W47" i="56" s="1"/>
  <c r="J47" i="54"/>
  <c r="BT47" i="54" s="1"/>
  <c r="V47" i="56" s="1"/>
  <c r="G47" i="54"/>
  <c r="BQ47" i="54" s="1"/>
  <c r="S47" i="56" s="1"/>
  <c r="F47" i="54"/>
  <c r="BF47" i="54" s="1"/>
  <c r="H47" i="56" s="1"/>
  <c r="E47" i="54"/>
  <c r="AU47" i="54" s="1"/>
  <c r="D47" i="54"/>
  <c r="BN47" i="54" s="1"/>
  <c r="P47" i="56" s="1"/>
  <c r="B47" i="54"/>
  <c r="AG47" i="54" s="1"/>
  <c r="B47" i="56" s="1"/>
  <c r="A47" i="54"/>
  <c r="AF47" i="54" s="1"/>
  <c r="A47" i="56" s="1"/>
  <c r="JO46" i="54"/>
  <c r="JN46" i="54"/>
  <c r="JM46" i="54"/>
  <c r="JL46" i="54"/>
  <c r="JK46" i="54"/>
  <c r="JJ46" i="54"/>
  <c r="JI46" i="54"/>
  <c r="JH46" i="54"/>
  <c r="JG46" i="54"/>
  <c r="JF46" i="54"/>
  <c r="JE46" i="54"/>
  <c r="JD46" i="54"/>
  <c r="JC46" i="54"/>
  <c r="JB46" i="54"/>
  <c r="JA46" i="54"/>
  <c r="IZ46" i="54"/>
  <c r="IY46" i="54"/>
  <c r="IX46" i="54"/>
  <c r="IW46" i="54"/>
  <c r="IV46" i="54"/>
  <c r="IU46" i="54"/>
  <c r="IT46" i="54"/>
  <c r="IS46" i="54"/>
  <c r="IR46" i="54"/>
  <c r="IQ46" i="54"/>
  <c r="IP46" i="54"/>
  <c r="IO46" i="54"/>
  <c r="IN46" i="54"/>
  <c r="IM46" i="54"/>
  <c r="IL46" i="54"/>
  <c r="IK46" i="54"/>
  <c r="IJ46" i="54"/>
  <c r="II46" i="54"/>
  <c r="IH46" i="54"/>
  <c r="IG46" i="54"/>
  <c r="IF46" i="54"/>
  <c r="IE46" i="54"/>
  <c r="ID46" i="54"/>
  <c r="IC46" i="54"/>
  <c r="IB46" i="54"/>
  <c r="IA46" i="54"/>
  <c r="HZ46" i="54"/>
  <c r="HY46" i="54"/>
  <c r="HX46" i="54"/>
  <c r="HW46" i="54"/>
  <c r="HV46" i="54"/>
  <c r="HU46" i="54"/>
  <c r="HT46" i="54"/>
  <c r="HS46" i="54"/>
  <c r="HR46" i="54"/>
  <c r="HQ46" i="54"/>
  <c r="HP46" i="54"/>
  <c r="HO46" i="54"/>
  <c r="HN46" i="54"/>
  <c r="HM46" i="54"/>
  <c r="HL46" i="54"/>
  <c r="HJ46" i="54"/>
  <c r="HI46" i="54"/>
  <c r="HH46" i="54"/>
  <c r="HG46" i="54"/>
  <c r="HF46" i="54"/>
  <c r="HE46" i="54"/>
  <c r="HD46" i="54"/>
  <c r="HC46" i="54"/>
  <c r="HB46" i="54"/>
  <c r="HA46" i="54"/>
  <c r="GZ46" i="54"/>
  <c r="GY46" i="54"/>
  <c r="GX46" i="54"/>
  <c r="GW46" i="54"/>
  <c r="GV46" i="54"/>
  <c r="GU46" i="54"/>
  <c r="GT46" i="54"/>
  <c r="GS46" i="54"/>
  <c r="GR46" i="54"/>
  <c r="GQ46" i="54"/>
  <c r="GP46" i="54"/>
  <c r="GO46" i="54"/>
  <c r="GN46" i="54"/>
  <c r="GM46" i="54"/>
  <c r="GL46" i="54"/>
  <c r="GK46" i="54"/>
  <c r="GJ46" i="54"/>
  <c r="GI46" i="54"/>
  <c r="GH46" i="54"/>
  <c r="GG46" i="54"/>
  <c r="GF46" i="54"/>
  <c r="GE46" i="54"/>
  <c r="GD46" i="54"/>
  <c r="GC46" i="54"/>
  <c r="GB46" i="54"/>
  <c r="GA46" i="54"/>
  <c r="FZ46" i="54"/>
  <c r="FY46" i="54"/>
  <c r="FX46" i="54"/>
  <c r="FW46" i="54"/>
  <c r="FV46" i="54"/>
  <c r="FU46" i="54"/>
  <c r="FT46" i="54"/>
  <c r="AD46" i="54"/>
  <c r="AA46" i="54"/>
  <c r="Z46" i="54"/>
  <c r="Y46" i="54"/>
  <c r="X46" i="54"/>
  <c r="W46" i="54"/>
  <c r="V46" i="54"/>
  <c r="U46" i="54"/>
  <c r="T46" i="54"/>
  <c r="S46" i="54"/>
  <c r="R46" i="54"/>
  <c r="Q46" i="54"/>
  <c r="P46" i="54"/>
  <c r="O46" i="54"/>
  <c r="N46" i="54"/>
  <c r="L46" i="54"/>
  <c r="K46" i="54"/>
  <c r="BU46" i="54" s="1"/>
  <c r="W46" i="56" s="1"/>
  <c r="J46" i="54"/>
  <c r="BT46" i="54" s="1"/>
  <c r="V46" i="56" s="1"/>
  <c r="G46" i="54"/>
  <c r="BG46" i="54" s="1"/>
  <c r="I46" i="56" s="1"/>
  <c r="F46" i="54"/>
  <c r="AV46" i="54" s="1"/>
  <c r="E46" i="54"/>
  <c r="BO46" i="54" s="1"/>
  <c r="Q46" i="56" s="1"/>
  <c r="D46" i="54"/>
  <c r="B46" i="54"/>
  <c r="AG46" i="54" s="1"/>
  <c r="B46" i="56" s="1"/>
  <c r="A46" i="54"/>
  <c r="AF46" i="54" s="1"/>
  <c r="A46" i="56" s="1"/>
  <c r="JO45" i="54"/>
  <c r="JN45" i="54"/>
  <c r="JM45" i="54"/>
  <c r="JL45" i="54"/>
  <c r="JK45" i="54"/>
  <c r="JJ45" i="54"/>
  <c r="JI45" i="54"/>
  <c r="JH45" i="54"/>
  <c r="JG45" i="54"/>
  <c r="JF45" i="54"/>
  <c r="JE45" i="54"/>
  <c r="JD45" i="54"/>
  <c r="JC45" i="54"/>
  <c r="JB45" i="54"/>
  <c r="JA45" i="54"/>
  <c r="IZ45" i="54"/>
  <c r="IY45" i="54"/>
  <c r="IX45" i="54"/>
  <c r="IW45" i="54"/>
  <c r="IV45" i="54"/>
  <c r="IU45" i="54"/>
  <c r="IT45" i="54"/>
  <c r="IS45" i="54"/>
  <c r="IR45" i="54"/>
  <c r="IQ45" i="54"/>
  <c r="IP45" i="54"/>
  <c r="IO45" i="54"/>
  <c r="IN45" i="54"/>
  <c r="IM45" i="54"/>
  <c r="IL45" i="54"/>
  <c r="IK45" i="54"/>
  <c r="IJ45" i="54"/>
  <c r="II45" i="54"/>
  <c r="IH45" i="54"/>
  <c r="IG45" i="54"/>
  <c r="IF45" i="54"/>
  <c r="IE45" i="54"/>
  <c r="ID45" i="54"/>
  <c r="IC45" i="54"/>
  <c r="IB45" i="54"/>
  <c r="IA45" i="54"/>
  <c r="HZ45" i="54"/>
  <c r="HY45" i="54"/>
  <c r="HX45" i="54"/>
  <c r="HW45" i="54"/>
  <c r="HV45" i="54"/>
  <c r="HU45" i="54"/>
  <c r="HT45" i="54"/>
  <c r="HS45" i="54"/>
  <c r="HR45" i="54"/>
  <c r="HQ45" i="54"/>
  <c r="HP45" i="54"/>
  <c r="HO45" i="54"/>
  <c r="HN45" i="54"/>
  <c r="HM45" i="54"/>
  <c r="HL45" i="54"/>
  <c r="HI45" i="54"/>
  <c r="HH45" i="54"/>
  <c r="HG45" i="54"/>
  <c r="HF45" i="54"/>
  <c r="HE45" i="54"/>
  <c r="HD45" i="54"/>
  <c r="HC45" i="54"/>
  <c r="HB45" i="54"/>
  <c r="HA45" i="54"/>
  <c r="GZ45" i="54"/>
  <c r="GY45" i="54"/>
  <c r="GX45" i="54"/>
  <c r="GW45" i="54"/>
  <c r="GV45" i="54"/>
  <c r="GU45" i="54"/>
  <c r="GT45" i="54"/>
  <c r="GS45" i="54"/>
  <c r="GR45" i="54"/>
  <c r="GQ45" i="54"/>
  <c r="GP45" i="54"/>
  <c r="GO45" i="54"/>
  <c r="GN45" i="54"/>
  <c r="GM45" i="54"/>
  <c r="GL45" i="54"/>
  <c r="GK45" i="54"/>
  <c r="GJ45" i="54"/>
  <c r="GI45" i="54"/>
  <c r="GH45" i="54"/>
  <c r="GG45" i="54"/>
  <c r="GF45" i="54"/>
  <c r="GE45" i="54"/>
  <c r="GD45" i="54"/>
  <c r="GC45" i="54"/>
  <c r="GB45" i="54"/>
  <c r="GA45" i="54"/>
  <c r="FZ45" i="54"/>
  <c r="FY45" i="54"/>
  <c r="FX45" i="54"/>
  <c r="FW45" i="54"/>
  <c r="FV45" i="54"/>
  <c r="FU45" i="54"/>
  <c r="FT45" i="54"/>
  <c r="BF45" i="54"/>
  <c r="H45" i="56" s="1"/>
  <c r="AD45" i="54"/>
  <c r="AA45" i="54"/>
  <c r="Z45" i="54"/>
  <c r="Y45" i="54"/>
  <c r="X45" i="54"/>
  <c r="W45" i="54"/>
  <c r="V45" i="54"/>
  <c r="U45" i="54"/>
  <c r="T45" i="54"/>
  <c r="S45" i="54"/>
  <c r="R45" i="54"/>
  <c r="Q45" i="54"/>
  <c r="P45" i="54"/>
  <c r="O45" i="54"/>
  <c r="N45" i="54"/>
  <c r="L45" i="54"/>
  <c r="BV45" i="54" s="1"/>
  <c r="X45" i="56" s="1"/>
  <c r="K45" i="54"/>
  <c r="BU45" i="54" s="1"/>
  <c r="W45" i="56" s="1"/>
  <c r="J45" i="54"/>
  <c r="G45" i="54"/>
  <c r="AW45" i="54" s="1"/>
  <c r="F45" i="54"/>
  <c r="BP45" i="54" s="1"/>
  <c r="R45" i="56" s="1"/>
  <c r="E45" i="54"/>
  <c r="BO45" i="54" s="1"/>
  <c r="Q45" i="56" s="1"/>
  <c r="D45" i="54"/>
  <c r="BN45" i="54" s="1"/>
  <c r="P45" i="56" s="1"/>
  <c r="B45" i="54"/>
  <c r="A45" i="54"/>
  <c r="AF45" i="54" s="1"/>
  <c r="A45" i="56" s="1"/>
  <c r="JO44" i="54"/>
  <c r="JN44" i="54"/>
  <c r="JM44" i="54"/>
  <c r="JL44" i="54"/>
  <c r="JK44" i="54"/>
  <c r="JJ44" i="54"/>
  <c r="JI44" i="54"/>
  <c r="JH44" i="54"/>
  <c r="JG44" i="54"/>
  <c r="JF44" i="54"/>
  <c r="JE44" i="54"/>
  <c r="JD44" i="54"/>
  <c r="JC44" i="54"/>
  <c r="JB44" i="54"/>
  <c r="JA44" i="54"/>
  <c r="IZ44" i="54"/>
  <c r="IY44" i="54"/>
  <c r="IX44" i="54"/>
  <c r="IW44" i="54"/>
  <c r="IV44" i="54"/>
  <c r="IU44" i="54"/>
  <c r="IT44" i="54"/>
  <c r="IS44" i="54"/>
  <c r="IR44" i="54"/>
  <c r="IQ44" i="54"/>
  <c r="IP44" i="54"/>
  <c r="IO44" i="54"/>
  <c r="IN44" i="54"/>
  <c r="IM44" i="54"/>
  <c r="IL44" i="54"/>
  <c r="IK44" i="54"/>
  <c r="IJ44" i="54"/>
  <c r="II44" i="54"/>
  <c r="IH44" i="54"/>
  <c r="IG44" i="54"/>
  <c r="IF44" i="54"/>
  <c r="IE44" i="54"/>
  <c r="ID44" i="54"/>
  <c r="IC44" i="54"/>
  <c r="IB44" i="54"/>
  <c r="IA44" i="54"/>
  <c r="HZ44" i="54"/>
  <c r="HY44" i="54"/>
  <c r="HX44" i="54"/>
  <c r="HW44" i="54"/>
  <c r="HV44" i="54"/>
  <c r="HU44" i="54"/>
  <c r="HT44" i="54"/>
  <c r="HS44" i="54"/>
  <c r="HR44" i="54"/>
  <c r="HQ44" i="54"/>
  <c r="HP44" i="54"/>
  <c r="HO44" i="54"/>
  <c r="HN44" i="54"/>
  <c r="HM44" i="54"/>
  <c r="HL44" i="54"/>
  <c r="HI44" i="54"/>
  <c r="HH44" i="54"/>
  <c r="HG44" i="54"/>
  <c r="HF44" i="54"/>
  <c r="HE44" i="54"/>
  <c r="HD44" i="54"/>
  <c r="HC44" i="54"/>
  <c r="HB44" i="54"/>
  <c r="HA44" i="54"/>
  <c r="GZ44" i="54"/>
  <c r="GY44" i="54"/>
  <c r="GX44" i="54"/>
  <c r="GW44" i="54"/>
  <c r="GV44" i="54"/>
  <c r="GU44" i="54"/>
  <c r="GT44" i="54"/>
  <c r="GS44" i="54"/>
  <c r="GR44" i="54"/>
  <c r="GQ44" i="54"/>
  <c r="GP44" i="54"/>
  <c r="GO44" i="54"/>
  <c r="GN44" i="54"/>
  <c r="GM44" i="54"/>
  <c r="GL44" i="54"/>
  <c r="GK44" i="54"/>
  <c r="GJ44" i="54"/>
  <c r="GI44" i="54"/>
  <c r="GH44" i="54"/>
  <c r="GG44" i="54"/>
  <c r="GF44" i="54"/>
  <c r="GE44" i="54"/>
  <c r="GD44" i="54"/>
  <c r="GC44" i="54"/>
  <c r="GB44" i="54"/>
  <c r="GA44" i="54"/>
  <c r="FZ44" i="54"/>
  <c r="FY44" i="54"/>
  <c r="FX44" i="54"/>
  <c r="FW44" i="54"/>
  <c r="FV44" i="54"/>
  <c r="FU44" i="54"/>
  <c r="FT44" i="54"/>
  <c r="AD44" i="54"/>
  <c r="AA44" i="54"/>
  <c r="Z44" i="54"/>
  <c r="Y44" i="54"/>
  <c r="X44" i="54"/>
  <c r="W44" i="54"/>
  <c r="V44" i="54"/>
  <c r="U44" i="54"/>
  <c r="T44" i="54"/>
  <c r="S44" i="54"/>
  <c r="R44" i="54"/>
  <c r="Q44" i="54"/>
  <c r="P44" i="54"/>
  <c r="O44" i="54"/>
  <c r="N44" i="54"/>
  <c r="L44" i="54"/>
  <c r="BV44" i="54" s="1"/>
  <c r="X44" i="56" s="1"/>
  <c r="K44" i="54"/>
  <c r="BU44" i="54" s="1"/>
  <c r="W44" i="56" s="1"/>
  <c r="J44" i="54"/>
  <c r="BT44" i="54" s="1"/>
  <c r="V44" i="56" s="1"/>
  <c r="G44" i="54"/>
  <c r="BQ44" i="54" s="1"/>
  <c r="S44" i="56" s="1"/>
  <c r="F44" i="54"/>
  <c r="E44" i="54"/>
  <c r="D44" i="54"/>
  <c r="BN44" i="54" s="1"/>
  <c r="P44" i="56" s="1"/>
  <c r="B44" i="54"/>
  <c r="AG44" i="54" s="1"/>
  <c r="B44" i="56" s="1"/>
  <c r="A44" i="54"/>
  <c r="AF44" i="54" s="1"/>
  <c r="A44" i="56" s="1"/>
  <c r="JO43" i="54"/>
  <c r="JN43" i="54"/>
  <c r="JM43" i="54"/>
  <c r="JL43" i="54"/>
  <c r="JK43" i="54"/>
  <c r="JJ43" i="54"/>
  <c r="JI43" i="54"/>
  <c r="JH43" i="54"/>
  <c r="JG43" i="54"/>
  <c r="JF43" i="54"/>
  <c r="JE43" i="54"/>
  <c r="JD43" i="54"/>
  <c r="JC43" i="54"/>
  <c r="JB43" i="54"/>
  <c r="JA43" i="54"/>
  <c r="IZ43" i="54"/>
  <c r="IY43" i="54"/>
  <c r="IX43" i="54"/>
  <c r="IW43" i="54"/>
  <c r="IV43" i="54"/>
  <c r="IU43" i="54"/>
  <c r="IT43" i="54"/>
  <c r="IS43" i="54"/>
  <c r="IR43" i="54"/>
  <c r="IQ43" i="54"/>
  <c r="IP43" i="54"/>
  <c r="IO43" i="54"/>
  <c r="IN43" i="54"/>
  <c r="IM43" i="54"/>
  <c r="IL43" i="54"/>
  <c r="IK43" i="54"/>
  <c r="IJ43" i="54"/>
  <c r="II43" i="54"/>
  <c r="IH43" i="54"/>
  <c r="IG43" i="54"/>
  <c r="IF43" i="54"/>
  <c r="IE43" i="54"/>
  <c r="ID43" i="54"/>
  <c r="IC43" i="54"/>
  <c r="IB43" i="54"/>
  <c r="IA43" i="54"/>
  <c r="HZ43" i="54"/>
  <c r="HY43" i="54"/>
  <c r="HX43" i="54"/>
  <c r="HW43" i="54"/>
  <c r="HV43" i="54"/>
  <c r="HU43" i="54"/>
  <c r="HT43" i="54"/>
  <c r="HS43" i="54"/>
  <c r="HR43" i="54"/>
  <c r="HQ43" i="54"/>
  <c r="HP43" i="54"/>
  <c r="HO43" i="54"/>
  <c r="HN43" i="54"/>
  <c r="HM43" i="54"/>
  <c r="HL43" i="54"/>
  <c r="HI43" i="54"/>
  <c r="HH43" i="54"/>
  <c r="HG43" i="54"/>
  <c r="HF43" i="54"/>
  <c r="HE43" i="54"/>
  <c r="HD43" i="54"/>
  <c r="HC43" i="54"/>
  <c r="HB43" i="54"/>
  <c r="HA43" i="54"/>
  <c r="GZ43" i="54"/>
  <c r="GY43" i="54"/>
  <c r="GX43" i="54"/>
  <c r="GW43" i="54"/>
  <c r="GV43" i="54"/>
  <c r="GU43" i="54"/>
  <c r="GT43" i="54"/>
  <c r="GS43" i="54"/>
  <c r="GR43" i="54"/>
  <c r="GQ43" i="54"/>
  <c r="GP43" i="54"/>
  <c r="GO43" i="54"/>
  <c r="GN43" i="54"/>
  <c r="GM43" i="54"/>
  <c r="GL43" i="54"/>
  <c r="GK43" i="54"/>
  <c r="GJ43" i="54"/>
  <c r="GI43" i="54"/>
  <c r="GH43" i="54"/>
  <c r="GG43" i="54"/>
  <c r="GF43" i="54"/>
  <c r="GE43" i="54"/>
  <c r="GD43" i="54"/>
  <c r="GC43" i="54"/>
  <c r="GB43" i="54"/>
  <c r="GA43" i="54"/>
  <c r="FZ43" i="54"/>
  <c r="FY43" i="54"/>
  <c r="FX43" i="54"/>
  <c r="FW43" i="54"/>
  <c r="FV43" i="54"/>
  <c r="FU43" i="54"/>
  <c r="FT43" i="54"/>
  <c r="BK43" i="54"/>
  <c r="M43" i="56" s="1"/>
  <c r="AU43" i="54"/>
  <c r="AD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L43" i="54"/>
  <c r="BV43" i="54" s="1"/>
  <c r="X43" i="56" s="1"/>
  <c r="K43" i="54"/>
  <c r="BU43" i="54" s="1"/>
  <c r="W43" i="56" s="1"/>
  <c r="J43" i="54"/>
  <c r="BJ43" i="54" s="1"/>
  <c r="L43" i="56" s="1"/>
  <c r="G43" i="54"/>
  <c r="F43" i="54"/>
  <c r="AV43" i="54" s="1"/>
  <c r="E43" i="54"/>
  <c r="BO43" i="54" s="1"/>
  <c r="Q43" i="56" s="1"/>
  <c r="D43" i="54"/>
  <c r="BN43" i="54" s="1"/>
  <c r="P43" i="56" s="1"/>
  <c r="B43" i="54"/>
  <c r="AG43" i="54" s="1"/>
  <c r="B43" i="56" s="1"/>
  <c r="A43" i="54"/>
  <c r="AF43" i="54" s="1"/>
  <c r="A43" i="56" s="1"/>
  <c r="JO42" i="54"/>
  <c r="JN42" i="54"/>
  <c r="JM42" i="54"/>
  <c r="JL42" i="54"/>
  <c r="JK42" i="54"/>
  <c r="JJ42" i="54"/>
  <c r="JI42" i="54"/>
  <c r="JH42" i="54"/>
  <c r="JG42" i="54"/>
  <c r="JF42" i="54"/>
  <c r="JE42" i="54"/>
  <c r="JD42" i="54"/>
  <c r="JC42" i="54"/>
  <c r="JB42" i="54"/>
  <c r="JA42" i="54"/>
  <c r="IZ42" i="54"/>
  <c r="IY42" i="54"/>
  <c r="IX42" i="54"/>
  <c r="IW42" i="54"/>
  <c r="IV42" i="54"/>
  <c r="IU42" i="54"/>
  <c r="IT42" i="54"/>
  <c r="IS42" i="54"/>
  <c r="IR42" i="54"/>
  <c r="IQ42" i="54"/>
  <c r="IP42" i="54"/>
  <c r="IO42" i="54"/>
  <c r="IN42" i="54"/>
  <c r="IM42" i="54"/>
  <c r="IL42" i="54"/>
  <c r="IK42" i="54"/>
  <c r="IJ42" i="54"/>
  <c r="II42" i="54"/>
  <c r="IH42" i="54"/>
  <c r="IG42" i="54"/>
  <c r="IF42" i="54"/>
  <c r="IE42" i="54"/>
  <c r="ID42" i="54"/>
  <c r="IC42" i="54"/>
  <c r="IB42" i="54"/>
  <c r="IA42" i="54"/>
  <c r="HZ42" i="54"/>
  <c r="HY42" i="54"/>
  <c r="HX42" i="54"/>
  <c r="HW42" i="54"/>
  <c r="HV42" i="54"/>
  <c r="HU42" i="54"/>
  <c r="HT42" i="54"/>
  <c r="HS42" i="54"/>
  <c r="HR42" i="54"/>
  <c r="HQ42" i="54"/>
  <c r="HP42" i="54"/>
  <c r="HO42" i="54"/>
  <c r="HN42" i="54"/>
  <c r="HM42" i="54"/>
  <c r="HL42" i="54"/>
  <c r="HI42" i="54"/>
  <c r="HH42" i="54"/>
  <c r="HG42" i="54"/>
  <c r="HF42" i="54"/>
  <c r="HE42" i="54"/>
  <c r="HD42" i="54"/>
  <c r="HC42" i="54"/>
  <c r="HB42" i="54"/>
  <c r="HA42" i="54"/>
  <c r="GZ42" i="54"/>
  <c r="GY42" i="54"/>
  <c r="GX42" i="54"/>
  <c r="GW42" i="54"/>
  <c r="GV42" i="54"/>
  <c r="GU42" i="54"/>
  <c r="GT42" i="54"/>
  <c r="GS42" i="54"/>
  <c r="GR42" i="54"/>
  <c r="GQ42" i="54"/>
  <c r="GP42" i="54"/>
  <c r="GO42" i="54"/>
  <c r="GN42" i="54"/>
  <c r="GM42" i="54"/>
  <c r="GL42" i="54"/>
  <c r="GK42" i="54"/>
  <c r="GJ42" i="54"/>
  <c r="GI42" i="54"/>
  <c r="GH42" i="54"/>
  <c r="GG42" i="54"/>
  <c r="GF42" i="54"/>
  <c r="GE42" i="54"/>
  <c r="GD42" i="54"/>
  <c r="GC42" i="54"/>
  <c r="GB42" i="54"/>
  <c r="GA42" i="54"/>
  <c r="FZ42" i="54"/>
  <c r="FY42" i="54"/>
  <c r="FX42" i="54"/>
  <c r="FW42" i="54"/>
  <c r="FV42" i="54"/>
  <c r="FU42" i="54"/>
  <c r="FT42" i="54"/>
  <c r="AD42" i="54"/>
  <c r="AA42" i="54"/>
  <c r="Z42" i="54"/>
  <c r="Y42" i="54"/>
  <c r="X42" i="54"/>
  <c r="W42" i="54"/>
  <c r="V42" i="54"/>
  <c r="U42" i="54"/>
  <c r="T42" i="54"/>
  <c r="S42" i="54"/>
  <c r="R42" i="54"/>
  <c r="Q42" i="54"/>
  <c r="P42" i="54"/>
  <c r="O42" i="54"/>
  <c r="N42" i="54"/>
  <c r="L42" i="54"/>
  <c r="BV42" i="54" s="1"/>
  <c r="X42" i="56" s="1"/>
  <c r="K42" i="54"/>
  <c r="BU42" i="54" s="1"/>
  <c r="W42" i="56" s="1"/>
  <c r="J42" i="54"/>
  <c r="AZ42" i="54" s="1"/>
  <c r="G42" i="54"/>
  <c r="BG42" i="54" s="1"/>
  <c r="I42" i="56" s="1"/>
  <c r="F42" i="54"/>
  <c r="BP42" i="54" s="1"/>
  <c r="R42" i="56" s="1"/>
  <c r="E42" i="54"/>
  <c r="BO42" i="54" s="1"/>
  <c r="Q42" i="56" s="1"/>
  <c r="D42" i="54"/>
  <c r="BN42" i="54" s="1"/>
  <c r="P42" i="56" s="1"/>
  <c r="B42" i="54"/>
  <c r="AG42" i="54" s="1"/>
  <c r="B42" i="56" s="1"/>
  <c r="A42" i="54"/>
  <c r="AF42" i="54" s="1"/>
  <c r="A42" i="56" s="1"/>
  <c r="JO41" i="54"/>
  <c r="JN41" i="54"/>
  <c r="JM41" i="54"/>
  <c r="JL41" i="54"/>
  <c r="JK41" i="54"/>
  <c r="JJ41" i="54"/>
  <c r="JI41" i="54"/>
  <c r="JH41" i="54"/>
  <c r="JG41" i="54"/>
  <c r="JF41" i="54"/>
  <c r="JE41" i="54"/>
  <c r="JD41" i="54"/>
  <c r="JC41" i="54"/>
  <c r="JB41" i="54"/>
  <c r="JA41" i="54"/>
  <c r="IZ41" i="54"/>
  <c r="IY41" i="54"/>
  <c r="IX41" i="54"/>
  <c r="IW41" i="54"/>
  <c r="IV41" i="54"/>
  <c r="IU41" i="54"/>
  <c r="IT41" i="54"/>
  <c r="IS41" i="54"/>
  <c r="IR41" i="54"/>
  <c r="IQ41" i="54"/>
  <c r="IP41" i="54"/>
  <c r="IO41" i="54"/>
  <c r="IN41" i="54"/>
  <c r="IM41" i="54"/>
  <c r="IL41" i="54"/>
  <c r="IK41" i="54"/>
  <c r="IJ41" i="54"/>
  <c r="II41" i="54"/>
  <c r="IH41" i="54"/>
  <c r="IG41" i="54"/>
  <c r="IF41" i="54"/>
  <c r="IE41" i="54"/>
  <c r="ID41" i="54"/>
  <c r="IC41" i="54"/>
  <c r="IB41" i="54"/>
  <c r="IA41" i="54"/>
  <c r="HZ41" i="54"/>
  <c r="HY41" i="54"/>
  <c r="HX41" i="54"/>
  <c r="HW41" i="54"/>
  <c r="HV41" i="54"/>
  <c r="HU41" i="54"/>
  <c r="HT41" i="54"/>
  <c r="HS41" i="54"/>
  <c r="HR41" i="54"/>
  <c r="HQ41" i="54"/>
  <c r="HP41" i="54"/>
  <c r="HO41" i="54"/>
  <c r="HN41" i="54"/>
  <c r="HM41" i="54"/>
  <c r="HL41" i="54"/>
  <c r="HI41" i="54"/>
  <c r="HH41" i="54"/>
  <c r="HG41" i="54"/>
  <c r="HF41" i="54"/>
  <c r="HE41" i="54"/>
  <c r="HD41" i="54"/>
  <c r="HC41" i="54"/>
  <c r="HB41" i="54"/>
  <c r="HA41" i="54"/>
  <c r="GZ41" i="54"/>
  <c r="GY41" i="54"/>
  <c r="GX41" i="54"/>
  <c r="GW41" i="54"/>
  <c r="GU41" i="54"/>
  <c r="GT41" i="54"/>
  <c r="GS41" i="54"/>
  <c r="GR41" i="54"/>
  <c r="GQ41" i="54"/>
  <c r="GP41" i="54"/>
  <c r="GO41" i="54"/>
  <c r="GN41" i="54"/>
  <c r="GM41" i="54"/>
  <c r="GL41" i="54"/>
  <c r="GK41" i="54"/>
  <c r="GJ41" i="54"/>
  <c r="GI41" i="54"/>
  <c r="GH41" i="54"/>
  <c r="GG41" i="54"/>
  <c r="GF41" i="54"/>
  <c r="GE41" i="54"/>
  <c r="GD41" i="54"/>
  <c r="GC41" i="54"/>
  <c r="GB41" i="54"/>
  <c r="GA41" i="54"/>
  <c r="FZ41" i="54"/>
  <c r="FY41" i="54"/>
  <c r="FX41" i="54"/>
  <c r="FW41" i="54"/>
  <c r="FV41" i="54"/>
  <c r="FU41" i="54"/>
  <c r="FT41" i="54"/>
  <c r="AD41" i="54"/>
  <c r="AA41" i="54"/>
  <c r="Z41" i="54"/>
  <c r="Y41" i="54"/>
  <c r="X41" i="54"/>
  <c r="W41" i="54"/>
  <c r="V41" i="54"/>
  <c r="U41" i="54"/>
  <c r="T41" i="54"/>
  <c r="S41" i="54"/>
  <c r="R41" i="54"/>
  <c r="Q41" i="54"/>
  <c r="P41" i="54"/>
  <c r="O41" i="54"/>
  <c r="N41" i="54"/>
  <c r="L41" i="54"/>
  <c r="BB41" i="54" s="1"/>
  <c r="K41" i="54"/>
  <c r="BA41" i="54" s="1"/>
  <c r="J41" i="54"/>
  <c r="BT41" i="54" s="1"/>
  <c r="V41" i="56" s="1"/>
  <c r="G41" i="54"/>
  <c r="BQ41" i="54" s="1"/>
  <c r="S41" i="56" s="1"/>
  <c r="F41" i="54"/>
  <c r="BF41" i="54" s="1"/>
  <c r="H41" i="56" s="1"/>
  <c r="E41" i="54"/>
  <c r="BO41" i="54" s="1"/>
  <c r="Q41" i="56" s="1"/>
  <c r="D41" i="54"/>
  <c r="BN41" i="54" s="1"/>
  <c r="P41" i="56" s="1"/>
  <c r="B41" i="54"/>
  <c r="AG41" i="54" s="1"/>
  <c r="B41" i="56" s="1"/>
  <c r="A41" i="54"/>
  <c r="AF41" i="54" s="1"/>
  <c r="A41" i="56" s="1"/>
  <c r="JO40" i="54"/>
  <c r="JN40" i="54"/>
  <c r="JM40" i="54"/>
  <c r="JL40" i="54"/>
  <c r="JK40" i="54"/>
  <c r="JJ40" i="54"/>
  <c r="JI40" i="54"/>
  <c r="JH40" i="54"/>
  <c r="JG40" i="54"/>
  <c r="JF40" i="54"/>
  <c r="JE40" i="54"/>
  <c r="JD40" i="54"/>
  <c r="JC40" i="54"/>
  <c r="JB40" i="54"/>
  <c r="JA40" i="54"/>
  <c r="IZ40" i="54"/>
  <c r="IY40" i="54"/>
  <c r="IX40" i="54"/>
  <c r="IW40" i="54"/>
  <c r="IV40" i="54"/>
  <c r="IU40" i="54"/>
  <c r="IT40" i="54"/>
  <c r="IS40" i="54"/>
  <c r="IR40" i="54"/>
  <c r="IQ40" i="54"/>
  <c r="IP40" i="54"/>
  <c r="IO40" i="54"/>
  <c r="IN40" i="54"/>
  <c r="IM40" i="54"/>
  <c r="IL40" i="54"/>
  <c r="IK40" i="54"/>
  <c r="IJ40" i="54"/>
  <c r="II40" i="54"/>
  <c r="IH40" i="54"/>
  <c r="IG40" i="54"/>
  <c r="IF40" i="54"/>
  <c r="IE40" i="54"/>
  <c r="ID40" i="54"/>
  <c r="IC40" i="54"/>
  <c r="IB40" i="54"/>
  <c r="IA40" i="54"/>
  <c r="HZ40" i="54"/>
  <c r="HY40" i="54"/>
  <c r="HX40" i="54"/>
  <c r="HW40" i="54"/>
  <c r="HV40" i="54"/>
  <c r="HU40" i="54"/>
  <c r="HT40" i="54"/>
  <c r="HS40" i="54"/>
  <c r="HR40" i="54"/>
  <c r="HQ40" i="54"/>
  <c r="HP40" i="54"/>
  <c r="HO40" i="54"/>
  <c r="HN40" i="54"/>
  <c r="HM40" i="54"/>
  <c r="HL40" i="54"/>
  <c r="HI40" i="54"/>
  <c r="HH40" i="54"/>
  <c r="HG40" i="54"/>
  <c r="HF40" i="54"/>
  <c r="HE40" i="54"/>
  <c r="HD40" i="54"/>
  <c r="HC40" i="54"/>
  <c r="HB40" i="54"/>
  <c r="HA40" i="54"/>
  <c r="GZ40" i="54"/>
  <c r="GY40" i="54"/>
  <c r="GX40" i="54"/>
  <c r="GW40" i="54"/>
  <c r="GV40" i="54"/>
  <c r="GU40" i="54"/>
  <c r="GT40" i="54"/>
  <c r="GS40" i="54"/>
  <c r="GR40" i="54"/>
  <c r="GQ40" i="54"/>
  <c r="GP40" i="54"/>
  <c r="GO40" i="54"/>
  <c r="GN40" i="54"/>
  <c r="GM40" i="54"/>
  <c r="GL40" i="54"/>
  <c r="GK40" i="54"/>
  <c r="GJ40" i="54"/>
  <c r="GI40" i="54"/>
  <c r="GH40" i="54"/>
  <c r="GG40" i="54"/>
  <c r="GF40" i="54"/>
  <c r="GE40" i="54"/>
  <c r="GD40" i="54"/>
  <c r="GC40" i="54"/>
  <c r="GB40" i="54"/>
  <c r="GA40" i="54"/>
  <c r="FZ40" i="54"/>
  <c r="FY40" i="54"/>
  <c r="FX40" i="54"/>
  <c r="FW40" i="54"/>
  <c r="FV40" i="54"/>
  <c r="FU40" i="54"/>
  <c r="FT40" i="54"/>
  <c r="BV40" i="54"/>
  <c r="X40" i="56" s="1"/>
  <c r="AD40" i="54"/>
  <c r="AA40" i="54"/>
  <c r="Z40" i="54"/>
  <c r="Y40" i="54"/>
  <c r="X40" i="54"/>
  <c r="W40" i="54"/>
  <c r="V40" i="54"/>
  <c r="U40" i="54"/>
  <c r="T40" i="54"/>
  <c r="S40" i="54"/>
  <c r="R40" i="54"/>
  <c r="Q40" i="54"/>
  <c r="P40" i="54"/>
  <c r="O40" i="54"/>
  <c r="N40" i="54"/>
  <c r="L40" i="54"/>
  <c r="BB40" i="54" s="1"/>
  <c r="K40" i="54"/>
  <c r="BK40" i="54" s="1"/>
  <c r="M40" i="56" s="1"/>
  <c r="J40" i="54"/>
  <c r="BJ40" i="54" s="1"/>
  <c r="L40" i="56" s="1"/>
  <c r="G40" i="54"/>
  <c r="AW40" i="54" s="1"/>
  <c r="F40" i="54"/>
  <c r="BP40" i="54" s="1"/>
  <c r="R40" i="56" s="1"/>
  <c r="E40" i="54"/>
  <c r="BO40" i="54" s="1"/>
  <c r="Q40" i="56" s="1"/>
  <c r="D40" i="54"/>
  <c r="AT40" i="54" s="1"/>
  <c r="B40" i="54"/>
  <c r="AG40" i="54" s="1"/>
  <c r="B40" i="56" s="1"/>
  <c r="A40" i="54"/>
  <c r="AF40" i="54" s="1"/>
  <c r="A40" i="56" s="1"/>
  <c r="JO39" i="54"/>
  <c r="JN39" i="54"/>
  <c r="JM39" i="54"/>
  <c r="JL39" i="54"/>
  <c r="JK39" i="54"/>
  <c r="JJ39" i="54"/>
  <c r="JI39" i="54"/>
  <c r="JH39" i="54"/>
  <c r="JG39" i="54"/>
  <c r="JF39" i="54"/>
  <c r="JE39" i="54"/>
  <c r="JD39" i="54"/>
  <c r="JC39" i="54"/>
  <c r="JB39" i="54"/>
  <c r="JA39" i="54"/>
  <c r="IZ39" i="54"/>
  <c r="IY39" i="54"/>
  <c r="IX39" i="54"/>
  <c r="IW39" i="54"/>
  <c r="IV39" i="54"/>
  <c r="IU39" i="54"/>
  <c r="IT39" i="54"/>
  <c r="IS39" i="54"/>
  <c r="IR39" i="54"/>
  <c r="IQ39" i="54"/>
  <c r="IP39" i="54"/>
  <c r="IO39" i="54"/>
  <c r="IN39" i="54"/>
  <c r="IM39" i="54"/>
  <c r="IL39" i="54"/>
  <c r="IK39" i="54"/>
  <c r="IJ39" i="54"/>
  <c r="II39" i="54"/>
  <c r="IH39" i="54"/>
  <c r="IG39" i="54"/>
  <c r="IF39" i="54"/>
  <c r="IE39" i="54"/>
  <c r="ID39" i="54"/>
  <c r="IC39" i="54"/>
  <c r="IB39" i="54"/>
  <c r="IA39" i="54"/>
  <c r="HZ39" i="54"/>
  <c r="HY39" i="54"/>
  <c r="HX39" i="54"/>
  <c r="HW39" i="54"/>
  <c r="HV39" i="54"/>
  <c r="HU39" i="54"/>
  <c r="HT39" i="54"/>
  <c r="HS39" i="54"/>
  <c r="HR39" i="54"/>
  <c r="HQ39" i="54"/>
  <c r="HP39" i="54"/>
  <c r="HO39" i="54"/>
  <c r="HN39" i="54"/>
  <c r="HM39" i="54"/>
  <c r="HL39" i="54"/>
  <c r="HI39" i="54"/>
  <c r="HH39" i="54"/>
  <c r="HG39" i="54"/>
  <c r="HF39" i="54"/>
  <c r="HE39" i="54"/>
  <c r="HD39" i="54"/>
  <c r="HC39" i="54"/>
  <c r="HB39" i="54"/>
  <c r="HA39" i="54"/>
  <c r="GZ39" i="54"/>
  <c r="GY39" i="54"/>
  <c r="GX39" i="54"/>
  <c r="GW39" i="54"/>
  <c r="GV39" i="54"/>
  <c r="GU39" i="54"/>
  <c r="GT39" i="54"/>
  <c r="GS39" i="54"/>
  <c r="GR39" i="54"/>
  <c r="GQ39" i="54"/>
  <c r="GP39" i="54"/>
  <c r="GO39" i="54"/>
  <c r="GN39" i="54"/>
  <c r="GM39" i="54"/>
  <c r="GL39" i="54"/>
  <c r="GK39" i="54"/>
  <c r="GJ39" i="54"/>
  <c r="GI39" i="54"/>
  <c r="GH39" i="54"/>
  <c r="GG39" i="54"/>
  <c r="GF39" i="54"/>
  <c r="GE39" i="54"/>
  <c r="GD39" i="54"/>
  <c r="GC39" i="54"/>
  <c r="GB39" i="54"/>
  <c r="GA39" i="54"/>
  <c r="FZ39" i="54"/>
  <c r="FY39" i="54"/>
  <c r="FX39" i="54"/>
  <c r="FW39" i="54"/>
  <c r="FV39" i="54"/>
  <c r="FU39" i="54"/>
  <c r="FT39" i="54"/>
  <c r="BG39" i="54"/>
  <c r="I39" i="56" s="1"/>
  <c r="AV39" i="54"/>
  <c r="AD39" i="54"/>
  <c r="AA39" i="54"/>
  <c r="Z39" i="54"/>
  <c r="Y39" i="54"/>
  <c r="X39" i="54"/>
  <c r="W39" i="54"/>
  <c r="V39" i="54"/>
  <c r="U39" i="54"/>
  <c r="T39" i="54"/>
  <c r="S39" i="54"/>
  <c r="R39" i="54"/>
  <c r="Q39" i="54"/>
  <c r="P39" i="54"/>
  <c r="O39" i="54"/>
  <c r="N39" i="54"/>
  <c r="L39" i="54"/>
  <c r="BV39" i="54" s="1"/>
  <c r="X39" i="56" s="1"/>
  <c r="K39" i="54"/>
  <c r="BK39" i="54" s="1"/>
  <c r="M39" i="56" s="1"/>
  <c r="J39" i="54"/>
  <c r="AZ39" i="54" s="1"/>
  <c r="G39" i="54"/>
  <c r="AW39" i="54" s="1"/>
  <c r="F39" i="54"/>
  <c r="BF39" i="54" s="1"/>
  <c r="H39" i="56" s="1"/>
  <c r="E39" i="54"/>
  <c r="AU39" i="54" s="1"/>
  <c r="D39" i="54"/>
  <c r="BD39" i="54" s="1"/>
  <c r="F39" i="56" s="1"/>
  <c r="B39" i="54"/>
  <c r="AG39" i="54" s="1"/>
  <c r="B39" i="56" s="1"/>
  <c r="A39" i="54"/>
  <c r="AF39" i="54" s="1"/>
  <c r="A39" i="56" s="1"/>
  <c r="JO38" i="54"/>
  <c r="JN38" i="54"/>
  <c r="JM38" i="54"/>
  <c r="JL38" i="54"/>
  <c r="JK38" i="54"/>
  <c r="JJ38" i="54"/>
  <c r="JI38" i="54"/>
  <c r="JH38" i="54"/>
  <c r="JG38" i="54"/>
  <c r="JF38" i="54"/>
  <c r="JE38" i="54"/>
  <c r="JD38" i="54"/>
  <c r="JC38" i="54"/>
  <c r="JB38" i="54"/>
  <c r="JA38" i="54"/>
  <c r="IZ38" i="54"/>
  <c r="IY38" i="54"/>
  <c r="IX38" i="54"/>
  <c r="IW38" i="54"/>
  <c r="IV38" i="54"/>
  <c r="IU38" i="54"/>
  <c r="IT38" i="54"/>
  <c r="IS38" i="54"/>
  <c r="IR38" i="54"/>
  <c r="IQ38" i="54"/>
  <c r="IP38" i="54"/>
  <c r="IO38" i="54"/>
  <c r="IN38" i="54"/>
  <c r="IM38" i="54"/>
  <c r="IL38" i="54"/>
  <c r="IK38" i="54"/>
  <c r="IJ38" i="54"/>
  <c r="II38" i="54"/>
  <c r="IH38" i="54"/>
  <c r="IG38" i="54"/>
  <c r="IF38" i="54"/>
  <c r="IE38" i="54"/>
  <c r="ID38" i="54"/>
  <c r="IC38" i="54"/>
  <c r="IB38" i="54"/>
  <c r="IA38" i="54"/>
  <c r="HZ38" i="54"/>
  <c r="HY38" i="54"/>
  <c r="HX38" i="54"/>
  <c r="HW38" i="54"/>
  <c r="HV38" i="54"/>
  <c r="HU38" i="54"/>
  <c r="HT38" i="54"/>
  <c r="HS38" i="54"/>
  <c r="HR38" i="54"/>
  <c r="HQ38" i="54"/>
  <c r="HP38" i="54"/>
  <c r="HO38" i="54"/>
  <c r="HN38" i="54"/>
  <c r="HM38" i="54"/>
  <c r="HL38" i="54"/>
  <c r="HI38" i="54"/>
  <c r="HH38" i="54"/>
  <c r="HG38" i="54"/>
  <c r="HF38" i="54"/>
  <c r="HE38" i="54"/>
  <c r="HD38" i="54"/>
  <c r="HC38" i="54"/>
  <c r="HB38" i="54"/>
  <c r="HA38" i="54"/>
  <c r="GZ38" i="54"/>
  <c r="GY38" i="54"/>
  <c r="GX38" i="54"/>
  <c r="GW38" i="54"/>
  <c r="GV38" i="54"/>
  <c r="GU38" i="54"/>
  <c r="GT38" i="54"/>
  <c r="GS38" i="54"/>
  <c r="GR38" i="54"/>
  <c r="GQ38" i="54"/>
  <c r="GP38" i="54"/>
  <c r="GO38" i="54"/>
  <c r="GN38" i="54"/>
  <c r="GM38" i="54"/>
  <c r="GL38" i="54"/>
  <c r="GK38" i="54"/>
  <c r="GJ38" i="54"/>
  <c r="GI38" i="54"/>
  <c r="GH38" i="54"/>
  <c r="GG38" i="54"/>
  <c r="GF38" i="54"/>
  <c r="GE38" i="54"/>
  <c r="GD38" i="54"/>
  <c r="GC38" i="54"/>
  <c r="GB38" i="54"/>
  <c r="GA38" i="54"/>
  <c r="FZ38" i="54"/>
  <c r="FY38" i="54"/>
  <c r="FX38" i="54"/>
  <c r="FW38" i="54"/>
  <c r="FV38" i="54"/>
  <c r="FU38" i="54"/>
  <c r="FT38" i="54"/>
  <c r="AD38" i="54"/>
  <c r="AA38" i="54"/>
  <c r="Z38" i="54"/>
  <c r="Y38" i="54"/>
  <c r="X38" i="54"/>
  <c r="W38" i="54"/>
  <c r="V38" i="54"/>
  <c r="U38" i="54"/>
  <c r="T38" i="54"/>
  <c r="S38" i="54"/>
  <c r="R38" i="54"/>
  <c r="Q38" i="54"/>
  <c r="P38" i="54"/>
  <c r="O38" i="54"/>
  <c r="N38" i="54"/>
  <c r="L38" i="54"/>
  <c r="BV38" i="54" s="1"/>
  <c r="X38" i="56" s="1"/>
  <c r="K38" i="54"/>
  <c r="BU38" i="54" s="1"/>
  <c r="W38" i="56" s="1"/>
  <c r="J38" i="54"/>
  <c r="AZ38" i="54" s="1"/>
  <c r="G38" i="54"/>
  <c r="BQ38" i="54" s="1"/>
  <c r="S38" i="56" s="1"/>
  <c r="F38" i="54"/>
  <c r="BP38" i="54" s="1"/>
  <c r="R38" i="56" s="1"/>
  <c r="E38" i="54"/>
  <c r="BO38" i="54" s="1"/>
  <c r="Q38" i="56" s="1"/>
  <c r="D38" i="54"/>
  <c r="BN38" i="54" s="1"/>
  <c r="P38" i="56" s="1"/>
  <c r="B38" i="54"/>
  <c r="AG38" i="54" s="1"/>
  <c r="B38" i="56" s="1"/>
  <c r="A38" i="54"/>
  <c r="AF38" i="54" s="1"/>
  <c r="A38" i="56" s="1"/>
  <c r="JO37" i="54"/>
  <c r="JN37" i="54"/>
  <c r="JM37" i="54"/>
  <c r="JL37" i="54"/>
  <c r="JK37" i="54"/>
  <c r="JJ37" i="54"/>
  <c r="JI37" i="54"/>
  <c r="JH37" i="54"/>
  <c r="JG37" i="54"/>
  <c r="JF37" i="54"/>
  <c r="JE37" i="54"/>
  <c r="JD37" i="54"/>
  <c r="JC37" i="54"/>
  <c r="JB37" i="54"/>
  <c r="JA37" i="54"/>
  <c r="IZ37" i="54"/>
  <c r="IY37" i="54"/>
  <c r="IX37" i="54"/>
  <c r="IW37" i="54"/>
  <c r="IV37" i="54"/>
  <c r="IU37" i="54"/>
  <c r="IT37" i="54"/>
  <c r="IS37" i="54"/>
  <c r="IR37" i="54"/>
  <c r="IQ37" i="54"/>
  <c r="IP37" i="54"/>
  <c r="IO37" i="54"/>
  <c r="IN37" i="54"/>
  <c r="IM37" i="54"/>
  <c r="IL37" i="54"/>
  <c r="IK37" i="54"/>
  <c r="IJ37" i="54"/>
  <c r="II37" i="54"/>
  <c r="IH37" i="54"/>
  <c r="IG37" i="54"/>
  <c r="IF37" i="54"/>
  <c r="IE37" i="54"/>
  <c r="ID37" i="54"/>
  <c r="IC37" i="54"/>
  <c r="IB37" i="54"/>
  <c r="IA37" i="54"/>
  <c r="HZ37" i="54"/>
  <c r="HY37" i="54"/>
  <c r="HX37" i="54"/>
  <c r="HW37" i="54"/>
  <c r="HV37" i="54"/>
  <c r="HU37" i="54"/>
  <c r="HT37" i="54"/>
  <c r="HS37" i="54"/>
  <c r="HR37" i="54"/>
  <c r="HQ37" i="54"/>
  <c r="HP37" i="54"/>
  <c r="HO37" i="54"/>
  <c r="HN37" i="54"/>
  <c r="HM37" i="54"/>
  <c r="HL37" i="54"/>
  <c r="HI37" i="54"/>
  <c r="HH37" i="54"/>
  <c r="HG37" i="54"/>
  <c r="HF37" i="54"/>
  <c r="HE37" i="54"/>
  <c r="HD37" i="54"/>
  <c r="HC37" i="54"/>
  <c r="HB37" i="54"/>
  <c r="HA37" i="54"/>
  <c r="GZ37" i="54"/>
  <c r="GY37" i="54"/>
  <c r="GX37" i="54"/>
  <c r="GW37" i="54"/>
  <c r="GV37" i="54"/>
  <c r="GU37" i="54"/>
  <c r="GT37" i="54"/>
  <c r="GS37" i="54"/>
  <c r="GR37" i="54"/>
  <c r="GQ37" i="54"/>
  <c r="GP37" i="54"/>
  <c r="GO37" i="54"/>
  <c r="GN37" i="54"/>
  <c r="GM37" i="54"/>
  <c r="GL37" i="54"/>
  <c r="GK37" i="54"/>
  <c r="GJ37" i="54"/>
  <c r="GI37" i="54"/>
  <c r="GH37" i="54"/>
  <c r="GG37" i="54"/>
  <c r="GF37" i="54"/>
  <c r="GE37" i="54"/>
  <c r="GD37" i="54"/>
  <c r="GC37" i="54"/>
  <c r="GB37" i="54"/>
  <c r="GA37" i="54"/>
  <c r="FZ37" i="54"/>
  <c r="FY37" i="54"/>
  <c r="FX37" i="54"/>
  <c r="FW37" i="54"/>
  <c r="FV37" i="54"/>
  <c r="FU37" i="54"/>
  <c r="FT37" i="54"/>
  <c r="AD37" i="54"/>
  <c r="AA37" i="54"/>
  <c r="Z37" i="54"/>
  <c r="Y37" i="54"/>
  <c r="X37" i="54"/>
  <c r="W37" i="54"/>
  <c r="V37" i="54"/>
  <c r="U37" i="54"/>
  <c r="T37" i="54"/>
  <c r="S37" i="54"/>
  <c r="R37" i="54"/>
  <c r="Q37" i="54"/>
  <c r="P37" i="54"/>
  <c r="O37" i="54"/>
  <c r="N37" i="54"/>
  <c r="L37" i="54"/>
  <c r="BV37" i="54" s="1"/>
  <c r="X37" i="56" s="1"/>
  <c r="K37" i="54"/>
  <c r="BA37" i="54" s="1"/>
  <c r="J37" i="54"/>
  <c r="BT37" i="54" s="1"/>
  <c r="V37" i="56" s="1"/>
  <c r="G37" i="54"/>
  <c r="BQ37" i="54" s="1"/>
  <c r="S37" i="56" s="1"/>
  <c r="F37" i="54"/>
  <c r="BP37" i="54" s="1"/>
  <c r="R37" i="56" s="1"/>
  <c r="E37" i="54"/>
  <c r="BO37" i="54" s="1"/>
  <c r="Q37" i="56" s="1"/>
  <c r="D37" i="54"/>
  <c r="BN37" i="54" s="1"/>
  <c r="P37" i="56" s="1"/>
  <c r="B37" i="54"/>
  <c r="AG37" i="54" s="1"/>
  <c r="B37" i="56" s="1"/>
  <c r="A37" i="54"/>
  <c r="AF37" i="54" s="1"/>
  <c r="A37" i="56" s="1"/>
  <c r="JO36" i="54"/>
  <c r="JN36" i="54"/>
  <c r="JM36" i="54"/>
  <c r="JL36" i="54"/>
  <c r="JK36" i="54"/>
  <c r="JJ36" i="54"/>
  <c r="JI36" i="54"/>
  <c r="JH36" i="54"/>
  <c r="JG36" i="54"/>
  <c r="JF36" i="54"/>
  <c r="JE36" i="54"/>
  <c r="JD36" i="54"/>
  <c r="JC36" i="54"/>
  <c r="JB36" i="54"/>
  <c r="JA36" i="54"/>
  <c r="IZ36" i="54"/>
  <c r="IY36" i="54"/>
  <c r="IX36" i="54"/>
  <c r="IW36" i="54"/>
  <c r="IV36" i="54"/>
  <c r="IU36" i="54"/>
  <c r="IT36" i="54"/>
  <c r="IS36" i="54"/>
  <c r="IR36" i="54"/>
  <c r="IQ36" i="54"/>
  <c r="IP36" i="54"/>
  <c r="IO36" i="54"/>
  <c r="IN36" i="54"/>
  <c r="IM36" i="54"/>
  <c r="IL36" i="54"/>
  <c r="IK36" i="54"/>
  <c r="IJ36" i="54"/>
  <c r="II36" i="54"/>
  <c r="IH36" i="54"/>
  <c r="IG36" i="54"/>
  <c r="IF36" i="54"/>
  <c r="IE36" i="54"/>
  <c r="ID36" i="54"/>
  <c r="IC36" i="54"/>
  <c r="IB36" i="54"/>
  <c r="IA36" i="54"/>
  <c r="HZ36" i="54"/>
  <c r="HY36" i="54"/>
  <c r="HX36" i="54"/>
  <c r="HW36" i="54"/>
  <c r="HV36" i="54"/>
  <c r="HU36" i="54"/>
  <c r="HT36" i="54"/>
  <c r="HS36" i="54"/>
  <c r="HR36" i="54"/>
  <c r="HQ36" i="54"/>
  <c r="HP36" i="54"/>
  <c r="HO36" i="54"/>
  <c r="HN36" i="54"/>
  <c r="HM36" i="54"/>
  <c r="HL36" i="54"/>
  <c r="HI36" i="54"/>
  <c r="HH36" i="54"/>
  <c r="HG36" i="54"/>
  <c r="HF36" i="54"/>
  <c r="HE36" i="54"/>
  <c r="HD36" i="54"/>
  <c r="HC36" i="54"/>
  <c r="HB36" i="54"/>
  <c r="HA36" i="54"/>
  <c r="GZ36" i="54"/>
  <c r="GY36" i="54"/>
  <c r="GX36" i="54"/>
  <c r="GW36" i="54"/>
  <c r="GV36" i="54"/>
  <c r="GU36" i="54"/>
  <c r="GT36" i="54"/>
  <c r="GS36" i="54"/>
  <c r="GR36" i="54"/>
  <c r="GQ36" i="54"/>
  <c r="GP36" i="54"/>
  <c r="GO36" i="54"/>
  <c r="GN36" i="54"/>
  <c r="GM36" i="54"/>
  <c r="GL36" i="54"/>
  <c r="GK36" i="54"/>
  <c r="GJ36" i="54"/>
  <c r="GI36" i="54"/>
  <c r="GH36" i="54"/>
  <c r="GG36" i="54"/>
  <c r="GF36" i="54"/>
  <c r="GE36" i="54"/>
  <c r="GD36" i="54"/>
  <c r="GC36" i="54"/>
  <c r="GB36" i="54"/>
  <c r="GA36" i="54"/>
  <c r="FZ36" i="54"/>
  <c r="FY36" i="54"/>
  <c r="FX36" i="54"/>
  <c r="FW36" i="54"/>
  <c r="FV36" i="54"/>
  <c r="FU36" i="54"/>
  <c r="FT36" i="54"/>
  <c r="AD36" i="54"/>
  <c r="AA36" i="54"/>
  <c r="Z36" i="54"/>
  <c r="Y36" i="54"/>
  <c r="X36" i="54"/>
  <c r="W36" i="54"/>
  <c r="V36" i="54"/>
  <c r="U36" i="54"/>
  <c r="T36" i="54"/>
  <c r="S36" i="54"/>
  <c r="R36" i="54"/>
  <c r="Q36" i="54"/>
  <c r="P36" i="54"/>
  <c r="O36" i="54"/>
  <c r="N36" i="54"/>
  <c r="L36" i="54"/>
  <c r="BB36" i="54" s="1"/>
  <c r="K36" i="54"/>
  <c r="J36" i="54"/>
  <c r="BJ36" i="54" s="1"/>
  <c r="L36" i="56" s="1"/>
  <c r="G36" i="54"/>
  <c r="BQ36" i="54" s="1"/>
  <c r="S36" i="56" s="1"/>
  <c r="F36" i="54"/>
  <c r="BP36" i="54" s="1"/>
  <c r="R36" i="56" s="1"/>
  <c r="E36" i="54"/>
  <c r="BO36" i="54" s="1"/>
  <c r="Q36" i="56" s="1"/>
  <c r="D36" i="54"/>
  <c r="AT36" i="54" s="1"/>
  <c r="B36" i="54"/>
  <c r="AG36" i="54" s="1"/>
  <c r="B36" i="56" s="1"/>
  <c r="A36" i="54"/>
  <c r="AF36" i="54" s="1"/>
  <c r="A36" i="56" s="1"/>
  <c r="JO35" i="54"/>
  <c r="JN35" i="54"/>
  <c r="JM35" i="54"/>
  <c r="JL35" i="54"/>
  <c r="JK35" i="54"/>
  <c r="JJ35" i="54"/>
  <c r="JI35" i="54"/>
  <c r="JH35" i="54"/>
  <c r="JG35" i="54"/>
  <c r="JF35" i="54"/>
  <c r="JE35" i="54"/>
  <c r="JD35" i="54"/>
  <c r="JC35" i="54"/>
  <c r="JB35" i="54"/>
  <c r="JA35" i="54"/>
  <c r="IZ35" i="54"/>
  <c r="IY35" i="54"/>
  <c r="IX35" i="54"/>
  <c r="IW35" i="54"/>
  <c r="IV35" i="54"/>
  <c r="IU35" i="54"/>
  <c r="IT35" i="54"/>
  <c r="IS35" i="54"/>
  <c r="IR35" i="54"/>
  <c r="IQ35" i="54"/>
  <c r="IP35" i="54"/>
  <c r="IO35" i="54"/>
  <c r="IN35" i="54"/>
  <c r="IM35" i="54"/>
  <c r="IL35" i="54"/>
  <c r="IK35" i="54"/>
  <c r="IJ35" i="54"/>
  <c r="II35" i="54"/>
  <c r="IH35" i="54"/>
  <c r="IG35" i="54"/>
  <c r="IF35" i="54"/>
  <c r="IE35" i="54"/>
  <c r="ID35" i="54"/>
  <c r="IC35" i="54"/>
  <c r="IB35" i="54"/>
  <c r="IA35" i="54"/>
  <c r="HZ35" i="54"/>
  <c r="HY35" i="54"/>
  <c r="HX35" i="54"/>
  <c r="HW35" i="54"/>
  <c r="HV35" i="54"/>
  <c r="HU35" i="54"/>
  <c r="HT35" i="54"/>
  <c r="HS35" i="54"/>
  <c r="HR35" i="54"/>
  <c r="HQ35" i="54"/>
  <c r="HP35" i="54"/>
  <c r="HO35" i="54"/>
  <c r="HN35" i="54"/>
  <c r="HM35" i="54"/>
  <c r="HL35" i="54"/>
  <c r="HI35" i="54"/>
  <c r="HH35" i="54"/>
  <c r="HG35" i="54"/>
  <c r="HF35" i="54"/>
  <c r="HE35" i="54"/>
  <c r="HD35" i="54"/>
  <c r="HC35" i="54"/>
  <c r="HB35" i="54"/>
  <c r="HA35" i="54"/>
  <c r="GZ35" i="54"/>
  <c r="GY35" i="54"/>
  <c r="GX35" i="54"/>
  <c r="GW35" i="54"/>
  <c r="GV35" i="54"/>
  <c r="GU35" i="54"/>
  <c r="GT35" i="54"/>
  <c r="GS35" i="54"/>
  <c r="GR35" i="54"/>
  <c r="GQ35" i="54"/>
  <c r="GP35" i="54"/>
  <c r="GO35" i="54"/>
  <c r="GN35" i="54"/>
  <c r="GM35" i="54"/>
  <c r="GL35" i="54"/>
  <c r="GK35" i="54"/>
  <c r="GJ35" i="54"/>
  <c r="GI35" i="54"/>
  <c r="GH35" i="54"/>
  <c r="GG35" i="54"/>
  <c r="GF35" i="54"/>
  <c r="GE35" i="54"/>
  <c r="GD35" i="54"/>
  <c r="GC35" i="54"/>
  <c r="GB35" i="54"/>
  <c r="GA35" i="54"/>
  <c r="FZ35" i="54"/>
  <c r="FY35" i="54"/>
  <c r="FX35" i="54"/>
  <c r="FW35" i="54"/>
  <c r="FV35" i="54"/>
  <c r="FU35" i="54"/>
  <c r="FT35" i="54"/>
  <c r="AD35" i="54"/>
  <c r="AA35" i="54"/>
  <c r="Z35" i="54"/>
  <c r="Y35" i="54"/>
  <c r="X35" i="54"/>
  <c r="W35" i="54"/>
  <c r="V35" i="54"/>
  <c r="U35" i="54"/>
  <c r="T35" i="54"/>
  <c r="S35" i="54"/>
  <c r="R35" i="54"/>
  <c r="Q35" i="54"/>
  <c r="P35" i="54"/>
  <c r="O35" i="54"/>
  <c r="N35" i="54"/>
  <c r="L35" i="54"/>
  <c r="K35" i="54"/>
  <c r="BK35" i="54" s="1"/>
  <c r="M35" i="56" s="1"/>
  <c r="J35" i="54"/>
  <c r="BT35" i="54" s="1"/>
  <c r="V35" i="56" s="1"/>
  <c r="G35" i="54"/>
  <c r="BQ35" i="54" s="1"/>
  <c r="S35" i="56" s="1"/>
  <c r="F35" i="54"/>
  <c r="BP35" i="54" s="1"/>
  <c r="R35" i="56" s="1"/>
  <c r="E35" i="54"/>
  <c r="AU35" i="54" s="1"/>
  <c r="D35" i="54"/>
  <c r="BN35" i="54" s="1"/>
  <c r="P35" i="56" s="1"/>
  <c r="B35" i="54"/>
  <c r="AG35" i="54" s="1"/>
  <c r="B35" i="56" s="1"/>
  <c r="A35" i="54"/>
  <c r="AF35" i="54" s="1"/>
  <c r="A35" i="56" s="1"/>
  <c r="JO34" i="54"/>
  <c r="JN34" i="54"/>
  <c r="JM34" i="54"/>
  <c r="JL34" i="54"/>
  <c r="JK34" i="54"/>
  <c r="JJ34" i="54"/>
  <c r="JI34" i="54"/>
  <c r="JH34" i="54"/>
  <c r="JG34" i="54"/>
  <c r="JF34" i="54"/>
  <c r="JE34" i="54"/>
  <c r="JD34" i="54"/>
  <c r="JC34" i="54"/>
  <c r="JB34" i="54"/>
  <c r="JA34" i="54"/>
  <c r="IZ34" i="54"/>
  <c r="IY34" i="54"/>
  <c r="IX34" i="54"/>
  <c r="IW34" i="54"/>
  <c r="IV34" i="54"/>
  <c r="IU34" i="54"/>
  <c r="IT34" i="54"/>
  <c r="IS34" i="54"/>
  <c r="IR34" i="54"/>
  <c r="IQ34" i="54"/>
  <c r="IP34" i="54"/>
  <c r="IO34" i="54"/>
  <c r="IN34" i="54"/>
  <c r="IM34" i="54"/>
  <c r="IL34" i="54"/>
  <c r="IK34" i="54"/>
  <c r="IJ34" i="54"/>
  <c r="II34" i="54"/>
  <c r="IH34" i="54"/>
  <c r="IG34" i="54"/>
  <c r="IF34" i="54"/>
  <c r="IE34" i="54"/>
  <c r="ID34" i="54"/>
  <c r="IC34" i="54"/>
  <c r="IB34" i="54"/>
  <c r="IA34" i="54"/>
  <c r="HZ34" i="54"/>
  <c r="HY34" i="54"/>
  <c r="HX34" i="54"/>
  <c r="HW34" i="54"/>
  <c r="HV34" i="54"/>
  <c r="HU34" i="54"/>
  <c r="HT34" i="54"/>
  <c r="HS34" i="54"/>
  <c r="HR34" i="54"/>
  <c r="HQ34" i="54"/>
  <c r="HP34" i="54"/>
  <c r="HO34" i="54"/>
  <c r="HN34" i="54"/>
  <c r="HM34" i="54"/>
  <c r="HL34" i="54"/>
  <c r="HI34" i="54"/>
  <c r="HH34" i="54"/>
  <c r="HG34" i="54"/>
  <c r="HF34" i="54"/>
  <c r="HE34" i="54"/>
  <c r="HD34" i="54"/>
  <c r="HC34" i="54"/>
  <c r="HB34" i="54"/>
  <c r="HA34" i="54"/>
  <c r="GZ34" i="54"/>
  <c r="GY34" i="54"/>
  <c r="GX34" i="54"/>
  <c r="GW34" i="54"/>
  <c r="GV34" i="54"/>
  <c r="GU34" i="54"/>
  <c r="GT34" i="54"/>
  <c r="GS34" i="54"/>
  <c r="GR34" i="54"/>
  <c r="GQ34" i="54"/>
  <c r="GP34" i="54"/>
  <c r="GO34" i="54"/>
  <c r="GN34" i="54"/>
  <c r="GM34" i="54"/>
  <c r="GL34" i="54"/>
  <c r="GK34" i="54"/>
  <c r="GJ34" i="54"/>
  <c r="GI34" i="54"/>
  <c r="GH34" i="54"/>
  <c r="GG34" i="54"/>
  <c r="GF34" i="54"/>
  <c r="GE34" i="54"/>
  <c r="GD34" i="54"/>
  <c r="GC34" i="54"/>
  <c r="GB34" i="54"/>
  <c r="GA34" i="54"/>
  <c r="FZ34" i="54"/>
  <c r="FY34" i="54"/>
  <c r="FX34" i="54"/>
  <c r="FW34" i="54"/>
  <c r="FV34" i="54"/>
  <c r="FU34" i="54"/>
  <c r="FT34" i="54"/>
  <c r="AD34" i="54"/>
  <c r="AA34" i="54"/>
  <c r="Z34" i="54"/>
  <c r="Y34" i="54"/>
  <c r="X34" i="54"/>
  <c r="W34" i="54"/>
  <c r="V34" i="54"/>
  <c r="U34" i="54"/>
  <c r="T34" i="54"/>
  <c r="S34" i="54"/>
  <c r="R34" i="54"/>
  <c r="Q34" i="54"/>
  <c r="P34" i="54"/>
  <c r="O34" i="54"/>
  <c r="N34" i="54"/>
  <c r="L34" i="54"/>
  <c r="BL34" i="54" s="1"/>
  <c r="N34" i="56" s="1"/>
  <c r="K34" i="54"/>
  <c r="BU34" i="54" s="1"/>
  <c r="W34" i="56" s="1"/>
  <c r="J34" i="54"/>
  <c r="BT34" i="54" s="1"/>
  <c r="V34" i="56" s="1"/>
  <c r="G34" i="54"/>
  <c r="BQ34" i="54" s="1"/>
  <c r="S34" i="56" s="1"/>
  <c r="F34" i="54"/>
  <c r="AV34" i="54" s="1"/>
  <c r="E34" i="54"/>
  <c r="BO34" i="54" s="1"/>
  <c r="Q34" i="56" s="1"/>
  <c r="D34" i="54"/>
  <c r="BD34" i="54" s="1"/>
  <c r="F34" i="56" s="1"/>
  <c r="B34" i="54"/>
  <c r="AG34" i="54" s="1"/>
  <c r="B34" i="56" s="1"/>
  <c r="A34" i="54"/>
  <c r="AF34" i="54" s="1"/>
  <c r="A34" i="56" s="1"/>
  <c r="JO33" i="54"/>
  <c r="JN33" i="54"/>
  <c r="JM33" i="54"/>
  <c r="JL33" i="54"/>
  <c r="JK33" i="54"/>
  <c r="JJ33" i="54"/>
  <c r="JI33" i="54"/>
  <c r="JH33" i="54"/>
  <c r="JG33" i="54"/>
  <c r="JF33" i="54"/>
  <c r="JE33" i="54"/>
  <c r="JD33" i="54"/>
  <c r="JC33" i="54"/>
  <c r="JB33" i="54"/>
  <c r="JA33" i="54"/>
  <c r="IZ33" i="54"/>
  <c r="IY33" i="54"/>
  <c r="IX33" i="54"/>
  <c r="IW33" i="54"/>
  <c r="IV33" i="54"/>
  <c r="IU33" i="54"/>
  <c r="IT33" i="54"/>
  <c r="IS33" i="54"/>
  <c r="IR33" i="54"/>
  <c r="IQ33" i="54"/>
  <c r="IP33" i="54"/>
  <c r="IO33" i="54"/>
  <c r="IN33" i="54"/>
  <c r="IM33" i="54"/>
  <c r="IL33" i="54"/>
  <c r="IK33" i="54"/>
  <c r="IJ33" i="54"/>
  <c r="II33" i="54"/>
  <c r="IH33" i="54"/>
  <c r="IG33" i="54"/>
  <c r="IF33" i="54"/>
  <c r="IE33" i="54"/>
  <c r="ID33" i="54"/>
  <c r="IC33" i="54"/>
  <c r="IB33" i="54"/>
  <c r="IA33" i="54"/>
  <c r="HZ33" i="54"/>
  <c r="HY33" i="54"/>
  <c r="HX33" i="54"/>
  <c r="HW33" i="54"/>
  <c r="HV33" i="54"/>
  <c r="HU33" i="54"/>
  <c r="HT33" i="54"/>
  <c r="HS33" i="54"/>
  <c r="HR33" i="54"/>
  <c r="HQ33" i="54"/>
  <c r="HP33" i="54"/>
  <c r="HO33" i="54"/>
  <c r="HN33" i="54"/>
  <c r="HM33" i="54"/>
  <c r="HL33" i="54"/>
  <c r="HI33" i="54"/>
  <c r="HH33" i="54"/>
  <c r="HG33" i="54"/>
  <c r="HF33" i="54"/>
  <c r="HE33" i="54"/>
  <c r="HD33" i="54"/>
  <c r="HC33" i="54"/>
  <c r="HB33" i="54"/>
  <c r="HA33" i="54"/>
  <c r="GZ33" i="54"/>
  <c r="GY33" i="54"/>
  <c r="GX33" i="54"/>
  <c r="GW33" i="54"/>
  <c r="GU33" i="54"/>
  <c r="GT33" i="54"/>
  <c r="GS33" i="54"/>
  <c r="GR33" i="54"/>
  <c r="GQ33" i="54"/>
  <c r="GP33" i="54"/>
  <c r="GO33" i="54"/>
  <c r="GN33" i="54"/>
  <c r="GM33" i="54"/>
  <c r="GL33" i="54"/>
  <c r="GK33" i="54"/>
  <c r="GJ33" i="54"/>
  <c r="GI33" i="54"/>
  <c r="GH33" i="54"/>
  <c r="GG33" i="54"/>
  <c r="GF33" i="54"/>
  <c r="GE33" i="54"/>
  <c r="GD33" i="54"/>
  <c r="GC33" i="54"/>
  <c r="GB33" i="54"/>
  <c r="GA33" i="54"/>
  <c r="FZ33" i="54"/>
  <c r="FY33" i="54"/>
  <c r="FX33" i="54"/>
  <c r="FW33" i="54"/>
  <c r="FV33" i="54"/>
  <c r="FU33" i="54"/>
  <c r="FT33" i="54"/>
  <c r="AD33" i="54"/>
  <c r="AA33" i="54"/>
  <c r="Z33" i="54"/>
  <c r="Y33" i="54"/>
  <c r="X33" i="54"/>
  <c r="W33" i="54"/>
  <c r="V33" i="54"/>
  <c r="U33" i="54"/>
  <c r="T33" i="54"/>
  <c r="S33" i="54"/>
  <c r="R33" i="54"/>
  <c r="Q33" i="54"/>
  <c r="P33" i="54"/>
  <c r="O33" i="54"/>
  <c r="N33" i="54"/>
  <c r="L33" i="54"/>
  <c r="BV33" i="54" s="1"/>
  <c r="X33" i="56" s="1"/>
  <c r="K33" i="54"/>
  <c r="BU33" i="54" s="1"/>
  <c r="W33" i="56" s="1"/>
  <c r="J33" i="54"/>
  <c r="BT33" i="54" s="1"/>
  <c r="V33" i="56" s="1"/>
  <c r="G33" i="54"/>
  <c r="AW33" i="54" s="1"/>
  <c r="F33" i="54"/>
  <c r="E33" i="54"/>
  <c r="BE33" i="54" s="1"/>
  <c r="G33" i="56" s="1"/>
  <c r="D33" i="54"/>
  <c r="BN33" i="54" s="1"/>
  <c r="P33" i="56" s="1"/>
  <c r="B33" i="54"/>
  <c r="AG33" i="54" s="1"/>
  <c r="B33" i="56" s="1"/>
  <c r="A33" i="54"/>
  <c r="AF33" i="54" s="1"/>
  <c r="A33" i="56" s="1"/>
  <c r="JO32" i="54"/>
  <c r="JN32" i="54"/>
  <c r="JM32" i="54"/>
  <c r="JL32" i="54"/>
  <c r="JK32" i="54"/>
  <c r="JJ32" i="54"/>
  <c r="JI32" i="54"/>
  <c r="JH32" i="54"/>
  <c r="JG32" i="54"/>
  <c r="JF32" i="54"/>
  <c r="JE32" i="54"/>
  <c r="JD32" i="54"/>
  <c r="JC32" i="54"/>
  <c r="JB32" i="54"/>
  <c r="JA32" i="54"/>
  <c r="IZ32" i="54"/>
  <c r="IY32" i="54"/>
  <c r="IX32" i="54"/>
  <c r="IW32" i="54"/>
  <c r="IV32" i="54"/>
  <c r="IU32" i="54"/>
  <c r="IT32" i="54"/>
  <c r="IS32" i="54"/>
  <c r="IR32" i="54"/>
  <c r="IQ32" i="54"/>
  <c r="IP32" i="54"/>
  <c r="IO32" i="54"/>
  <c r="IN32" i="54"/>
  <c r="IM32" i="54"/>
  <c r="IL32" i="54"/>
  <c r="IK32" i="54"/>
  <c r="IJ32" i="54"/>
  <c r="II32" i="54"/>
  <c r="IH32" i="54"/>
  <c r="IG32" i="54"/>
  <c r="IF32" i="54"/>
  <c r="IE32" i="54"/>
  <c r="ID32" i="54"/>
  <c r="IC32" i="54"/>
  <c r="IB32" i="54"/>
  <c r="IA32" i="54"/>
  <c r="HZ32" i="54"/>
  <c r="HY32" i="54"/>
  <c r="HX32" i="54"/>
  <c r="HW32" i="54"/>
  <c r="HV32" i="54"/>
  <c r="HU32" i="54"/>
  <c r="HT32" i="54"/>
  <c r="HS32" i="54"/>
  <c r="HR32" i="54"/>
  <c r="HQ32" i="54"/>
  <c r="HP32" i="54"/>
  <c r="HO32" i="54"/>
  <c r="HN32" i="54"/>
  <c r="HM32" i="54"/>
  <c r="HL32" i="54"/>
  <c r="HI32" i="54"/>
  <c r="HH32" i="54"/>
  <c r="HG32" i="54"/>
  <c r="HF32" i="54"/>
  <c r="HE32" i="54"/>
  <c r="HD32" i="54"/>
  <c r="HC32" i="54"/>
  <c r="HB32" i="54"/>
  <c r="HA32" i="54"/>
  <c r="GZ32" i="54"/>
  <c r="GY32" i="54"/>
  <c r="GX32" i="54"/>
  <c r="GW32" i="54"/>
  <c r="GU32" i="54"/>
  <c r="GT32" i="54"/>
  <c r="GS32" i="54"/>
  <c r="GR32" i="54"/>
  <c r="GQ32" i="54"/>
  <c r="GP32" i="54"/>
  <c r="GO32" i="54"/>
  <c r="GN32" i="54"/>
  <c r="GM32" i="54"/>
  <c r="GL32" i="54"/>
  <c r="GK32" i="54"/>
  <c r="GJ32" i="54"/>
  <c r="GI32" i="54"/>
  <c r="GH32" i="54"/>
  <c r="GG32" i="54"/>
  <c r="GF32" i="54"/>
  <c r="GE32" i="54"/>
  <c r="GD32" i="54"/>
  <c r="GC32" i="54"/>
  <c r="GB32" i="54"/>
  <c r="GA32" i="54"/>
  <c r="FZ32" i="54"/>
  <c r="FY32" i="54"/>
  <c r="FX32" i="54"/>
  <c r="FW32" i="54"/>
  <c r="FV32" i="54"/>
  <c r="FU32" i="54"/>
  <c r="FT32" i="54"/>
  <c r="AD32" i="54"/>
  <c r="AA32" i="54"/>
  <c r="Z32" i="54"/>
  <c r="Y32" i="54"/>
  <c r="X32" i="54"/>
  <c r="W32" i="54"/>
  <c r="V32" i="54"/>
  <c r="U32" i="54"/>
  <c r="T32" i="54"/>
  <c r="S32" i="54"/>
  <c r="R32" i="54"/>
  <c r="Q32" i="54"/>
  <c r="P32" i="54"/>
  <c r="O32" i="54"/>
  <c r="N32" i="54"/>
  <c r="L32" i="54"/>
  <c r="BV32" i="54" s="1"/>
  <c r="X32" i="56" s="1"/>
  <c r="K32" i="54"/>
  <c r="BU32" i="54" s="1"/>
  <c r="W32" i="56" s="1"/>
  <c r="J32" i="54"/>
  <c r="BT32" i="54" s="1"/>
  <c r="V32" i="56" s="1"/>
  <c r="G32" i="54"/>
  <c r="F32" i="54"/>
  <c r="BF32" i="54" s="1"/>
  <c r="H32" i="56" s="1"/>
  <c r="E32" i="54"/>
  <c r="BO32" i="54" s="1"/>
  <c r="Q32" i="56" s="1"/>
  <c r="D32" i="54"/>
  <c r="BN32" i="54" s="1"/>
  <c r="P32" i="56" s="1"/>
  <c r="B32" i="54"/>
  <c r="AG32" i="54" s="1"/>
  <c r="B32" i="56" s="1"/>
  <c r="A32" i="54"/>
  <c r="AF32" i="54" s="1"/>
  <c r="A32" i="56" s="1"/>
  <c r="JO31" i="54"/>
  <c r="JN31" i="54"/>
  <c r="JM31" i="54"/>
  <c r="JL31" i="54"/>
  <c r="JK31" i="54"/>
  <c r="JJ31" i="54"/>
  <c r="JI31" i="54"/>
  <c r="JH31" i="54"/>
  <c r="JG31" i="54"/>
  <c r="JF31" i="54"/>
  <c r="JE31" i="54"/>
  <c r="JD31" i="54"/>
  <c r="JC31" i="54"/>
  <c r="JB31" i="54"/>
  <c r="JA31" i="54"/>
  <c r="IZ31" i="54"/>
  <c r="IY31" i="54"/>
  <c r="IX31" i="54"/>
  <c r="IW31" i="54"/>
  <c r="IV31" i="54"/>
  <c r="IU31" i="54"/>
  <c r="IT31" i="54"/>
  <c r="IS31" i="54"/>
  <c r="IR31" i="54"/>
  <c r="IQ31" i="54"/>
  <c r="IP31" i="54"/>
  <c r="IO31" i="54"/>
  <c r="IN31" i="54"/>
  <c r="IM31" i="54"/>
  <c r="IL31" i="54"/>
  <c r="IK31" i="54"/>
  <c r="IJ31" i="54"/>
  <c r="II31" i="54"/>
  <c r="IH31" i="54"/>
  <c r="IG31" i="54"/>
  <c r="IF31" i="54"/>
  <c r="IE31" i="54"/>
  <c r="ID31" i="54"/>
  <c r="IC31" i="54"/>
  <c r="IB31" i="54"/>
  <c r="IA31" i="54"/>
  <c r="HZ31" i="54"/>
  <c r="HY31" i="54"/>
  <c r="HX31" i="54"/>
  <c r="HW31" i="54"/>
  <c r="HV31" i="54"/>
  <c r="HU31" i="54"/>
  <c r="HT31" i="54"/>
  <c r="HS31" i="54"/>
  <c r="HR31" i="54"/>
  <c r="HQ31" i="54"/>
  <c r="HP31" i="54"/>
  <c r="HO31" i="54"/>
  <c r="HN31" i="54"/>
  <c r="HM31" i="54"/>
  <c r="HL31" i="54"/>
  <c r="HI31" i="54"/>
  <c r="HH31" i="54"/>
  <c r="HG31" i="54"/>
  <c r="HF31" i="54"/>
  <c r="HE31" i="54"/>
  <c r="HD31" i="54"/>
  <c r="HC31" i="54"/>
  <c r="HB31" i="54"/>
  <c r="HA31" i="54"/>
  <c r="GZ31" i="54"/>
  <c r="GY31" i="54"/>
  <c r="GX31" i="54"/>
  <c r="GW31" i="54"/>
  <c r="GU31" i="54"/>
  <c r="GT31" i="54"/>
  <c r="GS31" i="54"/>
  <c r="GR31" i="54"/>
  <c r="GQ31" i="54"/>
  <c r="GP31" i="54"/>
  <c r="GO31" i="54"/>
  <c r="GN31" i="54"/>
  <c r="GM31" i="54"/>
  <c r="GL31" i="54"/>
  <c r="GK31" i="54"/>
  <c r="GJ31" i="54"/>
  <c r="GI31" i="54"/>
  <c r="GH31" i="54"/>
  <c r="GG31" i="54"/>
  <c r="GF31" i="54"/>
  <c r="GE31" i="54"/>
  <c r="GC31" i="54"/>
  <c r="GB31" i="54"/>
  <c r="GA31" i="54"/>
  <c r="FZ31" i="54"/>
  <c r="FY31" i="54"/>
  <c r="FX31" i="54"/>
  <c r="FW31" i="54"/>
  <c r="FV31" i="54"/>
  <c r="FU31" i="54"/>
  <c r="FT31" i="54"/>
  <c r="AD31" i="54"/>
  <c r="AA31" i="54"/>
  <c r="Z31" i="54"/>
  <c r="Y31" i="54"/>
  <c r="X31" i="54"/>
  <c r="W31" i="54"/>
  <c r="V31" i="54"/>
  <c r="U31" i="54"/>
  <c r="T31" i="54"/>
  <c r="S31" i="54"/>
  <c r="R31" i="54"/>
  <c r="Q31" i="54"/>
  <c r="P31" i="54"/>
  <c r="O31" i="54"/>
  <c r="N31" i="54"/>
  <c r="L31" i="54"/>
  <c r="BV31" i="54" s="1"/>
  <c r="X31" i="56" s="1"/>
  <c r="K31" i="54"/>
  <c r="BU31" i="54" s="1"/>
  <c r="W31" i="56" s="1"/>
  <c r="J31" i="54"/>
  <c r="BT31" i="54" s="1"/>
  <c r="V31" i="56" s="1"/>
  <c r="G31" i="54"/>
  <c r="BQ31" i="54" s="1"/>
  <c r="S31" i="56" s="1"/>
  <c r="F31" i="54"/>
  <c r="BP31" i="54" s="1"/>
  <c r="R31" i="56" s="1"/>
  <c r="E31" i="54"/>
  <c r="BO31" i="54" s="1"/>
  <c r="Q31" i="56" s="1"/>
  <c r="D31" i="54"/>
  <c r="BN31" i="54" s="1"/>
  <c r="P31" i="56" s="1"/>
  <c r="B31" i="54"/>
  <c r="AG31" i="54" s="1"/>
  <c r="B31" i="56" s="1"/>
  <c r="A31" i="54"/>
  <c r="AF31" i="54" s="1"/>
  <c r="A31" i="56" s="1"/>
  <c r="JO30" i="54"/>
  <c r="JN30" i="54"/>
  <c r="JM30" i="54"/>
  <c r="JL30" i="54"/>
  <c r="JK30" i="54"/>
  <c r="JJ30" i="54"/>
  <c r="JI30" i="54"/>
  <c r="JH30" i="54"/>
  <c r="JG30" i="54"/>
  <c r="JF30" i="54"/>
  <c r="JE30" i="54"/>
  <c r="JD30" i="54"/>
  <c r="JC30" i="54"/>
  <c r="JB30" i="54"/>
  <c r="JA30" i="54"/>
  <c r="IZ30" i="54"/>
  <c r="IY30" i="54"/>
  <c r="IX30" i="54"/>
  <c r="IW30" i="54"/>
  <c r="IV30" i="54"/>
  <c r="IU30" i="54"/>
  <c r="IT30" i="54"/>
  <c r="IS30" i="54"/>
  <c r="IR30" i="54"/>
  <c r="IQ30" i="54"/>
  <c r="IP30" i="54"/>
  <c r="IO30" i="54"/>
  <c r="IN30" i="54"/>
  <c r="IM30" i="54"/>
  <c r="IL30" i="54"/>
  <c r="IK30" i="54"/>
  <c r="IJ30" i="54"/>
  <c r="II30" i="54"/>
  <c r="IH30" i="54"/>
  <c r="IG30" i="54"/>
  <c r="IF30" i="54"/>
  <c r="IE30" i="54"/>
  <c r="ID30" i="54"/>
  <c r="IC30" i="54"/>
  <c r="IB30" i="54"/>
  <c r="IA30" i="54"/>
  <c r="HZ30" i="54"/>
  <c r="HY30" i="54"/>
  <c r="HX30" i="54"/>
  <c r="HW30" i="54"/>
  <c r="HV30" i="54"/>
  <c r="HU30" i="54"/>
  <c r="HT30" i="54"/>
  <c r="HS30" i="54"/>
  <c r="HR30" i="54"/>
  <c r="HQ30" i="54"/>
  <c r="HP30" i="54"/>
  <c r="HO30" i="54"/>
  <c r="HN30" i="54"/>
  <c r="HM30" i="54"/>
  <c r="HL30" i="54"/>
  <c r="HI30" i="54"/>
  <c r="HH30" i="54"/>
  <c r="HG30" i="54"/>
  <c r="HF30" i="54"/>
  <c r="HE30" i="54"/>
  <c r="HD30" i="54"/>
  <c r="HC30" i="54"/>
  <c r="HB30" i="54"/>
  <c r="HA30" i="54"/>
  <c r="GZ30" i="54"/>
  <c r="GY30" i="54"/>
  <c r="GX30" i="54"/>
  <c r="GW30" i="54"/>
  <c r="GV30" i="54"/>
  <c r="GU30" i="54"/>
  <c r="GT30" i="54"/>
  <c r="GS30" i="54"/>
  <c r="GR30" i="54"/>
  <c r="GQ30" i="54"/>
  <c r="GP30" i="54"/>
  <c r="GO30" i="54"/>
  <c r="GN30" i="54"/>
  <c r="GM30" i="54"/>
  <c r="GL30" i="54"/>
  <c r="GK30" i="54"/>
  <c r="GJ30" i="54"/>
  <c r="GI30" i="54"/>
  <c r="GH30" i="54"/>
  <c r="GG30" i="54"/>
  <c r="GF30" i="54"/>
  <c r="GE30" i="54"/>
  <c r="GD30" i="54"/>
  <c r="GC30" i="54"/>
  <c r="GB30" i="54"/>
  <c r="GA30" i="54"/>
  <c r="FZ30" i="54"/>
  <c r="FY30" i="54"/>
  <c r="FX30" i="54"/>
  <c r="FW30" i="54"/>
  <c r="FV30" i="54"/>
  <c r="FU30" i="54"/>
  <c r="FT30" i="54"/>
  <c r="AD30" i="54"/>
  <c r="AA30" i="54"/>
  <c r="Z30" i="54"/>
  <c r="Y30" i="54"/>
  <c r="X30" i="54"/>
  <c r="W30" i="54"/>
  <c r="V30" i="54"/>
  <c r="U30" i="54"/>
  <c r="T30" i="54"/>
  <c r="S30" i="54"/>
  <c r="R30" i="54"/>
  <c r="Q30" i="54"/>
  <c r="P30" i="54"/>
  <c r="O30" i="54"/>
  <c r="N30" i="54"/>
  <c r="L30" i="54"/>
  <c r="BV30" i="54" s="1"/>
  <c r="X30" i="56" s="1"/>
  <c r="K30" i="54"/>
  <c r="BU30" i="54" s="1"/>
  <c r="W30" i="56" s="1"/>
  <c r="J30" i="54"/>
  <c r="BT30" i="54" s="1"/>
  <c r="V30" i="56" s="1"/>
  <c r="G30" i="54"/>
  <c r="BQ30" i="54" s="1"/>
  <c r="S30" i="56" s="1"/>
  <c r="F30" i="54"/>
  <c r="BP30" i="54" s="1"/>
  <c r="R30" i="56" s="1"/>
  <c r="E30" i="54"/>
  <c r="BO30" i="54" s="1"/>
  <c r="Q30" i="56" s="1"/>
  <c r="D30" i="54"/>
  <c r="BN30" i="54" s="1"/>
  <c r="P30" i="56" s="1"/>
  <c r="B30" i="54"/>
  <c r="AG30" i="54" s="1"/>
  <c r="B30" i="56" s="1"/>
  <c r="A30" i="54"/>
  <c r="AF30" i="54" s="1"/>
  <c r="A30" i="56" s="1"/>
  <c r="JO29" i="54"/>
  <c r="JN29" i="54"/>
  <c r="JM29" i="54"/>
  <c r="JL29" i="54"/>
  <c r="JK29" i="54"/>
  <c r="JJ29" i="54"/>
  <c r="JI29" i="54"/>
  <c r="JH29" i="54"/>
  <c r="JG29" i="54"/>
  <c r="JF29" i="54"/>
  <c r="JE29" i="54"/>
  <c r="JD29" i="54"/>
  <c r="JC29" i="54"/>
  <c r="JB29" i="54"/>
  <c r="JA29" i="54"/>
  <c r="IZ29" i="54"/>
  <c r="IY29" i="54"/>
  <c r="IX29" i="54"/>
  <c r="IW29" i="54"/>
  <c r="IV29" i="54"/>
  <c r="IU29" i="54"/>
  <c r="IT29" i="54"/>
  <c r="IS29" i="54"/>
  <c r="IR29" i="54"/>
  <c r="IQ29" i="54"/>
  <c r="IP29" i="54"/>
  <c r="IO29" i="54"/>
  <c r="IN29" i="54"/>
  <c r="IM29" i="54"/>
  <c r="IL29" i="54"/>
  <c r="IK29" i="54"/>
  <c r="IJ29" i="54"/>
  <c r="II29" i="54"/>
  <c r="IH29" i="54"/>
  <c r="IG29" i="54"/>
  <c r="IF29" i="54"/>
  <c r="IE29" i="54"/>
  <c r="ID29" i="54"/>
  <c r="IC29" i="54"/>
  <c r="IB29" i="54"/>
  <c r="IA29" i="54"/>
  <c r="HZ29" i="54"/>
  <c r="HY29" i="54"/>
  <c r="HX29" i="54"/>
  <c r="HW29" i="54"/>
  <c r="HV29" i="54"/>
  <c r="HU29" i="54"/>
  <c r="HT29" i="54"/>
  <c r="HS29" i="54"/>
  <c r="HR29" i="54"/>
  <c r="HQ29" i="54"/>
  <c r="HP29" i="54"/>
  <c r="HO29" i="54"/>
  <c r="HN29" i="54"/>
  <c r="HM29" i="54"/>
  <c r="HL29" i="54"/>
  <c r="HI29" i="54"/>
  <c r="HH29" i="54"/>
  <c r="HG29" i="54"/>
  <c r="HF29" i="54"/>
  <c r="HE29" i="54"/>
  <c r="HD29" i="54"/>
  <c r="HC29" i="54"/>
  <c r="HB29" i="54"/>
  <c r="HA29" i="54"/>
  <c r="GZ29" i="54"/>
  <c r="GY29" i="54"/>
  <c r="GX29" i="54"/>
  <c r="GW29" i="54"/>
  <c r="GV29" i="54"/>
  <c r="GU29" i="54"/>
  <c r="GT29" i="54"/>
  <c r="GS29" i="54"/>
  <c r="GR29" i="54"/>
  <c r="GQ29" i="54"/>
  <c r="GP29" i="54"/>
  <c r="GO29" i="54"/>
  <c r="GN29" i="54"/>
  <c r="GM29" i="54"/>
  <c r="GL29" i="54"/>
  <c r="GK29" i="54"/>
  <c r="GJ29" i="54"/>
  <c r="GI29" i="54"/>
  <c r="GH29" i="54"/>
  <c r="GG29" i="54"/>
  <c r="GF29" i="54"/>
  <c r="GE29" i="54"/>
  <c r="GD29" i="54"/>
  <c r="GC29" i="54"/>
  <c r="GB29" i="54"/>
  <c r="GA29" i="54"/>
  <c r="FZ29" i="54"/>
  <c r="FY29" i="54"/>
  <c r="FX29" i="54"/>
  <c r="FW29" i="54"/>
  <c r="FV29" i="54"/>
  <c r="FU29" i="54"/>
  <c r="FT29" i="54"/>
  <c r="AD29" i="54"/>
  <c r="AA29" i="54"/>
  <c r="Z29" i="54"/>
  <c r="Y29" i="54"/>
  <c r="X29" i="54"/>
  <c r="W29" i="54"/>
  <c r="V29" i="54"/>
  <c r="U29" i="54"/>
  <c r="T29" i="54"/>
  <c r="S29" i="54"/>
  <c r="R29" i="54"/>
  <c r="Q29" i="54"/>
  <c r="P29" i="54"/>
  <c r="O29" i="54"/>
  <c r="N29" i="54"/>
  <c r="L29" i="54"/>
  <c r="BV29" i="54" s="1"/>
  <c r="X29" i="56" s="1"/>
  <c r="K29" i="54"/>
  <c r="BU29" i="54" s="1"/>
  <c r="W29" i="56" s="1"/>
  <c r="J29" i="54"/>
  <c r="BT29" i="54" s="1"/>
  <c r="V29" i="56" s="1"/>
  <c r="G29" i="54"/>
  <c r="BQ29" i="54" s="1"/>
  <c r="S29" i="56" s="1"/>
  <c r="F29" i="54"/>
  <c r="BP29" i="54" s="1"/>
  <c r="R29" i="56" s="1"/>
  <c r="E29" i="54"/>
  <c r="BO29" i="54" s="1"/>
  <c r="Q29" i="56" s="1"/>
  <c r="D29" i="54"/>
  <c r="BN29" i="54" s="1"/>
  <c r="P29" i="56" s="1"/>
  <c r="B29" i="54"/>
  <c r="AG29" i="54" s="1"/>
  <c r="B29" i="56" s="1"/>
  <c r="A29" i="54"/>
  <c r="AF29" i="54" s="1"/>
  <c r="A29" i="56" s="1"/>
  <c r="JO28" i="54"/>
  <c r="JN28" i="54"/>
  <c r="JM28" i="54"/>
  <c r="JL28" i="54"/>
  <c r="JK28" i="54"/>
  <c r="JJ28" i="54"/>
  <c r="JI28" i="54"/>
  <c r="JH28" i="54"/>
  <c r="JG28" i="54"/>
  <c r="JF28" i="54"/>
  <c r="JE28" i="54"/>
  <c r="JD28" i="54"/>
  <c r="JC28" i="54"/>
  <c r="JB28" i="54"/>
  <c r="JA28" i="54"/>
  <c r="IZ28" i="54"/>
  <c r="IY28" i="54"/>
  <c r="IX28" i="54"/>
  <c r="IW28" i="54"/>
  <c r="IV28" i="54"/>
  <c r="IU28" i="54"/>
  <c r="IT28" i="54"/>
  <c r="IS28" i="54"/>
  <c r="IR28" i="54"/>
  <c r="IQ28" i="54"/>
  <c r="IP28" i="54"/>
  <c r="IO28" i="54"/>
  <c r="IN28" i="54"/>
  <c r="IM28" i="54"/>
  <c r="IL28" i="54"/>
  <c r="IK28" i="54"/>
  <c r="IJ28" i="54"/>
  <c r="II28" i="54"/>
  <c r="IH28" i="54"/>
  <c r="IG28" i="54"/>
  <c r="IF28" i="54"/>
  <c r="IE28" i="54"/>
  <c r="ID28" i="54"/>
  <c r="IC28" i="54"/>
  <c r="IB28" i="54"/>
  <c r="IA28" i="54"/>
  <c r="HZ28" i="54"/>
  <c r="HY28" i="54"/>
  <c r="HX28" i="54"/>
  <c r="HW28" i="54"/>
  <c r="HV28" i="54"/>
  <c r="HU28" i="54"/>
  <c r="HT28" i="54"/>
  <c r="HS28" i="54"/>
  <c r="HR28" i="54"/>
  <c r="HQ28" i="54"/>
  <c r="HP28" i="54"/>
  <c r="HO28" i="54"/>
  <c r="HN28" i="54"/>
  <c r="HM28" i="54"/>
  <c r="HL28" i="54"/>
  <c r="HI28" i="54"/>
  <c r="HH28" i="54"/>
  <c r="HG28" i="54"/>
  <c r="HF28" i="54"/>
  <c r="HE28" i="54"/>
  <c r="HD28" i="54"/>
  <c r="HC28" i="54"/>
  <c r="HB28" i="54"/>
  <c r="HA28" i="54"/>
  <c r="GZ28" i="54"/>
  <c r="GY28" i="54"/>
  <c r="GX28" i="54"/>
  <c r="GW28" i="54"/>
  <c r="GV28" i="54"/>
  <c r="GU28" i="54"/>
  <c r="GT28" i="54"/>
  <c r="GS28" i="54"/>
  <c r="GR28" i="54"/>
  <c r="GQ28" i="54"/>
  <c r="GP28" i="54"/>
  <c r="GO28" i="54"/>
  <c r="GN28" i="54"/>
  <c r="GM28" i="54"/>
  <c r="GL28" i="54"/>
  <c r="GK28" i="54"/>
  <c r="GJ28" i="54"/>
  <c r="GI28" i="54"/>
  <c r="GH28" i="54"/>
  <c r="GG28" i="54"/>
  <c r="GF28" i="54"/>
  <c r="GE28" i="54"/>
  <c r="GD28" i="54"/>
  <c r="GC28" i="54"/>
  <c r="GB28" i="54"/>
  <c r="GA28" i="54"/>
  <c r="FZ28" i="54"/>
  <c r="FY28" i="54"/>
  <c r="FX28" i="54"/>
  <c r="FW28" i="54"/>
  <c r="FV28" i="54"/>
  <c r="FU28" i="54"/>
  <c r="FT28" i="54"/>
  <c r="AD28" i="54"/>
  <c r="AA28" i="54"/>
  <c r="Z28" i="54"/>
  <c r="Y28" i="54"/>
  <c r="X28" i="54"/>
  <c r="W28" i="54"/>
  <c r="V28" i="54"/>
  <c r="U28" i="54"/>
  <c r="T28" i="54"/>
  <c r="S28" i="54"/>
  <c r="R28" i="54"/>
  <c r="Q28" i="54"/>
  <c r="P28" i="54"/>
  <c r="O28" i="54"/>
  <c r="N28" i="54"/>
  <c r="L28" i="54"/>
  <c r="BV28" i="54" s="1"/>
  <c r="X28" i="56" s="1"/>
  <c r="K28" i="54"/>
  <c r="J28" i="54"/>
  <c r="BT28" i="54" s="1"/>
  <c r="V28" i="56" s="1"/>
  <c r="G28" i="54"/>
  <c r="BQ28" i="54" s="1"/>
  <c r="S28" i="56" s="1"/>
  <c r="F28" i="54"/>
  <c r="BP28" i="54" s="1"/>
  <c r="R28" i="56" s="1"/>
  <c r="E28" i="54"/>
  <c r="BO28" i="54" s="1"/>
  <c r="Q28" i="56" s="1"/>
  <c r="D28" i="54"/>
  <c r="B28" i="54"/>
  <c r="AG28" i="54" s="1"/>
  <c r="B28" i="56" s="1"/>
  <c r="A28" i="54"/>
  <c r="AF28" i="54" s="1"/>
  <c r="A28" i="56" s="1"/>
  <c r="JO27" i="54"/>
  <c r="JN27" i="54"/>
  <c r="JM27" i="54"/>
  <c r="JL27" i="54"/>
  <c r="JK27" i="54"/>
  <c r="JJ27" i="54"/>
  <c r="JI27" i="54"/>
  <c r="JH27" i="54"/>
  <c r="JG27" i="54"/>
  <c r="JF27" i="54"/>
  <c r="JE27" i="54"/>
  <c r="JD27" i="54"/>
  <c r="JC27" i="54"/>
  <c r="JB27" i="54"/>
  <c r="JA27" i="54"/>
  <c r="IZ27" i="54"/>
  <c r="IY27" i="54"/>
  <c r="IX27" i="54"/>
  <c r="IW27" i="54"/>
  <c r="IV27" i="54"/>
  <c r="IU27" i="54"/>
  <c r="IT27" i="54"/>
  <c r="IS27" i="54"/>
  <c r="IR27" i="54"/>
  <c r="IQ27" i="54"/>
  <c r="IP27" i="54"/>
  <c r="IO27" i="54"/>
  <c r="IN27" i="54"/>
  <c r="IM27" i="54"/>
  <c r="IL27" i="54"/>
  <c r="IK27" i="54"/>
  <c r="IJ27" i="54"/>
  <c r="II27" i="54"/>
  <c r="IH27" i="54"/>
  <c r="IG27" i="54"/>
  <c r="IF27" i="54"/>
  <c r="IE27" i="54"/>
  <c r="ID27" i="54"/>
  <c r="IC27" i="54"/>
  <c r="IB27" i="54"/>
  <c r="IA27" i="54"/>
  <c r="HZ27" i="54"/>
  <c r="HY27" i="54"/>
  <c r="HX27" i="54"/>
  <c r="HW27" i="54"/>
  <c r="HV27" i="54"/>
  <c r="HU27" i="54"/>
  <c r="HT27" i="54"/>
  <c r="HS27" i="54"/>
  <c r="HR27" i="54"/>
  <c r="HQ27" i="54"/>
  <c r="HP27" i="54"/>
  <c r="HO27" i="54"/>
  <c r="HN27" i="54"/>
  <c r="HM27" i="54"/>
  <c r="HL27" i="54"/>
  <c r="HI27" i="54"/>
  <c r="HH27" i="54"/>
  <c r="HG27" i="54"/>
  <c r="HF27" i="54"/>
  <c r="HE27" i="54"/>
  <c r="HD27" i="54"/>
  <c r="HC27" i="54"/>
  <c r="HB27" i="54"/>
  <c r="HA27" i="54"/>
  <c r="GZ27" i="54"/>
  <c r="GY27" i="54"/>
  <c r="GX27" i="54"/>
  <c r="GW27" i="54"/>
  <c r="GV27" i="54"/>
  <c r="GU27" i="54"/>
  <c r="GT27" i="54"/>
  <c r="GS27" i="54"/>
  <c r="GR27" i="54"/>
  <c r="GQ27" i="54"/>
  <c r="GP27" i="54"/>
  <c r="GO27" i="54"/>
  <c r="GN27" i="54"/>
  <c r="GM27" i="54"/>
  <c r="GL27" i="54"/>
  <c r="GK27" i="54"/>
  <c r="GJ27" i="54"/>
  <c r="GI27" i="54"/>
  <c r="GH27" i="54"/>
  <c r="GG27" i="54"/>
  <c r="GF27" i="54"/>
  <c r="GE27" i="54"/>
  <c r="GD27" i="54"/>
  <c r="GC27" i="54"/>
  <c r="GB27" i="54"/>
  <c r="GA27" i="54"/>
  <c r="FZ27" i="54"/>
  <c r="FY27" i="54"/>
  <c r="FX27" i="54"/>
  <c r="FW27" i="54"/>
  <c r="FV27" i="54"/>
  <c r="FU27" i="54"/>
  <c r="FT27" i="54"/>
  <c r="AD27" i="54"/>
  <c r="AA27" i="54"/>
  <c r="Z27" i="54"/>
  <c r="Y27" i="54"/>
  <c r="X27" i="54"/>
  <c r="W27" i="54"/>
  <c r="V27" i="54"/>
  <c r="U27" i="54"/>
  <c r="T27" i="54"/>
  <c r="S27" i="54"/>
  <c r="R27" i="54"/>
  <c r="Q27" i="54"/>
  <c r="P27" i="54"/>
  <c r="O27" i="54"/>
  <c r="N27" i="54"/>
  <c r="L27" i="54"/>
  <c r="K27" i="54"/>
  <c r="BU27" i="54" s="1"/>
  <c r="W27" i="56" s="1"/>
  <c r="J27" i="54"/>
  <c r="BT27" i="54" s="1"/>
  <c r="V27" i="56" s="1"/>
  <c r="G27" i="54"/>
  <c r="BQ27" i="54" s="1"/>
  <c r="S27" i="56" s="1"/>
  <c r="F27" i="54"/>
  <c r="BP27" i="54" s="1"/>
  <c r="R27" i="56" s="1"/>
  <c r="E27" i="54"/>
  <c r="BO27" i="54" s="1"/>
  <c r="Q27" i="56" s="1"/>
  <c r="D27" i="54"/>
  <c r="B27" i="54"/>
  <c r="AG27" i="54" s="1"/>
  <c r="B27" i="56" s="1"/>
  <c r="A27" i="54"/>
  <c r="AF27" i="54" s="1"/>
  <c r="A27" i="56" s="1"/>
  <c r="JO26" i="54"/>
  <c r="JN26" i="54"/>
  <c r="JM26" i="54"/>
  <c r="JL26" i="54"/>
  <c r="JK26" i="54"/>
  <c r="JJ26" i="54"/>
  <c r="JI26" i="54"/>
  <c r="JH26" i="54"/>
  <c r="JG26" i="54"/>
  <c r="JF26" i="54"/>
  <c r="JE26" i="54"/>
  <c r="JD26" i="54"/>
  <c r="JC26" i="54"/>
  <c r="JB26" i="54"/>
  <c r="JA26" i="54"/>
  <c r="IZ26" i="54"/>
  <c r="IY26" i="54"/>
  <c r="IX26" i="54"/>
  <c r="IW26" i="54"/>
  <c r="IV26" i="54"/>
  <c r="IU26" i="54"/>
  <c r="IT26" i="54"/>
  <c r="IS26" i="54"/>
  <c r="IR26" i="54"/>
  <c r="IQ26" i="54"/>
  <c r="IP26" i="54"/>
  <c r="IO26" i="54"/>
  <c r="IN26" i="54"/>
  <c r="IM26" i="54"/>
  <c r="IL26" i="54"/>
  <c r="IK26" i="54"/>
  <c r="IJ26" i="54"/>
  <c r="II26" i="54"/>
  <c r="IH26" i="54"/>
  <c r="IG26" i="54"/>
  <c r="IF26" i="54"/>
  <c r="IE26" i="54"/>
  <c r="ID26" i="54"/>
  <c r="IC26" i="54"/>
  <c r="IB26" i="54"/>
  <c r="IA26" i="54"/>
  <c r="HZ26" i="54"/>
  <c r="HY26" i="54"/>
  <c r="HX26" i="54"/>
  <c r="HW26" i="54"/>
  <c r="HV26" i="54"/>
  <c r="HU26" i="54"/>
  <c r="HT26" i="54"/>
  <c r="HS26" i="54"/>
  <c r="HR26" i="54"/>
  <c r="HQ26" i="54"/>
  <c r="HP26" i="54"/>
  <c r="HO26" i="54"/>
  <c r="HN26" i="54"/>
  <c r="HM26" i="54"/>
  <c r="HL26" i="54"/>
  <c r="HI26" i="54"/>
  <c r="HH26" i="54"/>
  <c r="HG26" i="54"/>
  <c r="HF26" i="54"/>
  <c r="HE26" i="54"/>
  <c r="HD26" i="54"/>
  <c r="HC26" i="54"/>
  <c r="HB26" i="54"/>
  <c r="HA26" i="54"/>
  <c r="GZ26" i="54"/>
  <c r="GY26" i="54"/>
  <c r="GX26" i="54"/>
  <c r="GW26" i="54"/>
  <c r="GV26" i="54"/>
  <c r="GU26" i="54"/>
  <c r="GT26" i="54"/>
  <c r="GS26" i="54"/>
  <c r="GR26" i="54"/>
  <c r="GQ26" i="54"/>
  <c r="GP26" i="54"/>
  <c r="GO26" i="54"/>
  <c r="GN26" i="54"/>
  <c r="GM26" i="54"/>
  <c r="GL26" i="54"/>
  <c r="GK26" i="54"/>
  <c r="GJ26" i="54"/>
  <c r="GI26" i="54"/>
  <c r="GH26" i="54"/>
  <c r="GG26" i="54"/>
  <c r="GF26" i="54"/>
  <c r="GE26" i="54"/>
  <c r="GD26" i="54"/>
  <c r="GC26" i="54"/>
  <c r="GB26" i="54"/>
  <c r="GA26" i="54"/>
  <c r="FZ26" i="54"/>
  <c r="FY26" i="54"/>
  <c r="FX26" i="54"/>
  <c r="FW26" i="54"/>
  <c r="FV26" i="54"/>
  <c r="FU26" i="54"/>
  <c r="FT26" i="54"/>
  <c r="AD26" i="54"/>
  <c r="AA26" i="54"/>
  <c r="Z26" i="54"/>
  <c r="Y26" i="54"/>
  <c r="X26" i="54"/>
  <c r="W26" i="54"/>
  <c r="V26" i="54"/>
  <c r="U26" i="54"/>
  <c r="T26" i="54"/>
  <c r="S26" i="54"/>
  <c r="R26" i="54"/>
  <c r="Q26" i="54"/>
  <c r="P26" i="54"/>
  <c r="O26" i="54"/>
  <c r="N26" i="54"/>
  <c r="L26" i="54"/>
  <c r="BV26" i="54" s="1"/>
  <c r="X26" i="56" s="1"/>
  <c r="K26" i="54"/>
  <c r="BU26" i="54" s="1"/>
  <c r="W26" i="56" s="1"/>
  <c r="J26" i="54"/>
  <c r="AZ26" i="54" s="1"/>
  <c r="G26" i="54"/>
  <c r="BQ26" i="54" s="1"/>
  <c r="S26" i="56" s="1"/>
  <c r="F26" i="54"/>
  <c r="BP26" i="54" s="1"/>
  <c r="R26" i="56" s="1"/>
  <c r="E26" i="54"/>
  <c r="AU26" i="54" s="1"/>
  <c r="D26" i="54"/>
  <c r="BN26" i="54" s="1"/>
  <c r="P26" i="56" s="1"/>
  <c r="B26" i="54"/>
  <c r="AG26" i="54" s="1"/>
  <c r="B26" i="56" s="1"/>
  <c r="A26" i="54"/>
  <c r="AF26" i="54" s="1"/>
  <c r="A26" i="56" s="1"/>
  <c r="JO25" i="54"/>
  <c r="JN25" i="54"/>
  <c r="JM25" i="54"/>
  <c r="JL25" i="54"/>
  <c r="JK25" i="54"/>
  <c r="JJ25" i="54"/>
  <c r="JI25" i="54"/>
  <c r="JH25" i="54"/>
  <c r="JG25" i="54"/>
  <c r="JF25" i="54"/>
  <c r="JE25" i="54"/>
  <c r="JD25" i="54"/>
  <c r="JC25" i="54"/>
  <c r="JB25" i="54"/>
  <c r="JA25" i="54"/>
  <c r="IZ25" i="54"/>
  <c r="IY25" i="54"/>
  <c r="IX25" i="54"/>
  <c r="IW25" i="54"/>
  <c r="IV25" i="54"/>
  <c r="IU25" i="54"/>
  <c r="IT25" i="54"/>
  <c r="IS25" i="54"/>
  <c r="IR25" i="54"/>
  <c r="IQ25" i="54"/>
  <c r="IP25" i="54"/>
  <c r="IO25" i="54"/>
  <c r="IN25" i="54"/>
  <c r="IM25" i="54"/>
  <c r="IL25" i="54"/>
  <c r="IK25" i="54"/>
  <c r="IJ25" i="54"/>
  <c r="II25" i="54"/>
  <c r="IH25" i="54"/>
  <c r="IG25" i="54"/>
  <c r="IF25" i="54"/>
  <c r="IE25" i="54"/>
  <c r="ID25" i="54"/>
  <c r="IC25" i="54"/>
  <c r="IB25" i="54"/>
  <c r="IA25" i="54"/>
  <c r="HZ25" i="54"/>
  <c r="HY25" i="54"/>
  <c r="HX25" i="54"/>
  <c r="HW25" i="54"/>
  <c r="HV25" i="54"/>
  <c r="HU25" i="54"/>
  <c r="HT25" i="54"/>
  <c r="HS25" i="54"/>
  <c r="HR25" i="54"/>
  <c r="HQ25" i="54"/>
  <c r="HP25" i="54"/>
  <c r="HO25" i="54"/>
  <c r="HN25" i="54"/>
  <c r="HM25" i="54"/>
  <c r="HL25" i="54"/>
  <c r="HI25" i="54"/>
  <c r="HH25" i="54"/>
  <c r="HG25" i="54"/>
  <c r="HF25" i="54"/>
  <c r="HE25" i="54"/>
  <c r="HD25" i="54"/>
  <c r="HC25" i="54"/>
  <c r="HB25" i="54"/>
  <c r="HA25" i="54"/>
  <c r="GZ25" i="54"/>
  <c r="GY25" i="54"/>
  <c r="GX25" i="54"/>
  <c r="GW25" i="54"/>
  <c r="GV25" i="54"/>
  <c r="GU25" i="54"/>
  <c r="GT25" i="54"/>
  <c r="GS25" i="54"/>
  <c r="GR25" i="54"/>
  <c r="GQ25" i="54"/>
  <c r="GP25" i="54"/>
  <c r="GO25" i="54"/>
  <c r="GN25" i="54"/>
  <c r="GM25" i="54"/>
  <c r="GL25" i="54"/>
  <c r="GK25" i="54"/>
  <c r="GJ25" i="54"/>
  <c r="GI25" i="54"/>
  <c r="GH25" i="54"/>
  <c r="GG25" i="54"/>
  <c r="GF25" i="54"/>
  <c r="GE25" i="54"/>
  <c r="GD25" i="54"/>
  <c r="GC25" i="54"/>
  <c r="GB25" i="54"/>
  <c r="GA25" i="54"/>
  <c r="FZ25" i="54"/>
  <c r="FY25" i="54"/>
  <c r="FX25" i="54"/>
  <c r="FW25" i="54"/>
  <c r="FV25" i="54"/>
  <c r="FU25" i="54"/>
  <c r="FT25" i="54"/>
  <c r="AD25" i="54"/>
  <c r="AA25" i="54"/>
  <c r="Z25" i="54"/>
  <c r="Y25" i="54"/>
  <c r="X25" i="54"/>
  <c r="W25" i="54"/>
  <c r="V25" i="54"/>
  <c r="U25" i="54"/>
  <c r="T25" i="54"/>
  <c r="S25" i="54"/>
  <c r="R25" i="54"/>
  <c r="Q25" i="54"/>
  <c r="P25" i="54"/>
  <c r="O25" i="54"/>
  <c r="N25" i="54"/>
  <c r="L25" i="54"/>
  <c r="K25" i="54"/>
  <c r="BA25" i="54" s="1"/>
  <c r="J25" i="54"/>
  <c r="BT25" i="54" s="1"/>
  <c r="V25" i="56" s="1"/>
  <c r="G25" i="54"/>
  <c r="BQ25" i="54" s="1"/>
  <c r="S25" i="56" s="1"/>
  <c r="F25" i="54"/>
  <c r="AV25" i="54" s="1"/>
  <c r="E25" i="54"/>
  <c r="BO25" i="54" s="1"/>
  <c r="Q25" i="56" s="1"/>
  <c r="D25" i="54"/>
  <c r="B25" i="54"/>
  <c r="AG25" i="54" s="1"/>
  <c r="B25" i="56" s="1"/>
  <c r="A25" i="54"/>
  <c r="AF25" i="54" s="1"/>
  <c r="A25" i="56" s="1"/>
  <c r="JO24" i="54"/>
  <c r="JN24" i="54"/>
  <c r="JM24" i="54"/>
  <c r="JL24" i="54"/>
  <c r="JK24" i="54"/>
  <c r="JJ24" i="54"/>
  <c r="JI24" i="54"/>
  <c r="JH24" i="54"/>
  <c r="JG24" i="54"/>
  <c r="JF24" i="54"/>
  <c r="JE24" i="54"/>
  <c r="JD24" i="54"/>
  <c r="JC24" i="54"/>
  <c r="JB24" i="54"/>
  <c r="JA24" i="54"/>
  <c r="IZ24" i="54"/>
  <c r="IY24" i="54"/>
  <c r="IX24" i="54"/>
  <c r="IW24" i="54"/>
  <c r="IV24" i="54"/>
  <c r="IU24" i="54"/>
  <c r="IT24" i="54"/>
  <c r="IS24" i="54"/>
  <c r="IR24" i="54"/>
  <c r="IQ24" i="54"/>
  <c r="IP24" i="54"/>
  <c r="IO24" i="54"/>
  <c r="IN24" i="54"/>
  <c r="IM24" i="54"/>
  <c r="IL24" i="54"/>
  <c r="IK24" i="54"/>
  <c r="IJ24" i="54"/>
  <c r="II24" i="54"/>
  <c r="IH24" i="54"/>
  <c r="IG24" i="54"/>
  <c r="IF24" i="54"/>
  <c r="IE24" i="54"/>
  <c r="ID24" i="54"/>
  <c r="IC24" i="54"/>
  <c r="IB24" i="54"/>
  <c r="IA24" i="54"/>
  <c r="HZ24" i="54"/>
  <c r="HY24" i="54"/>
  <c r="HX24" i="54"/>
  <c r="HW24" i="54"/>
  <c r="HV24" i="54"/>
  <c r="HU24" i="54"/>
  <c r="HT24" i="54"/>
  <c r="HS24" i="54"/>
  <c r="HR24" i="54"/>
  <c r="HQ24" i="54"/>
  <c r="HP24" i="54"/>
  <c r="HO24" i="54"/>
  <c r="HN24" i="54"/>
  <c r="HM24" i="54"/>
  <c r="HL24" i="54"/>
  <c r="HI24" i="54"/>
  <c r="HH24" i="54"/>
  <c r="HG24" i="54"/>
  <c r="HF24" i="54"/>
  <c r="HE24" i="54"/>
  <c r="HD24" i="54"/>
  <c r="HC24" i="54"/>
  <c r="HB24" i="54"/>
  <c r="HA24" i="54"/>
  <c r="GZ24" i="54"/>
  <c r="GY24" i="54"/>
  <c r="GX24" i="54"/>
  <c r="GW24" i="54"/>
  <c r="GV24" i="54"/>
  <c r="GU24" i="54"/>
  <c r="GT24" i="54"/>
  <c r="GS24" i="54"/>
  <c r="GR24" i="54"/>
  <c r="GQ24" i="54"/>
  <c r="GP24" i="54"/>
  <c r="GO24" i="54"/>
  <c r="GN24" i="54"/>
  <c r="GM24" i="54"/>
  <c r="GL24" i="54"/>
  <c r="GK24" i="54"/>
  <c r="GJ24" i="54"/>
  <c r="GI24" i="54"/>
  <c r="GH24" i="54"/>
  <c r="GG24" i="54"/>
  <c r="GF24" i="54"/>
  <c r="GE24" i="54"/>
  <c r="GD24" i="54"/>
  <c r="GC24" i="54"/>
  <c r="GB24" i="54"/>
  <c r="GA24" i="54"/>
  <c r="FZ24" i="54"/>
  <c r="FY24" i="54"/>
  <c r="FX24" i="54"/>
  <c r="FW24" i="54"/>
  <c r="FV24" i="54"/>
  <c r="FU24" i="54"/>
  <c r="FT24" i="54"/>
  <c r="BJ24" i="54"/>
  <c r="L24" i="56" s="1"/>
  <c r="AD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L24" i="54"/>
  <c r="BV24" i="54" s="1"/>
  <c r="X24" i="56" s="1"/>
  <c r="K24" i="54"/>
  <c r="BK24" i="54" s="1"/>
  <c r="M24" i="56" s="1"/>
  <c r="J24" i="54"/>
  <c r="AZ24" i="54" s="1"/>
  <c r="G24" i="54"/>
  <c r="BQ24" i="54" s="1"/>
  <c r="S24" i="56" s="1"/>
  <c r="F24" i="54"/>
  <c r="BP24" i="54" s="1"/>
  <c r="R24" i="56" s="1"/>
  <c r="E24" i="54"/>
  <c r="AU24" i="54" s="1"/>
  <c r="D24" i="54"/>
  <c r="AT24" i="54" s="1"/>
  <c r="B24" i="54"/>
  <c r="AG24" i="54" s="1"/>
  <c r="B24" i="56" s="1"/>
  <c r="A24" i="54"/>
  <c r="AF24" i="54" s="1"/>
  <c r="A24" i="56" s="1"/>
  <c r="JO23" i="54"/>
  <c r="JN23" i="54"/>
  <c r="JM23" i="54"/>
  <c r="JL23" i="54"/>
  <c r="JK23" i="54"/>
  <c r="JJ23" i="54"/>
  <c r="JI23" i="54"/>
  <c r="JH23" i="54"/>
  <c r="JG23" i="54"/>
  <c r="JF23" i="54"/>
  <c r="JE23" i="54"/>
  <c r="JD23" i="54"/>
  <c r="JC23" i="54"/>
  <c r="JB23" i="54"/>
  <c r="JA23" i="54"/>
  <c r="IZ23" i="54"/>
  <c r="IY23" i="54"/>
  <c r="IX23" i="54"/>
  <c r="IW23" i="54"/>
  <c r="IV23" i="54"/>
  <c r="IU23" i="54"/>
  <c r="IT23" i="54"/>
  <c r="IS23" i="54"/>
  <c r="IR23" i="54"/>
  <c r="IQ23" i="54"/>
  <c r="IP23" i="54"/>
  <c r="IO23" i="54"/>
  <c r="IN23" i="54"/>
  <c r="IM23" i="54"/>
  <c r="IL23" i="54"/>
  <c r="IK23" i="54"/>
  <c r="IJ23" i="54"/>
  <c r="II23" i="54"/>
  <c r="IH23" i="54"/>
  <c r="IG23" i="54"/>
  <c r="IF23" i="54"/>
  <c r="IE23" i="54"/>
  <c r="ID23" i="54"/>
  <c r="IC23" i="54"/>
  <c r="IB23" i="54"/>
  <c r="IA23" i="54"/>
  <c r="HZ23" i="54"/>
  <c r="HY23" i="54"/>
  <c r="HX23" i="54"/>
  <c r="HW23" i="54"/>
  <c r="HV23" i="54"/>
  <c r="HU23" i="54"/>
  <c r="HT23" i="54"/>
  <c r="HS23" i="54"/>
  <c r="HR23" i="54"/>
  <c r="HQ23" i="54"/>
  <c r="HP23" i="54"/>
  <c r="HO23" i="54"/>
  <c r="HN23" i="54"/>
  <c r="HM23" i="54"/>
  <c r="HL23" i="54"/>
  <c r="HI23" i="54"/>
  <c r="HH23" i="54"/>
  <c r="HG23" i="54"/>
  <c r="HF23" i="54"/>
  <c r="HE23" i="54"/>
  <c r="HD23" i="54"/>
  <c r="HC23" i="54"/>
  <c r="HB23" i="54"/>
  <c r="HA23" i="54"/>
  <c r="GZ23" i="54"/>
  <c r="GY23" i="54"/>
  <c r="GX23" i="54"/>
  <c r="GW23" i="54"/>
  <c r="GV23" i="54"/>
  <c r="GU23" i="54"/>
  <c r="GT23" i="54"/>
  <c r="GS23" i="54"/>
  <c r="GR23" i="54"/>
  <c r="GQ23" i="54"/>
  <c r="GP23" i="54"/>
  <c r="GO23" i="54"/>
  <c r="GN23" i="54"/>
  <c r="GM23" i="54"/>
  <c r="GL23" i="54"/>
  <c r="GK23" i="54"/>
  <c r="GJ23" i="54"/>
  <c r="GI23" i="54"/>
  <c r="GH23" i="54"/>
  <c r="GG23" i="54"/>
  <c r="GF23" i="54"/>
  <c r="GE23" i="54"/>
  <c r="GD23" i="54"/>
  <c r="GC23" i="54"/>
  <c r="GB23" i="54"/>
  <c r="GA23" i="54"/>
  <c r="FZ23" i="54"/>
  <c r="FY23" i="54"/>
  <c r="FX23" i="54"/>
  <c r="FW23" i="54"/>
  <c r="FV23" i="54"/>
  <c r="FU23" i="54"/>
  <c r="FT23" i="54"/>
  <c r="AD23" i="54"/>
  <c r="AA23" i="54"/>
  <c r="Z23" i="54"/>
  <c r="Y23" i="54"/>
  <c r="X23" i="54"/>
  <c r="W23" i="54"/>
  <c r="V23" i="54"/>
  <c r="U23" i="54"/>
  <c r="T23" i="54"/>
  <c r="S23" i="54"/>
  <c r="R23" i="54"/>
  <c r="Q23" i="54"/>
  <c r="P23" i="54"/>
  <c r="O23" i="54"/>
  <c r="N23" i="54"/>
  <c r="L23" i="54"/>
  <c r="BB23" i="54" s="1"/>
  <c r="K23" i="54"/>
  <c r="BA23" i="54" s="1"/>
  <c r="J23" i="54"/>
  <c r="BT23" i="54" s="1"/>
  <c r="V23" i="56" s="1"/>
  <c r="G23" i="54"/>
  <c r="BQ23" i="54" s="1"/>
  <c r="S23" i="56" s="1"/>
  <c r="F23" i="54"/>
  <c r="BP23" i="54" s="1"/>
  <c r="R23" i="56" s="1"/>
  <c r="E23" i="54"/>
  <c r="BO23" i="54" s="1"/>
  <c r="Q23" i="56" s="1"/>
  <c r="D23" i="54"/>
  <c r="BD23" i="54" s="1"/>
  <c r="F23" i="56" s="1"/>
  <c r="B23" i="54"/>
  <c r="AG23" i="54" s="1"/>
  <c r="B23" i="56" s="1"/>
  <c r="A23" i="54"/>
  <c r="AF23" i="54" s="1"/>
  <c r="A23" i="56" s="1"/>
  <c r="JO22" i="54"/>
  <c r="JN22" i="54"/>
  <c r="JM22" i="54"/>
  <c r="JL22" i="54"/>
  <c r="JK22" i="54"/>
  <c r="JJ22" i="54"/>
  <c r="JI22" i="54"/>
  <c r="JH22" i="54"/>
  <c r="JG22" i="54"/>
  <c r="JF22" i="54"/>
  <c r="JE22" i="54"/>
  <c r="JD22" i="54"/>
  <c r="JC22" i="54"/>
  <c r="JB22" i="54"/>
  <c r="JA22" i="54"/>
  <c r="IZ22" i="54"/>
  <c r="IY22" i="54"/>
  <c r="IX22" i="54"/>
  <c r="IW22" i="54"/>
  <c r="IV22" i="54"/>
  <c r="IU22" i="54"/>
  <c r="IT22" i="54"/>
  <c r="IS22" i="54"/>
  <c r="IR22" i="54"/>
  <c r="IQ22" i="54"/>
  <c r="IP22" i="54"/>
  <c r="IO22" i="54"/>
  <c r="IN22" i="54"/>
  <c r="IM22" i="54"/>
  <c r="IL22" i="54"/>
  <c r="IK22" i="54"/>
  <c r="IJ22" i="54"/>
  <c r="II22" i="54"/>
  <c r="IH22" i="54"/>
  <c r="IG22" i="54"/>
  <c r="IF22" i="54"/>
  <c r="IE22" i="54"/>
  <c r="ID22" i="54"/>
  <c r="IC22" i="54"/>
  <c r="IB22" i="54"/>
  <c r="IA22" i="54"/>
  <c r="HZ22" i="54"/>
  <c r="HY22" i="54"/>
  <c r="HX22" i="54"/>
  <c r="HW22" i="54"/>
  <c r="HV22" i="54"/>
  <c r="HU22" i="54"/>
  <c r="HT22" i="54"/>
  <c r="HS22" i="54"/>
  <c r="HR22" i="54"/>
  <c r="HQ22" i="54"/>
  <c r="HP22" i="54"/>
  <c r="HO22" i="54"/>
  <c r="HN22" i="54"/>
  <c r="HM22" i="54"/>
  <c r="HL22" i="54"/>
  <c r="HI22" i="54"/>
  <c r="HH22" i="54"/>
  <c r="HG22" i="54"/>
  <c r="HF22" i="54"/>
  <c r="HE22" i="54"/>
  <c r="HD22" i="54"/>
  <c r="HC22" i="54"/>
  <c r="HB22" i="54"/>
  <c r="HA22" i="54"/>
  <c r="GZ22" i="54"/>
  <c r="GY22" i="54"/>
  <c r="GX22" i="54"/>
  <c r="GW22" i="54"/>
  <c r="GV22" i="54"/>
  <c r="GU22" i="54"/>
  <c r="GT22" i="54"/>
  <c r="GS22" i="54"/>
  <c r="GR22" i="54"/>
  <c r="GQ22" i="54"/>
  <c r="GP22" i="54"/>
  <c r="GO22" i="54"/>
  <c r="GN22" i="54"/>
  <c r="GM22" i="54"/>
  <c r="GL22" i="54"/>
  <c r="GK22" i="54"/>
  <c r="GJ22" i="54"/>
  <c r="GI22" i="54"/>
  <c r="GH22" i="54"/>
  <c r="GG22" i="54"/>
  <c r="GF22" i="54"/>
  <c r="GE22" i="54"/>
  <c r="GD22" i="54"/>
  <c r="GC22" i="54"/>
  <c r="GB22" i="54"/>
  <c r="GA22" i="54"/>
  <c r="FZ22" i="54"/>
  <c r="FY22" i="54"/>
  <c r="FX22" i="54"/>
  <c r="FW22" i="54"/>
  <c r="FV22" i="54"/>
  <c r="FU22" i="54"/>
  <c r="FT22" i="54"/>
  <c r="AU22" i="54"/>
  <c r="AD22" i="54"/>
  <c r="AA22" i="54"/>
  <c r="Z22" i="54"/>
  <c r="Y22" i="54"/>
  <c r="X22" i="54"/>
  <c r="W22" i="54"/>
  <c r="V22" i="54"/>
  <c r="U22" i="54"/>
  <c r="T22" i="54"/>
  <c r="S22" i="54"/>
  <c r="R22" i="54"/>
  <c r="Q22" i="54"/>
  <c r="P22" i="54"/>
  <c r="O22" i="54"/>
  <c r="N22" i="54"/>
  <c r="L22" i="54"/>
  <c r="BV22" i="54" s="1"/>
  <c r="X22" i="56" s="1"/>
  <c r="K22" i="54"/>
  <c r="BA22" i="54" s="1"/>
  <c r="J22" i="54"/>
  <c r="AZ22" i="54" s="1"/>
  <c r="G22" i="54"/>
  <c r="BQ22" i="54" s="1"/>
  <c r="S22" i="56" s="1"/>
  <c r="F22" i="54"/>
  <c r="BP22" i="54" s="1"/>
  <c r="R22" i="56" s="1"/>
  <c r="E22" i="54"/>
  <c r="BO22" i="54" s="1"/>
  <c r="Q22" i="56" s="1"/>
  <c r="D22" i="54"/>
  <c r="BN22" i="54" s="1"/>
  <c r="P22" i="56" s="1"/>
  <c r="B22" i="54"/>
  <c r="AG22" i="54" s="1"/>
  <c r="B22" i="56" s="1"/>
  <c r="A22" i="54"/>
  <c r="AF22" i="54" s="1"/>
  <c r="A22" i="56" s="1"/>
  <c r="JO21" i="54"/>
  <c r="JN21" i="54"/>
  <c r="JM21" i="54"/>
  <c r="JL21" i="54"/>
  <c r="JK21" i="54"/>
  <c r="JJ21" i="54"/>
  <c r="JI21" i="54"/>
  <c r="JH21" i="54"/>
  <c r="JG21" i="54"/>
  <c r="JF21" i="54"/>
  <c r="JE21" i="54"/>
  <c r="JD21" i="54"/>
  <c r="JC21" i="54"/>
  <c r="JB21" i="54"/>
  <c r="JA21" i="54"/>
  <c r="IZ21" i="54"/>
  <c r="IY21" i="54"/>
  <c r="IX21" i="54"/>
  <c r="IW21" i="54"/>
  <c r="IV21" i="54"/>
  <c r="IU21" i="54"/>
  <c r="IT21" i="54"/>
  <c r="IS21" i="54"/>
  <c r="IR21" i="54"/>
  <c r="IQ21" i="54"/>
  <c r="IP21" i="54"/>
  <c r="IO21" i="54"/>
  <c r="IN21" i="54"/>
  <c r="IM21" i="54"/>
  <c r="IL21" i="54"/>
  <c r="IK21" i="54"/>
  <c r="IJ21" i="54"/>
  <c r="II21" i="54"/>
  <c r="IH21" i="54"/>
  <c r="IG21" i="54"/>
  <c r="IF21" i="54"/>
  <c r="IE21" i="54"/>
  <c r="ID21" i="54"/>
  <c r="IC21" i="54"/>
  <c r="IB21" i="54"/>
  <c r="IA21" i="54"/>
  <c r="HZ21" i="54"/>
  <c r="HY21" i="54"/>
  <c r="HX21" i="54"/>
  <c r="HW21" i="54"/>
  <c r="HV21" i="54"/>
  <c r="HU21" i="54"/>
  <c r="HT21" i="54"/>
  <c r="HS21" i="54"/>
  <c r="HR21" i="54"/>
  <c r="HQ21" i="54"/>
  <c r="HP21" i="54"/>
  <c r="HO21" i="54"/>
  <c r="HN21" i="54"/>
  <c r="HM21" i="54"/>
  <c r="HL21" i="54"/>
  <c r="HI21" i="54"/>
  <c r="HH21" i="54"/>
  <c r="HG21" i="54"/>
  <c r="HF21" i="54"/>
  <c r="HE21" i="54"/>
  <c r="HD21" i="54"/>
  <c r="HC21" i="54"/>
  <c r="HB21" i="54"/>
  <c r="HA21" i="54"/>
  <c r="GZ21" i="54"/>
  <c r="GY21" i="54"/>
  <c r="GX21" i="54"/>
  <c r="GW21" i="54"/>
  <c r="GV21" i="54"/>
  <c r="GU21" i="54"/>
  <c r="GT21" i="54"/>
  <c r="GS21" i="54"/>
  <c r="GR21" i="54"/>
  <c r="GQ21" i="54"/>
  <c r="GP21" i="54"/>
  <c r="GO21" i="54"/>
  <c r="GN21" i="54"/>
  <c r="GM21" i="54"/>
  <c r="GL21" i="54"/>
  <c r="GK21" i="54"/>
  <c r="GJ21" i="54"/>
  <c r="GI21" i="54"/>
  <c r="GH21" i="54"/>
  <c r="GG21" i="54"/>
  <c r="GF21" i="54"/>
  <c r="GE21" i="54"/>
  <c r="GD21" i="54"/>
  <c r="GC21" i="54"/>
  <c r="GB21" i="54"/>
  <c r="GA21" i="54"/>
  <c r="FZ21" i="54"/>
  <c r="FY21" i="54"/>
  <c r="FX21" i="54"/>
  <c r="FW21" i="54"/>
  <c r="FV21" i="54"/>
  <c r="FU21" i="54"/>
  <c r="FT21" i="54"/>
  <c r="AD21" i="54"/>
  <c r="AA21" i="54"/>
  <c r="Z21" i="54"/>
  <c r="Y21" i="54"/>
  <c r="X21" i="54"/>
  <c r="W21" i="54"/>
  <c r="V21" i="54"/>
  <c r="U21" i="54"/>
  <c r="T21" i="54"/>
  <c r="S21" i="54"/>
  <c r="R21" i="54"/>
  <c r="Q21" i="54"/>
  <c r="P21" i="54"/>
  <c r="O21" i="54"/>
  <c r="N21" i="54"/>
  <c r="L21" i="54"/>
  <c r="BB21" i="54" s="1"/>
  <c r="K21" i="54"/>
  <c r="BA21" i="54" s="1"/>
  <c r="J21" i="54"/>
  <c r="BJ21" i="54" s="1"/>
  <c r="L21" i="56" s="1"/>
  <c r="G21" i="54"/>
  <c r="BQ21" i="54" s="1"/>
  <c r="S21" i="56" s="1"/>
  <c r="F21" i="54"/>
  <c r="BP21" i="54" s="1"/>
  <c r="R21" i="56" s="1"/>
  <c r="E21" i="54"/>
  <c r="BO21" i="54" s="1"/>
  <c r="Q21" i="56" s="1"/>
  <c r="D21" i="54"/>
  <c r="AT21" i="54" s="1"/>
  <c r="B21" i="54"/>
  <c r="AG21" i="54" s="1"/>
  <c r="B21" i="56" s="1"/>
  <c r="A21" i="54"/>
  <c r="AF21" i="54" s="1"/>
  <c r="A21" i="56" s="1"/>
  <c r="JO20" i="54"/>
  <c r="JN20" i="54"/>
  <c r="JM20" i="54"/>
  <c r="JL20" i="54"/>
  <c r="JK20" i="54"/>
  <c r="JJ20" i="54"/>
  <c r="JI20" i="54"/>
  <c r="JH20" i="54"/>
  <c r="JG20" i="54"/>
  <c r="JF20" i="54"/>
  <c r="JE20" i="54"/>
  <c r="JD20" i="54"/>
  <c r="JC20" i="54"/>
  <c r="JB20" i="54"/>
  <c r="JA20" i="54"/>
  <c r="IZ20" i="54"/>
  <c r="IY20" i="54"/>
  <c r="IX20" i="54"/>
  <c r="IW20" i="54"/>
  <c r="IV20" i="54"/>
  <c r="IU20" i="54"/>
  <c r="IT20" i="54"/>
  <c r="IS20" i="54"/>
  <c r="IR20" i="54"/>
  <c r="IQ20" i="54"/>
  <c r="IP20" i="54"/>
  <c r="IO20" i="54"/>
  <c r="IN20" i="54"/>
  <c r="IM20" i="54"/>
  <c r="IL20" i="54"/>
  <c r="IK20" i="54"/>
  <c r="IJ20" i="54"/>
  <c r="II20" i="54"/>
  <c r="IH20" i="54"/>
  <c r="IG20" i="54"/>
  <c r="IF20" i="54"/>
  <c r="IE20" i="54"/>
  <c r="ID20" i="54"/>
  <c r="IC20" i="54"/>
  <c r="IB20" i="54"/>
  <c r="IA20" i="54"/>
  <c r="HZ20" i="54"/>
  <c r="HY20" i="54"/>
  <c r="HX20" i="54"/>
  <c r="HW20" i="54"/>
  <c r="HV20" i="54"/>
  <c r="HU20" i="54"/>
  <c r="HT20" i="54"/>
  <c r="HS20" i="54"/>
  <c r="HR20" i="54"/>
  <c r="HQ20" i="54"/>
  <c r="HP20" i="54"/>
  <c r="HO20" i="54"/>
  <c r="HN20" i="54"/>
  <c r="HM20" i="54"/>
  <c r="HL20" i="54"/>
  <c r="HI20" i="54"/>
  <c r="HH20" i="54"/>
  <c r="HG20" i="54"/>
  <c r="HF20" i="54"/>
  <c r="HE20" i="54"/>
  <c r="HD20" i="54"/>
  <c r="HC20" i="54"/>
  <c r="HB20" i="54"/>
  <c r="HA20" i="54"/>
  <c r="GZ20" i="54"/>
  <c r="GY20" i="54"/>
  <c r="GX20" i="54"/>
  <c r="GW20" i="54"/>
  <c r="GV20" i="54"/>
  <c r="GU20" i="54"/>
  <c r="GT20" i="54"/>
  <c r="GS20" i="54"/>
  <c r="GR20" i="54"/>
  <c r="GQ20" i="54"/>
  <c r="GP20" i="54"/>
  <c r="GO20" i="54"/>
  <c r="GN20" i="54"/>
  <c r="GM20" i="54"/>
  <c r="GL20" i="54"/>
  <c r="GK20" i="54"/>
  <c r="GJ20" i="54"/>
  <c r="GI20" i="54"/>
  <c r="GH20" i="54"/>
  <c r="GG20" i="54"/>
  <c r="GF20" i="54"/>
  <c r="GE20" i="54"/>
  <c r="GD20" i="54"/>
  <c r="GC20" i="54"/>
  <c r="GB20" i="54"/>
  <c r="GA20" i="54"/>
  <c r="FZ20" i="54"/>
  <c r="FY20" i="54"/>
  <c r="FX20" i="54"/>
  <c r="FW20" i="54"/>
  <c r="FV20" i="54"/>
  <c r="FU20" i="54"/>
  <c r="FT20" i="54"/>
  <c r="AD20" i="54"/>
  <c r="AA20" i="54"/>
  <c r="Z20" i="54"/>
  <c r="Y20" i="54"/>
  <c r="X20" i="54"/>
  <c r="W20" i="54"/>
  <c r="V20" i="54"/>
  <c r="U20" i="54"/>
  <c r="T20" i="54"/>
  <c r="S20" i="54"/>
  <c r="R20" i="54"/>
  <c r="Q20" i="54"/>
  <c r="P20" i="54"/>
  <c r="O20" i="54"/>
  <c r="N20" i="54"/>
  <c r="L20" i="54"/>
  <c r="BB20" i="54" s="1"/>
  <c r="K20" i="54"/>
  <c r="BK20" i="54" s="1"/>
  <c r="M20" i="56" s="1"/>
  <c r="J20" i="54"/>
  <c r="BT20" i="54" s="1"/>
  <c r="V20" i="56" s="1"/>
  <c r="G20" i="54"/>
  <c r="BQ20" i="54" s="1"/>
  <c r="S20" i="56" s="1"/>
  <c r="F20" i="54"/>
  <c r="BP20" i="54" s="1"/>
  <c r="R20" i="56" s="1"/>
  <c r="E20" i="54"/>
  <c r="AU20" i="54" s="1"/>
  <c r="D20" i="54"/>
  <c r="AT20" i="54" s="1"/>
  <c r="B20" i="54"/>
  <c r="AG20" i="54" s="1"/>
  <c r="B20" i="56" s="1"/>
  <c r="A20" i="54"/>
  <c r="AF20" i="54" s="1"/>
  <c r="A20" i="56" s="1"/>
  <c r="JO19" i="54"/>
  <c r="JN19" i="54"/>
  <c r="JM19" i="54"/>
  <c r="JL19" i="54"/>
  <c r="JK19" i="54"/>
  <c r="JJ19" i="54"/>
  <c r="JI19" i="54"/>
  <c r="JH19" i="54"/>
  <c r="JG19" i="54"/>
  <c r="JF19" i="54"/>
  <c r="JE19" i="54"/>
  <c r="JD19" i="54"/>
  <c r="JC19" i="54"/>
  <c r="JB19" i="54"/>
  <c r="JA19" i="54"/>
  <c r="IZ19" i="54"/>
  <c r="IY19" i="54"/>
  <c r="IX19" i="54"/>
  <c r="IW19" i="54"/>
  <c r="IV19" i="54"/>
  <c r="IU19" i="54"/>
  <c r="IT19" i="54"/>
  <c r="IS19" i="54"/>
  <c r="IR19" i="54"/>
  <c r="IQ19" i="54"/>
  <c r="IP19" i="54"/>
  <c r="IO19" i="54"/>
  <c r="IN19" i="54"/>
  <c r="IM19" i="54"/>
  <c r="IL19" i="54"/>
  <c r="IK19" i="54"/>
  <c r="IJ19" i="54"/>
  <c r="II19" i="54"/>
  <c r="IH19" i="54"/>
  <c r="IG19" i="54"/>
  <c r="IF19" i="54"/>
  <c r="IE19" i="54"/>
  <c r="ID19" i="54"/>
  <c r="IC19" i="54"/>
  <c r="IB19" i="54"/>
  <c r="IA19" i="54"/>
  <c r="HZ19" i="54"/>
  <c r="HY19" i="54"/>
  <c r="HX19" i="54"/>
  <c r="HW19" i="54"/>
  <c r="HV19" i="54"/>
  <c r="HU19" i="54"/>
  <c r="HT19" i="54"/>
  <c r="HS19" i="54"/>
  <c r="HR19" i="54"/>
  <c r="HQ19" i="54"/>
  <c r="HP19" i="54"/>
  <c r="HO19" i="54"/>
  <c r="HN19" i="54"/>
  <c r="HM19" i="54"/>
  <c r="HL19" i="54"/>
  <c r="HI19" i="54"/>
  <c r="HH19" i="54"/>
  <c r="HG19" i="54"/>
  <c r="HF19" i="54"/>
  <c r="HE19" i="54"/>
  <c r="HD19" i="54"/>
  <c r="HC19" i="54"/>
  <c r="HB19" i="54"/>
  <c r="HA19" i="54"/>
  <c r="GZ19" i="54"/>
  <c r="GY19" i="54"/>
  <c r="GX19" i="54"/>
  <c r="GW19" i="54"/>
  <c r="GU19" i="54"/>
  <c r="GT19" i="54"/>
  <c r="GS19" i="54"/>
  <c r="GR19" i="54"/>
  <c r="GQ19" i="54"/>
  <c r="GP19" i="54"/>
  <c r="GO19" i="54"/>
  <c r="GN19" i="54"/>
  <c r="GM19" i="54"/>
  <c r="GL19" i="54"/>
  <c r="GK19" i="54"/>
  <c r="GJ19" i="54"/>
  <c r="GI19" i="54"/>
  <c r="GH19" i="54"/>
  <c r="GG19" i="54"/>
  <c r="GF19" i="54"/>
  <c r="GE19" i="54"/>
  <c r="GD19" i="54"/>
  <c r="GC19" i="54"/>
  <c r="GB19" i="54"/>
  <c r="GA19" i="54"/>
  <c r="FZ19" i="54"/>
  <c r="FY19" i="54"/>
  <c r="FX19" i="54"/>
  <c r="FW19" i="54"/>
  <c r="FV19" i="54"/>
  <c r="FU19" i="54"/>
  <c r="FT19" i="54"/>
  <c r="AD19" i="54"/>
  <c r="AA19" i="54"/>
  <c r="Z19" i="54"/>
  <c r="Y19" i="54"/>
  <c r="X19" i="54"/>
  <c r="W19" i="54"/>
  <c r="V19" i="54"/>
  <c r="U19" i="54"/>
  <c r="T19" i="54"/>
  <c r="S19" i="54"/>
  <c r="R19" i="54"/>
  <c r="Q19" i="54"/>
  <c r="P19" i="54"/>
  <c r="O19" i="54"/>
  <c r="N19" i="54"/>
  <c r="L19" i="54"/>
  <c r="BL19" i="54" s="1"/>
  <c r="N19" i="56" s="1"/>
  <c r="K19" i="54"/>
  <c r="BU19" i="54" s="1"/>
  <c r="W19" i="56" s="1"/>
  <c r="J19" i="54"/>
  <c r="BT19" i="54" s="1"/>
  <c r="V19" i="56" s="1"/>
  <c r="G19" i="54"/>
  <c r="BQ19" i="54" s="1"/>
  <c r="S19" i="56" s="1"/>
  <c r="F19" i="54"/>
  <c r="AV19" i="54" s="1"/>
  <c r="E19" i="54"/>
  <c r="AU19" i="54" s="1"/>
  <c r="D19" i="54"/>
  <c r="BD19" i="54" s="1"/>
  <c r="F19" i="56" s="1"/>
  <c r="B19" i="54"/>
  <c r="AG19" i="54" s="1"/>
  <c r="B19" i="56" s="1"/>
  <c r="A19" i="54"/>
  <c r="AF19" i="54" s="1"/>
  <c r="A19" i="56" s="1"/>
  <c r="JO18" i="54"/>
  <c r="JN18" i="54"/>
  <c r="JM18" i="54"/>
  <c r="JL18" i="54"/>
  <c r="JK18" i="54"/>
  <c r="JJ18" i="54"/>
  <c r="JI18" i="54"/>
  <c r="JH18" i="54"/>
  <c r="JG18" i="54"/>
  <c r="JF18" i="54"/>
  <c r="JE18" i="54"/>
  <c r="JD18" i="54"/>
  <c r="JC18" i="54"/>
  <c r="JB18" i="54"/>
  <c r="JA18" i="54"/>
  <c r="IZ18" i="54"/>
  <c r="IY18" i="54"/>
  <c r="IX18" i="54"/>
  <c r="IW18" i="54"/>
  <c r="IV18" i="54"/>
  <c r="IU18" i="54"/>
  <c r="IT18" i="54"/>
  <c r="IS18" i="54"/>
  <c r="IR18" i="54"/>
  <c r="IQ18" i="54"/>
  <c r="IP18" i="54"/>
  <c r="IO18" i="54"/>
  <c r="IN18" i="54"/>
  <c r="IM18" i="54"/>
  <c r="IL18" i="54"/>
  <c r="IK18" i="54"/>
  <c r="IJ18" i="54"/>
  <c r="II18" i="54"/>
  <c r="IH18" i="54"/>
  <c r="IG18" i="54"/>
  <c r="IF18" i="54"/>
  <c r="IE18" i="54"/>
  <c r="ID18" i="54"/>
  <c r="IC18" i="54"/>
  <c r="IB18" i="54"/>
  <c r="IA18" i="54"/>
  <c r="HZ18" i="54"/>
  <c r="HY18" i="54"/>
  <c r="HX18" i="54"/>
  <c r="HW18" i="54"/>
  <c r="HV18" i="54"/>
  <c r="HU18" i="54"/>
  <c r="HT18" i="54"/>
  <c r="HS18" i="54"/>
  <c r="HR18" i="54"/>
  <c r="HQ18" i="54"/>
  <c r="HP18" i="54"/>
  <c r="HO18" i="54"/>
  <c r="HN18" i="54"/>
  <c r="HM18" i="54"/>
  <c r="HL18" i="54"/>
  <c r="HI18" i="54"/>
  <c r="HH18" i="54"/>
  <c r="HG18" i="54"/>
  <c r="HF18" i="54"/>
  <c r="HE18" i="54"/>
  <c r="HD18" i="54"/>
  <c r="HC18" i="54"/>
  <c r="HB18" i="54"/>
  <c r="HA18" i="54"/>
  <c r="GZ18" i="54"/>
  <c r="GY18" i="54"/>
  <c r="GX18" i="54"/>
  <c r="GW18" i="54"/>
  <c r="GV18" i="54"/>
  <c r="GU18" i="54"/>
  <c r="GT18" i="54"/>
  <c r="GS18" i="54"/>
  <c r="GR18" i="54"/>
  <c r="GQ18" i="54"/>
  <c r="GP18" i="54"/>
  <c r="GO18" i="54"/>
  <c r="GN18" i="54"/>
  <c r="GM18" i="54"/>
  <c r="GL18" i="54"/>
  <c r="GK18" i="54"/>
  <c r="GJ18" i="54"/>
  <c r="GI18" i="54"/>
  <c r="GH18" i="54"/>
  <c r="GG18" i="54"/>
  <c r="GF18" i="54"/>
  <c r="GE18" i="54"/>
  <c r="GD18" i="54"/>
  <c r="GC18" i="54"/>
  <c r="GB18" i="54"/>
  <c r="GA18" i="54"/>
  <c r="FZ18" i="54"/>
  <c r="FY18" i="54"/>
  <c r="FX18" i="54"/>
  <c r="FW18" i="54"/>
  <c r="FV18" i="54"/>
  <c r="FU18" i="54"/>
  <c r="FT18" i="54"/>
  <c r="AD18" i="54"/>
  <c r="AA18" i="54"/>
  <c r="Z18" i="54"/>
  <c r="Y18" i="54"/>
  <c r="X18" i="54"/>
  <c r="W18" i="54"/>
  <c r="V18" i="54"/>
  <c r="U18" i="54"/>
  <c r="T18" i="54"/>
  <c r="S18" i="54"/>
  <c r="R18" i="54"/>
  <c r="Q18" i="54"/>
  <c r="P18" i="54"/>
  <c r="O18" i="54"/>
  <c r="N18" i="54"/>
  <c r="L18" i="54"/>
  <c r="BV18" i="54" s="1"/>
  <c r="X18" i="56" s="1"/>
  <c r="K18" i="54"/>
  <c r="BU18" i="54" s="1"/>
  <c r="W18" i="56" s="1"/>
  <c r="J18" i="54"/>
  <c r="BT18" i="54" s="1"/>
  <c r="V18" i="56" s="1"/>
  <c r="G18" i="54"/>
  <c r="AW18" i="54" s="1"/>
  <c r="F18" i="54"/>
  <c r="AV18" i="54" s="1"/>
  <c r="E18" i="54"/>
  <c r="BE18" i="54" s="1"/>
  <c r="G18" i="56" s="1"/>
  <c r="D18" i="54"/>
  <c r="BN18" i="54" s="1"/>
  <c r="P18" i="56" s="1"/>
  <c r="B18" i="54"/>
  <c r="AG18" i="54" s="1"/>
  <c r="B18" i="56" s="1"/>
  <c r="A18" i="54"/>
  <c r="AF18" i="54" s="1"/>
  <c r="A18" i="56" s="1"/>
  <c r="JO17" i="54"/>
  <c r="JN17" i="54"/>
  <c r="JM17" i="54"/>
  <c r="JL17" i="54"/>
  <c r="JK17" i="54"/>
  <c r="JJ17" i="54"/>
  <c r="JI17" i="54"/>
  <c r="JH17" i="54"/>
  <c r="JG17" i="54"/>
  <c r="JF17" i="54"/>
  <c r="JE17" i="54"/>
  <c r="JD17" i="54"/>
  <c r="JC17" i="54"/>
  <c r="JB17" i="54"/>
  <c r="JA17" i="54"/>
  <c r="IZ17" i="54"/>
  <c r="IY17" i="54"/>
  <c r="IX17" i="54"/>
  <c r="IW17" i="54"/>
  <c r="IV17" i="54"/>
  <c r="IU17" i="54"/>
  <c r="IT17" i="54"/>
  <c r="IS17" i="54"/>
  <c r="IR17" i="54"/>
  <c r="IQ17" i="54"/>
  <c r="IP17" i="54"/>
  <c r="IO17" i="54"/>
  <c r="IN17" i="54"/>
  <c r="IM17" i="54"/>
  <c r="IL17" i="54"/>
  <c r="IK17" i="54"/>
  <c r="IJ17" i="54"/>
  <c r="II17" i="54"/>
  <c r="IH17" i="54"/>
  <c r="IG17" i="54"/>
  <c r="IF17" i="54"/>
  <c r="IE17" i="54"/>
  <c r="ID17" i="54"/>
  <c r="IC17" i="54"/>
  <c r="IB17" i="54"/>
  <c r="IA17" i="54"/>
  <c r="HZ17" i="54"/>
  <c r="HY17" i="54"/>
  <c r="HX17" i="54"/>
  <c r="HW17" i="54"/>
  <c r="HV17" i="54"/>
  <c r="HU17" i="54"/>
  <c r="HT17" i="54"/>
  <c r="HS17" i="54"/>
  <c r="HR17" i="54"/>
  <c r="HQ17" i="54"/>
  <c r="HP17" i="54"/>
  <c r="HO17" i="54"/>
  <c r="HN17" i="54"/>
  <c r="HM17" i="54"/>
  <c r="HL17" i="54"/>
  <c r="HI17" i="54"/>
  <c r="HH17" i="54"/>
  <c r="HG17" i="54"/>
  <c r="HF17" i="54"/>
  <c r="HE17" i="54"/>
  <c r="HD17" i="54"/>
  <c r="HC17" i="54"/>
  <c r="HB17" i="54"/>
  <c r="HA17" i="54"/>
  <c r="GZ17" i="54"/>
  <c r="GY17" i="54"/>
  <c r="GX17" i="54"/>
  <c r="GW17" i="54"/>
  <c r="GV17" i="54"/>
  <c r="GU17" i="54"/>
  <c r="GT17" i="54"/>
  <c r="GS17" i="54"/>
  <c r="GR17" i="54"/>
  <c r="GQ17" i="54"/>
  <c r="GP17" i="54"/>
  <c r="GO17" i="54"/>
  <c r="GN17" i="54"/>
  <c r="GM17" i="54"/>
  <c r="GL17" i="54"/>
  <c r="GK17" i="54"/>
  <c r="GJ17" i="54"/>
  <c r="GI17" i="54"/>
  <c r="GH17" i="54"/>
  <c r="GG17" i="54"/>
  <c r="GF17" i="54"/>
  <c r="GE17" i="54"/>
  <c r="GD17" i="54"/>
  <c r="GC17" i="54"/>
  <c r="GB17" i="54"/>
  <c r="GA17" i="54"/>
  <c r="FZ17" i="54"/>
  <c r="FY17" i="54"/>
  <c r="FX17" i="54"/>
  <c r="FW17" i="54"/>
  <c r="FV17" i="54"/>
  <c r="FU17" i="54"/>
  <c r="FT17" i="54"/>
  <c r="AD17" i="54"/>
  <c r="AA17" i="54"/>
  <c r="Z17" i="54"/>
  <c r="Y17" i="54"/>
  <c r="X17" i="54"/>
  <c r="W17" i="54"/>
  <c r="V17" i="54"/>
  <c r="U17" i="54"/>
  <c r="T17" i="54"/>
  <c r="S17" i="54"/>
  <c r="R17" i="54"/>
  <c r="Q17" i="54"/>
  <c r="P17" i="54"/>
  <c r="O17" i="54"/>
  <c r="N17" i="54"/>
  <c r="L17" i="54"/>
  <c r="BV17" i="54" s="1"/>
  <c r="X17" i="56" s="1"/>
  <c r="K17" i="54"/>
  <c r="BU17" i="54" s="1"/>
  <c r="W17" i="56" s="1"/>
  <c r="J17" i="54"/>
  <c r="BT17" i="54" s="1"/>
  <c r="V17" i="56" s="1"/>
  <c r="G17" i="54"/>
  <c r="AW17" i="54" s="1"/>
  <c r="F17" i="54"/>
  <c r="BF17" i="54" s="1"/>
  <c r="H17" i="56" s="1"/>
  <c r="E17" i="54"/>
  <c r="BO17" i="54" s="1"/>
  <c r="Q17" i="56" s="1"/>
  <c r="D17" i="54"/>
  <c r="BN17" i="54" s="1"/>
  <c r="P17" i="56" s="1"/>
  <c r="B17" i="54"/>
  <c r="AG17" i="54" s="1"/>
  <c r="B17" i="56" s="1"/>
  <c r="A17" i="54"/>
  <c r="AF17" i="54" s="1"/>
  <c r="A17" i="56" s="1"/>
  <c r="JO16" i="54"/>
  <c r="JN16" i="54"/>
  <c r="JM16" i="54"/>
  <c r="JL16" i="54"/>
  <c r="JK16" i="54"/>
  <c r="JJ16" i="54"/>
  <c r="JI16" i="54"/>
  <c r="JH16" i="54"/>
  <c r="JG16" i="54"/>
  <c r="JF16" i="54"/>
  <c r="JE16" i="54"/>
  <c r="JD16" i="54"/>
  <c r="JC16" i="54"/>
  <c r="JB16" i="54"/>
  <c r="JA16" i="54"/>
  <c r="IZ16" i="54"/>
  <c r="IY16" i="54"/>
  <c r="IX16" i="54"/>
  <c r="IW16" i="54"/>
  <c r="IV16" i="54"/>
  <c r="IU16" i="54"/>
  <c r="IT16" i="54"/>
  <c r="IS16" i="54"/>
  <c r="IR16" i="54"/>
  <c r="IQ16" i="54"/>
  <c r="IP16" i="54"/>
  <c r="IO16" i="54"/>
  <c r="IN16" i="54"/>
  <c r="IM16" i="54"/>
  <c r="IL16" i="54"/>
  <c r="IK16" i="54"/>
  <c r="IJ16" i="54"/>
  <c r="II16" i="54"/>
  <c r="IH16" i="54"/>
  <c r="IG16" i="54"/>
  <c r="IF16" i="54"/>
  <c r="IE16" i="54"/>
  <c r="ID16" i="54"/>
  <c r="IC16" i="54"/>
  <c r="IB16" i="54"/>
  <c r="IA16" i="54"/>
  <c r="HZ16" i="54"/>
  <c r="HY16" i="54"/>
  <c r="HX16" i="54"/>
  <c r="HW16" i="54"/>
  <c r="HV16" i="54"/>
  <c r="HU16" i="54"/>
  <c r="HT16" i="54"/>
  <c r="HS16" i="54"/>
  <c r="HR16" i="54"/>
  <c r="HQ16" i="54"/>
  <c r="HP16" i="54"/>
  <c r="HO16" i="54"/>
  <c r="HN16" i="54"/>
  <c r="HM16" i="54"/>
  <c r="HL16" i="54"/>
  <c r="HI16" i="54"/>
  <c r="HH16" i="54"/>
  <c r="HG16" i="54"/>
  <c r="HF16" i="54"/>
  <c r="HE16" i="54"/>
  <c r="HD16" i="54"/>
  <c r="HC16" i="54"/>
  <c r="HB16" i="54"/>
  <c r="HA16" i="54"/>
  <c r="GZ16" i="54"/>
  <c r="GY16" i="54"/>
  <c r="GX16" i="54"/>
  <c r="GW16" i="54"/>
  <c r="GV16" i="54"/>
  <c r="GU16" i="54"/>
  <c r="GT16" i="54"/>
  <c r="GS16" i="54"/>
  <c r="GR16" i="54"/>
  <c r="GQ16" i="54"/>
  <c r="GP16" i="54"/>
  <c r="GO16" i="54"/>
  <c r="GN16" i="54"/>
  <c r="GM16" i="54"/>
  <c r="GL16" i="54"/>
  <c r="GK16" i="54"/>
  <c r="GJ16" i="54"/>
  <c r="GI16" i="54"/>
  <c r="GH16" i="54"/>
  <c r="GG16" i="54"/>
  <c r="GF16" i="54"/>
  <c r="GE16" i="54"/>
  <c r="GD16" i="54"/>
  <c r="GC16" i="54"/>
  <c r="GB16" i="54"/>
  <c r="GA16" i="54"/>
  <c r="FZ16" i="54"/>
  <c r="FY16" i="54"/>
  <c r="FX16" i="54"/>
  <c r="FW16" i="54"/>
  <c r="FV16" i="54"/>
  <c r="FU16" i="54"/>
  <c r="FT16" i="54"/>
  <c r="AD16" i="54"/>
  <c r="AA16" i="54"/>
  <c r="Z16" i="54"/>
  <c r="Y16" i="54"/>
  <c r="X16" i="54"/>
  <c r="W16" i="54"/>
  <c r="V16" i="54"/>
  <c r="U16" i="54"/>
  <c r="T16" i="54"/>
  <c r="S16" i="54"/>
  <c r="R16" i="54"/>
  <c r="Q16" i="54"/>
  <c r="P16" i="54"/>
  <c r="O16" i="54"/>
  <c r="N16" i="54"/>
  <c r="L16" i="54"/>
  <c r="BV16" i="54" s="1"/>
  <c r="X16" i="56" s="1"/>
  <c r="K16" i="54"/>
  <c r="BU16" i="54" s="1"/>
  <c r="W16" i="56" s="1"/>
  <c r="J16" i="54"/>
  <c r="BT16" i="54" s="1"/>
  <c r="V16" i="56" s="1"/>
  <c r="G16" i="54"/>
  <c r="BG16" i="54" s="1"/>
  <c r="I16" i="56" s="1"/>
  <c r="F16" i="54"/>
  <c r="BP16" i="54" s="1"/>
  <c r="R16" i="56" s="1"/>
  <c r="E16" i="54"/>
  <c r="BO16" i="54" s="1"/>
  <c r="Q16" i="56" s="1"/>
  <c r="D16" i="54"/>
  <c r="BN16" i="54" s="1"/>
  <c r="P16" i="56" s="1"/>
  <c r="B16" i="54"/>
  <c r="AG16" i="54" s="1"/>
  <c r="B16" i="56" s="1"/>
  <c r="A16" i="54"/>
  <c r="AF16" i="54" s="1"/>
  <c r="A16" i="56" s="1"/>
  <c r="JO15" i="54"/>
  <c r="JN15" i="54"/>
  <c r="JM15" i="54"/>
  <c r="JL15" i="54"/>
  <c r="JK15" i="54"/>
  <c r="JJ15" i="54"/>
  <c r="JI15" i="54"/>
  <c r="JH15" i="54"/>
  <c r="JG15" i="54"/>
  <c r="JF15" i="54"/>
  <c r="JE15" i="54"/>
  <c r="JD15" i="54"/>
  <c r="JC15" i="54"/>
  <c r="JB15" i="54"/>
  <c r="JA15" i="54"/>
  <c r="IZ15" i="54"/>
  <c r="IY15" i="54"/>
  <c r="IX15" i="54"/>
  <c r="IW15" i="54"/>
  <c r="IV15" i="54"/>
  <c r="IU15" i="54"/>
  <c r="IT15" i="54"/>
  <c r="IS15" i="54"/>
  <c r="IR15" i="54"/>
  <c r="IQ15" i="54"/>
  <c r="IP15" i="54"/>
  <c r="IO15" i="54"/>
  <c r="IN15" i="54"/>
  <c r="IM15" i="54"/>
  <c r="IL15" i="54"/>
  <c r="IK15" i="54"/>
  <c r="IJ15" i="54"/>
  <c r="II15" i="54"/>
  <c r="IH15" i="54"/>
  <c r="IG15" i="54"/>
  <c r="IF15" i="54"/>
  <c r="IE15" i="54"/>
  <c r="ID15" i="54"/>
  <c r="IC15" i="54"/>
  <c r="IB15" i="54"/>
  <c r="IA15" i="54"/>
  <c r="HZ15" i="54"/>
  <c r="HY15" i="54"/>
  <c r="HX15" i="54"/>
  <c r="HW15" i="54"/>
  <c r="HV15" i="54"/>
  <c r="HU15" i="54"/>
  <c r="HT15" i="54"/>
  <c r="HS15" i="54"/>
  <c r="HR15" i="54"/>
  <c r="HQ15" i="54"/>
  <c r="HP15" i="54"/>
  <c r="HO15" i="54"/>
  <c r="HN15" i="54"/>
  <c r="HM15" i="54"/>
  <c r="HL15" i="54"/>
  <c r="HI15" i="54"/>
  <c r="HH15" i="54"/>
  <c r="HG15" i="54"/>
  <c r="HF15" i="54"/>
  <c r="HE15" i="54"/>
  <c r="HD15" i="54"/>
  <c r="HC15" i="54"/>
  <c r="HB15" i="54"/>
  <c r="HA15" i="54"/>
  <c r="GZ15" i="54"/>
  <c r="GY15" i="54"/>
  <c r="GX15" i="54"/>
  <c r="GW15" i="54"/>
  <c r="GV15" i="54"/>
  <c r="GU15" i="54"/>
  <c r="GT15" i="54"/>
  <c r="GS15" i="54"/>
  <c r="GR15" i="54"/>
  <c r="GQ15" i="54"/>
  <c r="GP15" i="54"/>
  <c r="GO15" i="54"/>
  <c r="GN15" i="54"/>
  <c r="GM15" i="54"/>
  <c r="GL15" i="54"/>
  <c r="GK15" i="54"/>
  <c r="GJ15" i="54"/>
  <c r="GI15" i="54"/>
  <c r="GH15" i="54"/>
  <c r="GG15" i="54"/>
  <c r="GF15" i="54"/>
  <c r="GE15" i="54"/>
  <c r="GD15" i="54"/>
  <c r="GC15" i="54"/>
  <c r="GB15" i="54"/>
  <c r="GA15" i="54"/>
  <c r="FZ15" i="54"/>
  <c r="FY15" i="54"/>
  <c r="FX15" i="54"/>
  <c r="FW15" i="54"/>
  <c r="FV15" i="54"/>
  <c r="FU15" i="54"/>
  <c r="FT15" i="54"/>
  <c r="AD15" i="54"/>
  <c r="AA15" i="54"/>
  <c r="Z15" i="54"/>
  <c r="Y15" i="54"/>
  <c r="X15" i="54"/>
  <c r="W15" i="54"/>
  <c r="V15" i="54"/>
  <c r="U15" i="54"/>
  <c r="T15" i="54"/>
  <c r="S15" i="54"/>
  <c r="R15" i="54"/>
  <c r="Q15" i="54"/>
  <c r="P15" i="54"/>
  <c r="O15" i="54"/>
  <c r="N15" i="54"/>
  <c r="L15" i="54"/>
  <c r="BV15" i="54" s="1"/>
  <c r="X15" i="56" s="1"/>
  <c r="K15" i="54"/>
  <c r="BU15" i="54" s="1"/>
  <c r="W15" i="56" s="1"/>
  <c r="J15" i="54"/>
  <c r="AZ15" i="54" s="1"/>
  <c r="G15" i="54"/>
  <c r="BQ15" i="54" s="1"/>
  <c r="S15" i="56" s="1"/>
  <c r="F15" i="54"/>
  <c r="BP15" i="54" s="1"/>
  <c r="R15" i="56" s="1"/>
  <c r="E15" i="54"/>
  <c r="BO15" i="54" s="1"/>
  <c r="Q15" i="56" s="1"/>
  <c r="D15" i="54"/>
  <c r="BN15" i="54" s="1"/>
  <c r="P15" i="56" s="1"/>
  <c r="B15" i="54"/>
  <c r="AG15" i="54" s="1"/>
  <c r="B15" i="56" s="1"/>
  <c r="A15" i="54"/>
  <c r="AF15" i="54" s="1"/>
  <c r="A15" i="56" s="1"/>
  <c r="JO14" i="54"/>
  <c r="JN14" i="54"/>
  <c r="JM14" i="54"/>
  <c r="JL14" i="54"/>
  <c r="JK14" i="54"/>
  <c r="JJ14" i="54"/>
  <c r="JI14" i="54"/>
  <c r="JH14" i="54"/>
  <c r="JG14" i="54"/>
  <c r="JF14" i="54"/>
  <c r="JE14" i="54"/>
  <c r="JD14" i="54"/>
  <c r="JC14" i="54"/>
  <c r="JB14" i="54"/>
  <c r="JA14" i="54"/>
  <c r="IZ14" i="54"/>
  <c r="IY14" i="54"/>
  <c r="IX14" i="54"/>
  <c r="IW14" i="54"/>
  <c r="IV14" i="54"/>
  <c r="IU14" i="54"/>
  <c r="IT14" i="54"/>
  <c r="IS14" i="54"/>
  <c r="IR14" i="54"/>
  <c r="IQ14" i="54"/>
  <c r="IP14" i="54"/>
  <c r="IO14" i="54"/>
  <c r="IN14" i="54"/>
  <c r="IM14" i="54"/>
  <c r="IL14" i="54"/>
  <c r="IK14" i="54"/>
  <c r="IJ14" i="54"/>
  <c r="II14" i="54"/>
  <c r="IH14" i="54"/>
  <c r="IG14" i="54"/>
  <c r="IF14" i="54"/>
  <c r="IE14" i="54"/>
  <c r="ID14" i="54"/>
  <c r="IC14" i="54"/>
  <c r="IB14" i="54"/>
  <c r="IA14" i="54"/>
  <c r="HZ14" i="54"/>
  <c r="HY14" i="54"/>
  <c r="HX14" i="54"/>
  <c r="HW14" i="54"/>
  <c r="HV14" i="54"/>
  <c r="HU14" i="54"/>
  <c r="HT14" i="54"/>
  <c r="HS14" i="54"/>
  <c r="HR14" i="54"/>
  <c r="HQ14" i="54"/>
  <c r="HP14" i="54"/>
  <c r="HO14" i="54"/>
  <c r="HN14" i="54"/>
  <c r="HM14" i="54"/>
  <c r="HL14" i="54"/>
  <c r="HI14" i="54"/>
  <c r="HH14" i="54"/>
  <c r="HG14" i="54"/>
  <c r="HF14" i="54"/>
  <c r="HE14" i="54"/>
  <c r="HD14" i="54"/>
  <c r="HC14" i="54"/>
  <c r="HB14" i="54"/>
  <c r="HA14" i="54"/>
  <c r="GZ14" i="54"/>
  <c r="GY14" i="54"/>
  <c r="GX14" i="54"/>
  <c r="GW14" i="54"/>
  <c r="GV14" i="54"/>
  <c r="GU14" i="54"/>
  <c r="GT14" i="54"/>
  <c r="GS14" i="54"/>
  <c r="GR14" i="54"/>
  <c r="GQ14" i="54"/>
  <c r="GP14" i="54"/>
  <c r="GO14" i="54"/>
  <c r="GN14" i="54"/>
  <c r="GM14" i="54"/>
  <c r="GL14" i="54"/>
  <c r="GK14" i="54"/>
  <c r="GJ14" i="54"/>
  <c r="GI14" i="54"/>
  <c r="GH14" i="54"/>
  <c r="GG14" i="54"/>
  <c r="GF14" i="54"/>
  <c r="GE14" i="54"/>
  <c r="GD14" i="54"/>
  <c r="GC14" i="54"/>
  <c r="GB14" i="54"/>
  <c r="GA14" i="54"/>
  <c r="FZ14" i="54"/>
  <c r="FY14" i="54"/>
  <c r="FX14" i="54"/>
  <c r="FW14" i="54"/>
  <c r="FV14" i="54"/>
  <c r="FU14" i="54"/>
  <c r="FT14" i="54"/>
  <c r="AD14" i="54"/>
  <c r="AA14" i="54"/>
  <c r="Z14" i="54"/>
  <c r="Y14" i="54"/>
  <c r="X14" i="54"/>
  <c r="W14" i="54"/>
  <c r="V14" i="54"/>
  <c r="U14" i="54"/>
  <c r="T14" i="54"/>
  <c r="S14" i="54"/>
  <c r="R14" i="54"/>
  <c r="Q14" i="54"/>
  <c r="P14" i="54"/>
  <c r="O14" i="54"/>
  <c r="N14" i="54"/>
  <c r="L14" i="54"/>
  <c r="BV14" i="54" s="1"/>
  <c r="X14" i="56" s="1"/>
  <c r="K14" i="54"/>
  <c r="BA14" i="54" s="1"/>
  <c r="J14" i="54"/>
  <c r="AZ14" i="54" s="1"/>
  <c r="G14" i="54"/>
  <c r="BQ14" i="54" s="1"/>
  <c r="S14" i="56" s="1"/>
  <c r="F14" i="54"/>
  <c r="BP14" i="54" s="1"/>
  <c r="R14" i="56" s="1"/>
  <c r="E14" i="54"/>
  <c r="BO14" i="54" s="1"/>
  <c r="Q14" i="56" s="1"/>
  <c r="D14" i="54"/>
  <c r="B14" i="54"/>
  <c r="AG14" i="54" s="1"/>
  <c r="B14" i="56" s="1"/>
  <c r="A14" i="54"/>
  <c r="AF14" i="54" s="1"/>
  <c r="A14" i="56" s="1"/>
  <c r="JO13" i="54"/>
  <c r="JN13" i="54"/>
  <c r="JM13" i="54"/>
  <c r="JL13" i="54"/>
  <c r="JK13" i="54"/>
  <c r="JJ13" i="54"/>
  <c r="JI13" i="54"/>
  <c r="JH13" i="54"/>
  <c r="JG13" i="54"/>
  <c r="JF13" i="54"/>
  <c r="JE13" i="54"/>
  <c r="JD13" i="54"/>
  <c r="JC13" i="54"/>
  <c r="JB13" i="54"/>
  <c r="JA13" i="54"/>
  <c r="IZ13" i="54"/>
  <c r="IY13" i="54"/>
  <c r="IX13" i="54"/>
  <c r="IW13" i="54"/>
  <c r="IV13" i="54"/>
  <c r="IU13" i="54"/>
  <c r="IT13" i="54"/>
  <c r="IS13" i="54"/>
  <c r="IR13" i="54"/>
  <c r="IQ13" i="54"/>
  <c r="IP13" i="54"/>
  <c r="IO13" i="54"/>
  <c r="IN13" i="54"/>
  <c r="IM13" i="54"/>
  <c r="IL13" i="54"/>
  <c r="IK13" i="54"/>
  <c r="IJ13" i="54"/>
  <c r="II13" i="54"/>
  <c r="IH13" i="54"/>
  <c r="IG13" i="54"/>
  <c r="IF13" i="54"/>
  <c r="IE13" i="54"/>
  <c r="ID13" i="54"/>
  <c r="IC13" i="54"/>
  <c r="IB13" i="54"/>
  <c r="IA13" i="54"/>
  <c r="HZ13" i="54"/>
  <c r="HY13" i="54"/>
  <c r="HX13" i="54"/>
  <c r="HW13" i="54"/>
  <c r="HV13" i="54"/>
  <c r="HU13" i="54"/>
  <c r="HT13" i="54"/>
  <c r="HS13" i="54"/>
  <c r="HR13" i="54"/>
  <c r="HQ13" i="54"/>
  <c r="HP13" i="54"/>
  <c r="HO13" i="54"/>
  <c r="HN13" i="54"/>
  <c r="HM13" i="54"/>
  <c r="HL13" i="54"/>
  <c r="HI13" i="54"/>
  <c r="HH13" i="54"/>
  <c r="HG13" i="54"/>
  <c r="HF13" i="54"/>
  <c r="HE13" i="54"/>
  <c r="HD13" i="54"/>
  <c r="HC13" i="54"/>
  <c r="HB13" i="54"/>
  <c r="HA13" i="54"/>
  <c r="GZ13" i="54"/>
  <c r="GY13" i="54"/>
  <c r="GX13" i="54"/>
  <c r="GW13" i="54"/>
  <c r="GV13" i="54"/>
  <c r="GU13" i="54"/>
  <c r="GT13" i="54"/>
  <c r="GS13" i="54"/>
  <c r="GR13" i="54"/>
  <c r="GQ13" i="54"/>
  <c r="GP13" i="54"/>
  <c r="GO13" i="54"/>
  <c r="GN13" i="54"/>
  <c r="GM13" i="54"/>
  <c r="GL13" i="54"/>
  <c r="GK13" i="54"/>
  <c r="GJ13" i="54"/>
  <c r="GI13" i="54"/>
  <c r="GH13" i="54"/>
  <c r="GG13" i="54"/>
  <c r="GF13" i="54"/>
  <c r="GE13" i="54"/>
  <c r="GC13" i="54"/>
  <c r="GB13" i="54"/>
  <c r="GA13" i="54"/>
  <c r="FZ13" i="54"/>
  <c r="FY13" i="54"/>
  <c r="FX13" i="54"/>
  <c r="FW13" i="54"/>
  <c r="FV13" i="54"/>
  <c r="FU13" i="54"/>
  <c r="FT13" i="54"/>
  <c r="BK13" i="54"/>
  <c r="M13" i="56" s="1"/>
  <c r="BG13" i="54"/>
  <c r="I13" i="56" s="1"/>
  <c r="AD13" i="54"/>
  <c r="AA13" i="54"/>
  <c r="Z13" i="54"/>
  <c r="Y13" i="54"/>
  <c r="X13" i="54"/>
  <c r="W13" i="54"/>
  <c r="V13" i="54"/>
  <c r="U13" i="54"/>
  <c r="T13" i="54"/>
  <c r="S13" i="54"/>
  <c r="R13" i="54"/>
  <c r="Q13" i="54"/>
  <c r="P13" i="54"/>
  <c r="O13" i="54"/>
  <c r="N13" i="54"/>
  <c r="L13" i="54"/>
  <c r="BB13" i="54" s="1"/>
  <c r="K13" i="54"/>
  <c r="BA13" i="54" s="1"/>
  <c r="J13" i="54"/>
  <c r="BJ13" i="54" s="1"/>
  <c r="L13" i="56" s="1"/>
  <c r="G13" i="54"/>
  <c r="BQ13" i="54" s="1"/>
  <c r="S13" i="56" s="1"/>
  <c r="F13" i="54"/>
  <c r="BP13" i="54" s="1"/>
  <c r="R13" i="56" s="1"/>
  <c r="E13" i="54"/>
  <c r="BO13" i="54" s="1"/>
  <c r="Q13" i="56" s="1"/>
  <c r="D13" i="54"/>
  <c r="AT13" i="54" s="1"/>
  <c r="B13" i="54"/>
  <c r="AG13" i="54" s="1"/>
  <c r="B13" i="56" s="1"/>
  <c r="A13" i="54"/>
  <c r="AF13" i="54" s="1"/>
  <c r="A13" i="56" s="1"/>
  <c r="JO12" i="54"/>
  <c r="JN12" i="54"/>
  <c r="JM12" i="54"/>
  <c r="JL12" i="54"/>
  <c r="JK12" i="54"/>
  <c r="JJ12" i="54"/>
  <c r="JI12" i="54"/>
  <c r="JH12" i="54"/>
  <c r="JG12" i="54"/>
  <c r="JF12" i="54"/>
  <c r="JE12" i="54"/>
  <c r="JD12" i="54"/>
  <c r="JC12" i="54"/>
  <c r="JB12" i="54"/>
  <c r="JA12" i="54"/>
  <c r="IZ12" i="54"/>
  <c r="IY12" i="54"/>
  <c r="IX12" i="54"/>
  <c r="IW12" i="54"/>
  <c r="IV12" i="54"/>
  <c r="IU12" i="54"/>
  <c r="IT12" i="54"/>
  <c r="IS12" i="54"/>
  <c r="IR12" i="54"/>
  <c r="IQ12" i="54"/>
  <c r="IP12" i="54"/>
  <c r="IO12" i="54"/>
  <c r="IN12" i="54"/>
  <c r="IM12" i="54"/>
  <c r="IL12" i="54"/>
  <c r="IK12" i="54"/>
  <c r="IJ12" i="54"/>
  <c r="II12" i="54"/>
  <c r="IH12" i="54"/>
  <c r="IG12" i="54"/>
  <c r="IF12" i="54"/>
  <c r="IE12" i="54"/>
  <c r="ID12" i="54"/>
  <c r="IC12" i="54"/>
  <c r="IB12" i="54"/>
  <c r="IA12" i="54"/>
  <c r="HZ12" i="54"/>
  <c r="HY12" i="54"/>
  <c r="HX12" i="54"/>
  <c r="HW12" i="54"/>
  <c r="HV12" i="54"/>
  <c r="HU12" i="54"/>
  <c r="HT12" i="54"/>
  <c r="HS12" i="54"/>
  <c r="HR12" i="54"/>
  <c r="HQ12" i="54"/>
  <c r="HP12" i="54"/>
  <c r="HO12" i="54"/>
  <c r="HN12" i="54"/>
  <c r="HM12" i="54"/>
  <c r="HL12" i="54"/>
  <c r="HI12" i="54"/>
  <c r="HH12" i="54"/>
  <c r="HG12" i="54"/>
  <c r="HF12" i="54"/>
  <c r="HE12" i="54"/>
  <c r="HD12" i="54"/>
  <c r="HC12" i="54"/>
  <c r="HB12" i="54"/>
  <c r="HA12" i="54"/>
  <c r="GZ12" i="54"/>
  <c r="GY12" i="54"/>
  <c r="GX12" i="54"/>
  <c r="GW12" i="54"/>
  <c r="GV12" i="54"/>
  <c r="GU12" i="54"/>
  <c r="GT12" i="54"/>
  <c r="GS12" i="54"/>
  <c r="GR12" i="54"/>
  <c r="GQ12" i="54"/>
  <c r="GP12" i="54"/>
  <c r="GO12" i="54"/>
  <c r="GN12" i="54"/>
  <c r="GM12" i="54"/>
  <c r="GL12" i="54"/>
  <c r="GK12" i="54"/>
  <c r="GJ12" i="54"/>
  <c r="GI12" i="54"/>
  <c r="GH12" i="54"/>
  <c r="GG12" i="54"/>
  <c r="GF12" i="54"/>
  <c r="GE12" i="54"/>
  <c r="GD12" i="54"/>
  <c r="GC12" i="54"/>
  <c r="GB12" i="54"/>
  <c r="GA12" i="54"/>
  <c r="FZ12" i="54"/>
  <c r="FY12" i="54"/>
  <c r="FX12" i="54"/>
  <c r="FW12" i="54"/>
  <c r="FV12" i="54"/>
  <c r="FU12" i="54"/>
  <c r="FT12" i="54"/>
  <c r="AD12" i="54"/>
  <c r="AA12" i="54"/>
  <c r="Z12" i="54"/>
  <c r="Y12" i="54"/>
  <c r="X12" i="54"/>
  <c r="W12" i="54"/>
  <c r="V12" i="54"/>
  <c r="U12" i="54"/>
  <c r="T12" i="54"/>
  <c r="S12" i="54"/>
  <c r="R12" i="54"/>
  <c r="Q12" i="54"/>
  <c r="P12" i="54"/>
  <c r="O12" i="54"/>
  <c r="N12" i="54"/>
  <c r="L12" i="54"/>
  <c r="BB12" i="54" s="1"/>
  <c r="K12" i="54"/>
  <c r="BK12" i="54" s="1"/>
  <c r="M12" i="56" s="1"/>
  <c r="J12" i="54"/>
  <c r="BT12" i="54" s="1"/>
  <c r="V12" i="56" s="1"/>
  <c r="G12" i="54"/>
  <c r="BQ12" i="54" s="1"/>
  <c r="S12" i="56" s="1"/>
  <c r="F12" i="54"/>
  <c r="BP12" i="54" s="1"/>
  <c r="R12" i="56" s="1"/>
  <c r="E12" i="54"/>
  <c r="AU12" i="54" s="1"/>
  <c r="D12" i="54"/>
  <c r="AT12" i="54" s="1"/>
  <c r="B12" i="54"/>
  <c r="AG12" i="54" s="1"/>
  <c r="B12" i="56" s="1"/>
  <c r="A12" i="54"/>
  <c r="AF12" i="54" s="1"/>
  <c r="A12" i="56" s="1"/>
  <c r="JO11" i="54"/>
  <c r="JN11" i="54"/>
  <c r="JM11" i="54"/>
  <c r="JL11" i="54"/>
  <c r="JK11" i="54"/>
  <c r="JJ11" i="54"/>
  <c r="JI11" i="54"/>
  <c r="JH11" i="54"/>
  <c r="JG11" i="54"/>
  <c r="JF11" i="54"/>
  <c r="JE11" i="54"/>
  <c r="JD11" i="54"/>
  <c r="JC11" i="54"/>
  <c r="JB11" i="54"/>
  <c r="JA11" i="54"/>
  <c r="IZ11" i="54"/>
  <c r="IY11" i="54"/>
  <c r="IX11" i="54"/>
  <c r="IW11" i="54"/>
  <c r="IV11" i="54"/>
  <c r="IU11" i="54"/>
  <c r="IT11" i="54"/>
  <c r="IS11" i="54"/>
  <c r="IR11" i="54"/>
  <c r="IQ11" i="54"/>
  <c r="IP11" i="54"/>
  <c r="IO11" i="54"/>
  <c r="IN11" i="54"/>
  <c r="IM11" i="54"/>
  <c r="IL11" i="54"/>
  <c r="IK11" i="54"/>
  <c r="IJ11" i="54"/>
  <c r="II11" i="54"/>
  <c r="IH11" i="54"/>
  <c r="IG11" i="54"/>
  <c r="IF11" i="54"/>
  <c r="IE11" i="54"/>
  <c r="ID11" i="54"/>
  <c r="IC11" i="54"/>
  <c r="IB11" i="54"/>
  <c r="IA11" i="54"/>
  <c r="HZ11" i="54"/>
  <c r="HY11" i="54"/>
  <c r="HX11" i="54"/>
  <c r="HW11" i="54"/>
  <c r="HV11" i="54"/>
  <c r="HU11" i="54"/>
  <c r="HT11" i="54"/>
  <c r="HS11" i="54"/>
  <c r="HR11" i="54"/>
  <c r="HQ11" i="54"/>
  <c r="HP11" i="54"/>
  <c r="HO11" i="54"/>
  <c r="HN11" i="54"/>
  <c r="HM11" i="54"/>
  <c r="HL11" i="54"/>
  <c r="HI11" i="54"/>
  <c r="HH11" i="54"/>
  <c r="HG11" i="54"/>
  <c r="HF11" i="54"/>
  <c r="HE11" i="54"/>
  <c r="HD11" i="54"/>
  <c r="HC11" i="54"/>
  <c r="HB11" i="54"/>
  <c r="HA11" i="54"/>
  <c r="GZ11" i="54"/>
  <c r="GY11" i="54"/>
  <c r="GX11" i="54"/>
  <c r="GW11" i="54"/>
  <c r="GV11" i="54"/>
  <c r="GU11" i="54"/>
  <c r="GT11" i="54"/>
  <c r="GS11" i="54"/>
  <c r="GR11" i="54"/>
  <c r="GQ11" i="54"/>
  <c r="GP11" i="54"/>
  <c r="GO11" i="54"/>
  <c r="GN11" i="54"/>
  <c r="GM11" i="54"/>
  <c r="GL11" i="54"/>
  <c r="GK11" i="54"/>
  <c r="GJ11" i="54"/>
  <c r="GI11" i="54"/>
  <c r="GH11" i="54"/>
  <c r="GG11" i="54"/>
  <c r="GF11" i="54"/>
  <c r="GE11" i="54"/>
  <c r="GD11" i="54"/>
  <c r="GC11" i="54"/>
  <c r="GB11" i="54"/>
  <c r="GA11" i="54"/>
  <c r="FZ11" i="54"/>
  <c r="FY11" i="54"/>
  <c r="FX11" i="54"/>
  <c r="FW11" i="54"/>
  <c r="FV11" i="54"/>
  <c r="FU11" i="54"/>
  <c r="FT11" i="54"/>
  <c r="BF11" i="54"/>
  <c r="H11" i="56" s="1"/>
  <c r="AD11" i="54"/>
  <c r="AA11" i="54"/>
  <c r="Z11" i="54"/>
  <c r="Y11" i="54"/>
  <c r="X11" i="54"/>
  <c r="W11" i="54"/>
  <c r="V11" i="54"/>
  <c r="U11" i="54"/>
  <c r="T11" i="54"/>
  <c r="S11" i="54"/>
  <c r="R11" i="54"/>
  <c r="Q11" i="54"/>
  <c r="P11" i="54"/>
  <c r="O11" i="54"/>
  <c r="N11" i="54"/>
  <c r="L11" i="54"/>
  <c r="BL11" i="54" s="1"/>
  <c r="N11" i="56" s="1"/>
  <c r="K11" i="54"/>
  <c r="BU11" i="54" s="1"/>
  <c r="W11" i="56" s="1"/>
  <c r="J11" i="54"/>
  <c r="BT11" i="54" s="1"/>
  <c r="V11" i="56" s="1"/>
  <c r="G11" i="54"/>
  <c r="BQ11" i="54" s="1"/>
  <c r="S11" i="56" s="1"/>
  <c r="F11" i="54"/>
  <c r="AV11" i="54" s="1"/>
  <c r="E11" i="54"/>
  <c r="AU11" i="54" s="1"/>
  <c r="D11" i="54"/>
  <c r="BD11" i="54" s="1"/>
  <c r="F11" i="56" s="1"/>
  <c r="B11" i="54"/>
  <c r="AG11" i="54" s="1"/>
  <c r="B11" i="56" s="1"/>
  <c r="A11" i="54"/>
  <c r="AF11" i="54" s="1"/>
  <c r="A11" i="56" s="1"/>
  <c r="JO10" i="54"/>
  <c r="JN10" i="54"/>
  <c r="JM10" i="54"/>
  <c r="JL10" i="54"/>
  <c r="JK10" i="54"/>
  <c r="JJ10" i="54"/>
  <c r="JI10" i="54"/>
  <c r="JH10" i="54"/>
  <c r="JG10" i="54"/>
  <c r="JF10" i="54"/>
  <c r="JE10" i="54"/>
  <c r="JD10" i="54"/>
  <c r="JC10" i="54"/>
  <c r="JB10" i="54"/>
  <c r="JA10" i="54"/>
  <c r="IZ10" i="54"/>
  <c r="IY10" i="54"/>
  <c r="IX10" i="54"/>
  <c r="IW10" i="54"/>
  <c r="IV10" i="54"/>
  <c r="IU10" i="54"/>
  <c r="IT10" i="54"/>
  <c r="IS10" i="54"/>
  <c r="IR10" i="54"/>
  <c r="IQ10" i="54"/>
  <c r="IP10" i="54"/>
  <c r="IO10" i="54"/>
  <c r="IN10" i="54"/>
  <c r="IM10" i="54"/>
  <c r="IL10" i="54"/>
  <c r="IK10" i="54"/>
  <c r="IJ10" i="54"/>
  <c r="II10" i="54"/>
  <c r="IH10" i="54"/>
  <c r="IG10" i="54"/>
  <c r="IF10" i="54"/>
  <c r="IE10" i="54"/>
  <c r="ID10" i="54"/>
  <c r="IC10" i="54"/>
  <c r="IB10" i="54"/>
  <c r="IA10" i="54"/>
  <c r="HZ10" i="54"/>
  <c r="HY10" i="54"/>
  <c r="HX10" i="54"/>
  <c r="HW10" i="54"/>
  <c r="HV10" i="54"/>
  <c r="HU10" i="54"/>
  <c r="HT10" i="54"/>
  <c r="HS10" i="54"/>
  <c r="HR10" i="54"/>
  <c r="HQ10" i="54"/>
  <c r="HP10" i="54"/>
  <c r="HO10" i="54"/>
  <c r="HN10" i="54"/>
  <c r="HM10" i="54"/>
  <c r="HL10" i="54"/>
  <c r="HI10" i="54"/>
  <c r="HH10" i="54"/>
  <c r="HG10" i="54"/>
  <c r="HF10" i="54"/>
  <c r="HE10" i="54"/>
  <c r="HD10" i="54"/>
  <c r="HC10" i="54"/>
  <c r="HB10" i="54"/>
  <c r="HA10" i="54"/>
  <c r="GZ10" i="54"/>
  <c r="GY10" i="54"/>
  <c r="GX10" i="54"/>
  <c r="GW10" i="54"/>
  <c r="GV10" i="54"/>
  <c r="GU10" i="54"/>
  <c r="GT10" i="54"/>
  <c r="GS10" i="54"/>
  <c r="GR10" i="54"/>
  <c r="GQ10" i="54"/>
  <c r="GP10" i="54"/>
  <c r="GO10" i="54"/>
  <c r="GN10" i="54"/>
  <c r="GM10" i="54"/>
  <c r="GL10" i="54"/>
  <c r="GK10" i="54"/>
  <c r="GJ10" i="54"/>
  <c r="GI10" i="54"/>
  <c r="GH10" i="54"/>
  <c r="GG10" i="54"/>
  <c r="GF10" i="54"/>
  <c r="GE10" i="54"/>
  <c r="GD10" i="54"/>
  <c r="GC10" i="54"/>
  <c r="GB10" i="54"/>
  <c r="GA10" i="54"/>
  <c r="FZ10" i="54"/>
  <c r="FY10" i="54"/>
  <c r="FX10" i="54"/>
  <c r="FW10" i="54"/>
  <c r="FV10" i="54"/>
  <c r="FU10" i="54"/>
  <c r="FT10" i="54"/>
  <c r="AZ10" i="54"/>
  <c r="AD10" i="54"/>
  <c r="AA10" i="54"/>
  <c r="Z10" i="54"/>
  <c r="Y10" i="54"/>
  <c r="X10" i="54"/>
  <c r="W10" i="54"/>
  <c r="V10" i="54"/>
  <c r="U10" i="54"/>
  <c r="T10" i="54"/>
  <c r="S10" i="54"/>
  <c r="R10" i="54"/>
  <c r="Q10" i="54"/>
  <c r="P10" i="54"/>
  <c r="O10" i="54"/>
  <c r="N10" i="54"/>
  <c r="L10" i="54"/>
  <c r="BV10" i="54" s="1"/>
  <c r="X10" i="56" s="1"/>
  <c r="K10" i="54"/>
  <c r="BU10" i="54" s="1"/>
  <c r="W10" i="56" s="1"/>
  <c r="J10" i="54"/>
  <c r="BT10" i="54" s="1"/>
  <c r="V10" i="56" s="1"/>
  <c r="G10" i="54"/>
  <c r="AW10" i="54" s="1"/>
  <c r="F10" i="54"/>
  <c r="AV10" i="54" s="1"/>
  <c r="E10" i="54"/>
  <c r="BE10" i="54" s="1"/>
  <c r="G10" i="56" s="1"/>
  <c r="D10" i="54"/>
  <c r="BN10" i="54" s="1"/>
  <c r="P10" i="56" s="1"/>
  <c r="B10" i="54"/>
  <c r="AG10" i="54" s="1"/>
  <c r="B10" i="56" s="1"/>
  <c r="A10" i="54"/>
  <c r="AF10" i="54" s="1"/>
  <c r="A10" i="56" s="1"/>
  <c r="JO9" i="54"/>
  <c r="JN9" i="54"/>
  <c r="JM9" i="54"/>
  <c r="JL9" i="54"/>
  <c r="JK9" i="54"/>
  <c r="JJ9" i="54"/>
  <c r="JI9" i="54"/>
  <c r="JH9" i="54"/>
  <c r="JG9" i="54"/>
  <c r="JF9" i="54"/>
  <c r="JE9" i="54"/>
  <c r="JD9" i="54"/>
  <c r="JC9" i="54"/>
  <c r="JB9" i="54"/>
  <c r="JA9" i="54"/>
  <c r="IZ9" i="54"/>
  <c r="IY9" i="54"/>
  <c r="IX9" i="54"/>
  <c r="IW9" i="54"/>
  <c r="IV9" i="54"/>
  <c r="IU9" i="54"/>
  <c r="IT9" i="54"/>
  <c r="IS9" i="54"/>
  <c r="IR9" i="54"/>
  <c r="IQ9" i="54"/>
  <c r="IP9" i="54"/>
  <c r="IO9" i="54"/>
  <c r="IN9" i="54"/>
  <c r="IM9" i="54"/>
  <c r="IL9" i="54"/>
  <c r="IK9" i="54"/>
  <c r="IJ9" i="54"/>
  <c r="II9" i="54"/>
  <c r="IH9" i="54"/>
  <c r="IG9" i="54"/>
  <c r="IF9" i="54"/>
  <c r="IE9" i="54"/>
  <c r="ID9" i="54"/>
  <c r="IC9" i="54"/>
  <c r="IB9" i="54"/>
  <c r="IA9" i="54"/>
  <c r="HZ9" i="54"/>
  <c r="HY9" i="54"/>
  <c r="HX9" i="54"/>
  <c r="HW9" i="54"/>
  <c r="HV9" i="54"/>
  <c r="HU9" i="54"/>
  <c r="HT9" i="54"/>
  <c r="HS9" i="54"/>
  <c r="HR9" i="54"/>
  <c r="HQ9" i="54"/>
  <c r="HP9" i="54"/>
  <c r="HO9" i="54"/>
  <c r="HN9" i="54"/>
  <c r="HM9" i="54"/>
  <c r="HL9" i="54"/>
  <c r="HI9" i="54"/>
  <c r="HH9" i="54"/>
  <c r="HG9" i="54"/>
  <c r="HF9" i="54"/>
  <c r="HE9" i="54"/>
  <c r="HD9" i="54"/>
  <c r="HC9" i="54"/>
  <c r="HB9" i="54"/>
  <c r="HA9" i="54"/>
  <c r="GZ9" i="54"/>
  <c r="GY9" i="54"/>
  <c r="GX9" i="54"/>
  <c r="GW9" i="54"/>
  <c r="GV9" i="54"/>
  <c r="GU9" i="54"/>
  <c r="GT9" i="54"/>
  <c r="GS9" i="54"/>
  <c r="GR9" i="54"/>
  <c r="GQ9" i="54"/>
  <c r="GP9" i="54"/>
  <c r="GO9" i="54"/>
  <c r="GN9" i="54"/>
  <c r="GM9" i="54"/>
  <c r="GL9" i="54"/>
  <c r="GK9" i="54"/>
  <c r="GJ9" i="54"/>
  <c r="GI9" i="54"/>
  <c r="GH9" i="54"/>
  <c r="GG9" i="54"/>
  <c r="GF9" i="54"/>
  <c r="GE9" i="54"/>
  <c r="GD9" i="54"/>
  <c r="GC9" i="54"/>
  <c r="GB9" i="54"/>
  <c r="GA9" i="54"/>
  <c r="FZ9" i="54"/>
  <c r="FY9" i="54"/>
  <c r="FX9" i="54"/>
  <c r="FW9" i="54"/>
  <c r="FV9" i="54"/>
  <c r="FU9" i="54"/>
  <c r="FT9" i="54"/>
  <c r="AD9" i="54"/>
  <c r="AA9" i="54"/>
  <c r="Z9" i="54"/>
  <c r="Y9" i="54"/>
  <c r="X9" i="54"/>
  <c r="W9" i="54"/>
  <c r="V9" i="54"/>
  <c r="U9" i="54"/>
  <c r="T9" i="54"/>
  <c r="S9" i="54"/>
  <c r="R9" i="54"/>
  <c r="Q9" i="54"/>
  <c r="P9" i="54"/>
  <c r="O9" i="54"/>
  <c r="N9" i="54"/>
  <c r="L9" i="54"/>
  <c r="BV9" i="54" s="1"/>
  <c r="X9" i="56" s="1"/>
  <c r="K9" i="54"/>
  <c r="BU9" i="54" s="1"/>
  <c r="W9" i="56" s="1"/>
  <c r="J9" i="54"/>
  <c r="BT9" i="54" s="1"/>
  <c r="V9" i="56" s="1"/>
  <c r="G9" i="54"/>
  <c r="AW9" i="54" s="1"/>
  <c r="F9" i="54"/>
  <c r="BF9" i="54" s="1"/>
  <c r="H9" i="56" s="1"/>
  <c r="E9" i="54"/>
  <c r="BO9" i="54" s="1"/>
  <c r="Q9" i="56" s="1"/>
  <c r="D9" i="54"/>
  <c r="BN9" i="54" s="1"/>
  <c r="P9" i="56" s="1"/>
  <c r="B9" i="54"/>
  <c r="AG9" i="54" s="1"/>
  <c r="B9" i="56" s="1"/>
  <c r="A9" i="54"/>
  <c r="AF9" i="54" s="1"/>
  <c r="A9" i="56" s="1"/>
  <c r="JO8" i="54"/>
  <c r="JN8" i="54"/>
  <c r="JM8" i="54"/>
  <c r="JL8" i="54"/>
  <c r="JK8" i="54"/>
  <c r="JJ8" i="54"/>
  <c r="JI8" i="54"/>
  <c r="JH8" i="54"/>
  <c r="JG8" i="54"/>
  <c r="JF8" i="54"/>
  <c r="JE8" i="54"/>
  <c r="JD8" i="54"/>
  <c r="JC8" i="54"/>
  <c r="JB8" i="54"/>
  <c r="JA8" i="54"/>
  <c r="IZ8" i="54"/>
  <c r="IY8" i="54"/>
  <c r="IX8" i="54"/>
  <c r="IW8" i="54"/>
  <c r="IV8" i="54"/>
  <c r="IU8" i="54"/>
  <c r="IT8" i="54"/>
  <c r="IS8" i="54"/>
  <c r="IR8" i="54"/>
  <c r="IQ8" i="54"/>
  <c r="IP8" i="54"/>
  <c r="IO8" i="54"/>
  <c r="IN8" i="54"/>
  <c r="IM8" i="54"/>
  <c r="IL8" i="54"/>
  <c r="IK8" i="54"/>
  <c r="IJ8" i="54"/>
  <c r="II8" i="54"/>
  <c r="IH8" i="54"/>
  <c r="IG8" i="54"/>
  <c r="IF8" i="54"/>
  <c r="IE8" i="54"/>
  <c r="ID8" i="54"/>
  <c r="IC8" i="54"/>
  <c r="IB8" i="54"/>
  <c r="IA8" i="54"/>
  <c r="HZ8" i="54"/>
  <c r="HY8" i="54"/>
  <c r="HX8" i="54"/>
  <c r="HW8" i="54"/>
  <c r="HV8" i="54"/>
  <c r="HU8" i="54"/>
  <c r="HT8" i="54"/>
  <c r="HS8" i="54"/>
  <c r="HR8" i="54"/>
  <c r="HQ8" i="54"/>
  <c r="HP8" i="54"/>
  <c r="HO8" i="54"/>
  <c r="HN8" i="54"/>
  <c r="HM8" i="54"/>
  <c r="HL8" i="54"/>
  <c r="HI8" i="54"/>
  <c r="HH8" i="54"/>
  <c r="HG8" i="54"/>
  <c r="HF8" i="54"/>
  <c r="HE8" i="54"/>
  <c r="HD8" i="54"/>
  <c r="HC8" i="54"/>
  <c r="HB8" i="54"/>
  <c r="HA8" i="54"/>
  <c r="GZ8" i="54"/>
  <c r="GY8" i="54"/>
  <c r="GX8" i="54"/>
  <c r="GW8" i="54"/>
  <c r="GV8" i="54"/>
  <c r="GU8" i="54"/>
  <c r="GT8" i="54"/>
  <c r="GS8" i="54"/>
  <c r="GR8" i="54"/>
  <c r="GQ8" i="54"/>
  <c r="GP8" i="54"/>
  <c r="GO8" i="54"/>
  <c r="GN8" i="54"/>
  <c r="GM8" i="54"/>
  <c r="GL8" i="54"/>
  <c r="GK8" i="54"/>
  <c r="GJ8" i="54"/>
  <c r="GI8" i="54"/>
  <c r="GH8" i="54"/>
  <c r="GG8" i="54"/>
  <c r="GF8" i="54"/>
  <c r="GE8" i="54"/>
  <c r="GD8" i="54"/>
  <c r="GC8" i="54"/>
  <c r="GB8" i="54"/>
  <c r="GA8" i="54"/>
  <c r="FZ8" i="54"/>
  <c r="FY8" i="54"/>
  <c r="FX8" i="54"/>
  <c r="FW8" i="54"/>
  <c r="FV8" i="54"/>
  <c r="FU8" i="54"/>
  <c r="FT8" i="54"/>
  <c r="BJ8" i="54"/>
  <c r="L8" i="56" s="1"/>
  <c r="AD8" i="54"/>
  <c r="AA8" i="54"/>
  <c r="Z8" i="54"/>
  <c r="Y8" i="54"/>
  <c r="X8" i="54"/>
  <c r="W8" i="54"/>
  <c r="V8" i="54"/>
  <c r="U8" i="54"/>
  <c r="T8" i="54"/>
  <c r="S8" i="54"/>
  <c r="R8" i="54"/>
  <c r="Q8" i="54"/>
  <c r="P8" i="54"/>
  <c r="O8" i="54"/>
  <c r="N8" i="54"/>
  <c r="L8" i="54"/>
  <c r="BV8" i="54" s="1"/>
  <c r="X8" i="56" s="1"/>
  <c r="K8" i="54"/>
  <c r="BU8" i="54" s="1"/>
  <c r="W8" i="56" s="1"/>
  <c r="J8" i="54"/>
  <c r="BT8" i="54" s="1"/>
  <c r="V8" i="56" s="1"/>
  <c r="G8" i="54"/>
  <c r="BG8" i="54" s="1"/>
  <c r="I8" i="56" s="1"/>
  <c r="F8" i="54"/>
  <c r="E8" i="54"/>
  <c r="BO8" i="54" s="1"/>
  <c r="Q8" i="56" s="1"/>
  <c r="D8" i="54"/>
  <c r="BN8" i="54" s="1"/>
  <c r="P8" i="56" s="1"/>
  <c r="B8" i="54"/>
  <c r="AG8" i="54" s="1"/>
  <c r="B8" i="56" s="1"/>
  <c r="A8" i="54"/>
  <c r="AF8" i="54" s="1"/>
  <c r="A8" i="56" s="1"/>
  <c r="JO7" i="54"/>
  <c r="JN7" i="54"/>
  <c r="JM7" i="54"/>
  <c r="JL7" i="54"/>
  <c r="JK7" i="54"/>
  <c r="JJ7" i="54"/>
  <c r="JI7" i="54"/>
  <c r="JH7" i="54"/>
  <c r="JG7" i="54"/>
  <c r="JF7" i="54"/>
  <c r="JE7" i="54"/>
  <c r="JD7" i="54"/>
  <c r="JC7" i="54"/>
  <c r="JB7" i="54"/>
  <c r="JA7" i="54"/>
  <c r="IZ7" i="54"/>
  <c r="IY7" i="54"/>
  <c r="IX7" i="54"/>
  <c r="IW7" i="54"/>
  <c r="IV7" i="54"/>
  <c r="IU7" i="54"/>
  <c r="IT7" i="54"/>
  <c r="IS7" i="54"/>
  <c r="IR7" i="54"/>
  <c r="IQ7" i="54"/>
  <c r="IP7" i="54"/>
  <c r="IO7" i="54"/>
  <c r="IN7" i="54"/>
  <c r="IM7" i="54"/>
  <c r="IL7" i="54"/>
  <c r="IK7" i="54"/>
  <c r="IJ7" i="54"/>
  <c r="II7" i="54"/>
  <c r="IH7" i="54"/>
  <c r="IG7" i="54"/>
  <c r="IF7" i="54"/>
  <c r="IE7" i="54"/>
  <c r="ID7" i="54"/>
  <c r="IC7" i="54"/>
  <c r="IB7" i="54"/>
  <c r="IA7" i="54"/>
  <c r="HZ7" i="54"/>
  <c r="HY7" i="54"/>
  <c r="HX7" i="54"/>
  <c r="HW7" i="54"/>
  <c r="HV7" i="54"/>
  <c r="HU7" i="54"/>
  <c r="HT7" i="54"/>
  <c r="HS7" i="54"/>
  <c r="HR7" i="54"/>
  <c r="HQ7" i="54"/>
  <c r="HP7" i="54"/>
  <c r="HO7" i="54"/>
  <c r="HN7" i="54"/>
  <c r="HM7" i="54"/>
  <c r="HL7" i="54"/>
  <c r="HI7" i="54"/>
  <c r="HH7" i="54"/>
  <c r="HG7" i="54"/>
  <c r="HF7" i="54"/>
  <c r="HE7" i="54"/>
  <c r="HD7" i="54"/>
  <c r="HC7" i="54"/>
  <c r="HB7" i="54"/>
  <c r="HA7" i="54"/>
  <c r="GZ7" i="54"/>
  <c r="GY7" i="54"/>
  <c r="GX7" i="54"/>
  <c r="GW7" i="54"/>
  <c r="GV7" i="54"/>
  <c r="GU7" i="54"/>
  <c r="GT7" i="54"/>
  <c r="GS7" i="54"/>
  <c r="GR7" i="54"/>
  <c r="GQ7" i="54"/>
  <c r="GP7" i="54"/>
  <c r="GO7" i="54"/>
  <c r="GN7" i="54"/>
  <c r="GM7" i="54"/>
  <c r="GL7" i="54"/>
  <c r="GK7" i="54"/>
  <c r="GJ7" i="54"/>
  <c r="GI7" i="54"/>
  <c r="GH7" i="54"/>
  <c r="GG7" i="54"/>
  <c r="GF7" i="54"/>
  <c r="GE7" i="54"/>
  <c r="GD7" i="54"/>
  <c r="GC7" i="54"/>
  <c r="GB7" i="54"/>
  <c r="GA7" i="54"/>
  <c r="FZ7" i="54"/>
  <c r="FY7" i="54"/>
  <c r="FX7" i="54"/>
  <c r="FW7" i="54"/>
  <c r="FV7" i="54"/>
  <c r="FU7" i="54"/>
  <c r="FT7" i="54"/>
  <c r="AD7" i="54"/>
  <c r="AA7" i="54"/>
  <c r="Z7" i="54"/>
  <c r="Y7" i="54"/>
  <c r="X7" i="54"/>
  <c r="W7" i="54"/>
  <c r="V7" i="54"/>
  <c r="U7" i="54"/>
  <c r="T7" i="54"/>
  <c r="S7" i="54"/>
  <c r="R7" i="54"/>
  <c r="Q7" i="54"/>
  <c r="P7" i="54"/>
  <c r="O7" i="54"/>
  <c r="N7" i="54"/>
  <c r="L7" i="54"/>
  <c r="BV7" i="54" s="1"/>
  <c r="X7" i="56" s="1"/>
  <c r="K7" i="54"/>
  <c r="BU7" i="54" s="1"/>
  <c r="W7" i="56" s="1"/>
  <c r="J7" i="54"/>
  <c r="BJ7" i="54" s="1"/>
  <c r="L7" i="56" s="1"/>
  <c r="G7" i="54"/>
  <c r="BQ7" i="54" s="1"/>
  <c r="S7" i="56" s="1"/>
  <c r="F7" i="54"/>
  <c r="BP7" i="54" s="1"/>
  <c r="R7" i="56" s="1"/>
  <c r="E7" i="54"/>
  <c r="BO7" i="54" s="1"/>
  <c r="Q7" i="56" s="1"/>
  <c r="D7" i="54"/>
  <c r="BN7" i="54" s="1"/>
  <c r="P7" i="56" s="1"/>
  <c r="B7" i="54"/>
  <c r="AG7" i="54" s="1"/>
  <c r="B7" i="56" s="1"/>
  <c r="A7" i="54"/>
  <c r="AF7" i="54" s="1"/>
  <c r="A7" i="56" s="1"/>
  <c r="JO6" i="54"/>
  <c r="JN6" i="54"/>
  <c r="JM6" i="54"/>
  <c r="JL6" i="54"/>
  <c r="JK6" i="54"/>
  <c r="JJ6" i="54"/>
  <c r="JI6" i="54"/>
  <c r="JH6" i="54"/>
  <c r="JG6" i="54"/>
  <c r="JF6" i="54"/>
  <c r="JE6" i="54"/>
  <c r="JD6" i="54"/>
  <c r="JC6" i="54"/>
  <c r="JB6" i="54"/>
  <c r="JA6" i="54"/>
  <c r="IZ6" i="54"/>
  <c r="IY6" i="54"/>
  <c r="IX6" i="54"/>
  <c r="IW6" i="54"/>
  <c r="IV6" i="54"/>
  <c r="IU6" i="54"/>
  <c r="IT6" i="54"/>
  <c r="IS6" i="54"/>
  <c r="IR6" i="54"/>
  <c r="IQ6" i="54"/>
  <c r="IP6" i="54"/>
  <c r="IO6" i="54"/>
  <c r="IN6" i="54"/>
  <c r="IM6" i="54"/>
  <c r="IL6" i="54"/>
  <c r="IK6" i="54"/>
  <c r="IJ6" i="54"/>
  <c r="II6" i="54"/>
  <c r="IH6" i="54"/>
  <c r="IG6" i="54"/>
  <c r="IF6" i="54"/>
  <c r="IE6" i="54"/>
  <c r="ID6" i="54"/>
  <c r="IC6" i="54"/>
  <c r="IB6" i="54"/>
  <c r="IA6" i="54"/>
  <c r="HZ6" i="54"/>
  <c r="HY6" i="54"/>
  <c r="HX6" i="54"/>
  <c r="HW6" i="54"/>
  <c r="HV6" i="54"/>
  <c r="HU6" i="54"/>
  <c r="HT6" i="54"/>
  <c r="HS6" i="54"/>
  <c r="HR6" i="54"/>
  <c r="HQ6" i="54"/>
  <c r="HP6" i="54"/>
  <c r="HO6" i="54"/>
  <c r="HN6" i="54"/>
  <c r="HM6" i="54"/>
  <c r="HL6" i="54"/>
  <c r="HI6" i="54"/>
  <c r="HH6" i="54"/>
  <c r="HG6" i="54"/>
  <c r="HF6" i="54"/>
  <c r="HE6" i="54"/>
  <c r="HD6" i="54"/>
  <c r="HC6" i="54"/>
  <c r="HB6" i="54"/>
  <c r="HA6" i="54"/>
  <c r="GZ6" i="54"/>
  <c r="GY6" i="54"/>
  <c r="GX6" i="54"/>
  <c r="GW6" i="54"/>
  <c r="GV6" i="54"/>
  <c r="GU6" i="54"/>
  <c r="GT6" i="54"/>
  <c r="GS6" i="54"/>
  <c r="GR6" i="54"/>
  <c r="GQ6" i="54"/>
  <c r="GP6" i="54"/>
  <c r="GO6" i="54"/>
  <c r="GN6" i="54"/>
  <c r="GM6" i="54"/>
  <c r="GL6" i="54"/>
  <c r="GK6" i="54"/>
  <c r="GJ6" i="54"/>
  <c r="GI6" i="54"/>
  <c r="GH6" i="54"/>
  <c r="GG6" i="54"/>
  <c r="GF6" i="54"/>
  <c r="GE6" i="54"/>
  <c r="GD6" i="54"/>
  <c r="GC6" i="54"/>
  <c r="GB6" i="54"/>
  <c r="GA6" i="54"/>
  <c r="FZ6" i="54"/>
  <c r="FY6" i="54"/>
  <c r="FX6" i="54"/>
  <c r="FW6" i="54"/>
  <c r="FV6" i="54"/>
  <c r="FU6" i="54"/>
  <c r="FT6" i="54"/>
  <c r="AD6" i="54"/>
  <c r="AA6" i="54"/>
  <c r="Z6" i="54"/>
  <c r="Y6" i="54"/>
  <c r="X6" i="54"/>
  <c r="W6" i="54"/>
  <c r="V6" i="54"/>
  <c r="U6" i="54"/>
  <c r="T6" i="54"/>
  <c r="S6" i="54"/>
  <c r="R6" i="54"/>
  <c r="Q6" i="54"/>
  <c r="P6" i="54"/>
  <c r="O6" i="54"/>
  <c r="N6" i="54"/>
  <c r="L6" i="54"/>
  <c r="BV6" i="54" s="1"/>
  <c r="X6" i="56" s="1"/>
  <c r="K6" i="54"/>
  <c r="BA6" i="54" s="1"/>
  <c r="J6" i="54"/>
  <c r="AZ6" i="54" s="1"/>
  <c r="G6" i="54"/>
  <c r="BQ6" i="54" s="1"/>
  <c r="S6" i="56" s="1"/>
  <c r="F6" i="54"/>
  <c r="BP6" i="54" s="1"/>
  <c r="R6" i="56" s="1"/>
  <c r="E6" i="54"/>
  <c r="BO6" i="54" s="1"/>
  <c r="Q6" i="56" s="1"/>
  <c r="D6" i="54"/>
  <c r="BN6" i="54" s="1"/>
  <c r="P6" i="56" s="1"/>
  <c r="B6" i="54"/>
  <c r="AG6" i="54" s="1"/>
  <c r="B6" i="56" s="1"/>
  <c r="A6" i="54"/>
  <c r="AF6" i="54" s="1"/>
  <c r="A6" i="56" s="1"/>
  <c r="JO5" i="54"/>
  <c r="JN5" i="54"/>
  <c r="JM5" i="54"/>
  <c r="JL5" i="54"/>
  <c r="JK5" i="54"/>
  <c r="JJ5" i="54"/>
  <c r="JI5" i="54"/>
  <c r="JH5" i="54"/>
  <c r="JG5" i="54"/>
  <c r="JF5" i="54"/>
  <c r="JE5" i="54"/>
  <c r="JD5" i="54"/>
  <c r="JC5" i="54"/>
  <c r="JB5" i="54"/>
  <c r="JA5" i="54"/>
  <c r="IZ5" i="54"/>
  <c r="IY5" i="54"/>
  <c r="IX5" i="54"/>
  <c r="IW5" i="54"/>
  <c r="IV5" i="54"/>
  <c r="IU5" i="54"/>
  <c r="IT5" i="54"/>
  <c r="IS5" i="54"/>
  <c r="IR5" i="54"/>
  <c r="IQ5" i="54"/>
  <c r="IP5" i="54"/>
  <c r="IO5" i="54"/>
  <c r="IN5" i="54"/>
  <c r="IM5" i="54"/>
  <c r="IL5" i="54"/>
  <c r="IK5" i="54"/>
  <c r="IJ5" i="54"/>
  <c r="II5" i="54"/>
  <c r="IH5" i="54"/>
  <c r="IG5" i="54"/>
  <c r="IF5" i="54"/>
  <c r="IE5" i="54"/>
  <c r="ID5" i="54"/>
  <c r="IC5" i="54"/>
  <c r="IB5" i="54"/>
  <c r="IA5" i="54"/>
  <c r="HZ5" i="54"/>
  <c r="HY5" i="54"/>
  <c r="HX5" i="54"/>
  <c r="HW5" i="54"/>
  <c r="HV5" i="54"/>
  <c r="HU5" i="54"/>
  <c r="HT5" i="54"/>
  <c r="HS5" i="54"/>
  <c r="HR5" i="54"/>
  <c r="HQ5" i="54"/>
  <c r="HP5" i="54"/>
  <c r="HO5" i="54"/>
  <c r="HN5" i="54"/>
  <c r="HM5" i="54"/>
  <c r="HL5" i="54"/>
  <c r="HI5" i="54"/>
  <c r="HH5" i="54"/>
  <c r="HG5" i="54"/>
  <c r="HF5" i="54"/>
  <c r="HE5" i="54"/>
  <c r="HD5" i="54"/>
  <c r="HC5" i="54"/>
  <c r="HB5" i="54"/>
  <c r="HA5" i="54"/>
  <c r="GZ5" i="54"/>
  <c r="GY5" i="54"/>
  <c r="GX5" i="54"/>
  <c r="GW5" i="54"/>
  <c r="GV5" i="54"/>
  <c r="GU5" i="54"/>
  <c r="GT5" i="54"/>
  <c r="GS5" i="54"/>
  <c r="GR5" i="54"/>
  <c r="GQ5" i="54"/>
  <c r="GP5" i="54"/>
  <c r="GO5" i="54"/>
  <c r="GN5" i="54"/>
  <c r="GM5" i="54"/>
  <c r="GL5" i="54"/>
  <c r="GK5" i="54"/>
  <c r="GJ5" i="54"/>
  <c r="GI5" i="54"/>
  <c r="GH5" i="54"/>
  <c r="GG5" i="54"/>
  <c r="GF5" i="54"/>
  <c r="GE5" i="54"/>
  <c r="GC5" i="54"/>
  <c r="GB5" i="54"/>
  <c r="GA5" i="54"/>
  <c r="FZ5" i="54"/>
  <c r="FY5" i="54"/>
  <c r="FX5" i="54"/>
  <c r="FW5" i="54"/>
  <c r="FV5" i="54"/>
  <c r="FU5" i="54"/>
  <c r="FT5" i="54"/>
  <c r="AD5" i="54"/>
  <c r="AA5" i="54"/>
  <c r="Z5" i="54"/>
  <c r="Y5" i="54"/>
  <c r="X5" i="54"/>
  <c r="W5" i="54"/>
  <c r="V5" i="54"/>
  <c r="U5" i="54"/>
  <c r="T5" i="54"/>
  <c r="S5" i="54"/>
  <c r="R5" i="54"/>
  <c r="Q5" i="54"/>
  <c r="P5" i="54"/>
  <c r="O5" i="54"/>
  <c r="N5" i="54"/>
  <c r="L5" i="54"/>
  <c r="BB5" i="54" s="1"/>
  <c r="K5" i="54"/>
  <c r="BU5" i="54" s="1"/>
  <c r="W5" i="56" s="1"/>
  <c r="J5" i="54"/>
  <c r="BJ5" i="54" s="1"/>
  <c r="L5" i="56" s="1"/>
  <c r="G5" i="54"/>
  <c r="BQ5" i="54" s="1"/>
  <c r="S5" i="56" s="1"/>
  <c r="F5" i="54"/>
  <c r="BP5" i="54" s="1"/>
  <c r="R5" i="56" s="1"/>
  <c r="E5" i="54"/>
  <c r="AU5" i="54" s="1"/>
  <c r="D5" i="54"/>
  <c r="BD5" i="54" s="1"/>
  <c r="F5" i="56" s="1"/>
  <c r="B5" i="54"/>
  <c r="AG5" i="54" s="1"/>
  <c r="B5" i="56" s="1"/>
  <c r="A5" i="54"/>
  <c r="AF5" i="54" s="1"/>
  <c r="A5" i="56" s="1"/>
  <c r="JO4" i="54"/>
  <c r="JN4" i="54"/>
  <c r="JM4" i="54"/>
  <c r="JL4" i="54"/>
  <c r="JK4" i="54"/>
  <c r="JJ4" i="54"/>
  <c r="JI4" i="54"/>
  <c r="JH4" i="54"/>
  <c r="JG4" i="54"/>
  <c r="JF4" i="54"/>
  <c r="JE4" i="54"/>
  <c r="JD4" i="54"/>
  <c r="JC4" i="54"/>
  <c r="JB4" i="54"/>
  <c r="JA4" i="54"/>
  <c r="IZ4" i="54"/>
  <c r="IY4" i="54"/>
  <c r="IX4" i="54"/>
  <c r="IW4" i="54"/>
  <c r="IV4" i="54"/>
  <c r="IU4" i="54"/>
  <c r="IT4" i="54"/>
  <c r="IS4" i="54"/>
  <c r="IR4" i="54"/>
  <c r="IQ4" i="54"/>
  <c r="IP4" i="54"/>
  <c r="IO4" i="54"/>
  <c r="IN4" i="54"/>
  <c r="IM4" i="54"/>
  <c r="IL4" i="54"/>
  <c r="IK4" i="54"/>
  <c r="IJ4" i="54"/>
  <c r="II4" i="54"/>
  <c r="IH4" i="54"/>
  <c r="IG4" i="54"/>
  <c r="IF4" i="54"/>
  <c r="IE4" i="54"/>
  <c r="ID4" i="54"/>
  <c r="IC4" i="54"/>
  <c r="IB4" i="54"/>
  <c r="IA4" i="54"/>
  <c r="HZ4" i="54"/>
  <c r="HY4" i="54"/>
  <c r="HX4" i="54"/>
  <c r="HW4" i="54"/>
  <c r="HV4" i="54"/>
  <c r="HU4" i="54"/>
  <c r="HT4" i="54"/>
  <c r="HS4" i="54"/>
  <c r="HR4" i="54"/>
  <c r="HQ4" i="54"/>
  <c r="HP4" i="54"/>
  <c r="HO4" i="54"/>
  <c r="HN4" i="54"/>
  <c r="HM4" i="54"/>
  <c r="HL4" i="54"/>
  <c r="HI4" i="54"/>
  <c r="HH4" i="54"/>
  <c r="HG4" i="54"/>
  <c r="HF4" i="54"/>
  <c r="HE4" i="54"/>
  <c r="HD4" i="54"/>
  <c r="HC4" i="54"/>
  <c r="HB4" i="54"/>
  <c r="HA4" i="54"/>
  <c r="GZ4" i="54"/>
  <c r="GY4" i="54"/>
  <c r="GX4" i="54"/>
  <c r="GW4" i="54"/>
  <c r="GU4" i="54"/>
  <c r="GT4" i="54"/>
  <c r="GS4" i="54"/>
  <c r="GR4" i="54"/>
  <c r="GQ4" i="54"/>
  <c r="GP4" i="54"/>
  <c r="GO4" i="54"/>
  <c r="GN4" i="54"/>
  <c r="GM4" i="54"/>
  <c r="GL4" i="54"/>
  <c r="GK4" i="54"/>
  <c r="GJ4" i="54"/>
  <c r="GI4" i="54"/>
  <c r="GH4" i="54"/>
  <c r="GG4" i="54"/>
  <c r="GF4" i="54"/>
  <c r="GE4" i="54"/>
  <c r="GD4" i="54"/>
  <c r="GC4" i="54"/>
  <c r="GB4" i="54"/>
  <c r="GA4" i="54"/>
  <c r="FZ4" i="54"/>
  <c r="FY4" i="54"/>
  <c r="FX4" i="54"/>
  <c r="FW4" i="54"/>
  <c r="FV4" i="54"/>
  <c r="FU4" i="54"/>
  <c r="FT4" i="54"/>
  <c r="AD4" i="54"/>
  <c r="AA4" i="54"/>
  <c r="Z4" i="54"/>
  <c r="Y4" i="54"/>
  <c r="X4" i="54"/>
  <c r="W4" i="54"/>
  <c r="V4" i="54"/>
  <c r="U4" i="54"/>
  <c r="T4" i="54"/>
  <c r="S4" i="54"/>
  <c r="R4" i="54"/>
  <c r="Q4" i="54"/>
  <c r="P4" i="54"/>
  <c r="O4" i="54"/>
  <c r="N4" i="54"/>
  <c r="L4" i="54"/>
  <c r="BV4" i="54" s="1"/>
  <c r="X4" i="56" s="1"/>
  <c r="K4" i="54"/>
  <c r="BU4" i="54" s="1"/>
  <c r="W4" i="56" s="1"/>
  <c r="J4" i="54"/>
  <c r="BT4" i="54" s="1"/>
  <c r="V4" i="56" s="1"/>
  <c r="G4" i="54"/>
  <c r="BQ4" i="54" s="1"/>
  <c r="S4" i="56" s="1"/>
  <c r="F4" i="54"/>
  <c r="AV4" i="54" s="1"/>
  <c r="E4" i="54"/>
  <c r="BO4" i="54" s="1"/>
  <c r="Q4" i="56" s="1"/>
  <c r="D4" i="54"/>
  <c r="BN4" i="54" s="1"/>
  <c r="P4" i="56" s="1"/>
  <c r="B4" i="54"/>
  <c r="AG4" i="54" s="1"/>
  <c r="B4" i="56" s="1"/>
  <c r="A4" i="54"/>
  <c r="AF4" i="54" s="1"/>
  <c r="A4" i="56" s="1"/>
  <c r="JO3" i="54"/>
  <c r="JN3" i="54"/>
  <c r="JM3" i="54"/>
  <c r="JL3" i="54"/>
  <c r="JK3" i="54"/>
  <c r="JJ3" i="54"/>
  <c r="JI3" i="54"/>
  <c r="JH3" i="54"/>
  <c r="JG3" i="54"/>
  <c r="JF3" i="54"/>
  <c r="JE3" i="54"/>
  <c r="JD3" i="54"/>
  <c r="JC3" i="54"/>
  <c r="JB3" i="54"/>
  <c r="JA3" i="54"/>
  <c r="IZ3" i="54"/>
  <c r="IY3" i="54"/>
  <c r="IX3" i="54"/>
  <c r="IW3" i="54"/>
  <c r="IV3" i="54"/>
  <c r="IU3" i="54"/>
  <c r="IT3" i="54"/>
  <c r="IS3" i="54"/>
  <c r="IR3" i="54"/>
  <c r="IQ3" i="54"/>
  <c r="IP3" i="54"/>
  <c r="IO3" i="54"/>
  <c r="IN3" i="54"/>
  <c r="IM3" i="54"/>
  <c r="IL3" i="54"/>
  <c r="IK3" i="54"/>
  <c r="IJ3" i="54"/>
  <c r="II3" i="54"/>
  <c r="IH3" i="54"/>
  <c r="IG3" i="54"/>
  <c r="IF3" i="54"/>
  <c r="IE3" i="54"/>
  <c r="ID3" i="54"/>
  <c r="IC3" i="54"/>
  <c r="IB3" i="54"/>
  <c r="IA3" i="54"/>
  <c r="HZ3" i="54"/>
  <c r="HY3" i="54"/>
  <c r="HX3" i="54"/>
  <c r="HW3" i="54"/>
  <c r="HV3" i="54"/>
  <c r="HU3" i="54"/>
  <c r="HT3" i="54"/>
  <c r="HS3" i="54"/>
  <c r="HR3" i="54"/>
  <c r="HQ3" i="54"/>
  <c r="HP3" i="54"/>
  <c r="HO3" i="54"/>
  <c r="HN3" i="54"/>
  <c r="HM3" i="54"/>
  <c r="HL3" i="54"/>
  <c r="HI3" i="54"/>
  <c r="HH3" i="54"/>
  <c r="HG3" i="54"/>
  <c r="HF3" i="54"/>
  <c r="HE3" i="54"/>
  <c r="HD3" i="54"/>
  <c r="HC3" i="54"/>
  <c r="HB3" i="54"/>
  <c r="HA3" i="54"/>
  <c r="GZ3" i="54"/>
  <c r="GY3" i="54"/>
  <c r="GX3" i="54"/>
  <c r="GW3" i="54"/>
  <c r="GV3" i="54"/>
  <c r="GU3" i="54"/>
  <c r="GT3" i="54"/>
  <c r="GS3" i="54"/>
  <c r="GR3" i="54"/>
  <c r="GQ3" i="54"/>
  <c r="GP3" i="54"/>
  <c r="GO3" i="54"/>
  <c r="GN3" i="54"/>
  <c r="GM3" i="54"/>
  <c r="GL3" i="54"/>
  <c r="GK3" i="54"/>
  <c r="GJ3" i="54"/>
  <c r="GI3" i="54"/>
  <c r="GH3" i="54"/>
  <c r="GG3" i="54"/>
  <c r="GF3" i="54"/>
  <c r="GE3" i="54"/>
  <c r="GC3" i="54"/>
  <c r="GB3" i="54"/>
  <c r="GA3" i="54"/>
  <c r="FZ3" i="54"/>
  <c r="FY3" i="54"/>
  <c r="FX3" i="54"/>
  <c r="FW3" i="54"/>
  <c r="FV3" i="54"/>
  <c r="FU3" i="54"/>
  <c r="FT3" i="54"/>
  <c r="AD3" i="54"/>
  <c r="AA3" i="54"/>
  <c r="Z3" i="54"/>
  <c r="Y3" i="54"/>
  <c r="X3" i="54"/>
  <c r="W3" i="54"/>
  <c r="V3" i="54"/>
  <c r="U3" i="54"/>
  <c r="T3" i="54"/>
  <c r="S3" i="54"/>
  <c r="R3" i="54"/>
  <c r="Q3" i="54"/>
  <c r="P3" i="54"/>
  <c r="O3" i="54"/>
  <c r="N3" i="54"/>
  <c r="L3" i="54"/>
  <c r="BV3" i="54" s="1"/>
  <c r="X3" i="56" s="1"/>
  <c r="K3" i="54"/>
  <c r="BU3" i="54" s="1"/>
  <c r="W3" i="56" s="1"/>
  <c r="J3" i="54"/>
  <c r="BT3" i="54" s="1"/>
  <c r="V3" i="56" s="1"/>
  <c r="G3" i="54"/>
  <c r="AW3" i="54" s="1"/>
  <c r="F3" i="54"/>
  <c r="BP3" i="54" s="1"/>
  <c r="R3" i="56" s="1"/>
  <c r="E3" i="54"/>
  <c r="BO3" i="54" s="1"/>
  <c r="Q3" i="56" s="1"/>
  <c r="D3" i="54"/>
  <c r="BN3" i="54" s="1"/>
  <c r="P3" i="56" s="1"/>
  <c r="B3" i="54"/>
  <c r="AG3" i="54" s="1"/>
  <c r="B3" i="56" s="1"/>
  <c r="A3" i="54"/>
  <c r="AF3" i="54" s="1"/>
  <c r="A3" i="56" s="1"/>
  <c r="FS2" i="54"/>
  <c r="FR2" i="54"/>
  <c r="FP2" i="54"/>
  <c r="FO2" i="54"/>
  <c r="FN2" i="54"/>
  <c r="FM2" i="54"/>
  <c r="FL2" i="54"/>
  <c r="FK2" i="54"/>
  <c r="FJ2" i="54"/>
  <c r="FI2" i="54"/>
  <c r="FG2" i="54"/>
  <c r="FF2" i="54"/>
  <c r="FE2" i="54"/>
  <c r="FD2" i="54"/>
  <c r="FC2" i="54"/>
  <c r="FB2" i="54"/>
  <c r="FA2" i="54"/>
  <c r="EY2" i="54"/>
  <c r="EX2" i="54"/>
  <c r="ER2" i="54"/>
  <c r="EQ2" i="54"/>
  <c r="EP2" i="54"/>
  <c r="EN2" i="54"/>
  <c r="EM2" i="54"/>
  <c r="EL2" i="54"/>
  <c r="EK2" i="54"/>
  <c r="EJ2" i="54"/>
  <c r="EI2" i="54"/>
  <c r="EG2" i="54"/>
  <c r="EF2" i="54"/>
  <c r="ED2" i="54"/>
  <c r="EB2" i="54"/>
  <c r="EA2" i="54"/>
  <c r="DY2" i="54"/>
  <c r="DX2" i="54"/>
  <c r="DV2" i="54"/>
  <c r="DT2" i="54"/>
  <c r="DS2" i="54"/>
  <c r="DR2" i="54"/>
  <c r="DO2" i="54"/>
  <c r="HK6" i="54" s="1"/>
  <c r="DM2" i="54"/>
  <c r="DK2" i="54"/>
  <c r="DJ2" i="54"/>
  <c r="DI2" i="54"/>
  <c r="DH2" i="54"/>
  <c r="DG2" i="54"/>
  <c r="DF2" i="54"/>
  <c r="DD2" i="54"/>
  <c r="DC2" i="54"/>
  <c r="DA2" i="54"/>
  <c r="CZ2" i="54"/>
  <c r="GV41" i="54" s="1"/>
  <c r="CY2" i="54"/>
  <c r="CW2" i="54"/>
  <c r="CV2" i="54"/>
  <c r="CT2" i="54"/>
  <c r="CS2" i="54"/>
  <c r="CR2" i="54"/>
  <c r="CQ2" i="54"/>
  <c r="CP2" i="54"/>
  <c r="CO2" i="54"/>
  <c r="CN2" i="54"/>
  <c r="CL2" i="54"/>
  <c r="CI2" i="54"/>
  <c r="CG2" i="54"/>
  <c r="CF2" i="54"/>
  <c r="CE2" i="54"/>
  <c r="CD2" i="54"/>
  <c r="CC2" i="54"/>
  <c r="CB2" i="54"/>
  <c r="CA2" i="54"/>
  <c r="BY2" i="54"/>
  <c r="AA2" i="54"/>
  <c r="Z2" i="54"/>
  <c r="Y2" i="54"/>
  <c r="X2" i="54"/>
  <c r="W2" i="54"/>
  <c r="V2" i="54"/>
  <c r="U2" i="54"/>
  <c r="T2" i="54"/>
  <c r="S2" i="54"/>
  <c r="R2" i="54"/>
  <c r="Q2" i="54"/>
  <c r="P2" i="54"/>
  <c r="O2" i="54"/>
  <c r="N2" i="54"/>
  <c r="M2" i="54"/>
  <c r="L2" i="54"/>
  <c r="BB1" i="54" s="1"/>
  <c r="K2" i="54"/>
  <c r="AP1" i="54" s="1"/>
  <c r="J2" i="54"/>
  <c r="AZ1" i="54" s="1"/>
  <c r="I2" i="54"/>
  <c r="BI1" i="54" s="1"/>
  <c r="K1" i="56" s="1"/>
  <c r="H2" i="54"/>
  <c r="BR1" i="54" s="1"/>
  <c r="T1" i="56" s="1"/>
  <c r="G2" i="54"/>
  <c r="BQ1" i="54" s="1"/>
  <c r="S1" i="56" s="1"/>
  <c r="F2" i="54"/>
  <c r="BP1" i="54" s="1"/>
  <c r="R1" i="56" s="1"/>
  <c r="E2" i="54"/>
  <c r="AU1" i="54" s="1"/>
  <c r="D2" i="54"/>
  <c r="BD1" i="54" s="1"/>
  <c r="F1" i="56" s="1"/>
  <c r="C2" i="54"/>
  <c r="BM1" i="54" s="1"/>
  <c r="O1" i="56" s="1"/>
  <c r="BT1" i="54"/>
  <c r="V1" i="56" s="1"/>
  <c r="BJ1" i="54"/>
  <c r="L1" i="56" s="1"/>
  <c r="BE1" i="54"/>
  <c r="G1" i="56" s="1"/>
  <c r="AW1" i="54"/>
  <c r="AO1" i="54"/>
  <c r="AL1" i="54"/>
  <c r="AG1" i="54"/>
  <c r="B1" i="56" s="1"/>
  <c r="AF1" i="54"/>
  <c r="A1" i="56" s="1"/>
  <c r="HO18" i="55" l="1"/>
  <c r="GZ34" i="55"/>
  <c r="GJ42" i="55"/>
  <c r="GZ42" i="55"/>
  <c r="GJ43" i="55"/>
  <c r="GJ52" i="55"/>
  <c r="GZ52" i="55"/>
  <c r="BS70" i="55"/>
  <c r="U70" i="57" s="1"/>
  <c r="BF76" i="55"/>
  <c r="H76" i="57" s="1"/>
  <c r="BG82" i="55"/>
  <c r="I82" i="57" s="1"/>
  <c r="AU100" i="55"/>
  <c r="BE97" i="54"/>
  <c r="G97" i="56" s="1"/>
  <c r="BB8" i="55"/>
  <c r="GZ9" i="55"/>
  <c r="GJ26" i="55"/>
  <c r="GZ26" i="55"/>
  <c r="BF65" i="55"/>
  <c r="H65" i="57" s="1"/>
  <c r="BE81" i="54"/>
  <c r="G81" i="56" s="1"/>
  <c r="AH1" i="54"/>
  <c r="BZ2" i="54"/>
  <c r="CH2" i="54"/>
  <c r="CX2" i="54"/>
  <c r="DP2" i="54"/>
  <c r="HL47" i="54" s="1"/>
  <c r="DZ2" i="54"/>
  <c r="EZ2" i="54"/>
  <c r="FH2" i="54"/>
  <c r="BB22" i="54"/>
  <c r="BK27" i="54"/>
  <c r="M27" i="56" s="1"/>
  <c r="GV32" i="54"/>
  <c r="BV41" i="54"/>
  <c r="X41" i="56" s="1"/>
  <c r="BL50" i="54"/>
  <c r="N50" i="56" s="1"/>
  <c r="BU63" i="54"/>
  <c r="W63" i="56" s="1"/>
  <c r="CG2" i="55"/>
  <c r="EK2" i="55"/>
  <c r="GZ17" i="55"/>
  <c r="GZ23" i="55"/>
  <c r="GJ28" i="55"/>
  <c r="GZ28" i="55"/>
  <c r="HO29" i="55"/>
  <c r="AZ35" i="55"/>
  <c r="GZ35" i="55"/>
  <c r="GK47" i="55"/>
  <c r="DE2" i="54"/>
  <c r="FQ2" i="54"/>
  <c r="BL22" i="54"/>
  <c r="N22" i="56" s="1"/>
  <c r="AW46" i="54"/>
  <c r="AT65" i="54"/>
  <c r="AG72" i="54"/>
  <c r="B72" i="56" s="1"/>
  <c r="CH2" i="55"/>
  <c r="GD5" i="55" s="1"/>
  <c r="CP2" i="55"/>
  <c r="DF2" i="55"/>
  <c r="FB2" i="55"/>
  <c r="GJ6" i="55"/>
  <c r="GZ6" i="55"/>
  <c r="HJ9" i="55"/>
  <c r="GJ18" i="55"/>
  <c r="GZ18" i="55"/>
  <c r="GZ24" i="55"/>
  <c r="GK32" i="55"/>
  <c r="BK35" i="55"/>
  <c r="M35" i="57" s="1"/>
  <c r="BF39" i="55"/>
  <c r="H39" i="57" s="1"/>
  <c r="GJ39" i="55"/>
  <c r="GZ39" i="55"/>
  <c r="BK48" i="55"/>
  <c r="M48" i="57" s="1"/>
  <c r="GZ48" i="55"/>
  <c r="HO50" i="55"/>
  <c r="BE66" i="55"/>
  <c r="G66" i="57" s="1"/>
  <c r="BA80" i="55"/>
  <c r="BG84" i="55"/>
  <c r="I84" i="57" s="1"/>
  <c r="BK91" i="55"/>
  <c r="M91" i="57" s="1"/>
  <c r="BL47" i="54"/>
  <c r="N47" i="56" s="1"/>
  <c r="HK13" i="54"/>
  <c r="AU25" i="54"/>
  <c r="GV33" i="54"/>
  <c r="BB44" i="54"/>
  <c r="BK46" i="54"/>
  <c r="M46" i="56" s="1"/>
  <c r="AZ57" i="54"/>
  <c r="AW60" i="54"/>
  <c r="BB65" i="54"/>
  <c r="BJ72" i="54"/>
  <c r="L72" i="56" s="1"/>
  <c r="BB91" i="54"/>
  <c r="CQ2" i="55"/>
  <c r="CY2" i="55"/>
  <c r="DG2" i="55"/>
  <c r="FC2" i="55"/>
  <c r="BL10" i="55"/>
  <c r="N10" i="57" s="1"/>
  <c r="GZ10" i="55"/>
  <c r="GJ11" i="55"/>
  <c r="GZ11" i="55"/>
  <c r="GJ19" i="55"/>
  <c r="BL24" i="55"/>
  <c r="N24" i="57" s="1"/>
  <c r="HJ28" i="55"/>
  <c r="GJ29" i="55"/>
  <c r="BG33" i="55"/>
  <c r="I33" i="57" s="1"/>
  <c r="GJ40" i="55"/>
  <c r="GJ49" i="55"/>
  <c r="GZ49" i="55"/>
  <c r="AV57" i="55"/>
  <c r="BA59" i="55"/>
  <c r="BA73" i="55"/>
  <c r="AG81" i="55"/>
  <c r="B81" i="57" s="1"/>
  <c r="BL41" i="54"/>
  <c r="N41" i="56" s="1"/>
  <c r="ES2" i="54"/>
  <c r="CJ2" i="54"/>
  <c r="ET2" i="54"/>
  <c r="GV4" i="54"/>
  <c r="AV12" i="54"/>
  <c r="AU14" i="54"/>
  <c r="BA17" i="54"/>
  <c r="BL32" i="54"/>
  <c r="N32" i="56" s="1"/>
  <c r="BL40" i="54"/>
  <c r="N40" i="56" s="1"/>
  <c r="BF42" i="54"/>
  <c r="H42" i="56" s="1"/>
  <c r="GV47" i="54"/>
  <c r="AW49" i="54"/>
  <c r="BE51" i="54"/>
  <c r="G51" i="56" s="1"/>
  <c r="BJ57" i="54"/>
  <c r="L57" i="56" s="1"/>
  <c r="BA80" i="54"/>
  <c r="BK91" i="54"/>
  <c r="M91" i="56" s="1"/>
  <c r="CJ2" i="55"/>
  <c r="CZ2" i="55"/>
  <c r="GV31" i="55" s="1"/>
  <c r="AW3" i="55"/>
  <c r="AW7" i="55"/>
  <c r="GK10" i="55"/>
  <c r="GZ14" i="55"/>
  <c r="HO22" i="55"/>
  <c r="HJ24" i="55"/>
  <c r="GZ25" i="55"/>
  <c r="AU29" i="55"/>
  <c r="BL33" i="55"/>
  <c r="N33" i="57" s="1"/>
  <c r="AV36" i="55"/>
  <c r="GZ36" i="55"/>
  <c r="HO43" i="55"/>
  <c r="BB49" i="55"/>
  <c r="BJ57" i="55"/>
  <c r="L57" i="57" s="1"/>
  <c r="BD60" i="55"/>
  <c r="F60" i="57" s="1"/>
  <c r="BJ69" i="55"/>
  <c r="L69" i="57" s="1"/>
  <c r="AZ81" i="55"/>
  <c r="BT98" i="55"/>
  <c r="V98" i="57" s="1"/>
  <c r="BC1" i="54"/>
  <c r="E1" i="56" s="1"/>
  <c r="EU2" i="54"/>
  <c r="AQ1" i="54"/>
  <c r="DB2" i="54"/>
  <c r="DU2" i="54"/>
  <c r="EV2" i="54"/>
  <c r="AV7" i="54"/>
  <c r="GV19" i="54"/>
  <c r="BL21" i="54"/>
  <c r="N21" i="56" s="1"/>
  <c r="BL23" i="54"/>
  <c r="N23" i="56" s="1"/>
  <c r="BG49" i="54"/>
  <c r="I49" i="56" s="1"/>
  <c r="BK53" i="54"/>
  <c r="M53" i="56" s="1"/>
  <c r="BB55" i="54"/>
  <c r="AU67" i="54"/>
  <c r="BF85" i="54"/>
  <c r="H85" i="56" s="1"/>
  <c r="BK95" i="54"/>
  <c r="M95" i="56" s="1"/>
  <c r="CK2" i="55"/>
  <c r="GG50" i="55" s="1"/>
  <c r="DY2" i="55"/>
  <c r="BK7" i="55"/>
  <c r="M7" i="57" s="1"/>
  <c r="HJ11" i="55"/>
  <c r="BG25" i="55"/>
  <c r="I25" i="57" s="1"/>
  <c r="HJ49" i="55"/>
  <c r="BT57" i="55"/>
  <c r="V57" i="57" s="1"/>
  <c r="BU81" i="55"/>
  <c r="W81" i="57" s="1"/>
  <c r="BE86" i="55"/>
  <c r="G86" i="57" s="1"/>
  <c r="BQ58" i="54"/>
  <c r="S58" i="56" s="1"/>
  <c r="AI1" i="54"/>
  <c r="BL6" i="54"/>
  <c r="N6" i="56" s="1"/>
  <c r="BO1" i="54"/>
  <c r="Q1" i="56" s="1"/>
  <c r="CK2" i="54"/>
  <c r="EC2" i="54"/>
  <c r="AT1" i="54"/>
  <c r="BU1" i="54"/>
  <c r="W1" i="56" s="1"/>
  <c r="CM2" i="54"/>
  <c r="CU2" i="54"/>
  <c r="EW2" i="54"/>
  <c r="HK3" i="54"/>
  <c r="AV26" i="54"/>
  <c r="GV31" i="54"/>
  <c r="AZ36" i="54"/>
  <c r="BJ49" i="54"/>
  <c r="L49" i="56" s="1"/>
  <c r="BE55" i="54"/>
  <c r="G55" i="56" s="1"/>
  <c r="AW58" i="54"/>
  <c r="BK80" i="54"/>
  <c r="M80" i="56" s="1"/>
  <c r="BE1" i="55"/>
  <c r="G1" i="57" s="1"/>
  <c r="CC2" i="55"/>
  <c r="DZ2" i="55"/>
  <c r="BK4" i="55"/>
  <c r="M4" i="57" s="1"/>
  <c r="GJ12" i="55"/>
  <c r="GZ12" i="55"/>
  <c r="AV15" i="55"/>
  <c r="GJ15" i="55"/>
  <c r="GZ15" i="55"/>
  <c r="GZ22" i="55"/>
  <c r="HJ25" i="55"/>
  <c r="GZ30" i="55"/>
  <c r="AU34" i="55"/>
  <c r="GZ38" i="55"/>
  <c r="BG42" i="55"/>
  <c r="I42" i="57" s="1"/>
  <c r="AW58" i="55"/>
  <c r="BF70" i="55"/>
  <c r="H70" i="57" s="1"/>
  <c r="BA82" i="55"/>
  <c r="AV99" i="55"/>
  <c r="BS56" i="54"/>
  <c r="U56" i="56" s="1"/>
  <c r="AY66" i="54"/>
  <c r="AY76" i="54"/>
  <c r="AY69" i="55"/>
  <c r="BS88" i="55"/>
  <c r="U88" i="57" s="1"/>
  <c r="AY88" i="55"/>
  <c r="BI54" i="54"/>
  <c r="K54" i="56" s="1"/>
  <c r="BI66" i="54"/>
  <c r="K66" i="56" s="1"/>
  <c r="AY82" i="54"/>
  <c r="AY92" i="54"/>
  <c r="AY97" i="54"/>
  <c r="BI63" i="55"/>
  <c r="K63" i="57" s="1"/>
  <c r="AY56" i="54"/>
  <c r="BI59" i="55"/>
  <c r="K59" i="57" s="1"/>
  <c r="BI97" i="54"/>
  <c r="K97" i="56" s="1"/>
  <c r="AN1" i="55"/>
  <c r="AY72" i="55"/>
  <c r="AT55" i="54"/>
  <c r="AT70" i="54"/>
  <c r="BD74" i="54"/>
  <c r="F74" i="56" s="1"/>
  <c r="AT9" i="55"/>
  <c r="BL48" i="54"/>
  <c r="N48" i="56" s="1"/>
  <c r="AV71" i="54"/>
  <c r="AJ1" i="54"/>
  <c r="BK1" i="54"/>
  <c r="M1" i="56" s="1"/>
  <c r="BV1" i="54"/>
  <c r="X1" i="56" s="1"/>
  <c r="BF12" i="54"/>
  <c r="H12" i="56" s="1"/>
  <c r="AW20" i="54"/>
  <c r="AZ25" i="54"/>
  <c r="BD26" i="54"/>
  <c r="F26" i="56" s="1"/>
  <c r="BB37" i="54"/>
  <c r="AW41" i="54"/>
  <c r="AV42" i="54"/>
  <c r="AZ43" i="54"/>
  <c r="BG44" i="54"/>
  <c r="I44" i="56" s="1"/>
  <c r="AW47" i="54"/>
  <c r="AU52" i="54"/>
  <c r="BB53" i="54"/>
  <c r="BK55" i="54"/>
  <c r="M55" i="56" s="1"/>
  <c r="BO56" i="54"/>
  <c r="Q56" i="56" s="1"/>
  <c r="BO57" i="54"/>
  <c r="Q57" i="56" s="1"/>
  <c r="AU59" i="54"/>
  <c r="BG61" i="54"/>
  <c r="I61" i="56" s="1"/>
  <c r="BK62" i="54"/>
  <c r="M62" i="56" s="1"/>
  <c r="BU62" i="54"/>
  <c r="W62" i="56" s="1"/>
  <c r="BA71" i="54"/>
  <c r="BB73" i="54"/>
  <c r="AZ75" i="54"/>
  <c r="AK1" i="54"/>
  <c r="AV1" i="54"/>
  <c r="BL1" i="54"/>
  <c r="N1" i="56" s="1"/>
  <c r="DL2" i="54"/>
  <c r="AW11" i="54"/>
  <c r="BB15" i="54"/>
  <c r="BE25" i="54"/>
  <c r="G25" i="56" s="1"/>
  <c r="BB32" i="54"/>
  <c r="BD40" i="54"/>
  <c r="F40" i="56" s="1"/>
  <c r="BD41" i="54"/>
  <c r="F41" i="56" s="1"/>
  <c r="BA42" i="54"/>
  <c r="BE43" i="54"/>
  <c r="G43" i="56" s="1"/>
  <c r="BD47" i="54"/>
  <c r="F47" i="56" s="1"/>
  <c r="BE52" i="54"/>
  <c r="G52" i="56" s="1"/>
  <c r="BJ53" i="54"/>
  <c r="L53" i="56" s="1"/>
  <c r="BS63" i="54"/>
  <c r="U63" i="56" s="1"/>
  <c r="BI63" i="54"/>
  <c r="K63" i="56" s="1"/>
  <c r="AY64" i="54"/>
  <c r="BG67" i="54"/>
  <c r="I67" i="56" s="1"/>
  <c r="BU72" i="54"/>
  <c r="W72" i="56" s="1"/>
  <c r="BA72" i="54"/>
  <c r="BS73" i="54"/>
  <c r="U73" i="56" s="1"/>
  <c r="AY73" i="54"/>
  <c r="AW79" i="54"/>
  <c r="BG79" i="54"/>
  <c r="I79" i="56" s="1"/>
  <c r="BG20" i="54"/>
  <c r="I20" i="56" s="1"/>
  <c r="AU23" i="54"/>
  <c r="BG41" i="54"/>
  <c r="I41" i="56" s="1"/>
  <c r="BE47" i="54"/>
  <c r="G47" i="56" s="1"/>
  <c r="BM55" i="54"/>
  <c r="O55" i="56" s="1"/>
  <c r="BS59" i="54"/>
  <c r="U59" i="56" s="1"/>
  <c r="AG65" i="54"/>
  <c r="B65" i="56" s="1"/>
  <c r="AN1" i="54"/>
  <c r="BN1" i="54"/>
  <c r="P1" i="56" s="1"/>
  <c r="DW2" i="54"/>
  <c r="EE2" i="54"/>
  <c r="AT9" i="54"/>
  <c r="AW19" i="54"/>
  <c r="BE23" i="54"/>
  <c r="G23" i="56" s="1"/>
  <c r="BN40" i="54"/>
  <c r="P40" i="56" s="1"/>
  <c r="BK42" i="54"/>
  <c r="M42" i="56" s="1"/>
  <c r="AV50" i="54"/>
  <c r="BQ55" i="54"/>
  <c r="S55" i="56" s="1"/>
  <c r="BE62" i="54"/>
  <c r="G62" i="56" s="1"/>
  <c r="AZ71" i="54"/>
  <c r="BJ71" i="54"/>
  <c r="L71" i="56" s="1"/>
  <c r="AY74" i="54"/>
  <c r="AV13" i="54"/>
  <c r="AV27" i="54"/>
  <c r="BW68" i="54"/>
  <c r="BF76" i="54"/>
  <c r="H76" i="56" s="1"/>
  <c r="BT80" i="54"/>
  <c r="V80" i="56" s="1"/>
  <c r="BJ80" i="54"/>
  <c r="L80" i="56" s="1"/>
  <c r="BS1" i="54"/>
  <c r="U1" i="56" s="1"/>
  <c r="DQ2" i="54"/>
  <c r="AV6" i="54"/>
  <c r="BB9" i="54"/>
  <c r="BF13" i="54"/>
  <c r="H13" i="56" s="1"/>
  <c r="BE14" i="54"/>
  <c r="G14" i="56" s="1"/>
  <c r="BB16" i="54"/>
  <c r="BE22" i="54"/>
  <c r="G22" i="56" s="1"/>
  <c r="BA27" i="54"/>
  <c r="BB29" i="54"/>
  <c r="AT31" i="54"/>
  <c r="AV38" i="54"/>
  <c r="BQ39" i="54"/>
  <c r="S39" i="56" s="1"/>
  <c r="AZ49" i="54"/>
  <c r="BF50" i="54"/>
  <c r="H50" i="56" s="1"/>
  <c r="AU55" i="54"/>
  <c r="BG60" i="54"/>
  <c r="I60" i="56" s="1"/>
  <c r="AW70" i="54"/>
  <c r="BT74" i="54"/>
  <c r="V74" i="56" s="1"/>
  <c r="BG76" i="54"/>
  <c r="I76" i="56" s="1"/>
  <c r="AZ8" i="54"/>
  <c r="BG9" i="54"/>
  <c r="I9" i="56" s="1"/>
  <c r="AW21" i="54"/>
  <c r="BV23" i="54"/>
  <c r="X23" i="56" s="1"/>
  <c r="BF38" i="54"/>
  <c r="H38" i="56" s="1"/>
  <c r="AW44" i="54"/>
  <c r="BG50" i="54"/>
  <c r="I50" i="56" s="1"/>
  <c r="BA56" i="54"/>
  <c r="BI57" i="54"/>
  <c r="K57" i="56" s="1"/>
  <c r="BO60" i="54"/>
  <c r="Q60" i="56" s="1"/>
  <c r="AY63" i="54"/>
  <c r="BA82" i="54"/>
  <c r="AW84" i="54"/>
  <c r="BF87" i="54"/>
  <c r="H87" i="56" s="1"/>
  <c r="BJ93" i="54"/>
  <c r="L93" i="56" s="1"/>
  <c r="AQ1" i="55"/>
  <c r="AZ5" i="55"/>
  <c r="AV8" i="55"/>
  <c r="AZ11" i="55"/>
  <c r="AZ27" i="55"/>
  <c r="BG36" i="55"/>
  <c r="I36" i="57" s="1"/>
  <c r="BE38" i="55"/>
  <c r="G38" i="57" s="1"/>
  <c r="AV42" i="55"/>
  <c r="AV45" i="55"/>
  <c r="BE46" i="55"/>
  <c r="G46" i="57" s="1"/>
  <c r="BK49" i="55"/>
  <c r="M49" i="57" s="1"/>
  <c r="BG53" i="55"/>
  <c r="I53" i="57" s="1"/>
  <c r="BE59" i="55"/>
  <c r="G59" i="57" s="1"/>
  <c r="BF62" i="55"/>
  <c r="H62" i="57" s="1"/>
  <c r="BL64" i="55"/>
  <c r="N64" i="57" s="1"/>
  <c r="AU68" i="55"/>
  <c r="BP82" i="54"/>
  <c r="R82" i="56" s="1"/>
  <c r="AY84" i="54"/>
  <c r="BH87" i="54"/>
  <c r="J87" i="56" s="1"/>
  <c r="AY89" i="54"/>
  <c r="BE94" i="54"/>
  <c r="G94" i="56" s="1"/>
  <c r="BX2" i="55"/>
  <c r="BJ5" i="55"/>
  <c r="L5" i="57" s="1"/>
  <c r="AU10" i="55"/>
  <c r="BJ11" i="55"/>
  <c r="L11" i="57" s="1"/>
  <c r="AV16" i="55"/>
  <c r="BJ27" i="55"/>
  <c r="L27" i="57" s="1"/>
  <c r="BK29" i="55"/>
  <c r="M29" i="57" s="1"/>
  <c r="AV31" i="55"/>
  <c r="BL36" i="55"/>
  <c r="N36" i="57" s="1"/>
  <c r="AZ40" i="55"/>
  <c r="BQ43" i="55"/>
  <c r="S43" i="57" s="1"/>
  <c r="AW45" i="55"/>
  <c r="AU48" i="55"/>
  <c r="BL55" i="55"/>
  <c r="N55" i="57" s="1"/>
  <c r="BJ62" i="55"/>
  <c r="L62" i="57" s="1"/>
  <c r="BK68" i="55"/>
  <c r="M68" i="57" s="1"/>
  <c r="BI74" i="55"/>
  <c r="K74" i="57" s="1"/>
  <c r="BE101" i="55"/>
  <c r="G101" i="57" s="1"/>
  <c r="BL74" i="54"/>
  <c r="N74" i="56" s="1"/>
  <c r="BT82" i="54"/>
  <c r="V82" i="56" s="1"/>
  <c r="BG84" i="54"/>
  <c r="I84" i="56" s="1"/>
  <c r="BI89" i="54"/>
  <c r="K89" i="56" s="1"/>
  <c r="AV95" i="54"/>
  <c r="AV98" i="54"/>
  <c r="BZ2" i="55"/>
  <c r="AV4" i="55"/>
  <c r="BE8" i="55"/>
  <c r="G8" i="57" s="1"/>
  <c r="BJ10" i="55"/>
  <c r="L10" i="57" s="1"/>
  <c r="BE14" i="55"/>
  <c r="G14" i="57" s="1"/>
  <c r="BK16" i="55"/>
  <c r="M16" i="57" s="1"/>
  <c r="AV18" i="55"/>
  <c r="BG20" i="55"/>
  <c r="I20" i="57" s="1"/>
  <c r="AW22" i="55"/>
  <c r="AW24" i="55"/>
  <c r="AU26" i="55"/>
  <c r="BF31" i="55"/>
  <c r="H31" i="57" s="1"/>
  <c r="AW33" i="55"/>
  <c r="BE40" i="55"/>
  <c r="G40" i="57" s="1"/>
  <c r="BE42" i="55"/>
  <c r="G42" i="57" s="1"/>
  <c r="BV45" i="55"/>
  <c r="X45" i="57" s="1"/>
  <c r="AV48" i="55"/>
  <c r="BU56" i="55"/>
  <c r="W56" i="57" s="1"/>
  <c r="BF58" i="55"/>
  <c r="H58" i="57" s="1"/>
  <c r="AY60" i="55"/>
  <c r="AU65" i="55"/>
  <c r="BG72" i="55"/>
  <c r="I72" i="57" s="1"/>
  <c r="BH78" i="55"/>
  <c r="J78" i="57" s="1"/>
  <c r="BI81" i="55"/>
  <c r="K81" i="57" s="1"/>
  <c r="BF83" i="55"/>
  <c r="H83" i="57" s="1"/>
  <c r="AZ86" i="55"/>
  <c r="BG88" i="55"/>
  <c r="I88" i="57" s="1"/>
  <c r="AZ93" i="55"/>
  <c r="AT99" i="55"/>
  <c r="BA102" i="55"/>
  <c r="BJ84" i="54"/>
  <c r="L84" i="56" s="1"/>
  <c r="BF4" i="55"/>
  <c r="H4" i="57" s="1"/>
  <c r="BF7" i="55"/>
  <c r="H7" i="57" s="1"/>
  <c r="BL50" i="55"/>
  <c r="N50" i="57" s="1"/>
  <c r="BL102" i="55"/>
  <c r="N102" i="57" s="1"/>
  <c r="BP42" i="55"/>
  <c r="R42" i="57" s="1"/>
  <c r="BF57" i="55"/>
  <c r="H57" i="57" s="1"/>
  <c r="BF69" i="55"/>
  <c r="H69" i="57" s="1"/>
  <c r="BA71" i="55"/>
  <c r="AV75" i="55"/>
  <c r="BE84" i="55"/>
  <c r="G84" i="57" s="1"/>
  <c r="BI86" i="55"/>
  <c r="K86" i="57" s="1"/>
  <c r="BE89" i="55"/>
  <c r="G89" i="57" s="1"/>
  <c r="AZ92" i="55"/>
  <c r="BJ93" i="55"/>
  <c r="L93" i="57" s="1"/>
  <c r="BF99" i="55"/>
  <c r="H99" i="57" s="1"/>
  <c r="AW88" i="54"/>
  <c r="BF100" i="54"/>
  <c r="H100" i="56" s="1"/>
  <c r="BA19" i="55"/>
  <c r="BB30" i="55"/>
  <c r="BB41" i="55"/>
  <c r="AT61" i="55"/>
  <c r="BO86" i="55"/>
  <c r="Q86" i="57" s="1"/>
  <c r="BL97" i="55"/>
  <c r="N97" i="57" s="1"/>
  <c r="BL99" i="55"/>
  <c r="N99" i="57" s="1"/>
  <c r="BK64" i="54"/>
  <c r="M64" i="56" s="1"/>
  <c r="BN70" i="54"/>
  <c r="P70" i="56" s="1"/>
  <c r="BQ73" i="54"/>
  <c r="S73" i="56" s="1"/>
  <c r="AW75" i="54"/>
  <c r="AW83" i="54"/>
  <c r="BE88" i="54"/>
  <c r="G88" i="56" s="1"/>
  <c r="AX101" i="54"/>
  <c r="AO1" i="55"/>
  <c r="CD2" i="55"/>
  <c r="BB3" i="55"/>
  <c r="AV9" i="55"/>
  <c r="BA12" i="55"/>
  <c r="BF15" i="55"/>
  <c r="H15" i="57" s="1"/>
  <c r="AW17" i="55"/>
  <c r="BK19" i="55"/>
  <c r="M19" i="57" s="1"/>
  <c r="BA21" i="55"/>
  <c r="AW25" i="55"/>
  <c r="BG30" i="55"/>
  <c r="I30" i="57" s="1"/>
  <c r="BF32" i="55"/>
  <c r="H32" i="57" s="1"/>
  <c r="AW38" i="55"/>
  <c r="AU46" i="55"/>
  <c r="BE47" i="55"/>
  <c r="G47" i="57" s="1"/>
  <c r="AZ49" i="55"/>
  <c r="AV53" i="55"/>
  <c r="BE54" i="55"/>
  <c r="G54" i="57" s="1"/>
  <c r="BK57" i="55"/>
  <c r="M57" i="57" s="1"/>
  <c r="AY59" i="55"/>
  <c r="AW61" i="55"/>
  <c r="BC64" i="55"/>
  <c r="E64" i="57" s="1"/>
  <c r="BI67" i="55"/>
  <c r="K67" i="57" s="1"/>
  <c r="BL71" i="55"/>
  <c r="N71" i="57" s="1"/>
  <c r="BJ73" i="55"/>
  <c r="L73" i="57" s="1"/>
  <c r="BK80" i="55"/>
  <c r="M80" i="57" s="1"/>
  <c r="AY82" i="55"/>
  <c r="BF85" i="55"/>
  <c r="H85" i="57" s="1"/>
  <c r="BJ92" i="55"/>
  <c r="L92" i="57" s="1"/>
  <c r="BS88" i="54"/>
  <c r="U88" i="56" s="1"/>
  <c r="BJ3" i="55"/>
  <c r="L3" i="57" s="1"/>
  <c r="AT11" i="55"/>
  <c r="BK17" i="55"/>
  <c r="M17" i="57" s="1"/>
  <c r="BK21" i="55"/>
  <c r="M21" i="57" s="1"/>
  <c r="AW27" i="55"/>
  <c r="BK32" i="55"/>
  <c r="M32" i="57" s="1"/>
  <c r="BF53" i="55"/>
  <c r="H53" i="57" s="1"/>
  <c r="BF54" i="55"/>
  <c r="H54" i="57" s="1"/>
  <c r="BO61" i="55"/>
  <c r="Q61" i="57" s="1"/>
  <c r="BG64" i="55"/>
  <c r="I64" i="57" s="1"/>
  <c r="BV71" i="55"/>
  <c r="X71" i="57" s="1"/>
  <c r="AV76" i="55"/>
  <c r="BV85" i="55"/>
  <c r="X85" i="57" s="1"/>
  <c r="BA87" i="55"/>
  <c r="BM90" i="55"/>
  <c r="O90" i="57" s="1"/>
  <c r="BL92" i="55"/>
  <c r="N92" i="57" s="1"/>
  <c r="BA94" i="55"/>
  <c r="BH87" i="55"/>
  <c r="J87" i="57" s="1"/>
  <c r="AX85" i="54"/>
  <c r="AX67" i="55"/>
  <c r="BH83" i="55"/>
  <c r="J83" i="57" s="1"/>
  <c r="BR61" i="54"/>
  <c r="T61" i="56" s="1"/>
  <c r="AX87" i="55"/>
  <c r="BH67" i="54"/>
  <c r="J67" i="56" s="1"/>
  <c r="BR73" i="54"/>
  <c r="T73" i="56" s="1"/>
  <c r="BH73" i="55"/>
  <c r="J73" i="57" s="1"/>
  <c r="AU3" i="54"/>
  <c r="BE3" i="54"/>
  <c r="G3" i="56" s="1"/>
  <c r="BB4" i="54"/>
  <c r="BL4" i="54"/>
  <c r="N4" i="56" s="1"/>
  <c r="BA5" i="54"/>
  <c r="BN5" i="54"/>
  <c r="P5" i="56" s="1"/>
  <c r="AU6" i="54"/>
  <c r="BE6" i="54"/>
  <c r="G6" i="56" s="1"/>
  <c r="AU7" i="54"/>
  <c r="BD7" i="54"/>
  <c r="F7" i="56" s="1"/>
  <c r="BE11" i="54"/>
  <c r="G11" i="56" s="1"/>
  <c r="BE12" i="54"/>
  <c r="G12" i="56" s="1"/>
  <c r="AU13" i="54"/>
  <c r="BB14" i="54"/>
  <c r="BK14" i="54"/>
  <c r="M14" i="56" s="1"/>
  <c r="BA15" i="54"/>
  <c r="BJ15" i="54"/>
  <c r="L15" i="56" s="1"/>
  <c r="AT16" i="54"/>
  <c r="AZ17" i="54"/>
  <c r="BG18" i="54"/>
  <c r="I18" i="56" s="1"/>
  <c r="BF19" i="54"/>
  <c r="H19" i="56" s="1"/>
  <c r="BG26" i="54"/>
  <c r="I26" i="56" s="1"/>
  <c r="AU27" i="54"/>
  <c r="AW28" i="54"/>
  <c r="BJ28" i="54"/>
  <c r="L28" i="56" s="1"/>
  <c r="AU30" i="54"/>
  <c r="BK30" i="54"/>
  <c r="M30" i="56" s="1"/>
  <c r="BB31" i="54"/>
  <c r="AT32" i="54"/>
  <c r="AU33" i="54"/>
  <c r="BJ34" i="54"/>
  <c r="L34" i="56" s="1"/>
  <c r="BJ35" i="54"/>
  <c r="L35" i="56" s="1"/>
  <c r="AW36" i="54"/>
  <c r="BJ37" i="54"/>
  <c r="L37" i="56" s="1"/>
  <c r="BA38" i="54"/>
  <c r="BE39" i="54"/>
  <c r="G39" i="56" s="1"/>
  <c r="BP39" i="54"/>
  <c r="R39" i="56" s="1"/>
  <c r="AV40" i="54"/>
  <c r="AV41" i="54"/>
  <c r="BD42" i="54"/>
  <c r="F42" i="56" s="1"/>
  <c r="AZ44" i="54"/>
  <c r="BL44" i="54"/>
  <c r="N44" i="56" s="1"/>
  <c r="AU46" i="54"/>
  <c r="BF46" i="54"/>
  <c r="H46" i="56" s="1"/>
  <c r="AT47" i="54"/>
  <c r="BB47" i="54"/>
  <c r="AV48" i="54"/>
  <c r="BK48" i="54"/>
  <c r="M48" i="56" s="1"/>
  <c r="AU49" i="54"/>
  <c r="BE49" i="54"/>
  <c r="G49" i="56" s="1"/>
  <c r="BB50" i="54"/>
  <c r="BJ50" i="54"/>
  <c r="L50" i="56" s="1"/>
  <c r="AZ51" i="54"/>
  <c r="AZ52" i="54"/>
  <c r="AW53" i="54"/>
  <c r="BG53" i="54"/>
  <c r="I53" i="56" s="1"/>
  <c r="AU54" i="54"/>
  <c r="BE54" i="54"/>
  <c r="G54" i="56" s="1"/>
  <c r="AY55" i="54"/>
  <c r="BP55" i="54"/>
  <c r="R55" i="56" s="1"/>
  <c r="AV56" i="54"/>
  <c r="BF56" i="54"/>
  <c r="H56" i="56" s="1"/>
  <c r="BF57" i="54"/>
  <c r="H57" i="56" s="1"/>
  <c r="BV57" i="54"/>
  <c r="X57" i="56" s="1"/>
  <c r="AZ58" i="54"/>
  <c r="BP58" i="54"/>
  <c r="R58" i="56" s="1"/>
  <c r="BL59" i="54"/>
  <c r="N59" i="56" s="1"/>
  <c r="BV59" i="54"/>
  <c r="X59" i="56" s="1"/>
  <c r="BB60" i="54"/>
  <c r="BV60" i="54"/>
  <c r="X60" i="56" s="1"/>
  <c r="BB61" i="54"/>
  <c r="BT61" i="54"/>
  <c r="V61" i="56" s="1"/>
  <c r="BT62" i="54"/>
  <c r="V62" i="56" s="1"/>
  <c r="AV63" i="54"/>
  <c r="BB63" i="54"/>
  <c r="BQ63" i="54"/>
  <c r="S63" i="56" s="1"/>
  <c r="BB64" i="54"/>
  <c r="BT64" i="54"/>
  <c r="V64" i="56" s="1"/>
  <c r="AW65" i="54"/>
  <c r="BI65" i="54"/>
  <c r="K65" i="56" s="1"/>
  <c r="BB66" i="54"/>
  <c r="BA67" i="54"/>
  <c r="BJ68" i="54"/>
  <c r="L68" i="56" s="1"/>
  <c r="AU69" i="54"/>
  <c r="BE69" i="54"/>
  <c r="G69" i="56" s="1"/>
  <c r="BQ69" i="54"/>
  <c r="S69" i="56" s="1"/>
  <c r="AV70" i="54"/>
  <c r="BF70" i="54"/>
  <c r="H70" i="56" s="1"/>
  <c r="AU71" i="54"/>
  <c r="BI71" i="54"/>
  <c r="K71" i="56" s="1"/>
  <c r="BS71" i="54"/>
  <c r="U71" i="56" s="1"/>
  <c r="AZ72" i="54"/>
  <c r="BV72" i="54"/>
  <c r="X72" i="56" s="1"/>
  <c r="BF74" i="54"/>
  <c r="H74" i="56" s="1"/>
  <c r="BP74" i="54"/>
  <c r="R74" i="56" s="1"/>
  <c r="AV74" i="54"/>
  <c r="AZ76" i="54"/>
  <c r="BJ76" i="54"/>
  <c r="L76" i="56" s="1"/>
  <c r="AV76" i="54"/>
  <c r="BH78" i="54"/>
  <c r="J78" i="56" s="1"/>
  <c r="AV3" i="54"/>
  <c r="BF3" i="54"/>
  <c r="H3" i="56" s="1"/>
  <c r="AU4" i="54"/>
  <c r="BE4" i="54"/>
  <c r="G4" i="56" s="1"/>
  <c r="BA8" i="54"/>
  <c r="BK8" i="54"/>
  <c r="M8" i="56" s="1"/>
  <c r="BA10" i="54"/>
  <c r="BL14" i="54"/>
  <c r="N14" i="56" s="1"/>
  <c r="BK15" i="54"/>
  <c r="M15" i="56" s="1"/>
  <c r="AU16" i="54"/>
  <c r="BJ17" i="54"/>
  <c r="L17" i="56" s="1"/>
  <c r="AZ18" i="54"/>
  <c r="BG19" i="54"/>
  <c r="I19" i="56" s="1"/>
  <c r="BL20" i="54"/>
  <c r="N20" i="56" s="1"/>
  <c r="BE21" i="54"/>
  <c r="G21" i="56" s="1"/>
  <c r="BD22" i="54"/>
  <c r="F22" i="56" s="1"/>
  <c r="BF23" i="54"/>
  <c r="H23" i="56" s="1"/>
  <c r="BN23" i="54"/>
  <c r="P23" i="56" s="1"/>
  <c r="BB24" i="54"/>
  <c r="AT26" i="54"/>
  <c r="BB26" i="54"/>
  <c r="BL26" i="54"/>
  <c r="N26" i="56" s="1"/>
  <c r="AZ28" i="54"/>
  <c r="BA29" i="54"/>
  <c r="BL29" i="54"/>
  <c r="N29" i="56" s="1"/>
  <c r="AZ30" i="54"/>
  <c r="AW31" i="54"/>
  <c r="BE31" i="54"/>
  <c r="G31" i="56" s="1"/>
  <c r="AV32" i="54"/>
  <c r="AZ33" i="54"/>
  <c r="AZ34" i="54"/>
  <c r="BA35" i="54"/>
  <c r="AZ37" i="54"/>
  <c r="AZ40" i="54"/>
  <c r="BU40" i="54"/>
  <c r="W40" i="56" s="1"/>
  <c r="BF43" i="54"/>
  <c r="H43" i="56" s="1"/>
  <c r="AT44" i="54"/>
  <c r="BA45" i="54"/>
  <c r="BK45" i="54"/>
  <c r="M45" i="56" s="1"/>
  <c r="BJ46" i="54"/>
  <c r="L46" i="56" s="1"/>
  <c r="AV47" i="54"/>
  <c r="BJ47" i="54"/>
  <c r="L47" i="56" s="1"/>
  <c r="BA48" i="54"/>
  <c r="BA51" i="54"/>
  <c r="BK51" i="54"/>
  <c r="M51" i="56" s="1"/>
  <c r="AY53" i="54"/>
  <c r="AV54" i="54"/>
  <c r="BF54" i="54"/>
  <c r="H54" i="56" s="1"/>
  <c r="BH56" i="54"/>
  <c r="J56" i="56" s="1"/>
  <c r="AW57" i="54"/>
  <c r="BP57" i="54"/>
  <c r="R57" i="56" s="1"/>
  <c r="BF58" i="54"/>
  <c r="H58" i="56" s="1"/>
  <c r="BP59" i="54"/>
  <c r="R59" i="56" s="1"/>
  <c r="BD60" i="54"/>
  <c r="F60" i="56" s="1"/>
  <c r="BN60" i="54"/>
  <c r="P60" i="56" s="1"/>
  <c r="BF61" i="54"/>
  <c r="H61" i="56" s="1"/>
  <c r="BQ61" i="54"/>
  <c r="S61" i="56" s="1"/>
  <c r="AU62" i="54"/>
  <c r="AW63" i="54"/>
  <c r="AV64" i="54"/>
  <c r="BF64" i="54"/>
  <c r="H64" i="56" s="1"/>
  <c r="AZ65" i="54"/>
  <c r="BJ65" i="54"/>
  <c r="L65" i="56" s="1"/>
  <c r="AZ68" i="54"/>
  <c r="BP68" i="54"/>
  <c r="R68" i="56" s="1"/>
  <c r="AV69" i="54"/>
  <c r="BF69" i="54"/>
  <c r="H69" i="56" s="1"/>
  <c r="BK74" i="54"/>
  <c r="M74" i="56" s="1"/>
  <c r="BA74" i="54"/>
  <c r="AX75" i="54"/>
  <c r="BV76" i="54"/>
  <c r="X76" i="56" s="1"/>
  <c r="BH77" i="54"/>
  <c r="J77" i="56" s="1"/>
  <c r="AX77" i="54"/>
  <c r="BB77" i="54"/>
  <c r="BL77" i="54"/>
  <c r="N77" i="56" s="1"/>
  <c r="BV78" i="54"/>
  <c r="X78" i="56" s="1"/>
  <c r="BB78" i="54"/>
  <c r="BL78" i="54"/>
  <c r="N78" i="56" s="1"/>
  <c r="AU79" i="54"/>
  <c r="BE80" i="54"/>
  <c r="G80" i="56" s="1"/>
  <c r="AU80" i="54"/>
  <c r="BB82" i="54"/>
  <c r="BL82" i="54"/>
  <c r="N82" i="56" s="1"/>
  <c r="BA3" i="54"/>
  <c r="BK3" i="54"/>
  <c r="M3" i="56" s="1"/>
  <c r="AZ4" i="54"/>
  <c r="BJ4" i="54"/>
  <c r="L4" i="56" s="1"/>
  <c r="AT5" i="54"/>
  <c r="BK5" i="54"/>
  <c r="M5" i="56" s="1"/>
  <c r="BT5" i="54"/>
  <c r="V5" i="56" s="1"/>
  <c r="AW6" i="54"/>
  <c r="BA7" i="54"/>
  <c r="BK7" i="54"/>
  <c r="M7" i="56" s="1"/>
  <c r="AT8" i="54"/>
  <c r="BB8" i="54"/>
  <c r="AZ9" i="54"/>
  <c r="BF10" i="54"/>
  <c r="H10" i="56" s="1"/>
  <c r="BG11" i="54"/>
  <c r="I11" i="56" s="1"/>
  <c r="AW12" i="54"/>
  <c r="BG12" i="54"/>
  <c r="I12" i="56" s="1"/>
  <c r="AW13" i="54"/>
  <c r="AV14" i="54"/>
  <c r="BF14" i="54"/>
  <c r="H14" i="56" s="1"/>
  <c r="AU15" i="54"/>
  <c r="BE15" i="54"/>
  <c r="G15" i="56" s="1"/>
  <c r="BL15" i="54"/>
  <c r="N15" i="56" s="1"/>
  <c r="AZ16" i="54"/>
  <c r="BJ16" i="54"/>
  <c r="L16" i="56" s="1"/>
  <c r="AT17" i="54"/>
  <c r="BB17" i="54"/>
  <c r="BA18" i="54"/>
  <c r="AZ19" i="54"/>
  <c r="BE20" i="54"/>
  <c r="G20" i="56" s="1"/>
  <c r="AU21" i="54"/>
  <c r="BF21" i="54"/>
  <c r="H21" i="56" s="1"/>
  <c r="AV22" i="54"/>
  <c r="AW23" i="54"/>
  <c r="BG23" i="54"/>
  <c r="I23" i="56" s="1"/>
  <c r="AV24" i="54"/>
  <c r="BF24" i="54"/>
  <c r="H24" i="56" s="1"/>
  <c r="BF25" i="54"/>
  <c r="H25" i="56" s="1"/>
  <c r="BO26" i="54"/>
  <c r="Q26" i="56" s="1"/>
  <c r="BB28" i="54"/>
  <c r="AT29" i="54"/>
  <c r="BA30" i="54"/>
  <c r="BG31" i="54"/>
  <c r="I31" i="56" s="1"/>
  <c r="BA33" i="54"/>
  <c r="AT34" i="54"/>
  <c r="BB34" i="54"/>
  <c r="BF35" i="54"/>
  <c r="H35" i="56" s="1"/>
  <c r="BE36" i="54"/>
  <c r="G36" i="56" s="1"/>
  <c r="AT37" i="54"/>
  <c r="BG38" i="54"/>
  <c r="I38" i="56" s="1"/>
  <c r="BT39" i="54"/>
  <c r="V39" i="56" s="1"/>
  <c r="BP41" i="54"/>
  <c r="R41" i="56" s="1"/>
  <c r="BL45" i="54"/>
  <c r="N45" i="56" s="1"/>
  <c r="AZ46" i="54"/>
  <c r="BF48" i="54"/>
  <c r="H48" i="56" s="1"/>
  <c r="BG52" i="54"/>
  <c r="I52" i="56" s="1"/>
  <c r="BA54" i="54"/>
  <c r="BT55" i="54"/>
  <c r="V55" i="56" s="1"/>
  <c r="BR57" i="54"/>
  <c r="T57" i="56" s="1"/>
  <c r="AV61" i="54"/>
  <c r="AV62" i="54"/>
  <c r="BF68" i="54"/>
  <c r="H68" i="56" s="1"/>
  <c r="AW69" i="54"/>
  <c r="AZ70" i="54"/>
  <c r="BT73" i="54"/>
  <c r="V73" i="56" s="1"/>
  <c r="AZ73" i="54"/>
  <c r="BE75" i="54"/>
  <c r="G75" i="56" s="1"/>
  <c r="AU75" i="54"/>
  <c r="AY77" i="54"/>
  <c r="BI77" i="54"/>
  <c r="K77" i="56" s="1"/>
  <c r="AU77" i="54"/>
  <c r="AU78" i="54"/>
  <c r="AZ79" i="54"/>
  <c r="BT79" i="54"/>
  <c r="V79" i="56" s="1"/>
  <c r="AV79" i="54"/>
  <c r="AS81" i="54"/>
  <c r="AT3" i="54"/>
  <c r="BB3" i="54"/>
  <c r="BL3" i="54"/>
  <c r="N3" i="56" s="1"/>
  <c r="BA4" i="54"/>
  <c r="BK4" i="54"/>
  <c r="M4" i="56" s="1"/>
  <c r="BL5" i="54"/>
  <c r="N5" i="56" s="1"/>
  <c r="AT6" i="54"/>
  <c r="BB6" i="54"/>
  <c r="AT7" i="54"/>
  <c r="BB7" i="54"/>
  <c r="BL7" i="54"/>
  <c r="N7" i="56" s="1"/>
  <c r="AU8" i="54"/>
  <c r="BA9" i="54"/>
  <c r="BJ9" i="54"/>
  <c r="L9" i="56" s="1"/>
  <c r="BG10" i="54"/>
  <c r="I10" i="56" s="1"/>
  <c r="AZ11" i="54"/>
  <c r="BL12" i="54"/>
  <c r="N12" i="56" s="1"/>
  <c r="BE13" i="54"/>
  <c r="G13" i="56" s="1"/>
  <c r="BL13" i="54"/>
  <c r="N13" i="56" s="1"/>
  <c r="AW14" i="54"/>
  <c r="BJ14" i="54"/>
  <c r="L14" i="56" s="1"/>
  <c r="AV15" i="54"/>
  <c r="BA16" i="54"/>
  <c r="BK16" i="54"/>
  <c r="M16" i="56" s="1"/>
  <c r="BG17" i="54"/>
  <c r="I17" i="56" s="1"/>
  <c r="BF18" i="54"/>
  <c r="H18" i="56" s="1"/>
  <c r="BE19" i="54"/>
  <c r="G19" i="56" s="1"/>
  <c r="AV20" i="54"/>
  <c r="BF20" i="54"/>
  <c r="H20" i="56" s="1"/>
  <c r="AV21" i="54"/>
  <c r="BK21" i="54"/>
  <c r="M21" i="56" s="1"/>
  <c r="AW22" i="54"/>
  <c r="BJ22" i="54"/>
  <c r="L22" i="56" s="1"/>
  <c r="BK23" i="54"/>
  <c r="M23" i="56" s="1"/>
  <c r="BU23" i="54"/>
  <c r="W23" i="56" s="1"/>
  <c r="AW24" i="54"/>
  <c r="BG24" i="54"/>
  <c r="I24" i="56" s="1"/>
  <c r="AW25" i="54"/>
  <c r="BP25" i="54"/>
  <c r="R25" i="56" s="1"/>
  <c r="AW26" i="54"/>
  <c r="BE26" i="54"/>
  <c r="G26" i="56" s="1"/>
  <c r="BF27" i="54"/>
  <c r="H27" i="56" s="1"/>
  <c r="AU28" i="54"/>
  <c r="BE28" i="54"/>
  <c r="G28" i="56" s="1"/>
  <c r="AV29" i="54"/>
  <c r="BG29" i="54"/>
  <c r="I29" i="56" s="1"/>
  <c r="BF30" i="54"/>
  <c r="H30" i="56" s="1"/>
  <c r="AZ31" i="54"/>
  <c r="BJ31" i="54"/>
  <c r="L31" i="56" s="1"/>
  <c r="BA32" i="54"/>
  <c r="BK33" i="54"/>
  <c r="M33" i="56" s="1"/>
  <c r="AW34" i="54"/>
  <c r="BG34" i="54"/>
  <c r="I34" i="56" s="1"/>
  <c r="AV35" i="54"/>
  <c r="AU36" i="54"/>
  <c r="AW37" i="54"/>
  <c r="BG37" i="54"/>
  <c r="I37" i="56" s="1"/>
  <c r="BJ39" i="54"/>
  <c r="L39" i="56" s="1"/>
  <c r="BF40" i="54"/>
  <c r="H40" i="56" s="1"/>
  <c r="AT41" i="54"/>
  <c r="BB42" i="54"/>
  <c r="BL42" i="54"/>
  <c r="N42" i="56" s="1"/>
  <c r="BA43" i="54"/>
  <c r="BP43" i="54"/>
  <c r="R43" i="56" s="1"/>
  <c r="BJ44" i="54"/>
  <c r="L44" i="56" s="1"/>
  <c r="AV45" i="54"/>
  <c r="BG45" i="54"/>
  <c r="I45" i="56" s="1"/>
  <c r="BE46" i="54"/>
  <c r="G46" i="56" s="1"/>
  <c r="BG47" i="54"/>
  <c r="I47" i="56" s="1"/>
  <c r="AU48" i="54"/>
  <c r="AT49" i="54"/>
  <c r="BB49" i="54"/>
  <c r="BK49" i="54"/>
  <c r="M49" i="56" s="1"/>
  <c r="BA50" i="54"/>
  <c r="AU51" i="54"/>
  <c r="BF51" i="54"/>
  <c r="H51" i="56" s="1"/>
  <c r="AW52" i="54"/>
  <c r="BL52" i="54"/>
  <c r="N52" i="56" s="1"/>
  <c r="AV53" i="54"/>
  <c r="BF53" i="54"/>
  <c r="H53" i="56" s="1"/>
  <c r="BL53" i="54"/>
  <c r="N53" i="56" s="1"/>
  <c r="BK54" i="54"/>
  <c r="M54" i="56" s="1"/>
  <c r="AV55" i="54"/>
  <c r="BH55" i="54"/>
  <c r="J55" i="56" s="1"/>
  <c r="BB56" i="54"/>
  <c r="BK56" i="54"/>
  <c r="M56" i="56" s="1"/>
  <c r="BB57" i="54"/>
  <c r="BK57" i="54"/>
  <c r="M57" i="56" s="1"/>
  <c r="BU57" i="54"/>
  <c r="W57" i="56" s="1"/>
  <c r="AY58" i="54"/>
  <c r="BI58" i="54"/>
  <c r="K58" i="56" s="1"/>
  <c r="BI59" i="54"/>
  <c r="K59" i="56" s="1"/>
  <c r="BT59" i="54"/>
  <c r="V59" i="56" s="1"/>
  <c r="AX60" i="54"/>
  <c r="BF60" i="54"/>
  <c r="H60" i="56" s="1"/>
  <c r="BP60" i="54"/>
  <c r="R60" i="56" s="1"/>
  <c r="BA61" i="54"/>
  <c r="BJ61" i="54"/>
  <c r="L61" i="56" s="1"/>
  <c r="BS61" i="54"/>
  <c r="U61" i="56" s="1"/>
  <c r="AZ62" i="54"/>
  <c r="AZ63" i="54"/>
  <c r="BL63" i="54"/>
  <c r="N63" i="56" s="1"/>
  <c r="BA64" i="54"/>
  <c r="BS64" i="54"/>
  <c r="U64" i="56" s="1"/>
  <c r="AU65" i="54"/>
  <c r="BE65" i="54"/>
  <c r="G65" i="56" s="1"/>
  <c r="BU65" i="54"/>
  <c r="W65" i="56" s="1"/>
  <c r="BA66" i="54"/>
  <c r="AZ67" i="54"/>
  <c r="BK67" i="54"/>
  <c r="M67" i="56" s="1"/>
  <c r="AW68" i="54"/>
  <c r="BG68" i="54"/>
  <c r="I68" i="56" s="1"/>
  <c r="BA69" i="54"/>
  <c r="AU70" i="54"/>
  <c r="BE70" i="54"/>
  <c r="G70" i="56" s="1"/>
  <c r="BB71" i="54"/>
  <c r="BL71" i="54"/>
  <c r="N71" i="56" s="1"/>
  <c r="AU72" i="54"/>
  <c r="BK72" i="54"/>
  <c r="M72" i="56" s="1"/>
  <c r="BK73" i="54"/>
  <c r="M73" i="56" s="1"/>
  <c r="BU73" i="54"/>
  <c r="W73" i="56" s="1"/>
  <c r="AT73" i="54"/>
  <c r="BI74" i="54"/>
  <c r="K74" i="56" s="1"/>
  <c r="AV75" i="54"/>
  <c r="BP75" i="54"/>
  <c r="R75" i="56" s="1"/>
  <c r="BH75" i="54"/>
  <c r="J75" i="56" s="1"/>
  <c r="BE77" i="54"/>
  <c r="G77" i="56" s="1"/>
  <c r="BE78" i="54"/>
  <c r="G78" i="56" s="1"/>
  <c r="BH83" i="54"/>
  <c r="J83" i="56" s="1"/>
  <c r="BI73" i="54"/>
  <c r="K73" i="56" s="1"/>
  <c r="BG75" i="54"/>
  <c r="I75" i="56" s="1"/>
  <c r="AW76" i="54"/>
  <c r="AV77" i="54"/>
  <c r="AW78" i="54"/>
  <c r="BA79" i="54"/>
  <c r="BK79" i="54"/>
  <c r="M79" i="56" s="1"/>
  <c r="BF80" i="54"/>
  <c r="H80" i="56" s="1"/>
  <c r="BV80" i="54"/>
  <c r="X80" i="56" s="1"/>
  <c r="AY81" i="54"/>
  <c r="BH81" i="54"/>
  <c r="J81" i="56" s="1"/>
  <c r="BI82" i="54"/>
  <c r="K82" i="56" s="1"/>
  <c r="BW82" i="54"/>
  <c r="AZ83" i="54"/>
  <c r="BK83" i="54"/>
  <c r="M83" i="56" s="1"/>
  <c r="AT84" i="54"/>
  <c r="BB84" i="54"/>
  <c r="BN84" i="54"/>
  <c r="P84" i="56" s="1"/>
  <c r="BL86" i="54"/>
  <c r="N86" i="56" s="1"/>
  <c r="AY87" i="54"/>
  <c r="AU90" i="54"/>
  <c r="BE90" i="54"/>
  <c r="G90" i="56" s="1"/>
  <c r="BG92" i="54"/>
  <c r="I92" i="56" s="1"/>
  <c r="AU93" i="54"/>
  <c r="BK96" i="54"/>
  <c r="M96" i="56" s="1"/>
  <c r="BI98" i="54"/>
  <c r="K98" i="56" s="1"/>
  <c r="AW99" i="54"/>
  <c r="BK99" i="54"/>
  <c r="M99" i="56" s="1"/>
  <c r="BL102" i="54"/>
  <c r="N102" i="56" s="1"/>
  <c r="AT3" i="55"/>
  <c r="HJ5" i="55"/>
  <c r="HJ6" i="55"/>
  <c r="FX8" i="55"/>
  <c r="BB9" i="55"/>
  <c r="BL9" i="55"/>
  <c r="N9" i="57" s="1"/>
  <c r="BA10" i="55"/>
  <c r="FX10" i="55"/>
  <c r="HJ12" i="55"/>
  <c r="FX18" i="55"/>
  <c r="FX20" i="55"/>
  <c r="FX22" i="55"/>
  <c r="BL23" i="55"/>
  <c r="N23" i="57" s="1"/>
  <c r="HJ23" i="55"/>
  <c r="FX25" i="55"/>
  <c r="GG28" i="55"/>
  <c r="BE30" i="55"/>
  <c r="G30" i="57" s="1"/>
  <c r="HJ32" i="55"/>
  <c r="BE33" i="55"/>
  <c r="G33" i="57" s="1"/>
  <c r="FX33" i="55"/>
  <c r="FX34" i="55"/>
  <c r="GG35" i="55"/>
  <c r="BA37" i="55"/>
  <c r="BK37" i="55"/>
  <c r="M37" i="57" s="1"/>
  <c r="FX38" i="55"/>
  <c r="BK40" i="55"/>
  <c r="M40" i="57" s="1"/>
  <c r="BP41" i="55"/>
  <c r="R41" i="57" s="1"/>
  <c r="GG41" i="55"/>
  <c r="HJ42" i="55"/>
  <c r="HJ43" i="55"/>
  <c r="BJ44" i="55"/>
  <c r="L44" i="57" s="1"/>
  <c r="FX47" i="55"/>
  <c r="AZ50" i="55"/>
  <c r="BJ50" i="55"/>
  <c r="L50" i="57" s="1"/>
  <c r="AZ51" i="55"/>
  <c r="FX51" i="55"/>
  <c r="GG52" i="55"/>
  <c r="GG53" i="55"/>
  <c r="AV55" i="55"/>
  <c r="AV56" i="55"/>
  <c r="BF56" i="55"/>
  <c r="H56" i="57" s="1"/>
  <c r="BB57" i="55"/>
  <c r="AU58" i="55"/>
  <c r="BF59" i="55"/>
  <c r="H59" i="57" s="1"/>
  <c r="AV59" i="55"/>
  <c r="BJ59" i="55"/>
  <c r="L59" i="57" s="1"/>
  <c r="AZ59" i="55"/>
  <c r="BJ60" i="55"/>
  <c r="L60" i="57" s="1"/>
  <c r="AZ60" i="55"/>
  <c r="BV63" i="55"/>
  <c r="X63" i="57" s="1"/>
  <c r="BL63" i="55"/>
  <c r="N63" i="57" s="1"/>
  <c r="AT64" i="55"/>
  <c r="BD64" i="55"/>
  <c r="F64" i="57" s="1"/>
  <c r="BT65" i="55"/>
  <c r="V65" i="57" s="1"/>
  <c r="AZ65" i="55"/>
  <c r="AY66" i="55"/>
  <c r="BS71" i="55"/>
  <c r="U71" i="57" s="1"/>
  <c r="BI71" i="55"/>
  <c r="K71" i="57" s="1"/>
  <c r="AY71" i="55"/>
  <c r="BP77" i="55"/>
  <c r="R77" i="57" s="1"/>
  <c r="BF77" i="55"/>
  <c r="H77" i="57" s="1"/>
  <c r="BO78" i="55"/>
  <c r="Q78" i="57" s="1"/>
  <c r="BE78" i="55"/>
  <c r="G78" i="57" s="1"/>
  <c r="AU78" i="55"/>
  <c r="AT82" i="55"/>
  <c r="BD82" i="55"/>
  <c r="F82" i="57" s="1"/>
  <c r="BB82" i="55"/>
  <c r="BL82" i="55"/>
  <c r="N82" i="57" s="1"/>
  <c r="BE85" i="55"/>
  <c r="G85" i="57" s="1"/>
  <c r="BO85" i="55"/>
  <c r="Q85" i="57" s="1"/>
  <c r="AU85" i="55"/>
  <c r="BU78" i="54"/>
  <c r="W78" i="56" s="1"/>
  <c r="BB79" i="54"/>
  <c r="BL79" i="54"/>
  <c r="N79" i="56" s="1"/>
  <c r="AZ81" i="54"/>
  <c r="BI81" i="54"/>
  <c r="K81" i="56" s="1"/>
  <c r="AV82" i="54"/>
  <c r="BF83" i="54"/>
  <c r="H83" i="56" s="1"/>
  <c r="BP83" i="54"/>
  <c r="R83" i="56" s="1"/>
  <c r="AV84" i="54"/>
  <c r="BF84" i="54"/>
  <c r="H84" i="56" s="1"/>
  <c r="BV84" i="54"/>
  <c r="X84" i="56" s="1"/>
  <c r="BE85" i="54"/>
  <c r="G85" i="56" s="1"/>
  <c r="BB86" i="54"/>
  <c r="BQ86" i="54"/>
  <c r="S86" i="56" s="1"/>
  <c r="BA87" i="54"/>
  <c r="BK87" i="54"/>
  <c r="M87" i="56" s="1"/>
  <c r="AY88" i="54"/>
  <c r="BG88" i="54"/>
  <c r="I88" i="56" s="1"/>
  <c r="BA89" i="54"/>
  <c r="BJ89" i="54"/>
  <c r="L89" i="56" s="1"/>
  <c r="BI90" i="54"/>
  <c r="K90" i="56" s="1"/>
  <c r="AT91" i="54"/>
  <c r="BD91" i="54"/>
  <c r="F91" i="56" s="1"/>
  <c r="BL91" i="54"/>
  <c r="N91" i="56" s="1"/>
  <c r="BA92" i="54"/>
  <c r="BJ92" i="54"/>
  <c r="L92" i="56" s="1"/>
  <c r="BE93" i="54"/>
  <c r="G93" i="56" s="1"/>
  <c r="AW94" i="54"/>
  <c r="BI94" i="54"/>
  <c r="K94" i="56" s="1"/>
  <c r="BA95" i="54"/>
  <c r="BL95" i="54"/>
  <c r="N95" i="56" s="1"/>
  <c r="BF96" i="54"/>
  <c r="H96" i="56" s="1"/>
  <c r="BF97" i="54"/>
  <c r="H97" i="56" s="1"/>
  <c r="AX98" i="54"/>
  <c r="BL98" i="54"/>
  <c r="N98" i="56" s="1"/>
  <c r="AZ99" i="54"/>
  <c r="BG100" i="54"/>
  <c r="I100" i="56" s="1"/>
  <c r="BW100" i="54"/>
  <c r="BE101" i="54"/>
  <c r="G101" i="56" s="1"/>
  <c r="AW102" i="54"/>
  <c r="AV3" i="55"/>
  <c r="BG3" i="55"/>
  <c r="I3" i="57" s="1"/>
  <c r="BA4" i="55"/>
  <c r="FX4" i="55"/>
  <c r="BE5" i="55"/>
  <c r="G5" i="57" s="1"/>
  <c r="BB6" i="55"/>
  <c r="BV6" i="55"/>
  <c r="X6" i="57" s="1"/>
  <c r="BE7" i="55"/>
  <c r="G7" i="57" s="1"/>
  <c r="BL7" i="55"/>
  <c r="N7" i="57" s="1"/>
  <c r="AW8" i="55"/>
  <c r="BF8" i="55"/>
  <c r="H8" i="57" s="1"/>
  <c r="GG8" i="55"/>
  <c r="AU9" i="55"/>
  <c r="BE9" i="55"/>
  <c r="G9" i="57" s="1"/>
  <c r="FX9" i="55"/>
  <c r="BB10" i="55"/>
  <c r="BK10" i="55"/>
  <c r="M10" i="57" s="1"/>
  <c r="BA11" i="55"/>
  <c r="BK11" i="55"/>
  <c r="M11" i="57" s="1"/>
  <c r="AZ12" i="55"/>
  <c r="BJ12" i="55"/>
  <c r="L12" i="57" s="1"/>
  <c r="AW14" i="55"/>
  <c r="BF14" i="55"/>
  <c r="H14" i="57" s="1"/>
  <c r="HJ14" i="55"/>
  <c r="AW15" i="55"/>
  <c r="BG15" i="55"/>
  <c r="I15" i="57" s="1"/>
  <c r="HJ15" i="55"/>
  <c r="AW16" i="55"/>
  <c r="BL16" i="55"/>
  <c r="N16" i="57" s="1"/>
  <c r="BB17" i="55"/>
  <c r="BL17" i="55"/>
  <c r="N17" i="57" s="1"/>
  <c r="HJ17" i="55"/>
  <c r="BA18" i="55"/>
  <c r="BJ18" i="55"/>
  <c r="L18" i="57" s="1"/>
  <c r="AT19" i="55"/>
  <c r="BB19" i="55"/>
  <c r="FX19" i="55"/>
  <c r="AZ20" i="55"/>
  <c r="BF21" i="55"/>
  <c r="H21" i="57" s="1"/>
  <c r="BG22" i="55"/>
  <c r="I22" i="57" s="1"/>
  <c r="GG22" i="55"/>
  <c r="AV23" i="55"/>
  <c r="BF23" i="55"/>
  <c r="H23" i="57" s="1"/>
  <c r="BD24" i="55"/>
  <c r="F24" i="57" s="1"/>
  <c r="BB25" i="55"/>
  <c r="BL25" i="55"/>
  <c r="N25" i="57" s="1"/>
  <c r="GG25" i="55"/>
  <c r="AV26" i="55"/>
  <c r="FX26" i="55"/>
  <c r="FX27" i="55"/>
  <c r="BA28" i="55"/>
  <c r="BJ28" i="55"/>
  <c r="L28" i="57" s="1"/>
  <c r="AZ29" i="55"/>
  <c r="HJ30" i="55"/>
  <c r="BG31" i="55"/>
  <c r="I31" i="57" s="1"/>
  <c r="HJ31" i="55"/>
  <c r="AW32" i="55"/>
  <c r="GG33" i="55"/>
  <c r="AV34" i="55"/>
  <c r="AT35" i="55"/>
  <c r="BB35" i="55"/>
  <c r="BL35" i="55"/>
  <c r="N35" i="57" s="1"/>
  <c r="FX36" i="55"/>
  <c r="BF37" i="55"/>
  <c r="H37" i="57" s="1"/>
  <c r="FX37" i="55"/>
  <c r="BG38" i="55"/>
  <c r="I38" i="57" s="1"/>
  <c r="BG39" i="55"/>
  <c r="I39" i="57" s="1"/>
  <c r="FX39" i="55"/>
  <c r="FX40" i="55"/>
  <c r="BF41" i="55"/>
  <c r="H41" i="57" s="1"/>
  <c r="BQ41" i="55"/>
  <c r="S41" i="57" s="1"/>
  <c r="BA43" i="55"/>
  <c r="BK43" i="55"/>
  <c r="M43" i="57" s="1"/>
  <c r="BT43" i="55"/>
  <c r="V43" i="57" s="1"/>
  <c r="BO44" i="55"/>
  <c r="Q44" i="57" s="1"/>
  <c r="HJ44" i="55"/>
  <c r="BN45" i="55"/>
  <c r="P45" i="57" s="1"/>
  <c r="AV47" i="55"/>
  <c r="BL48" i="55"/>
  <c r="N48" i="57" s="1"/>
  <c r="HJ48" i="55"/>
  <c r="BA50" i="55"/>
  <c r="BA51" i="55"/>
  <c r="BG52" i="55"/>
  <c r="I52" i="57" s="1"/>
  <c r="AW55" i="55"/>
  <c r="BA56" i="55"/>
  <c r="BL57" i="55"/>
  <c r="N57" i="57" s="1"/>
  <c r="AZ58" i="55"/>
  <c r="BJ58" i="55"/>
  <c r="L58" i="57" s="1"/>
  <c r="BI58" i="55"/>
  <c r="K58" i="57" s="1"/>
  <c r="BP59" i="55"/>
  <c r="R59" i="57" s="1"/>
  <c r="BT61" i="55"/>
  <c r="V61" i="57" s="1"/>
  <c r="AZ61" i="55"/>
  <c r="BQ66" i="55"/>
  <c r="S66" i="57" s="1"/>
  <c r="AW66" i="55"/>
  <c r="BP67" i="55"/>
  <c r="R67" i="57" s="1"/>
  <c r="AV67" i="55"/>
  <c r="BD72" i="55"/>
  <c r="F72" i="57" s="1"/>
  <c r="AT72" i="55"/>
  <c r="BL72" i="55"/>
  <c r="N72" i="57" s="1"/>
  <c r="BV72" i="55"/>
  <c r="X72" i="57" s="1"/>
  <c r="BB72" i="55"/>
  <c r="AU73" i="55"/>
  <c r="BE73" i="55"/>
  <c r="G73" i="57" s="1"/>
  <c r="BS73" i="55"/>
  <c r="U73" i="57" s="1"/>
  <c r="AY73" i="55"/>
  <c r="BI73" i="55"/>
  <c r="K73" i="57" s="1"/>
  <c r="BG74" i="55"/>
  <c r="I74" i="57" s="1"/>
  <c r="BQ74" i="55"/>
  <c r="S74" i="57" s="1"/>
  <c r="BK74" i="55"/>
  <c r="M74" i="57" s="1"/>
  <c r="BA74" i="55"/>
  <c r="AW74" i="55"/>
  <c r="BQ75" i="55"/>
  <c r="S75" i="57" s="1"/>
  <c r="AW75" i="55"/>
  <c r="BE80" i="55"/>
  <c r="G80" i="57" s="1"/>
  <c r="AU80" i="55"/>
  <c r="BS80" i="55"/>
  <c r="U80" i="57" s="1"/>
  <c r="BI80" i="55"/>
  <c r="K80" i="57" s="1"/>
  <c r="BJ81" i="54"/>
  <c r="L81" i="56" s="1"/>
  <c r="BG83" i="54"/>
  <c r="I83" i="56" s="1"/>
  <c r="AU85" i="54"/>
  <c r="BD86" i="54"/>
  <c r="F86" i="56" s="1"/>
  <c r="AU87" i="54"/>
  <c r="BO87" i="54"/>
  <c r="Q87" i="56" s="1"/>
  <c r="AZ88" i="54"/>
  <c r="BJ88" i="54"/>
  <c r="L88" i="56" s="1"/>
  <c r="AV89" i="54"/>
  <c r="BE89" i="54"/>
  <c r="G89" i="56" s="1"/>
  <c r="BQ89" i="54"/>
  <c r="S89" i="56" s="1"/>
  <c r="BA90" i="54"/>
  <c r="BL90" i="54"/>
  <c r="N90" i="56" s="1"/>
  <c r="AW91" i="54"/>
  <c r="BG91" i="54"/>
  <c r="I91" i="56" s="1"/>
  <c r="BK92" i="54"/>
  <c r="M92" i="56" s="1"/>
  <c r="BF93" i="54"/>
  <c r="H93" i="56" s="1"/>
  <c r="BB94" i="54"/>
  <c r="BL94" i="54"/>
  <c r="N94" i="56" s="1"/>
  <c r="BC95" i="54"/>
  <c r="E95" i="56" s="1"/>
  <c r="BG96" i="54"/>
  <c r="I96" i="56" s="1"/>
  <c r="BA98" i="54"/>
  <c r="BG99" i="54"/>
  <c r="I99" i="56" s="1"/>
  <c r="AV100" i="54"/>
  <c r="BJ100" i="54"/>
  <c r="L100" i="56" s="1"/>
  <c r="BF101" i="54"/>
  <c r="H101" i="56" s="1"/>
  <c r="BD102" i="54"/>
  <c r="F102" i="56" s="1"/>
  <c r="GD3" i="55"/>
  <c r="HJ3" i="55"/>
  <c r="GG4" i="55"/>
  <c r="FX6" i="55"/>
  <c r="AU7" i="55"/>
  <c r="BK8" i="55"/>
  <c r="M8" i="57" s="1"/>
  <c r="BJ9" i="55"/>
  <c r="L9" i="57" s="1"/>
  <c r="GG9" i="55"/>
  <c r="HJ10" i="55"/>
  <c r="BB11" i="55"/>
  <c r="FX11" i="55"/>
  <c r="FX12" i="55"/>
  <c r="AZ13" i="55"/>
  <c r="BG14" i="55"/>
  <c r="I14" i="57" s="1"/>
  <c r="BL15" i="55"/>
  <c r="N15" i="57" s="1"/>
  <c r="BE16" i="55"/>
  <c r="G16" i="57" s="1"/>
  <c r="AU17" i="55"/>
  <c r="BE17" i="55"/>
  <c r="G17" i="57" s="1"/>
  <c r="BB18" i="55"/>
  <c r="BK18" i="55"/>
  <c r="M18" i="57" s="1"/>
  <c r="HJ18" i="55"/>
  <c r="AU19" i="55"/>
  <c r="BA20" i="55"/>
  <c r="BJ20" i="55"/>
  <c r="L20" i="57" s="1"/>
  <c r="HJ20" i="55"/>
  <c r="BG21" i="55"/>
  <c r="I21" i="57" s="1"/>
  <c r="FX21" i="55"/>
  <c r="AZ22" i="55"/>
  <c r="BJ22" i="55"/>
  <c r="L22" i="57" s="1"/>
  <c r="AW23" i="55"/>
  <c r="BG23" i="55"/>
  <c r="I23" i="57" s="1"/>
  <c r="FX23" i="55"/>
  <c r="AU24" i="55"/>
  <c r="BE24" i="55"/>
  <c r="G24" i="57" s="1"/>
  <c r="FX24" i="55"/>
  <c r="AU25" i="55"/>
  <c r="BD25" i="55"/>
  <c r="F25" i="57" s="1"/>
  <c r="BT25" i="55"/>
  <c r="V25" i="57" s="1"/>
  <c r="BA26" i="55"/>
  <c r="BK26" i="55"/>
  <c r="M26" i="57" s="1"/>
  <c r="AT27" i="55"/>
  <c r="BB27" i="55"/>
  <c r="AT28" i="55"/>
  <c r="BB28" i="55"/>
  <c r="BL28" i="55"/>
  <c r="N28" i="57" s="1"/>
  <c r="BA29" i="55"/>
  <c r="FX29" i="55"/>
  <c r="AZ30" i="55"/>
  <c r="BJ30" i="55"/>
  <c r="L30" i="57" s="1"/>
  <c r="BA31" i="55"/>
  <c r="AZ32" i="55"/>
  <c r="FX32" i="55"/>
  <c r="BB33" i="55"/>
  <c r="BJ33" i="55"/>
  <c r="L33" i="57" s="1"/>
  <c r="BA34" i="55"/>
  <c r="BK34" i="55"/>
  <c r="M34" i="57" s="1"/>
  <c r="HJ34" i="55"/>
  <c r="AU35" i="55"/>
  <c r="BE35" i="55"/>
  <c r="G35" i="57" s="1"/>
  <c r="BA36" i="55"/>
  <c r="BJ36" i="55"/>
  <c r="L36" i="57" s="1"/>
  <c r="AU37" i="55"/>
  <c r="AZ38" i="55"/>
  <c r="HJ38" i="55"/>
  <c r="AU40" i="55"/>
  <c r="BF40" i="55"/>
  <c r="H40" i="57" s="1"/>
  <c r="AW41" i="55"/>
  <c r="BT42" i="55"/>
  <c r="V42" i="57" s="1"/>
  <c r="AU43" i="55"/>
  <c r="BF43" i="55"/>
  <c r="H43" i="57" s="1"/>
  <c r="BL43" i="55"/>
  <c r="N43" i="57" s="1"/>
  <c r="FX43" i="55"/>
  <c r="AZ44" i="55"/>
  <c r="BO45" i="55"/>
  <c r="Q45" i="57" s="1"/>
  <c r="AV46" i="55"/>
  <c r="BL46" i="55"/>
  <c r="N46" i="57" s="1"/>
  <c r="AW47" i="55"/>
  <c r="BG47" i="55"/>
  <c r="I47" i="57" s="1"/>
  <c r="HJ47" i="55"/>
  <c r="BA48" i="55"/>
  <c r="BE49" i="55"/>
  <c r="G49" i="57" s="1"/>
  <c r="FX49" i="55"/>
  <c r="BB50" i="55"/>
  <c r="FX50" i="55"/>
  <c r="HJ51" i="55"/>
  <c r="AW52" i="55"/>
  <c r="BJ52" i="55"/>
  <c r="L52" i="57" s="1"/>
  <c r="AW53" i="55"/>
  <c r="BI53" i="55"/>
  <c r="K53" i="57" s="1"/>
  <c r="AU54" i="55"/>
  <c r="BB55" i="55"/>
  <c r="BB56" i="55"/>
  <c r="BL56" i="55"/>
  <c r="N56" i="57" s="1"/>
  <c r="AX57" i="55"/>
  <c r="BG57" i="55"/>
  <c r="I57" i="57" s="1"/>
  <c r="AT59" i="55"/>
  <c r="BD59" i="55"/>
  <c r="F59" i="57" s="1"/>
  <c r="BR59" i="55"/>
  <c r="T59" i="57" s="1"/>
  <c r="BH59" i="55"/>
  <c r="J59" i="57" s="1"/>
  <c r="BB59" i="55"/>
  <c r="BL59" i="55"/>
  <c r="N59" i="57" s="1"/>
  <c r="BT59" i="55"/>
  <c r="V59" i="57" s="1"/>
  <c r="BR60" i="55"/>
  <c r="T60" i="57" s="1"/>
  <c r="AX60" i="55"/>
  <c r="BL60" i="55"/>
  <c r="N60" i="57" s="1"/>
  <c r="BO62" i="55"/>
  <c r="Q62" i="57" s="1"/>
  <c r="BE62" i="55"/>
  <c r="G62" i="57" s="1"/>
  <c r="AY62" i="55"/>
  <c r="BI62" i="55"/>
  <c r="K62" i="57" s="1"/>
  <c r="AS62" i="55"/>
  <c r="AV64" i="55"/>
  <c r="BJ65" i="55"/>
  <c r="L65" i="57" s="1"/>
  <c r="BI66" i="55"/>
  <c r="K66" i="57" s="1"/>
  <c r="BP70" i="55"/>
  <c r="R70" i="57" s="1"/>
  <c r="BO73" i="55"/>
  <c r="Q73" i="57" s="1"/>
  <c r="BQ76" i="55"/>
  <c r="S76" i="57" s="1"/>
  <c r="BG76" i="55"/>
  <c r="I76" i="57" s="1"/>
  <c r="AW76" i="55"/>
  <c r="BI83" i="55"/>
  <c r="K83" i="57" s="1"/>
  <c r="AY83" i="55"/>
  <c r="AV85" i="54"/>
  <c r="BI85" i="54"/>
  <c r="K85" i="56" s="1"/>
  <c r="AU86" i="54"/>
  <c r="BE86" i="54"/>
  <c r="G86" i="56" s="1"/>
  <c r="AV87" i="54"/>
  <c r="BG87" i="54"/>
  <c r="I87" i="56" s="1"/>
  <c r="AT88" i="54"/>
  <c r="BB88" i="54"/>
  <c r="BK88" i="54"/>
  <c r="M88" i="56" s="1"/>
  <c r="AW89" i="54"/>
  <c r="BF89" i="54"/>
  <c r="H89" i="56" s="1"/>
  <c r="BU89" i="54"/>
  <c r="W89" i="56" s="1"/>
  <c r="BD90" i="54"/>
  <c r="F90" i="56" s="1"/>
  <c r="AZ91" i="54"/>
  <c r="BH91" i="54"/>
  <c r="J91" i="56" s="1"/>
  <c r="AV92" i="54"/>
  <c r="BF92" i="54"/>
  <c r="H92" i="56" s="1"/>
  <c r="BI93" i="54"/>
  <c r="K93" i="56" s="1"/>
  <c r="BD94" i="54"/>
  <c r="F94" i="56" s="1"/>
  <c r="BG95" i="54"/>
  <c r="I95" i="56" s="1"/>
  <c r="AU96" i="54"/>
  <c r="BJ96" i="54"/>
  <c r="L96" i="56" s="1"/>
  <c r="BB97" i="54"/>
  <c r="BJ97" i="54"/>
  <c r="L97" i="56" s="1"/>
  <c r="BE98" i="54"/>
  <c r="G98" i="56" s="1"/>
  <c r="AU99" i="54"/>
  <c r="BH99" i="54"/>
  <c r="J99" i="56" s="1"/>
  <c r="AY100" i="54"/>
  <c r="AU101" i="54"/>
  <c r="BI101" i="54"/>
  <c r="K101" i="56" s="1"/>
  <c r="BE102" i="54"/>
  <c r="G102" i="56" s="1"/>
  <c r="BY2" i="55"/>
  <c r="FU4" i="55" s="1"/>
  <c r="BL3" i="55"/>
  <c r="N3" i="57" s="1"/>
  <c r="AW5" i="55"/>
  <c r="AW6" i="55"/>
  <c r="BG6" i="55"/>
  <c r="I6" i="57" s="1"/>
  <c r="AV7" i="55"/>
  <c r="BG7" i="55"/>
  <c r="I7" i="57" s="1"/>
  <c r="FX7" i="55"/>
  <c r="AU8" i="55"/>
  <c r="BD8" i="55"/>
  <c r="F8" i="57" s="1"/>
  <c r="BL8" i="55"/>
  <c r="N8" i="57" s="1"/>
  <c r="BA9" i="55"/>
  <c r="BK9" i="55"/>
  <c r="M9" i="57" s="1"/>
  <c r="AZ10" i="55"/>
  <c r="GG11" i="55"/>
  <c r="BG12" i="55"/>
  <c r="I12" i="57" s="1"/>
  <c r="BF13" i="55"/>
  <c r="H13" i="57" s="1"/>
  <c r="AZ14" i="55"/>
  <c r="FX14" i="55"/>
  <c r="BE15" i="55"/>
  <c r="G15" i="57" s="1"/>
  <c r="FX15" i="55"/>
  <c r="AU16" i="55"/>
  <c r="BF16" i="55"/>
  <c r="H16" i="57" s="1"/>
  <c r="GG16" i="55"/>
  <c r="AV17" i="55"/>
  <c r="BJ17" i="55"/>
  <c r="L17" i="57" s="1"/>
  <c r="FX17" i="55"/>
  <c r="AU18" i="55"/>
  <c r="BD18" i="55"/>
  <c r="F18" i="57" s="1"/>
  <c r="BL18" i="55"/>
  <c r="N18" i="57" s="1"/>
  <c r="AZ19" i="55"/>
  <c r="BJ19" i="55"/>
  <c r="L19" i="57" s="1"/>
  <c r="HJ19" i="55"/>
  <c r="AT20" i="55"/>
  <c r="BB20" i="55"/>
  <c r="BL20" i="55"/>
  <c r="N20" i="57" s="1"/>
  <c r="AZ21" i="55"/>
  <c r="GG21" i="55"/>
  <c r="BE22" i="55"/>
  <c r="G22" i="57" s="1"/>
  <c r="AV24" i="55"/>
  <c r="BK24" i="55"/>
  <c r="M24" i="57" s="1"/>
  <c r="GG24" i="55"/>
  <c r="BE25" i="55"/>
  <c r="G25" i="57" s="1"/>
  <c r="BU25" i="55"/>
  <c r="W25" i="57" s="1"/>
  <c r="BD26" i="55"/>
  <c r="F26" i="57" s="1"/>
  <c r="HJ26" i="55"/>
  <c r="AU27" i="55"/>
  <c r="BE27" i="55"/>
  <c r="G27" i="57" s="1"/>
  <c r="HJ27" i="55"/>
  <c r="AV28" i="55"/>
  <c r="BG28" i="55"/>
  <c r="I28" i="57" s="1"/>
  <c r="FX28" i="55"/>
  <c r="BF29" i="55"/>
  <c r="H29" i="57" s="1"/>
  <c r="GG29" i="55"/>
  <c r="FX30" i="55"/>
  <c r="BD31" i="55"/>
  <c r="F31" i="57" s="1"/>
  <c r="BL31" i="55"/>
  <c r="N31" i="57" s="1"/>
  <c r="BE32" i="55"/>
  <c r="G32" i="57" s="1"/>
  <c r="AV33" i="55"/>
  <c r="BD33" i="55"/>
  <c r="F33" i="57" s="1"/>
  <c r="BD34" i="55"/>
  <c r="F34" i="57" s="1"/>
  <c r="BL34" i="55"/>
  <c r="N34" i="57" s="1"/>
  <c r="AW35" i="55"/>
  <c r="BJ35" i="55"/>
  <c r="L35" i="57" s="1"/>
  <c r="FX35" i="55"/>
  <c r="BB36" i="55"/>
  <c r="BK36" i="55"/>
  <c r="M36" i="57" s="1"/>
  <c r="HJ36" i="55"/>
  <c r="AZ37" i="55"/>
  <c r="BJ37" i="55"/>
  <c r="L37" i="57" s="1"/>
  <c r="HJ37" i="55"/>
  <c r="AT38" i="55"/>
  <c r="BB38" i="55"/>
  <c r="BJ38" i="55"/>
  <c r="L38" i="57" s="1"/>
  <c r="BA39" i="55"/>
  <c r="BL39" i="55"/>
  <c r="N39" i="57" s="1"/>
  <c r="HJ39" i="55"/>
  <c r="AW40" i="55"/>
  <c r="BG40" i="55"/>
  <c r="I40" i="57" s="1"/>
  <c r="HJ40" i="55"/>
  <c r="AZ41" i="55"/>
  <c r="BJ41" i="55"/>
  <c r="L41" i="57" s="1"/>
  <c r="FX41" i="55"/>
  <c r="BB42" i="55"/>
  <c r="BL42" i="55"/>
  <c r="N42" i="57" s="1"/>
  <c r="FX42" i="55"/>
  <c r="AV43" i="55"/>
  <c r="BG43" i="55"/>
  <c r="I43" i="57" s="1"/>
  <c r="BG44" i="55"/>
  <c r="I44" i="57" s="1"/>
  <c r="FX44" i="55"/>
  <c r="BF45" i="55"/>
  <c r="H45" i="57" s="1"/>
  <c r="AW46" i="55"/>
  <c r="BP46" i="55"/>
  <c r="R46" i="57" s="1"/>
  <c r="BB47" i="55"/>
  <c r="BL47" i="55"/>
  <c r="N47" i="57" s="1"/>
  <c r="BF48" i="55"/>
  <c r="H48" i="57" s="1"/>
  <c r="FX48" i="55"/>
  <c r="AU49" i="55"/>
  <c r="BJ49" i="55"/>
  <c r="L49" i="57" s="1"/>
  <c r="GG49" i="55"/>
  <c r="BK51" i="55"/>
  <c r="M51" i="57" s="1"/>
  <c r="FX52" i="55"/>
  <c r="AY53" i="55"/>
  <c r="AW54" i="55"/>
  <c r="AU55" i="55"/>
  <c r="BE55" i="55"/>
  <c r="G55" i="57" s="1"/>
  <c r="AU56" i="55"/>
  <c r="BS56" i="55"/>
  <c r="U56" i="57" s="1"/>
  <c r="AY57" i="55"/>
  <c r="BH58" i="55"/>
  <c r="J58" i="57" s="1"/>
  <c r="AX58" i="55"/>
  <c r="BE58" i="55"/>
  <c r="G58" i="57" s="1"/>
  <c r="BP60" i="55"/>
  <c r="R60" i="57" s="1"/>
  <c r="BL61" i="55"/>
  <c r="N61" i="57" s="1"/>
  <c r="BV61" i="55"/>
  <c r="X61" i="57" s="1"/>
  <c r="BF61" i="55"/>
  <c r="H61" i="57" s="1"/>
  <c r="BT68" i="55"/>
  <c r="V68" i="57" s="1"/>
  <c r="AZ68" i="55"/>
  <c r="AW69" i="55"/>
  <c r="BG69" i="55"/>
  <c r="I69" i="57" s="1"/>
  <c r="BU69" i="55"/>
  <c r="W69" i="57" s="1"/>
  <c r="BK69" i="55"/>
  <c r="M69" i="57" s="1"/>
  <c r="AZ70" i="55"/>
  <c r="BT70" i="55"/>
  <c r="V70" i="57" s="1"/>
  <c r="BJ70" i="55"/>
  <c r="L70" i="57" s="1"/>
  <c r="BG75" i="55"/>
  <c r="I75" i="57" s="1"/>
  <c r="AV77" i="55"/>
  <c r="AU79" i="55"/>
  <c r="BO87" i="55"/>
  <c r="Q87" i="57" s="1"/>
  <c r="AV90" i="55"/>
  <c r="BF90" i="55"/>
  <c r="H90" i="57" s="1"/>
  <c r="BB91" i="55"/>
  <c r="BT94" i="55"/>
  <c r="V94" i="57" s="1"/>
  <c r="AZ94" i="55"/>
  <c r="AV95" i="55"/>
  <c r="BP95" i="55"/>
  <c r="R95" i="57" s="1"/>
  <c r="AV96" i="55"/>
  <c r="AV97" i="55"/>
  <c r="AW100" i="55"/>
  <c r="BP101" i="55"/>
  <c r="R101" i="57" s="1"/>
  <c r="BF101" i="55"/>
  <c r="H101" i="57" s="1"/>
  <c r="AZ101" i="55"/>
  <c r="BJ101" i="55"/>
  <c r="L101" i="57" s="1"/>
  <c r="BG60" i="55"/>
  <c r="I60" i="57" s="1"/>
  <c r="BO60" i="55"/>
  <c r="Q60" i="57" s="1"/>
  <c r="AU61" i="55"/>
  <c r="BG61" i="55"/>
  <c r="I61" i="57" s="1"/>
  <c r="BE63" i="55"/>
  <c r="G63" i="57" s="1"/>
  <c r="BK65" i="55"/>
  <c r="M65" i="57" s="1"/>
  <c r="BB66" i="55"/>
  <c r="BJ66" i="55"/>
  <c r="L66" i="57" s="1"/>
  <c r="BA67" i="55"/>
  <c r="BL67" i="55"/>
  <c r="N67" i="57" s="1"/>
  <c r="AW68" i="55"/>
  <c r="BL68" i="55"/>
  <c r="N68" i="57" s="1"/>
  <c r="BB69" i="55"/>
  <c r="AY70" i="55"/>
  <c r="BR70" i="55"/>
  <c r="T70" i="57" s="1"/>
  <c r="BC71" i="55"/>
  <c r="E71" i="57" s="1"/>
  <c r="BK71" i="55"/>
  <c r="M71" i="57" s="1"/>
  <c r="AZ72" i="55"/>
  <c r="BJ72" i="55"/>
  <c r="L72" i="57" s="1"/>
  <c r="BB73" i="55"/>
  <c r="BT73" i="55"/>
  <c r="V73" i="57" s="1"/>
  <c r="AY74" i="55"/>
  <c r="BP75" i="55"/>
  <c r="R75" i="57" s="1"/>
  <c r="BE77" i="55"/>
  <c r="G77" i="57" s="1"/>
  <c r="AW78" i="55"/>
  <c r="BL78" i="55"/>
  <c r="N78" i="57" s="1"/>
  <c r="AV79" i="55"/>
  <c r="BJ79" i="55"/>
  <c r="L79" i="57" s="1"/>
  <c r="AT80" i="55"/>
  <c r="BF80" i="55"/>
  <c r="H80" i="57" s="1"/>
  <c r="BE81" i="55"/>
  <c r="G81" i="57" s="1"/>
  <c r="AZ82" i="55"/>
  <c r="BI82" i="55"/>
  <c r="K82" i="57" s="1"/>
  <c r="AV83" i="55"/>
  <c r="BG83" i="55"/>
  <c r="I83" i="57" s="1"/>
  <c r="AU84" i="55"/>
  <c r="BF84" i="55"/>
  <c r="H84" i="57" s="1"/>
  <c r="AV85" i="55"/>
  <c r="BJ85" i="55"/>
  <c r="L85" i="57" s="1"/>
  <c r="BB86" i="55"/>
  <c r="BJ86" i="55"/>
  <c r="L86" i="57" s="1"/>
  <c r="AW87" i="55"/>
  <c r="BG87" i="55"/>
  <c r="I87" i="57" s="1"/>
  <c r="BW87" i="55"/>
  <c r="BF88" i="55"/>
  <c r="H88" i="57" s="1"/>
  <c r="AU89" i="55"/>
  <c r="BF89" i="55"/>
  <c r="H89" i="57" s="1"/>
  <c r="BU89" i="55"/>
  <c r="W89" i="57" s="1"/>
  <c r="AW90" i="55"/>
  <c r="BL90" i="55"/>
  <c r="N90" i="57" s="1"/>
  <c r="AU91" i="55"/>
  <c r="BE91" i="55"/>
  <c r="G91" i="57" s="1"/>
  <c r="BS91" i="55"/>
  <c r="U91" i="57" s="1"/>
  <c r="BA92" i="55"/>
  <c r="BK92" i="55"/>
  <c r="M92" i="57" s="1"/>
  <c r="BI93" i="55"/>
  <c r="K93" i="57" s="1"/>
  <c r="AZ95" i="55"/>
  <c r="BF97" i="55"/>
  <c r="H97" i="57" s="1"/>
  <c r="BC99" i="55"/>
  <c r="E99" i="57" s="1"/>
  <c r="AS99" i="55"/>
  <c r="BK99" i="55"/>
  <c r="M99" i="57" s="1"/>
  <c r="BA99" i="55"/>
  <c r="BG100" i="55"/>
  <c r="I100" i="57" s="1"/>
  <c r="BK101" i="55"/>
  <c r="M101" i="57" s="1"/>
  <c r="AX102" i="55"/>
  <c r="BH102" i="55"/>
  <c r="J102" i="57" s="1"/>
  <c r="BD67" i="55"/>
  <c r="F67" i="57" s="1"/>
  <c r="BW68" i="55"/>
  <c r="BG71" i="55"/>
  <c r="I71" i="57" s="1"/>
  <c r="BP72" i="55"/>
  <c r="R72" i="57" s="1"/>
  <c r="AW73" i="55"/>
  <c r="BW75" i="55"/>
  <c r="AY76" i="55"/>
  <c r="BO76" i="55"/>
  <c r="Q76" i="57" s="1"/>
  <c r="BA79" i="55"/>
  <c r="BK79" i="55"/>
  <c r="M79" i="57" s="1"/>
  <c r="AW83" i="55"/>
  <c r="AV84" i="55"/>
  <c r="AV88" i="55"/>
  <c r="AV89" i="55"/>
  <c r="BV89" i="55"/>
  <c r="X89" i="57" s="1"/>
  <c r="BB90" i="55"/>
  <c r="AV91" i="55"/>
  <c r="AW93" i="55"/>
  <c r="BQ93" i="55"/>
  <c r="S93" i="57" s="1"/>
  <c r="BU93" i="55"/>
  <c r="W93" i="57" s="1"/>
  <c r="BK93" i="55"/>
  <c r="M93" i="57" s="1"/>
  <c r="AY93" i="55"/>
  <c r="BF95" i="55"/>
  <c r="H95" i="57" s="1"/>
  <c r="BF96" i="55"/>
  <c r="H96" i="57" s="1"/>
  <c r="BV98" i="55"/>
  <c r="X98" i="57" s="1"/>
  <c r="BL98" i="55"/>
  <c r="N98" i="57" s="1"/>
  <c r="BB99" i="55"/>
  <c r="BK100" i="55"/>
  <c r="M100" i="57" s="1"/>
  <c r="BO102" i="55"/>
  <c r="Q102" i="57" s="1"/>
  <c r="BE102" i="55"/>
  <c r="G102" i="57" s="1"/>
  <c r="BG58" i="55"/>
  <c r="I58" i="57" s="1"/>
  <c r="BQ59" i="55"/>
  <c r="S59" i="57" s="1"/>
  <c r="BK60" i="55"/>
  <c r="M60" i="57" s="1"/>
  <c r="BK61" i="55"/>
  <c r="M61" i="57" s="1"/>
  <c r="AY64" i="55"/>
  <c r="BK64" i="55"/>
  <c r="M64" i="57" s="1"/>
  <c r="BG65" i="55"/>
  <c r="I65" i="57" s="1"/>
  <c r="BF66" i="55"/>
  <c r="H66" i="57" s="1"/>
  <c r="BE67" i="55"/>
  <c r="G67" i="57" s="1"/>
  <c r="BG68" i="55"/>
  <c r="I68" i="57" s="1"/>
  <c r="AT69" i="55"/>
  <c r="BE70" i="55"/>
  <c r="G70" i="57" s="1"/>
  <c r="BO70" i="55"/>
  <c r="Q70" i="57" s="1"/>
  <c r="AZ71" i="55"/>
  <c r="BQ71" i="55"/>
  <c r="S71" i="57" s="1"/>
  <c r="AU72" i="55"/>
  <c r="BE72" i="55"/>
  <c r="G72" i="57" s="1"/>
  <c r="BG73" i="55"/>
  <c r="I73" i="57" s="1"/>
  <c r="BL73" i="55"/>
  <c r="N73" i="57" s="1"/>
  <c r="AU76" i="55"/>
  <c r="AU77" i="55"/>
  <c r="BU78" i="55"/>
  <c r="W78" i="57" s="1"/>
  <c r="BB79" i="55"/>
  <c r="BL79" i="55"/>
  <c r="N79" i="57" s="1"/>
  <c r="AZ80" i="55"/>
  <c r="BJ80" i="55"/>
  <c r="L80" i="57" s="1"/>
  <c r="AY81" i="55"/>
  <c r="BJ81" i="55"/>
  <c r="L81" i="57" s="1"/>
  <c r="AV82" i="55"/>
  <c r="BT82" i="55"/>
  <c r="V82" i="57" s="1"/>
  <c r="BK83" i="55"/>
  <c r="M83" i="57" s="1"/>
  <c r="AW84" i="55"/>
  <c r="BJ84" i="55"/>
  <c r="L84" i="57" s="1"/>
  <c r="BB85" i="55"/>
  <c r="AY86" i="55"/>
  <c r="BH86" i="55"/>
  <c r="J86" i="57" s="1"/>
  <c r="BR86" i="55"/>
  <c r="T86" i="57" s="1"/>
  <c r="AY87" i="55"/>
  <c r="BI87" i="55"/>
  <c r="K87" i="57" s="1"/>
  <c r="AW88" i="55"/>
  <c r="AW89" i="55"/>
  <c r="BK89" i="55"/>
  <c r="M89" i="57" s="1"/>
  <c r="AU90" i="55"/>
  <c r="BE90" i="55"/>
  <c r="G90" i="57" s="1"/>
  <c r="BT90" i="55"/>
  <c r="V90" i="57" s="1"/>
  <c r="BA91" i="55"/>
  <c r="BL91" i="55"/>
  <c r="N91" i="57" s="1"/>
  <c r="AU92" i="55"/>
  <c r="BI92" i="55"/>
  <c r="K92" i="57" s="1"/>
  <c r="BN93" i="55"/>
  <c r="P93" i="57" s="1"/>
  <c r="AT93" i="55"/>
  <c r="BV93" i="55"/>
  <c r="X93" i="57" s="1"/>
  <c r="BB93" i="55"/>
  <c r="BS94" i="55"/>
  <c r="U94" i="57" s="1"/>
  <c r="BI94" i="55"/>
  <c r="K94" i="57" s="1"/>
  <c r="AY94" i="55"/>
  <c r="BS95" i="55"/>
  <c r="U95" i="57" s="1"/>
  <c r="AY95" i="55"/>
  <c r="AU96" i="55"/>
  <c r="BO96" i="55"/>
  <c r="Q96" i="57" s="1"/>
  <c r="BS96" i="55"/>
  <c r="U96" i="57" s="1"/>
  <c r="AY96" i="55"/>
  <c r="BO97" i="55"/>
  <c r="Q97" i="57" s="1"/>
  <c r="BE97" i="55"/>
  <c r="G97" i="57" s="1"/>
  <c r="AU97" i="55"/>
  <c r="AW98" i="55"/>
  <c r="BJ100" i="55"/>
  <c r="L100" i="57" s="1"/>
  <c r="AZ100" i="55"/>
  <c r="BI102" i="55"/>
  <c r="K102" i="57" s="1"/>
  <c r="BQ94" i="55"/>
  <c r="S94" i="57" s="1"/>
  <c r="AV98" i="55"/>
  <c r="BJ99" i="55"/>
  <c r="L99" i="57" s="1"/>
  <c r="BE100" i="55"/>
  <c r="G100" i="57" s="1"/>
  <c r="AU101" i="55"/>
  <c r="AW95" i="55"/>
  <c r="BG95" i="55"/>
  <c r="I95" i="57" s="1"/>
  <c r="AW96" i="55"/>
  <c r="BG96" i="55"/>
  <c r="I96" i="57" s="1"/>
  <c r="AW97" i="55"/>
  <c r="AU98" i="55"/>
  <c r="BE98" i="55"/>
  <c r="G98" i="57" s="1"/>
  <c r="AY99" i="55"/>
  <c r="BI99" i="55"/>
  <c r="K99" i="57" s="1"/>
  <c r="BT99" i="55"/>
  <c r="V99" i="57" s="1"/>
  <c r="BW101" i="55"/>
  <c r="AM1" i="54"/>
  <c r="BH1" i="55"/>
  <c r="J1" i="57" s="1"/>
  <c r="BC63" i="54"/>
  <c r="E63" i="56" s="1"/>
  <c r="BW86" i="54"/>
  <c r="AS79" i="55"/>
  <c r="BC101" i="55"/>
  <c r="E101" i="57" s="1"/>
  <c r="BM59" i="54"/>
  <c r="O59" i="56" s="1"/>
  <c r="BM65" i="54"/>
  <c r="O65" i="56" s="1"/>
  <c r="AS73" i="54"/>
  <c r="AS95" i="54"/>
  <c r="BC92" i="55"/>
  <c r="E92" i="57" s="1"/>
  <c r="BC61" i="55"/>
  <c r="E61" i="57" s="1"/>
  <c r="BC83" i="55"/>
  <c r="E83" i="57" s="1"/>
  <c r="BW58" i="54"/>
  <c r="BM58" i="55"/>
  <c r="O58" i="57" s="1"/>
  <c r="AS81" i="55"/>
  <c r="BW88" i="55"/>
  <c r="AS57" i="54"/>
  <c r="AS82" i="55"/>
  <c r="AS92" i="55"/>
  <c r="AS55" i="54"/>
  <c r="AS56" i="54"/>
  <c r="BW74" i="54"/>
  <c r="AS89" i="54"/>
  <c r="AS98" i="54"/>
  <c r="BN55" i="55"/>
  <c r="P55" i="57" s="1"/>
  <c r="AT55" i="55"/>
  <c r="BD55" i="55"/>
  <c r="F55" i="57" s="1"/>
  <c r="BN91" i="55"/>
  <c r="P91" i="57" s="1"/>
  <c r="AT91" i="55"/>
  <c r="BD91" i="55"/>
  <c r="F91" i="57" s="1"/>
  <c r="BM71" i="54"/>
  <c r="O71" i="56" s="1"/>
  <c r="AS71" i="54"/>
  <c r="BC71" i="54"/>
  <c r="E71" i="56" s="1"/>
  <c r="BC58" i="54"/>
  <c r="E58" i="56" s="1"/>
  <c r="BM58" i="54"/>
  <c r="O58" i="56" s="1"/>
  <c r="BM64" i="54"/>
  <c r="O64" i="56" s="1"/>
  <c r="AS64" i="54"/>
  <c r="BC64" i="54"/>
  <c r="E64" i="56" s="1"/>
  <c r="BM67" i="54"/>
  <c r="O67" i="56" s="1"/>
  <c r="AS67" i="54"/>
  <c r="BC67" i="54"/>
  <c r="E67" i="56" s="1"/>
  <c r="BN14" i="54"/>
  <c r="P14" i="56" s="1"/>
  <c r="BD14" i="54"/>
  <c r="F14" i="56" s="1"/>
  <c r="AT14" i="54"/>
  <c r="BN28" i="54"/>
  <c r="P28" i="56" s="1"/>
  <c r="AT28" i="54"/>
  <c r="BR88" i="54"/>
  <c r="T88" i="56" s="1"/>
  <c r="BH88" i="54"/>
  <c r="J88" i="56" s="1"/>
  <c r="AX88" i="54"/>
  <c r="BH84" i="54"/>
  <c r="J84" i="56" s="1"/>
  <c r="AX84" i="54"/>
  <c r="BR84" i="54"/>
  <c r="T84" i="56" s="1"/>
  <c r="AG45" i="54"/>
  <c r="B45" i="56" s="1"/>
  <c r="DN2" i="54"/>
  <c r="HJ13" i="54" s="1"/>
  <c r="AT4" i="54"/>
  <c r="BD6" i="54"/>
  <c r="F6" i="56" s="1"/>
  <c r="BD15" i="54"/>
  <c r="F15" i="56" s="1"/>
  <c r="BD45" i="54"/>
  <c r="F45" i="56" s="1"/>
  <c r="BN58" i="54"/>
  <c r="P58" i="56" s="1"/>
  <c r="AT58" i="54"/>
  <c r="BW59" i="54"/>
  <c r="BN64" i="54"/>
  <c r="P64" i="56" s="1"/>
  <c r="AT64" i="54"/>
  <c r="BD64" i="54"/>
  <c r="F64" i="56" s="1"/>
  <c r="BW69" i="54"/>
  <c r="BN71" i="54"/>
  <c r="P71" i="56" s="1"/>
  <c r="AT71" i="54"/>
  <c r="BD71" i="54"/>
  <c r="F71" i="56" s="1"/>
  <c r="AS78" i="54"/>
  <c r="BM78" i="54"/>
  <c r="O78" i="56" s="1"/>
  <c r="BN10" i="55"/>
  <c r="P10" i="57" s="1"/>
  <c r="AT10" i="55"/>
  <c r="AT16" i="55"/>
  <c r="BD16" i="55"/>
  <c r="F16" i="57" s="1"/>
  <c r="BD32" i="54"/>
  <c r="F32" i="56" s="1"/>
  <c r="BC61" i="54"/>
  <c r="E61" i="56" s="1"/>
  <c r="AS61" i="54"/>
  <c r="BC74" i="54"/>
  <c r="E74" i="56" s="1"/>
  <c r="AS74" i="54"/>
  <c r="AT77" i="54"/>
  <c r="BD77" i="54"/>
  <c r="F77" i="56" s="1"/>
  <c r="BN78" i="54"/>
  <c r="P78" i="56" s="1"/>
  <c r="BD78" i="54"/>
  <c r="F78" i="56" s="1"/>
  <c r="AT78" i="54"/>
  <c r="BM80" i="54"/>
  <c r="O80" i="56" s="1"/>
  <c r="AS80" i="54"/>
  <c r="BR90" i="54"/>
  <c r="T90" i="56" s="1"/>
  <c r="AX90" i="54"/>
  <c r="BH90" i="54"/>
  <c r="J90" i="56" s="1"/>
  <c r="AT6" i="55"/>
  <c r="BN6" i="55"/>
  <c r="P6" i="57" s="1"/>
  <c r="AT23" i="55"/>
  <c r="BD23" i="55"/>
  <c r="F23" i="57" s="1"/>
  <c r="AT87" i="55"/>
  <c r="BN87" i="55"/>
  <c r="P87" i="57" s="1"/>
  <c r="BD87" i="55"/>
  <c r="F87" i="57" s="1"/>
  <c r="BD3" i="54"/>
  <c r="F3" i="56" s="1"/>
  <c r="BD12" i="54"/>
  <c r="F12" i="56" s="1"/>
  <c r="BD13" i="54"/>
  <c r="F13" i="56" s="1"/>
  <c r="AT22" i="54"/>
  <c r="AT23" i="54"/>
  <c r="BW56" i="54"/>
  <c r="BW62" i="54"/>
  <c r="BD63" i="54"/>
  <c r="F63" i="56" s="1"/>
  <c r="AX87" i="54"/>
  <c r="AS99" i="54"/>
  <c r="BC99" i="54"/>
  <c r="E99" i="56" s="1"/>
  <c r="AT15" i="55"/>
  <c r="BD15" i="55"/>
  <c r="F15" i="57" s="1"/>
  <c r="BN39" i="55"/>
  <c r="P39" i="57" s="1"/>
  <c r="BD39" i="55"/>
  <c r="F39" i="57" s="1"/>
  <c r="AS100" i="55"/>
  <c r="BC100" i="55"/>
  <c r="E100" i="57" s="1"/>
  <c r="AT15" i="54"/>
  <c r="BN39" i="54"/>
  <c r="P39" i="56" s="1"/>
  <c r="BD50" i="54"/>
  <c r="F50" i="56" s="1"/>
  <c r="BM54" i="54"/>
  <c r="O54" i="56" s="1"/>
  <c r="AS54" i="54"/>
  <c r="AT59" i="54"/>
  <c r="BD59" i="54"/>
  <c r="F59" i="56" s="1"/>
  <c r="BN59" i="54"/>
  <c r="P59" i="56" s="1"/>
  <c r="AT63" i="54"/>
  <c r="AX66" i="54"/>
  <c r="BH66" i="54"/>
  <c r="J66" i="56" s="1"/>
  <c r="BM69" i="54"/>
  <c r="O69" i="56" s="1"/>
  <c r="AS69" i="54"/>
  <c r="BM72" i="54"/>
  <c r="O72" i="56" s="1"/>
  <c r="AS72" i="54"/>
  <c r="BH76" i="54"/>
  <c r="J76" i="56" s="1"/>
  <c r="BR76" i="54"/>
  <c r="T76" i="56" s="1"/>
  <c r="AX76" i="54"/>
  <c r="BR82" i="54"/>
  <c r="T82" i="56" s="1"/>
  <c r="BH82" i="54"/>
  <c r="J82" i="56" s="1"/>
  <c r="BW92" i="54"/>
  <c r="AX93" i="54"/>
  <c r="AX94" i="54"/>
  <c r="BH94" i="54"/>
  <c r="J94" i="56" s="1"/>
  <c r="BW99" i="54"/>
  <c r="BR82" i="55"/>
  <c r="T82" i="57" s="1"/>
  <c r="AX82" i="55"/>
  <c r="BH82" i="55"/>
  <c r="J82" i="57" s="1"/>
  <c r="BR95" i="55"/>
  <c r="T95" i="57" s="1"/>
  <c r="BH95" i="55"/>
  <c r="J95" i="57" s="1"/>
  <c r="AX95" i="55"/>
  <c r="BD72" i="54"/>
  <c r="F72" i="56" s="1"/>
  <c r="BN72" i="54"/>
  <c r="P72" i="56" s="1"/>
  <c r="AX86" i="54"/>
  <c r="BH86" i="54"/>
  <c r="J86" i="56" s="1"/>
  <c r="AT98" i="54"/>
  <c r="BD98" i="54"/>
  <c r="F98" i="56" s="1"/>
  <c r="BN36" i="55"/>
  <c r="P36" i="57" s="1"/>
  <c r="AT36" i="55"/>
  <c r="AT48" i="55"/>
  <c r="BD48" i="55"/>
  <c r="F48" i="57" s="1"/>
  <c r="BR64" i="55"/>
  <c r="T64" i="57" s="1"/>
  <c r="BH64" i="55"/>
  <c r="J64" i="57" s="1"/>
  <c r="BC74" i="55"/>
  <c r="E74" i="57" s="1"/>
  <c r="AS74" i="55"/>
  <c r="BN78" i="55"/>
  <c r="P78" i="57" s="1"/>
  <c r="BD78" i="55"/>
  <c r="F78" i="57" s="1"/>
  <c r="AT78" i="55"/>
  <c r="BN79" i="55"/>
  <c r="P79" i="57" s="1"/>
  <c r="AT79" i="55"/>
  <c r="BD79" i="55"/>
  <c r="F79" i="57" s="1"/>
  <c r="BD4" i="54"/>
  <c r="F4" i="56" s="1"/>
  <c r="AT42" i="54"/>
  <c r="BD58" i="54"/>
  <c r="F58" i="56" s="1"/>
  <c r="BM62" i="54"/>
  <c r="O62" i="56" s="1"/>
  <c r="AS62" i="54"/>
  <c r="BH89" i="54"/>
  <c r="J89" i="56" s="1"/>
  <c r="BR89" i="54"/>
  <c r="T89" i="56" s="1"/>
  <c r="AX89" i="54"/>
  <c r="BN17" i="55"/>
  <c r="P17" i="57" s="1"/>
  <c r="BD17" i="55"/>
  <c r="F17" i="57" s="1"/>
  <c r="AT17" i="55"/>
  <c r="AS60" i="55"/>
  <c r="BC60" i="55"/>
  <c r="E60" i="57" s="1"/>
  <c r="BH63" i="55"/>
  <c r="J63" i="57" s="1"/>
  <c r="BM74" i="55"/>
  <c r="O74" i="57" s="1"/>
  <c r="BD20" i="54"/>
  <c r="F20" i="56" s="1"/>
  <c r="BD21" i="54"/>
  <c r="F21" i="56" s="1"/>
  <c r="BD29" i="54"/>
  <c r="F29" i="56" s="1"/>
  <c r="BD44" i="54"/>
  <c r="F44" i="56" s="1"/>
  <c r="BD48" i="54"/>
  <c r="F48" i="56" s="1"/>
  <c r="AT50" i="54"/>
  <c r="AT62" i="54"/>
  <c r="BN62" i="54"/>
  <c r="P62" i="56" s="1"/>
  <c r="BM92" i="54"/>
  <c r="O92" i="56" s="1"/>
  <c r="AS92" i="54"/>
  <c r="AT97" i="54"/>
  <c r="BN30" i="55"/>
  <c r="P30" i="57" s="1"/>
  <c r="AT30" i="55"/>
  <c r="BR54" i="55"/>
  <c r="T54" i="57" s="1"/>
  <c r="AX54" i="55"/>
  <c r="AX68" i="55"/>
  <c r="BH68" i="55"/>
  <c r="J68" i="57" s="1"/>
  <c r="BM91" i="55"/>
  <c r="O91" i="57" s="1"/>
  <c r="AS91" i="55"/>
  <c r="BC91" i="55"/>
  <c r="E91" i="57" s="1"/>
  <c r="BW55" i="54"/>
  <c r="AT57" i="54"/>
  <c r="BW57" i="54"/>
  <c r="BH63" i="54"/>
  <c r="J63" i="56" s="1"/>
  <c r="BC68" i="54"/>
  <c r="E68" i="56" s="1"/>
  <c r="BW71" i="54"/>
  <c r="BH74" i="54"/>
  <c r="J74" i="56" s="1"/>
  <c r="BC79" i="54"/>
  <c r="E79" i="56" s="1"/>
  <c r="AT81" i="54"/>
  <c r="BD82" i="54"/>
  <c r="F82" i="56" s="1"/>
  <c r="BM88" i="54"/>
  <c r="O88" i="56" s="1"/>
  <c r="BW91" i="54"/>
  <c r="BH102" i="54"/>
  <c r="J102" i="56" s="1"/>
  <c r="BN50" i="55"/>
  <c r="P50" i="57" s="1"/>
  <c r="AT50" i="55"/>
  <c r="BW54" i="55"/>
  <c r="BM56" i="55"/>
  <c r="O56" i="57" s="1"/>
  <c r="AS56" i="55"/>
  <c r="BN71" i="55"/>
  <c r="P71" i="57" s="1"/>
  <c r="AT71" i="55"/>
  <c r="BW74" i="55"/>
  <c r="BD77" i="55"/>
  <c r="F77" i="57" s="1"/>
  <c r="AT77" i="55"/>
  <c r="BN84" i="55"/>
  <c r="P84" i="57" s="1"/>
  <c r="BN85" i="55"/>
  <c r="P85" i="57" s="1"/>
  <c r="BM94" i="55"/>
  <c r="O94" i="57" s="1"/>
  <c r="AS94" i="55"/>
  <c r="BD52" i="54"/>
  <c r="F52" i="56" s="1"/>
  <c r="BH54" i="54"/>
  <c r="J54" i="56" s="1"/>
  <c r="BM57" i="54"/>
  <c r="O57" i="56" s="1"/>
  <c r="AX59" i="54"/>
  <c r="BW60" i="54"/>
  <c r="BD66" i="54"/>
  <c r="F66" i="56" s="1"/>
  <c r="BR72" i="54"/>
  <c r="T72" i="56" s="1"/>
  <c r="BW73" i="54"/>
  <c r="BW76" i="54"/>
  <c r="BW77" i="54"/>
  <c r="BD79" i="54"/>
  <c r="F79" i="56" s="1"/>
  <c r="BR81" i="54"/>
  <c r="T81" i="56" s="1"/>
  <c r="BN88" i="54"/>
  <c r="P88" i="56" s="1"/>
  <c r="BD95" i="54"/>
  <c r="F95" i="56" s="1"/>
  <c r="BC96" i="54"/>
  <c r="E96" i="56" s="1"/>
  <c r="AT25" i="55"/>
  <c r="BD42" i="55"/>
  <c r="F42" i="57" s="1"/>
  <c r="BM69" i="55"/>
  <c r="O69" i="57" s="1"/>
  <c r="BC69" i="55"/>
  <c r="E69" i="57" s="1"/>
  <c r="BW70" i="55"/>
  <c r="AT85" i="55"/>
  <c r="BN92" i="55"/>
  <c r="P92" i="57" s="1"/>
  <c r="BD92" i="55"/>
  <c r="F92" i="57" s="1"/>
  <c r="BN98" i="55"/>
  <c r="P98" i="57" s="1"/>
  <c r="AT98" i="55"/>
  <c r="BD98" i="55"/>
  <c r="F98" i="57" s="1"/>
  <c r="BR56" i="54"/>
  <c r="T56" i="56" s="1"/>
  <c r="BN57" i="54"/>
  <c r="P57" i="56" s="1"/>
  <c r="AX67" i="54"/>
  <c r="AX72" i="54"/>
  <c r="BW75" i="54"/>
  <c r="AS79" i="54"/>
  <c r="BW81" i="54"/>
  <c r="AX83" i="54"/>
  <c r="AT86" i="54"/>
  <c r="BC87" i="54"/>
  <c r="E87" i="56" s="1"/>
  <c r="BC88" i="54"/>
  <c r="E88" i="56" s="1"/>
  <c r="AS90" i="54"/>
  <c r="BC91" i="54"/>
  <c r="E91" i="56" s="1"/>
  <c r="BD9" i="55"/>
  <c r="F9" i="57" s="1"/>
  <c r="AT18" i="55"/>
  <c r="AT33" i="55"/>
  <c r="BD35" i="55"/>
  <c r="F35" i="57" s="1"/>
  <c r="AT41" i="55"/>
  <c r="AS57" i="55"/>
  <c r="BC57" i="55"/>
  <c r="E57" i="57" s="1"/>
  <c r="AS65" i="55"/>
  <c r="BC65" i="55"/>
  <c r="E65" i="57" s="1"/>
  <c r="BN66" i="55"/>
  <c r="P66" i="57" s="1"/>
  <c r="AT66" i="55"/>
  <c r="BM70" i="55"/>
  <c r="O70" i="57" s="1"/>
  <c r="AS70" i="55"/>
  <c r="BR74" i="55"/>
  <c r="T74" i="57" s="1"/>
  <c r="BH74" i="55"/>
  <c r="J74" i="57" s="1"/>
  <c r="AX74" i="55"/>
  <c r="BW79" i="55"/>
  <c r="AT89" i="55"/>
  <c r="BD89" i="55"/>
  <c r="F89" i="57" s="1"/>
  <c r="AT97" i="55"/>
  <c r="BD97" i="55"/>
  <c r="F97" i="57" s="1"/>
  <c r="BD53" i="54"/>
  <c r="F53" i="56" s="1"/>
  <c r="BD55" i="54"/>
  <c r="F55" i="56" s="1"/>
  <c r="BN61" i="54"/>
  <c r="P61" i="56" s="1"/>
  <c r="AS66" i="54"/>
  <c r="BC75" i="54"/>
  <c r="E75" i="56" s="1"/>
  <c r="AT76" i="54"/>
  <c r="BN76" i="54"/>
  <c r="P76" i="56" s="1"/>
  <c r="AT79" i="54"/>
  <c r="AX80" i="54"/>
  <c r="BR80" i="54"/>
  <c r="T80" i="56" s="1"/>
  <c r="AS82" i="54"/>
  <c r="BW84" i="54"/>
  <c r="BW85" i="54"/>
  <c r="BW89" i="54"/>
  <c r="BW93" i="54"/>
  <c r="AT94" i="54"/>
  <c r="BH95" i="54"/>
  <c r="J95" i="56" s="1"/>
  <c r="BD3" i="55"/>
  <c r="F3" i="57" s="1"/>
  <c r="AT8" i="55"/>
  <c r="BD28" i="55"/>
  <c r="F28" i="57" s="1"/>
  <c r="BW76" i="55"/>
  <c r="BH80" i="55"/>
  <c r="J80" i="57" s="1"/>
  <c r="BR80" i="55"/>
  <c r="T80" i="57" s="1"/>
  <c r="AX80" i="55"/>
  <c r="BW84" i="55"/>
  <c r="BW95" i="55"/>
  <c r="AX54" i="54"/>
  <c r="BR55" i="54"/>
  <c r="T55" i="56" s="1"/>
  <c r="BC56" i="54"/>
  <c r="E56" i="56" s="1"/>
  <c r="BR58" i="54"/>
  <c r="T58" i="56" s="1"/>
  <c r="BH59" i="54"/>
  <c r="J59" i="56" s="1"/>
  <c r="AX61" i="54"/>
  <c r="BR63" i="54"/>
  <c r="T63" i="56" s="1"/>
  <c r="AT66" i="54"/>
  <c r="AT68" i="54"/>
  <c r="BM68" i="54"/>
  <c r="O68" i="56" s="1"/>
  <c r="AX69" i="54"/>
  <c r="AX74" i="54"/>
  <c r="BW79" i="54"/>
  <c r="BC83" i="54"/>
  <c r="E83" i="56" s="1"/>
  <c r="BW83" i="54"/>
  <c r="AS87" i="54"/>
  <c r="BW88" i="54"/>
  <c r="BH98" i="54"/>
  <c r="J98" i="56" s="1"/>
  <c r="BD20" i="55"/>
  <c r="F20" i="57" s="1"/>
  <c r="AT42" i="55"/>
  <c r="AT44" i="55"/>
  <c r="BN49" i="55"/>
  <c r="P49" i="57" s="1"/>
  <c r="AT49" i="55"/>
  <c r="BD50" i="55"/>
  <c r="F50" i="57" s="1"/>
  <c r="BW56" i="55"/>
  <c r="BR88" i="55"/>
  <c r="T88" i="57" s="1"/>
  <c r="BH88" i="55"/>
  <c r="J88" i="57" s="1"/>
  <c r="AX88" i="55"/>
  <c r="AT92" i="55"/>
  <c r="BH57" i="55"/>
  <c r="J57" i="57" s="1"/>
  <c r="BD63" i="55"/>
  <c r="F63" i="57" s="1"/>
  <c r="AX73" i="55"/>
  <c r="BN74" i="55"/>
  <c r="P74" i="57" s="1"/>
  <c r="BC75" i="55"/>
  <c r="E75" i="57" s="1"/>
  <c r="BC79" i="55"/>
  <c r="E79" i="57" s="1"/>
  <c r="AS80" i="55"/>
  <c r="AX83" i="55"/>
  <c r="BN86" i="55"/>
  <c r="P86" i="57" s="1"/>
  <c r="AS93" i="55"/>
  <c r="BD102" i="55"/>
  <c r="F102" i="57" s="1"/>
  <c r="BD56" i="55"/>
  <c r="F56" i="57" s="1"/>
  <c r="BW57" i="55"/>
  <c r="BW61" i="55"/>
  <c r="AX65" i="55"/>
  <c r="BH67" i="55"/>
  <c r="J67" i="57" s="1"/>
  <c r="BC68" i="55"/>
  <c r="E68" i="57" s="1"/>
  <c r="BW71" i="55"/>
  <c r="BD74" i="55"/>
  <c r="F74" i="57" s="1"/>
  <c r="BH75" i="55"/>
  <c r="J75" i="57" s="1"/>
  <c r="AX77" i="55"/>
  <c r="BN80" i="55"/>
  <c r="P80" i="57" s="1"/>
  <c r="BH81" i="55"/>
  <c r="J81" i="57" s="1"/>
  <c r="BW86" i="55"/>
  <c r="BD90" i="55"/>
  <c r="F90" i="57" s="1"/>
  <c r="BH94" i="55"/>
  <c r="J94" i="57" s="1"/>
  <c r="BH100" i="55"/>
  <c r="J100" i="57" s="1"/>
  <c r="AT47" i="55"/>
  <c r="BN57" i="55"/>
  <c r="P57" i="57" s="1"/>
  <c r="BD68" i="55"/>
  <c r="F68" i="57" s="1"/>
  <c r="AS71" i="55"/>
  <c r="AX72" i="55"/>
  <c r="BM75" i="55"/>
  <c r="O75" i="57" s="1"/>
  <c r="AX96" i="55"/>
  <c r="BD99" i="55"/>
  <c r="F99" i="57" s="1"/>
  <c r="AT56" i="55"/>
  <c r="BW64" i="55"/>
  <c r="BW65" i="55"/>
  <c r="AS67" i="55"/>
  <c r="BW69" i="55"/>
  <c r="BW82" i="55"/>
  <c r="AX89" i="55"/>
  <c r="AX97" i="55"/>
  <c r="BN61" i="55"/>
  <c r="P61" i="57" s="1"/>
  <c r="BW66" i="55"/>
  <c r="AX70" i="55"/>
  <c r="BW72" i="55"/>
  <c r="AX75" i="55"/>
  <c r="BC80" i="55"/>
  <c r="E80" i="57" s="1"/>
  <c r="AT90" i="55"/>
  <c r="BW92" i="55"/>
  <c r="BC93" i="55"/>
  <c r="E93" i="57" s="1"/>
  <c r="AX94" i="55"/>
  <c r="BW94" i="55"/>
  <c r="BW96" i="55"/>
  <c r="AX100" i="55"/>
  <c r="AT101" i="55"/>
  <c r="AS102" i="55"/>
  <c r="W105" i="55"/>
  <c r="W107" i="55"/>
  <c r="W106" i="55"/>
  <c r="HK48" i="55"/>
  <c r="HK46" i="55"/>
  <c r="BW46" i="55" s="1"/>
  <c r="HK53" i="55"/>
  <c r="BW53" i="55" s="1"/>
  <c r="D53" i="57" s="1"/>
  <c r="HK45" i="55"/>
  <c r="BW45" i="55" s="1"/>
  <c r="D45" i="57" s="1"/>
  <c r="HK52" i="55"/>
  <c r="HK44" i="55"/>
  <c r="HK51" i="55"/>
  <c r="HK50" i="55"/>
  <c r="HK42" i="55"/>
  <c r="HK34" i="55"/>
  <c r="HK26" i="55"/>
  <c r="BW26" i="55" s="1"/>
  <c r="D26" i="57" s="1"/>
  <c r="HK43" i="55"/>
  <c r="HK33" i="55"/>
  <c r="HK25" i="55"/>
  <c r="HK41" i="55"/>
  <c r="HK40" i="55"/>
  <c r="HK32" i="55"/>
  <c r="HK39" i="55"/>
  <c r="BW39" i="55" s="1"/>
  <c r="D39" i="57" s="1"/>
  <c r="HK31" i="55"/>
  <c r="HK38" i="55"/>
  <c r="HK30" i="55"/>
  <c r="HK49" i="55"/>
  <c r="BW49" i="55" s="1"/>
  <c r="D49" i="57" s="1"/>
  <c r="HK37" i="55"/>
  <c r="HK29" i="55"/>
  <c r="HK36" i="55"/>
  <c r="HK28" i="55"/>
  <c r="BW28" i="55" s="1"/>
  <c r="D28" i="57" s="1"/>
  <c r="HK23" i="55"/>
  <c r="HK15" i="55"/>
  <c r="HK7" i="55"/>
  <c r="HK22" i="55"/>
  <c r="HK14" i="55"/>
  <c r="HK6" i="55"/>
  <c r="HK35" i="55"/>
  <c r="HK21" i="55"/>
  <c r="HK27" i="55"/>
  <c r="HK20" i="55"/>
  <c r="HK12" i="55"/>
  <c r="HK19" i="55"/>
  <c r="HK11" i="55"/>
  <c r="HK18" i="55"/>
  <c r="HK10" i="55"/>
  <c r="HK24" i="55"/>
  <c r="HK16" i="55"/>
  <c r="BW16" i="55" s="1"/>
  <c r="BD14" i="55"/>
  <c r="F14" i="57" s="1"/>
  <c r="AT14" i="55"/>
  <c r="BD1" i="55"/>
  <c r="F1" i="57" s="1"/>
  <c r="BL1" i="55"/>
  <c r="N1" i="57" s="1"/>
  <c r="H109" i="55"/>
  <c r="P107" i="55"/>
  <c r="P106" i="55"/>
  <c r="P105" i="55"/>
  <c r="X107" i="55"/>
  <c r="X106" i="55"/>
  <c r="X105" i="55"/>
  <c r="AU3" i="55"/>
  <c r="BK3" i="55"/>
  <c r="M3" i="57" s="1"/>
  <c r="HK3" i="55"/>
  <c r="AT4" i="55"/>
  <c r="BB4" i="55"/>
  <c r="BJ4" i="55"/>
  <c r="L4" i="57" s="1"/>
  <c r="BA5" i="55"/>
  <c r="BQ5" i="55"/>
  <c r="S5" i="57" s="1"/>
  <c r="HK8" i="55"/>
  <c r="BK15" i="55"/>
  <c r="M15" i="57" s="1"/>
  <c r="BA15" i="55"/>
  <c r="BF20" i="55"/>
  <c r="H20" i="57" s="1"/>
  <c r="AV20" i="55"/>
  <c r="BD22" i="55"/>
  <c r="F22" i="57" s="1"/>
  <c r="AT22" i="55"/>
  <c r="BL22" i="55"/>
  <c r="N22" i="57" s="1"/>
  <c r="BB22" i="55"/>
  <c r="BF30" i="55"/>
  <c r="H30" i="57" s="1"/>
  <c r="AV30" i="55"/>
  <c r="BP30" i="55"/>
  <c r="R30" i="57" s="1"/>
  <c r="BP5" i="55"/>
  <c r="R5" i="57" s="1"/>
  <c r="I109" i="55"/>
  <c r="Q107" i="55"/>
  <c r="Q106" i="55"/>
  <c r="Q105" i="55"/>
  <c r="Y107" i="55"/>
  <c r="Y106" i="55"/>
  <c r="Y105" i="55"/>
  <c r="BT3" i="55"/>
  <c r="V3" i="57" s="1"/>
  <c r="AU4" i="55"/>
  <c r="HK4" i="55"/>
  <c r="BW4" i="55" s="1"/>
  <c r="D4" i="57" s="1"/>
  <c r="AT5" i="55"/>
  <c r="BB5" i="55"/>
  <c r="BE6" i="55"/>
  <c r="G6" i="57" s="1"/>
  <c r="BO6" i="55"/>
  <c r="Q6" i="57" s="1"/>
  <c r="BN14" i="55"/>
  <c r="P14" i="57" s="1"/>
  <c r="BG29" i="55"/>
  <c r="I29" i="57" s="1"/>
  <c r="AW29" i="55"/>
  <c r="BQ29" i="55"/>
  <c r="S29" i="57" s="1"/>
  <c r="AX1" i="55"/>
  <c r="J113" i="55"/>
  <c r="J109" i="55"/>
  <c r="J107" i="55"/>
  <c r="J106" i="55"/>
  <c r="J111" i="55"/>
  <c r="J105" i="55"/>
  <c r="J114" i="55"/>
  <c r="J110" i="55"/>
  <c r="R107" i="55"/>
  <c r="R106" i="55"/>
  <c r="R105" i="55"/>
  <c r="Z107" i="55"/>
  <c r="Z106" i="55"/>
  <c r="Z105" i="55"/>
  <c r="BE3" i="55"/>
  <c r="G3" i="57" s="1"/>
  <c r="BU3" i="55"/>
  <c r="W3" i="57" s="1"/>
  <c r="BD4" i="55"/>
  <c r="F4" i="57" s="1"/>
  <c r="BL4" i="55"/>
  <c r="N4" i="57" s="1"/>
  <c r="BT4" i="55"/>
  <c r="V4" i="57" s="1"/>
  <c r="BK5" i="55"/>
  <c r="M5" i="57" s="1"/>
  <c r="HK5" i="55"/>
  <c r="BW5" i="55" s="1"/>
  <c r="D5" i="57" s="1"/>
  <c r="AV6" i="55"/>
  <c r="BF6" i="55"/>
  <c r="H6" i="57" s="1"/>
  <c r="BN7" i="55"/>
  <c r="P7" i="57" s="1"/>
  <c r="BW7" i="55"/>
  <c r="BG11" i="55"/>
  <c r="I11" i="57" s="1"/>
  <c r="AW11" i="55"/>
  <c r="BJ16" i="55"/>
  <c r="L16" i="57" s="1"/>
  <c r="AZ16" i="55"/>
  <c r="BK23" i="55"/>
  <c r="M23" i="57" s="1"/>
  <c r="BA23" i="55"/>
  <c r="BK41" i="55"/>
  <c r="M41" i="57" s="1"/>
  <c r="BA41" i="55"/>
  <c r="BU41" i="55"/>
  <c r="W41" i="57" s="1"/>
  <c r="G105" i="55"/>
  <c r="G114" i="55"/>
  <c r="C115" i="55"/>
  <c r="G110" i="55"/>
  <c r="G113" i="55"/>
  <c r="G109" i="55"/>
  <c r="G107" i="55"/>
  <c r="G106" i="55"/>
  <c r="G111" i="55"/>
  <c r="BW12" i="55"/>
  <c r="D12" i="57" s="1"/>
  <c r="AY1" i="55"/>
  <c r="BG1" i="55"/>
  <c r="I1" i="57" s="1"/>
  <c r="C109" i="55"/>
  <c r="K109" i="55"/>
  <c r="K107" i="55"/>
  <c r="K106" i="55"/>
  <c r="K111" i="55"/>
  <c r="K105" i="55"/>
  <c r="K114" i="55"/>
  <c r="K110" i="55"/>
  <c r="K113" i="55"/>
  <c r="S107" i="55"/>
  <c r="S106" i="55"/>
  <c r="S105" i="55"/>
  <c r="M115" i="55"/>
  <c r="AA107" i="55"/>
  <c r="AA106" i="55"/>
  <c r="AA105" i="55"/>
  <c r="BF3" i="55"/>
  <c r="H3" i="57" s="1"/>
  <c r="AW4" i="55"/>
  <c r="BE4" i="55"/>
  <c r="G4" i="57" s="1"/>
  <c r="AV5" i="55"/>
  <c r="BD5" i="55"/>
  <c r="F5" i="57" s="1"/>
  <c r="BL5" i="55"/>
  <c r="N5" i="57" s="1"/>
  <c r="BT6" i="55"/>
  <c r="V6" i="57" s="1"/>
  <c r="BJ7" i="55"/>
  <c r="L7" i="57" s="1"/>
  <c r="AZ7" i="55"/>
  <c r="BD7" i="55"/>
  <c r="F7" i="57" s="1"/>
  <c r="BJ8" i="55"/>
  <c r="L8" i="57" s="1"/>
  <c r="AZ8" i="55"/>
  <c r="BT8" i="55"/>
  <c r="V8" i="57" s="1"/>
  <c r="BQ11" i="55"/>
  <c r="S11" i="57" s="1"/>
  <c r="BN22" i="55"/>
  <c r="P22" i="57" s="1"/>
  <c r="O105" i="55"/>
  <c r="O107" i="55"/>
  <c r="O106" i="55"/>
  <c r="D107" i="55"/>
  <c r="D106" i="55"/>
  <c r="D111" i="55"/>
  <c r="D105" i="55"/>
  <c r="D114" i="55"/>
  <c r="D110" i="55"/>
  <c r="D113" i="55"/>
  <c r="D109" i="55"/>
  <c r="L107" i="55"/>
  <c r="H115" i="55"/>
  <c r="L106" i="55"/>
  <c r="L111" i="55"/>
  <c r="L105" i="55"/>
  <c r="L114" i="55"/>
  <c r="L110" i="55"/>
  <c r="L113" i="55"/>
  <c r="L109" i="55"/>
  <c r="T107" i="55"/>
  <c r="T106" i="55"/>
  <c r="T105" i="55"/>
  <c r="BU8" i="55"/>
  <c r="W8" i="57" s="1"/>
  <c r="BW11" i="55"/>
  <c r="D11" i="57" s="1"/>
  <c r="BF12" i="55"/>
  <c r="H12" i="57" s="1"/>
  <c r="AV12" i="55"/>
  <c r="BE28" i="55"/>
  <c r="G28" i="57" s="1"/>
  <c r="AU28" i="55"/>
  <c r="BO28" i="55"/>
  <c r="Q28" i="57" s="1"/>
  <c r="BL14" i="55"/>
  <c r="N14" i="57" s="1"/>
  <c r="BB14" i="55"/>
  <c r="BQ1" i="55"/>
  <c r="S1" i="57" s="1"/>
  <c r="E106" i="55"/>
  <c r="E111" i="55"/>
  <c r="E105" i="55"/>
  <c r="E114" i="55"/>
  <c r="E110" i="55"/>
  <c r="E113" i="55"/>
  <c r="E109" i="55"/>
  <c r="E107" i="55"/>
  <c r="U106" i="55"/>
  <c r="U105" i="55"/>
  <c r="U107" i="55"/>
  <c r="BG4" i="55"/>
  <c r="I4" i="57" s="1"/>
  <c r="BK6" i="55"/>
  <c r="M6" i="57" s="1"/>
  <c r="BA6" i="55"/>
  <c r="BJ6" i="55"/>
  <c r="L6" i="57" s="1"/>
  <c r="BU7" i="55"/>
  <c r="W7" i="57" s="1"/>
  <c r="BG10" i="55"/>
  <c r="I10" i="57" s="1"/>
  <c r="AW10" i="55"/>
  <c r="BU15" i="55"/>
  <c r="W15" i="57" s="1"/>
  <c r="HK17" i="55"/>
  <c r="BW17" i="55" s="1"/>
  <c r="D17" i="57" s="1"/>
  <c r="BP20" i="55"/>
  <c r="R20" i="57" s="1"/>
  <c r="BE21" i="55"/>
  <c r="G21" i="57" s="1"/>
  <c r="AU21" i="55"/>
  <c r="BJ24" i="55"/>
  <c r="L24" i="57" s="1"/>
  <c r="AZ24" i="55"/>
  <c r="BG37" i="55"/>
  <c r="I37" i="57" s="1"/>
  <c r="AW37" i="55"/>
  <c r="BQ37" i="55"/>
  <c r="S37" i="57" s="1"/>
  <c r="BG19" i="55"/>
  <c r="I19" i="57" s="1"/>
  <c r="AW19" i="55"/>
  <c r="AT1" i="55"/>
  <c r="BB1" i="55"/>
  <c r="BJ1" i="55"/>
  <c r="L1" i="57" s="1"/>
  <c r="BR1" i="55"/>
  <c r="T1" i="57" s="1"/>
  <c r="F111" i="55"/>
  <c r="F105" i="55"/>
  <c r="F114" i="55"/>
  <c r="F110" i="55"/>
  <c r="F113" i="55"/>
  <c r="F109" i="55"/>
  <c r="F107" i="55"/>
  <c r="F106" i="55"/>
  <c r="N105" i="55"/>
  <c r="N107" i="55"/>
  <c r="N106" i="55"/>
  <c r="V105" i="55"/>
  <c r="V107" i="55"/>
  <c r="V106" i="55"/>
  <c r="GD31" i="55"/>
  <c r="GD13" i="55"/>
  <c r="BW13" i="55" s="1"/>
  <c r="D13" i="57" s="1"/>
  <c r="BV7" i="55"/>
  <c r="X7" i="57" s="1"/>
  <c r="HK9" i="55"/>
  <c r="BP12" i="55"/>
  <c r="R12" i="57" s="1"/>
  <c r="BE13" i="55"/>
  <c r="G13" i="57" s="1"/>
  <c r="AU13" i="55"/>
  <c r="BT16" i="55"/>
  <c r="V16" i="57" s="1"/>
  <c r="BP11" i="55"/>
  <c r="R11" i="57" s="1"/>
  <c r="BO12" i="55"/>
  <c r="Q12" i="57" s="1"/>
  <c r="BN13" i="55"/>
  <c r="P13" i="57" s="1"/>
  <c r="BV13" i="55"/>
  <c r="X13" i="57" s="1"/>
  <c r="BU14" i="55"/>
  <c r="W14" i="57" s="1"/>
  <c r="BT15" i="55"/>
  <c r="V15" i="57" s="1"/>
  <c r="BQ18" i="55"/>
  <c r="S18" i="57" s="1"/>
  <c r="BP19" i="55"/>
  <c r="R19" i="57" s="1"/>
  <c r="BO20" i="55"/>
  <c r="Q20" i="57" s="1"/>
  <c r="BN21" i="55"/>
  <c r="P21" i="57" s="1"/>
  <c r="BV21" i="55"/>
  <c r="X21" i="57" s="1"/>
  <c r="BU22" i="55"/>
  <c r="W22" i="57" s="1"/>
  <c r="BT23" i="55"/>
  <c r="V23" i="57" s="1"/>
  <c r="BJ26" i="55"/>
  <c r="L26" i="57" s="1"/>
  <c r="AZ26" i="55"/>
  <c r="BU27" i="55"/>
  <c r="W27" i="57" s="1"/>
  <c r="BJ34" i="55"/>
  <c r="L34" i="57" s="1"/>
  <c r="AZ34" i="55"/>
  <c r="BD40" i="55"/>
  <c r="F40" i="57" s="1"/>
  <c r="AT40" i="55"/>
  <c r="BL40" i="55"/>
  <c r="N40" i="57" s="1"/>
  <c r="BB40" i="55"/>
  <c r="BT9" i="55"/>
  <c r="V9" i="57" s="1"/>
  <c r="BQ12" i="55"/>
  <c r="S12" i="57" s="1"/>
  <c r="BP13" i="55"/>
  <c r="R13" i="57" s="1"/>
  <c r="BO14" i="55"/>
  <c r="Q14" i="57" s="1"/>
  <c r="BN15" i="55"/>
  <c r="P15" i="57" s="1"/>
  <c r="BV15" i="55"/>
  <c r="X15" i="57" s="1"/>
  <c r="BU16" i="55"/>
  <c r="W16" i="57" s="1"/>
  <c r="BT17" i="55"/>
  <c r="V17" i="57" s="1"/>
  <c r="BQ20" i="55"/>
  <c r="S20" i="57" s="1"/>
  <c r="BP21" i="55"/>
  <c r="R21" i="57" s="1"/>
  <c r="BO22" i="55"/>
  <c r="Q22" i="57" s="1"/>
  <c r="BN23" i="55"/>
  <c r="P23" i="57" s="1"/>
  <c r="BV23" i="55"/>
  <c r="X23" i="57" s="1"/>
  <c r="BU24" i="55"/>
  <c r="W24" i="57" s="1"/>
  <c r="BJ25" i="55"/>
  <c r="L25" i="57" s="1"/>
  <c r="BV26" i="55"/>
  <c r="X26" i="57" s="1"/>
  <c r="BW36" i="55"/>
  <c r="D36" i="57" s="1"/>
  <c r="BF38" i="55"/>
  <c r="H38" i="57" s="1"/>
  <c r="AV38" i="55"/>
  <c r="BN40" i="55"/>
  <c r="P40" i="57" s="1"/>
  <c r="BJ46" i="55"/>
  <c r="L46" i="57" s="1"/>
  <c r="BT46" i="55"/>
  <c r="V46" i="57" s="1"/>
  <c r="AW9" i="55"/>
  <c r="AV10" i="55"/>
  <c r="AU11" i="55"/>
  <c r="AT12" i="55"/>
  <c r="BB12" i="55"/>
  <c r="BA13" i="55"/>
  <c r="BP14" i="55"/>
  <c r="R14" i="57" s="1"/>
  <c r="BO15" i="55"/>
  <c r="Q15" i="57" s="1"/>
  <c r="BN16" i="55"/>
  <c r="P16" i="57" s="1"/>
  <c r="BV16" i="55"/>
  <c r="X16" i="57" s="1"/>
  <c r="BU17" i="55"/>
  <c r="W17" i="57" s="1"/>
  <c r="BT18" i="55"/>
  <c r="V18" i="57" s="1"/>
  <c r="BQ21" i="55"/>
  <c r="S21" i="57" s="1"/>
  <c r="BP22" i="55"/>
  <c r="R22" i="57" s="1"/>
  <c r="BO23" i="55"/>
  <c r="Q23" i="57" s="1"/>
  <c r="BF24" i="55"/>
  <c r="H24" i="57" s="1"/>
  <c r="BN24" i="55"/>
  <c r="P24" i="57" s="1"/>
  <c r="BV24" i="55"/>
  <c r="X24" i="57" s="1"/>
  <c r="BK25" i="55"/>
  <c r="M25" i="57" s="1"/>
  <c r="BF27" i="55"/>
  <c r="H27" i="57" s="1"/>
  <c r="AV27" i="55"/>
  <c r="BE31" i="55"/>
  <c r="G31" i="57" s="1"/>
  <c r="AU31" i="55"/>
  <c r="BV40" i="55"/>
  <c r="X40" i="57" s="1"/>
  <c r="BG8" i="55"/>
  <c r="I8" i="57" s="1"/>
  <c r="BF9" i="55"/>
  <c r="H9" i="57" s="1"/>
  <c r="BE10" i="55"/>
  <c r="G10" i="57" s="1"/>
  <c r="AV11" i="55"/>
  <c r="BD11" i="55"/>
  <c r="F11" i="57" s="1"/>
  <c r="BL11" i="55"/>
  <c r="N11" i="57" s="1"/>
  <c r="AU12" i="55"/>
  <c r="BK12" i="55"/>
  <c r="M12" i="57" s="1"/>
  <c r="AT13" i="55"/>
  <c r="BB13" i="55"/>
  <c r="BJ13" i="55"/>
  <c r="L13" i="57" s="1"/>
  <c r="BA14" i="55"/>
  <c r="AZ15" i="55"/>
  <c r="BG16" i="55"/>
  <c r="I16" i="57" s="1"/>
  <c r="BF17" i="55"/>
  <c r="H17" i="57" s="1"/>
  <c r="AW18" i="55"/>
  <c r="BE18" i="55"/>
  <c r="G18" i="57" s="1"/>
  <c r="AV19" i="55"/>
  <c r="BD19" i="55"/>
  <c r="F19" i="57" s="1"/>
  <c r="BL19" i="55"/>
  <c r="N19" i="57" s="1"/>
  <c r="AU20" i="55"/>
  <c r="BK20" i="55"/>
  <c r="M20" i="57" s="1"/>
  <c r="AT21" i="55"/>
  <c r="BB21" i="55"/>
  <c r="BJ21" i="55"/>
  <c r="L21" i="57" s="1"/>
  <c r="BA22" i="55"/>
  <c r="AZ23" i="55"/>
  <c r="BG24" i="55"/>
  <c r="I24" i="57" s="1"/>
  <c r="BK27" i="55"/>
  <c r="M27" i="57" s="1"/>
  <c r="BK42" i="55"/>
  <c r="M42" i="57" s="1"/>
  <c r="BA42" i="55"/>
  <c r="BU42" i="55"/>
  <c r="W42" i="57" s="1"/>
  <c r="BG9" i="55"/>
  <c r="I9" i="57" s="1"/>
  <c r="BF10" i="55"/>
  <c r="H10" i="57" s="1"/>
  <c r="BE11" i="55"/>
  <c r="G11" i="57" s="1"/>
  <c r="BD12" i="55"/>
  <c r="F12" i="57" s="1"/>
  <c r="BL12" i="55"/>
  <c r="N12" i="57" s="1"/>
  <c r="BK13" i="55"/>
  <c r="M13" i="57" s="1"/>
  <c r="BJ14" i="55"/>
  <c r="L14" i="57" s="1"/>
  <c r="BG17" i="55"/>
  <c r="I17" i="57" s="1"/>
  <c r="BF18" i="55"/>
  <c r="H18" i="57" s="1"/>
  <c r="BE19" i="55"/>
  <c r="G19" i="57" s="1"/>
  <c r="BG26" i="55"/>
  <c r="I26" i="57" s="1"/>
  <c r="AW26" i="55"/>
  <c r="BL26" i="55"/>
  <c r="N26" i="57" s="1"/>
  <c r="BD32" i="55"/>
  <c r="F32" i="57" s="1"/>
  <c r="AT32" i="55"/>
  <c r="BL32" i="55"/>
  <c r="N32" i="57" s="1"/>
  <c r="BB32" i="55"/>
  <c r="BK33" i="55"/>
  <c r="M33" i="57" s="1"/>
  <c r="BA33" i="55"/>
  <c r="BT34" i="55"/>
  <c r="V34" i="57" s="1"/>
  <c r="BP38" i="55"/>
  <c r="R38" i="57" s="1"/>
  <c r="BE39" i="55"/>
  <c r="G39" i="57" s="1"/>
  <c r="AU39" i="55"/>
  <c r="BP25" i="55"/>
  <c r="R25" i="57" s="1"/>
  <c r="BF25" i="55"/>
  <c r="H25" i="57" s="1"/>
  <c r="BN26" i="55"/>
  <c r="P26" i="57" s="1"/>
  <c r="BP27" i="55"/>
  <c r="R27" i="57" s="1"/>
  <c r="BO31" i="55"/>
  <c r="Q31" i="57" s="1"/>
  <c r="BN32" i="55"/>
  <c r="P32" i="57" s="1"/>
  <c r="BQ26" i="55"/>
  <c r="S26" i="57" s="1"/>
  <c r="BV32" i="55"/>
  <c r="X32" i="57" s="1"/>
  <c r="BE26" i="55"/>
  <c r="G26" i="57" s="1"/>
  <c r="BD27" i="55"/>
  <c r="F27" i="57" s="1"/>
  <c r="BL27" i="55"/>
  <c r="N27" i="57" s="1"/>
  <c r="BK28" i="55"/>
  <c r="M28" i="57" s="1"/>
  <c r="AT29" i="55"/>
  <c r="BB29" i="55"/>
  <c r="BJ29" i="55"/>
  <c r="L29" i="57" s="1"/>
  <c r="BA30" i="55"/>
  <c r="AZ31" i="55"/>
  <c r="BG32" i="55"/>
  <c r="I32" i="57" s="1"/>
  <c r="BF33" i="55"/>
  <c r="H33" i="57" s="1"/>
  <c r="AW34" i="55"/>
  <c r="BE34" i="55"/>
  <c r="G34" i="57" s="1"/>
  <c r="AV35" i="55"/>
  <c r="AU36" i="55"/>
  <c r="AT37" i="55"/>
  <c r="BB37" i="55"/>
  <c r="BA38" i="55"/>
  <c r="AZ39" i="55"/>
  <c r="BV41" i="55"/>
  <c r="X41" i="57" s="1"/>
  <c r="AZ42" i="55"/>
  <c r="AZ43" i="55"/>
  <c r="BV43" i="55"/>
  <c r="X43" i="57" s="1"/>
  <c r="BK44" i="55"/>
  <c r="M44" i="57" s="1"/>
  <c r="BA44" i="55"/>
  <c r="BN44" i="55"/>
  <c r="P44" i="57" s="1"/>
  <c r="BG45" i="55"/>
  <c r="I45" i="57" s="1"/>
  <c r="BU45" i="55"/>
  <c r="W45" i="57" s="1"/>
  <c r="BK46" i="55"/>
  <c r="M46" i="57" s="1"/>
  <c r="BA46" i="55"/>
  <c r="BD46" i="55"/>
  <c r="F46" i="57" s="1"/>
  <c r="BK47" i="55"/>
  <c r="M47" i="57" s="1"/>
  <c r="BA47" i="55"/>
  <c r="BJ48" i="55"/>
  <c r="L48" i="57" s="1"/>
  <c r="AZ48" i="55"/>
  <c r="BT28" i="55"/>
  <c r="V28" i="57" s="1"/>
  <c r="BQ31" i="55"/>
  <c r="S31" i="57" s="1"/>
  <c r="BP32" i="55"/>
  <c r="R32" i="57" s="1"/>
  <c r="BO33" i="55"/>
  <c r="Q33" i="57" s="1"/>
  <c r="BN34" i="55"/>
  <c r="P34" i="57" s="1"/>
  <c r="BV34" i="55"/>
  <c r="X34" i="57" s="1"/>
  <c r="BU35" i="55"/>
  <c r="W35" i="57" s="1"/>
  <c r="BT36" i="55"/>
  <c r="V36" i="57" s="1"/>
  <c r="BQ39" i="55"/>
  <c r="S39" i="57" s="1"/>
  <c r="BP40" i="55"/>
  <c r="R40" i="57" s="1"/>
  <c r="BB44" i="55"/>
  <c r="AW28" i="55"/>
  <c r="AV29" i="55"/>
  <c r="BD29" i="55"/>
  <c r="F29" i="57" s="1"/>
  <c r="BL29" i="55"/>
  <c r="N29" i="57" s="1"/>
  <c r="AU30" i="55"/>
  <c r="BK30" i="55"/>
  <c r="M30" i="57" s="1"/>
  <c r="AT31" i="55"/>
  <c r="BB31" i="55"/>
  <c r="BJ31" i="55"/>
  <c r="L31" i="57" s="1"/>
  <c r="BA32" i="55"/>
  <c r="AZ33" i="55"/>
  <c r="BG34" i="55"/>
  <c r="I34" i="57" s="1"/>
  <c r="BF35" i="55"/>
  <c r="H35" i="57" s="1"/>
  <c r="AW36" i="55"/>
  <c r="BE36" i="55"/>
  <c r="G36" i="57" s="1"/>
  <c r="AV37" i="55"/>
  <c r="BD37" i="55"/>
  <c r="F37" i="57" s="1"/>
  <c r="BL37" i="55"/>
  <c r="N37" i="57" s="1"/>
  <c r="AU38" i="55"/>
  <c r="BK38" i="55"/>
  <c r="M38" i="57" s="1"/>
  <c r="AT39" i="55"/>
  <c r="BB39" i="55"/>
  <c r="BJ39" i="55"/>
  <c r="L39" i="57" s="1"/>
  <c r="BA40" i="55"/>
  <c r="BN41" i="55"/>
  <c r="P41" i="57" s="1"/>
  <c r="BN43" i="55"/>
  <c r="P43" i="57" s="1"/>
  <c r="BE44" i="55"/>
  <c r="G44" i="57" s="1"/>
  <c r="BP44" i="55"/>
  <c r="R44" i="57" s="1"/>
  <c r="BL45" i="55"/>
  <c r="N45" i="57" s="1"/>
  <c r="BV46" i="55"/>
  <c r="X46" i="57" s="1"/>
  <c r="BW50" i="55"/>
  <c r="D50" i="57" s="1"/>
  <c r="BG27" i="55"/>
  <c r="I27" i="57" s="1"/>
  <c r="BF28" i="55"/>
  <c r="H28" i="57" s="1"/>
  <c r="BE29" i="55"/>
  <c r="G29" i="57" s="1"/>
  <c r="BD30" i="55"/>
  <c r="F30" i="57" s="1"/>
  <c r="BL30" i="55"/>
  <c r="N30" i="57" s="1"/>
  <c r="BK31" i="55"/>
  <c r="M31" i="57" s="1"/>
  <c r="BJ32" i="55"/>
  <c r="L32" i="57" s="1"/>
  <c r="BG35" i="55"/>
  <c r="I35" i="57" s="1"/>
  <c r="BF36" i="55"/>
  <c r="H36" i="57" s="1"/>
  <c r="BE37" i="55"/>
  <c r="G37" i="57" s="1"/>
  <c r="BD38" i="55"/>
  <c r="F38" i="57" s="1"/>
  <c r="BL38" i="55"/>
  <c r="N38" i="57" s="1"/>
  <c r="BK39" i="55"/>
  <c r="M39" i="57" s="1"/>
  <c r="BJ40" i="55"/>
  <c r="L40" i="57" s="1"/>
  <c r="BE41" i="55"/>
  <c r="G41" i="57" s="1"/>
  <c r="BO42" i="55"/>
  <c r="Q42" i="57" s="1"/>
  <c r="BD43" i="55"/>
  <c r="F43" i="57" s="1"/>
  <c r="BO43" i="55"/>
  <c r="Q43" i="57" s="1"/>
  <c r="BF44" i="55"/>
  <c r="H44" i="57" s="1"/>
  <c r="BJ45" i="55"/>
  <c r="L45" i="57" s="1"/>
  <c r="AZ45" i="55"/>
  <c r="BU47" i="55"/>
  <c r="W47" i="57" s="1"/>
  <c r="BG51" i="55"/>
  <c r="I51" i="57" s="1"/>
  <c r="AW51" i="55"/>
  <c r="BQ51" i="55"/>
  <c r="S51" i="57" s="1"/>
  <c r="BC55" i="55"/>
  <c r="E55" i="57" s="1"/>
  <c r="AS55" i="55"/>
  <c r="BK55" i="55"/>
  <c r="M55" i="57" s="1"/>
  <c r="BA55" i="55"/>
  <c r="BW55" i="55"/>
  <c r="BW60" i="55"/>
  <c r="AU41" i="55"/>
  <c r="BA45" i="55"/>
  <c r="BF52" i="55"/>
  <c r="H52" i="57" s="1"/>
  <c r="AV52" i="55"/>
  <c r="BP52" i="55"/>
  <c r="R52" i="57" s="1"/>
  <c r="BE53" i="55"/>
  <c r="G53" i="57" s="1"/>
  <c r="AU53" i="55"/>
  <c r="BO53" i="55"/>
  <c r="Q53" i="57" s="1"/>
  <c r="BD54" i="55"/>
  <c r="F54" i="57" s="1"/>
  <c r="AT54" i="55"/>
  <c r="BL54" i="55"/>
  <c r="N54" i="57" s="1"/>
  <c r="BB54" i="55"/>
  <c r="BV54" i="55"/>
  <c r="X54" i="57" s="1"/>
  <c r="BI61" i="55"/>
  <c r="K61" i="57" s="1"/>
  <c r="BS61" i="55"/>
  <c r="U61" i="57" s="1"/>
  <c r="AY61" i="55"/>
  <c r="BV44" i="55"/>
  <c r="X44" i="57" s="1"/>
  <c r="BD45" i="55"/>
  <c r="F45" i="57" s="1"/>
  <c r="BT56" i="55"/>
  <c r="V56" i="57" s="1"/>
  <c r="BJ56" i="55"/>
  <c r="L56" i="57" s="1"/>
  <c r="AZ56" i="55"/>
  <c r="BE45" i="55"/>
  <c r="G45" i="57" s="1"/>
  <c r="BN46" i="55"/>
  <c r="P46" i="57" s="1"/>
  <c r="BM55" i="55"/>
  <c r="O55" i="57" s="1"/>
  <c r="BG46" i="55"/>
  <c r="I46" i="57" s="1"/>
  <c r="BF47" i="55"/>
  <c r="H47" i="57" s="1"/>
  <c r="AW48" i="55"/>
  <c r="BE48" i="55"/>
  <c r="G48" i="57" s="1"/>
  <c r="AV49" i="55"/>
  <c r="BD49" i="55"/>
  <c r="F49" i="57" s="1"/>
  <c r="BL49" i="55"/>
  <c r="N49" i="57" s="1"/>
  <c r="AU50" i="55"/>
  <c r="BK50" i="55"/>
  <c r="M50" i="57" s="1"/>
  <c r="AT51" i="55"/>
  <c r="BB51" i="55"/>
  <c r="BJ51" i="55"/>
  <c r="L51" i="57" s="1"/>
  <c r="BA52" i="55"/>
  <c r="AZ53" i="55"/>
  <c r="BH53" i="55"/>
  <c r="AY54" i="55"/>
  <c r="BG54" i="55"/>
  <c r="I54" i="57" s="1"/>
  <c r="AX55" i="55"/>
  <c r="BF55" i="55"/>
  <c r="H55" i="57" s="1"/>
  <c r="AW56" i="55"/>
  <c r="BE56" i="55"/>
  <c r="G56" i="57" s="1"/>
  <c r="AY58" i="55"/>
  <c r="BW58" i="55"/>
  <c r="BU59" i="55"/>
  <c r="W59" i="57" s="1"/>
  <c r="BS60" i="55"/>
  <c r="U60" i="57" s="1"/>
  <c r="AX61" i="55"/>
  <c r="AT62" i="55"/>
  <c r="BW62" i="55"/>
  <c r="BF63" i="55"/>
  <c r="H63" i="57" s="1"/>
  <c r="AV63" i="55"/>
  <c r="AS63" i="55"/>
  <c r="BD65" i="55"/>
  <c r="F65" i="57" s="1"/>
  <c r="AT65" i="55"/>
  <c r="BL65" i="55"/>
  <c r="N65" i="57" s="1"/>
  <c r="BB65" i="55"/>
  <c r="BR66" i="55"/>
  <c r="T66" i="57" s="1"/>
  <c r="BH66" i="55"/>
  <c r="J66" i="57" s="1"/>
  <c r="AX66" i="55"/>
  <c r="BH69" i="55"/>
  <c r="J69" i="57" s="1"/>
  <c r="AX69" i="55"/>
  <c r="BW73" i="55"/>
  <c r="BO47" i="55"/>
  <c r="Q47" i="57" s="1"/>
  <c r="BN48" i="55"/>
  <c r="P48" i="57" s="1"/>
  <c r="BV48" i="55"/>
  <c r="X48" i="57" s="1"/>
  <c r="AW49" i="55"/>
  <c r="BU49" i="55"/>
  <c r="W49" i="57" s="1"/>
  <c r="AV50" i="55"/>
  <c r="AU51" i="55"/>
  <c r="AT52" i="55"/>
  <c r="BB52" i="55"/>
  <c r="BA53" i="55"/>
  <c r="AZ54" i="55"/>
  <c r="BP54" i="55"/>
  <c r="R54" i="57" s="1"/>
  <c r="AY55" i="55"/>
  <c r="AX56" i="55"/>
  <c r="AS59" i="55"/>
  <c r="BW59" i="55"/>
  <c r="BT60" i="55"/>
  <c r="V60" i="57" s="1"/>
  <c r="AW62" i="55"/>
  <c r="BM62" i="55"/>
  <c r="O62" i="57" s="1"/>
  <c r="AW63" i="55"/>
  <c r="BM63" i="55"/>
  <c r="O63" i="57" s="1"/>
  <c r="BG70" i="55"/>
  <c r="I70" i="57" s="1"/>
  <c r="AW70" i="55"/>
  <c r="BQ70" i="55"/>
  <c r="S70" i="57" s="1"/>
  <c r="BR71" i="55"/>
  <c r="T71" i="57" s="1"/>
  <c r="BH71" i="55"/>
  <c r="J71" i="57" s="1"/>
  <c r="AX71" i="55"/>
  <c r="BE83" i="55"/>
  <c r="G83" i="57" s="1"/>
  <c r="BO83" i="55"/>
  <c r="Q83" i="57" s="1"/>
  <c r="AU83" i="55"/>
  <c r="AZ47" i="55"/>
  <c r="BG48" i="55"/>
  <c r="I48" i="57" s="1"/>
  <c r="BF49" i="55"/>
  <c r="H49" i="57" s="1"/>
  <c r="AW50" i="55"/>
  <c r="BE50" i="55"/>
  <c r="G50" i="57" s="1"/>
  <c r="AV51" i="55"/>
  <c r="BD51" i="55"/>
  <c r="F51" i="57" s="1"/>
  <c r="BL51" i="55"/>
  <c r="N51" i="57" s="1"/>
  <c r="AU52" i="55"/>
  <c r="BK52" i="55"/>
  <c r="M52" i="57" s="1"/>
  <c r="AT53" i="55"/>
  <c r="BB53" i="55"/>
  <c r="BJ53" i="55"/>
  <c r="L53" i="57" s="1"/>
  <c r="AS54" i="55"/>
  <c r="BA54" i="55"/>
  <c r="BI54" i="55"/>
  <c r="K54" i="57" s="1"/>
  <c r="AZ55" i="55"/>
  <c r="BH55" i="55"/>
  <c r="J55" i="57" s="1"/>
  <c r="AY56" i="55"/>
  <c r="BG56" i="55"/>
  <c r="I56" i="57" s="1"/>
  <c r="BB58" i="55"/>
  <c r="BN58" i="55"/>
  <c r="P58" i="57" s="1"/>
  <c r="AX62" i="55"/>
  <c r="BN62" i="55"/>
  <c r="P62" i="57" s="1"/>
  <c r="BJ64" i="55"/>
  <c r="L64" i="57" s="1"/>
  <c r="AZ64" i="55"/>
  <c r="BN65" i="55"/>
  <c r="P65" i="57" s="1"/>
  <c r="BW67" i="55"/>
  <c r="BP73" i="55"/>
  <c r="R73" i="57" s="1"/>
  <c r="BF73" i="55"/>
  <c r="H73" i="57" s="1"/>
  <c r="AV73" i="55"/>
  <c r="BG49" i="55"/>
  <c r="I49" i="57" s="1"/>
  <c r="BF50" i="55"/>
  <c r="H50" i="57" s="1"/>
  <c r="BE51" i="55"/>
  <c r="G51" i="57" s="1"/>
  <c r="BD52" i="55"/>
  <c r="F52" i="57" s="1"/>
  <c r="BL52" i="55"/>
  <c r="N52" i="57" s="1"/>
  <c r="BK53" i="55"/>
  <c r="M53" i="57" s="1"/>
  <c r="BJ54" i="55"/>
  <c r="L54" i="57" s="1"/>
  <c r="BI55" i="55"/>
  <c r="K55" i="57" s="1"/>
  <c r="BH56" i="55"/>
  <c r="J56" i="57" s="1"/>
  <c r="AT57" i="55"/>
  <c r="BO57" i="55"/>
  <c r="Q57" i="57" s="1"/>
  <c r="AS58" i="55"/>
  <c r="AW59" i="55"/>
  <c r="AU60" i="55"/>
  <c r="BB61" i="55"/>
  <c r="BR61" i="55"/>
  <c r="T61" i="57" s="1"/>
  <c r="BA62" i="55"/>
  <c r="BQ62" i="55"/>
  <c r="S62" i="57" s="1"/>
  <c r="BA63" i="55"/>
  <c r="BQ63" i="55"/>
  <c r="S63" i="57" s="1"/>
  <c r="BC66" i="55"/>
  <c r="E66" i="57" s="1"/>
  <c r="AS66" i="55"/>
  <c r="BK66" i="55"/>
  <c r="M66" i="57" s="1"/>
  <c r="BA66" i="55"/>
  <c r="BM72" i="55"/>
  <c r="O72" i="57" s="1"/>
  <c r="BC72" i="55"/>
  <c r="E72" i="57" s="1"/>
  <c r="AS72" i="55"/>
  <c r="BU72" i="55"/>
  <c r="W72" i="57" s="1"/>
  <c r="BK72" i="55"/>
  <c r="M72" i="57" s="1"/>
  <c r="BA72" i="55"/>
  <c r="BJ47" i="55"/>
  <c r="L47" i="57" s="1"/>
  <c r="BG50" i="55"/>
  <c r="I50" i="57" s="1"/>
  <c r="BF51" i="55"/>
  <c r="H51" i="57" s="1"/>
  <c r="BE52" i="55"/>
  <c r="G52" i="57" s="1"/>
  <c r="BD53" i="55"/>
  <c r="F53" i="57" s="1"/>
  <c r="BL53" i="55"/>
  <c r="N53" i="57" s="1"/>
  <c r="BC54" i="55"/>
  <c r="E54" i="57" s="1"/>
  <c r="BK54" i="55"/>
  <c r="M54" i="57" s="1"/>
  <c r="BJ55" i="55"/>
  <c r="L55" i="57" s="1"/>
  <c r="AU57" i="55"/>
  <c r="AT58" i="55"/>
  <c r="BR58" i="55"/>
  <c r="T58" i="57" s="1"/>
  <c r="BM59" i="55"/>
  <c r="O59" i="57" s="1"/>
  <c r="AV60" i="55"/>
  <c r="BB62" i="55"/>
  <c r="BR62" i="55"/>
  <c r="T62" i="57" s="1"/>
  <c r="BT63" i="55"/>
  <c r="V63" i="57" s="1"/>
  <c r="BJ63" i="55"/>
  <c r="L63" i="57" s="1"/>
  <c r="BU63" i="55"/>
  <c r="W63" i="57" s="1"/>
  <c r="BV65" i="55"/>
  <c r="X65" i="57" s="1"/>
  <c r="AT96" i="55"/>
  <c r="BD96" i="55"/>
  <c r="F96" i="57" s="1"/>
  <c r="BN96" i="55"/>
  <c r="P96" i="57" s="1"/>
  <c r="BB96" i="55"/>
  <c r="BL96" i="55"/>
  <c r="N96" i="57" s="1"/>
  <c r="BV96" i="55"/>
  <c r="X96" i="57" s="1"/>
  <c r="BU62" i="55"/>
  <c r="W62" i="57" s="1"/>
  <c r="BW63" i="55"/>
  <c r="BE64" i="55"/>
  <c r="G64" i="57" s="1"/>
  <c r="AU64" i="55"/>
  <c r="BI65" i="55"/>
  <c r="K65" i="57" s="1"/>
  <c r="AY65" i="55"/>
  <c r="BJ67" i="55"/>
  <c r="L67" i="57" s="1"/>
  <c r="AZ67" i="55"/>
  <c r="BF78" i="55"/>
  <c r="H78" i="57" s="1"/>
  <c r="BP78" i="55"/>
  <c r="R78" i="57" s="1"/>
  <c r="AV78" i="55"/>
  <c r="BS57" i="55"/>
  <c r="U57" i="57" s="1"/>
  <c r="BV58" i="55"/>
  <c r="X58" i="57" s="1"/>
  <c r="BV62" i="55"/>
  <c r="X62" i="57" s="1"/>
  <c r="BI68" i="55"/>
  <c r="K68" i="57" s="1"/>
  <c r="AY68" i="55"/>
  <c r="BI90" i="55"/>
  <c r="K90" i="57" s="1"/>
  <c r="AY90" i="55"/>
  <c r="BS90" i="55"/>
  <c r="U90" i="57" s="1"/>
  <c r="BG92" i="55"/>
  <c r="I92" i="57" s="1"/>
  <c r="AW92" i="55"/>
  <c r="BQ92" i="55"/>
  <c r="S92" i="57" s="1"/>
  <c r="AW57" i="55"/>
  <c r="BM57" i="55"/>
  <c r="O57" i="57" s="1"/>
  <c r="BU57" i="55"/>
  <c r="W57" i="57" s="1"/>
  <c r="AV58" i="55"/>
  <c r="BT58" i="55"/>
  <c r="V58" i="57" s="1"/>
  <c r="AU59" i="55"/>
  <c r="AT60" i="55"/>
  <c r="BB60" i="55"/>
  <c r="AS61" i="55"/>
  <c r="BA61" i="55"/>
  <c r="AZ62" i="55"/>
  <c r="BP62" i="55"/>
  <c r="R62" i="57" s="1"/>
  <c r="AY63" i="55"/>
  <c r="BO63" i="55"/>
  <c r="Q63" i="57" s="1"/>
  <c r="AX64" i="55"/>
  <c r="BF64" i="55"/>
  <c r="H64" i="57" s="1"/>
  <c r="BN64" i="55"/>
  <c r="P64" i="57" s="1"/>
  <c r="BV64" i="55"/>
  <c r="X64" i="57" s="1"/>
  <c r="AW65" i="55"/>
  <c r="BE65" i="55"/>
  <c r="G65" i="57" s="1"/>
  <c r="BM65" i="55"/>
  <c r="O65" i="57" s="1"/>
  <c r="BU65" i="55"/>
  <c r="W65" i="57" s="1"/>
  <c r="AV66" i="55"/>
  <c r="BD66" i="55"/>
  <c r="F66" i="57" s="1"/>
  <c r="BL66" i="55"/>
  <c r="N66" i="57" s="1"/>
  <c r="BT66" i="55"/>
  <c r="V66" i="57" s="1"/>
  <c r="AU67" i="55"/>
  <c r="BC67" i="55"/>
  <c r="E67" i="57" s="1"/>
  <c r="BK67" i="55"/>
  <c r="M67" i="57" s="1"/>
  <c r="BS67" i="55"/>
  <c r="U67" i="57" s="1"/>
  <c r="AT68" i="55"/>
  <c r="BB68" i="55"/>
  <c r="BJ68" i="55"/>
  <c r="L68" i="57" s="1"/>
  <c r="BR68" i="55"/>
  <c r="T68" i="57" s="1"/>
  <c r="AS69" i="55"/>
  <c r="BA69" i="55"/>
  <c r="BI69" i="55"/>
  <c r="K69" i="57" s="1"/>
  <c r="BQ69" i="55"/>
  <c r="S69" i="57" s="1"/>
  <c r="AW72" i="55"/>
  <c r="BF72" i="55"/>
  <c r="H72" i="57" s="1"/>
  <c r="AV74" i="55"/>
  <c r="BF74" i="55"/>
  <c r="H74" i="57" s="1"/>
  <c r="AU75" i="55"/>
  <c r="BE75" i="55"/>
  <c r="G75" i="57" s="1"/>
  <c r="AT76" i="55"/>
  <c r="BD76" i="55"/>
  <c r="F76" i="57" s="1"/>
  <c r="AS77" i="55"/>
  <c r="BC77" i="55"/>
  <c r="E77" i="57" s="1"/>
  <c r="BW77" i="55"/>
  <c r="BT78" i="55"/>
  <c r="V78" i="57" s="1"/>
  <c r="BO79" i="55"/>
  <c r="Q79" i="57" s="1"/>
  <c r="BQ81" i="55"/>
  <c r="S81" i="57" s="1"/>
  <c r="BC86" i="55"/>
  <c r="E86" i="57" s="1"/>
  <c r="BM86" i="55"/>
  <c r="O86" i="57" s="1"/>
  <c r="BK86" i="55"/>
  <c r="M86" i="57" s="1"/>
  <c r="BA86" i="55"/>
  <c r="BU86" i="55"/>
  <c r="W86" i="57" s="1"/>
  <c r="AW67" i="55"/>
  <c r="AV68" i="55"/>
  <c r="AU69" i="55"/>
  <c r="AT70" i="55"/>
  <c r="BB70" i="55"/>
  <c r="AU71" i="55"/>
  <c r="BD71" i="55"/>
  <c r="F71" i="57" s="1"/>
  <c r="BH72" i="55"/>
  <c r="J72" i="57" s="1"/>
  <c r="AS73" i="55"/>
  <c r="BU73" i="55"/>
  <c r="W73" i="57" s="1"/>
  <c r="BT74" i="55"/>
  <c r="V74" i="57" s="1"/>
  <c r="BS75" i="55"/>
  <c r="U75" i="57" s="1"/>
  <c r="BR76" i="55"/>
  <c r="T76" i="57" s="1"/>
  <c r="BQ77" i="55"/>
  <c r="S77" i="57" s="1"/>
  <c r="BW78" i="55"/>
  <c r="BS79" i="55"/>
  <c r="U79" i="57" s="1"/>
  <c r="BA81" i="55"/>
  <c r="BW81" i="55"/>
  <c r="BR84" i="55"/>
  <c r="T84" i="57" s="1"/>
  <c r="BM85" i="55"/>
  <c r="O85" i="57" s="1"/>
  <c r="BC85" i="55"/>
  <c r="E85" i="57" s="1"/>
  <c r="BU85" i="55"/>
  <c r="W85" i="57" s="1"/>
  <c r="BK85" i="55"/>
  <c r="M85" i="57" s="1"/>
  <c r="BF87" i="55"/>
  <c r="H87" i="57" s="1"/>
  <c r="AV87" i="55"/>
  <c r="BP87" i="55"/>
  <c r="R87" i="57" s="1"/>
  <c r="BW93" i="55"/>
  <c r="AX59" i="55"/>
  <c r="BN59" i="55"/>
  <c r="P59" i="57" s="1"/>
  <c r="BV59" i="55"/>
  <c r="X59" i="57" s="1"/>
  <c r="AW60" i="55"/>
  <c r="BM60" i="55"/>
  <c r="O60" i="57" s="1"/>
  <c r="BU60" i="55"/>
  <c r="W60" i="57" s="1"/>
  <c r="AV61" i="55"/>
  <c r="AU62" i="55"/>
  <c r="BS62" i="55"/>
  <c r="U62" i="57" s="1"/>
  <c r="AT63" i="55"/>
  <c r="BB63" i="55"/>
  <c r="BR63" i="55"/>
  <c r="T63" i="57" s="1"/>
  <c r="AS64" i="55"/>
  <c r="BA64" i="55"/>
  <c r="BI64" i="55"/>
  <c r="K64" i="57" s="1"/>
  <c r="BQ64" i="55"/>
  <c r="S64" i="57" s="1"/>
  <c r="BH65" i="55"/>
  <c r="J65" i="57" s="1"/>
  <c r="BP65" i="55"/>
  <c r="R65" i="57" s="1"/>
  <c r="BG66" i="55"/>
  <c r="I66" i="57" s="1"/>
  <c r="BO66" i="55"/>
  <c r="Q66" i="57" s="1"/>
  <c r="BF67" i="55"/>
  <c r="H67" i="57" s="1"/>
  <c r="BN67" i="55"/>
  <c r="P67" i="57" s="1"/>
  <c r="BV67" i="55"/>
  <c r="X67" i="57" s="1"/>
  <c r="BE68" i="55"/>
  <c r="G68" i="57" s="1"/>
  <c r="BM68" i="55"/>
  <c r="O68" i="57" s="1"/>
  <c r="BU68" i="55"/>
  <c r="W68" i="57" s="1"/>
  <c r="AV69" i="55"/>
  <c r="BD69" i="55"/>
  <c r="F69" i="57" s="1"/>
  <c r="BL69" i="55"/>
  <c r="N69" i="57" s="1"/>
  <c r="BT69" i="55"/>
  <c r="V69" i="57" s="1"/>
  <c r="BC70" i="55"/>
  <c r="E70" i="57" s="1"/>
  <c r="BK70" i="55"/>
  <c r="M70" i="57" s="1"/>
  <c r="AV71" i="55"/>
  <c r="BF71" i="55"/>
  <c r="H71" i="57" s="1"/>
  <c r="BO71" i="55"/>
  <c r="Q71" i="57" s="1"/>
  <c r="BI72" i="55"/>
  <c r="K72" i="57" s="1"/>
  <c r="AT73" i="55"/>
  <c r="BD73" i="55"/>
  <c r="F73" i="57" s="1"/>
  <c r="BM73" i="55"/>
  <c r="O73" i="57" s="1"/>
  <c r="BU74" i="55"/>
  <c r="W74" i="57" s="1"/>
  <c r="BT75" i="55"/>
  <c r="V75" i="57" s="1"/>
  <c r="BS76" i="55"/>
  <c r="U76" i="57" s="1"/>
  <c r="BR77" i="55"/>
  <c r="T77" i="57" s="1"/>
  <c r="BK78" i="55"/>
  <c r="M78" i="57" s="1"/>
  <c r="BB80" i="55"/>
  <c r="BV80" i="55"/>
  <c r="X80" i="57" s="1"/>
  <c r="AX84" i="55"/>
  <c r="BV84" i="55"/>
  <c r="X84" i="57" s="1"/>
  <c r="BW85" i="55"/>
  <c r="AV94" i="55"/>
  <c r="BF94" i="55"/>
  <c r="H94" i="57" s="1"/>
  <c r="AS97" i="55"/>
  <c r="BC97" i="55"/>
  <c r="E97" i="57" s="1"/>
  <c r="BA97" i="55"/>
  <c r="BK97" i="55"/>
  <c r="M97" i="57" s="1"/>
  <c r="BG67" i="55"/>
  <c r="I67" i="57" s="1"/>
  <c r="BF68" i="55"/>
  <c r="H68" i="57" s="1"/>
  <c r="BE69" i="55"/>
  <c r="G69" i="57" s="1"/>
  <c r="BD70" i="55"/>
  <c r="F70" i="57" s="1"/>
  <c r="BL70" i="55"/>
  <c r="N70" i="57" s="1"/>
  <c r="AZ74" i="55"/>
  <c r="BL74" i="55"/>
  <c r="N74" i="57" s="1"/>
  <c r="BV74" i="55"/>
  <c r="X74" i="57" s="1"/>
  <c r="AY75" i="55"/>
  <c r="BK75" i="55"/>
  <c r="M75" i="57" s="1"/>
  <c r="BU75" i="55"/>
  <c r="W75" i="57" s="1"/>
  <c r="AX76" i="55"/>
  <c r="BJ76" i="55"/>
  <c r="L76" i="57" s="1"/>
  <c r="BT76" i="55"/>
  <c r="V76" i="57" s="1"/>
  <c r="AW77" i="55"/>
  <c r="BI77" i="55"/>
  <c r="K77" i="57" s="1"/>
  <c r="BS77" i="55"/>
  <c r="U77" i="57" s="1"/>
  <c r="AY78" i="55"/>
  <c r="BI78" i="55"/>
  <c r="K78" i="57" s="1"/>
  <c r="BB84" i="55"/>
  <c r="BQ86" i="55"/>
  <c r="S86" i="57" s="1"/>
  <c r="BG86" i="55"/>
  <c r="I86" i="57" s="1"/>
  <c r="AW86" i="55"/>
  <c r="BP94" i="55"/>
  <c r="R94" i="57" s="1"/>
  <c r="BG99" i="55"/>
  <c r="I99" i="57" s="1"/>
  <c r="AW99" i="55"/>
  <c r="BQ99" i="55"/>
  <c r="S99" i="57" s="1"/>
  <c r="BL75" i="55"/>
  <c r="N75" i="57" s="1"/>
  <c r="BV75" i="55"/>
  <c r="X75" i="57" s="1"/>
  <c r="BK76" i="55"/>
  <c r="M76" i="57" s="1"/>
  <c r="BU76" i="55"/>
  <c r="W76" i="57" s="1"/>
  <c r="BJ77" i="55"/>
  <c r="L77" i="57" s="1"/>
  <c r="BT77" i="55"/>
  <c r="V77" i="57" s="1"/>
  <c r="AZ78" i="55"/>
  <c r="BM78" i="55"/>
  <c r="O78" i="57" s="1"/>
  <c r="AX79" i="55"/>
  <c r="BH79" i="55"/>
  <c r="J79" i="57" s="1"/>
  <c r="BW80" i="55"/>
  <c r="BS83" i="55"/>
  <c r="U83" i="57" s="1"/>
  <c r="AT88" i="55"/>
  <c r="BD88" i="55"/>
  <c r="F88" i="57" s="1"/>
  <c r="BN88" i="55"/>
  <c r="P88" i="57" s="1"/>
  <c r="BB88" i="55"/>
  <c r="BL88" i="55"/>
  <c r="N88" i="57" s="1"/>
  <c r="BV88" i="55"/>
  <c r="X88" i="57" s="1"/>
  <c r="BH91" i="55"/>
  <c r="J91" i="57" s="1"/>
  <c r="AX91" i="55"/>
  <c r="BR91" i="55"/>
  <c r="T91" i="57" s="1"/>
  <c r="BE93" i="55"/>
  <c r="G93" i="57" s="1"/>
  <c r="AU93" i="55"/>
  <c r="BO93" i="55"/>
  <c r="Q93" i="57" s="1"/>
  <c r="BM97" i="55"/>
  <c r="O97" i="57" s="1"/>
  <c r="BB76" i="55"/>
  <c r="BL76" i="55"/>
  <c r="N76" i="57" s="1"/>
  <c r="BA77" i="55"/>
  <c r="BK77" i="55"/>
  <c r="M77" i="57" s="1"/>
  <c r="BQ85" i="55"/>
  <c r="S85" i="57" s="1"/>
  <c r="BG85" i="55"/>
  <c r="I85" i="57" s="1"/>
  <c r="BT87" i="55"/>
  <c r="V87" i="57" s="1"/>
  <c r="BJ87" i="55"/>
  <c r="L87" i="57" s="1"/>
  <c r="AZ87" i="55"/>
  <c r="BJ89" i="55"/>
  <c r="L89" i="57" s="1"/>
  <c r="AZ89" i="55"/>
  <c r="BT89" i="55"/>
  <c r="V89" i="57" s="1"/>
  <c r="AU95" i="55"/>
  <c r="BE95" i="55"/>
  <c r="G95" i="57" s="1"/>
  <c r="AS98" i="55"/>
  <c r="BC98" i="55"/>
  <c r="E98" i="57" s="1"/>
  <c r="BM98" i="55"/>
  <c r="O98" i="57" s="1"/>
  <c r="BA98" i="55"/>
  <c r="BK98" i="55"/>
  <c r="M98" i="57" s="1"/>
  <c r="BU98" i="55"/>
  <c r="W98" i="57" s="1"/>
  <c r="BN72" i="55"/>
  <c r="P72" i="57" s="1"/>
  <c r="BE74" i="55"/>
  <c r="G74" i="57" s="1"/>
  <c r="BO74" i="55"/>
  <c r="Q74" i="57" s="1"/>
  <c r="BD75" i="55"/>
  <c r="F75" i="57" s="1"/>
  <c r="BN75" i="55"/>
  <c r="P75" i="57" s="1"/>
  <c r="BC76" i="55"/>
  <c r="E76" i="57" s="1"/>
  <c r="BM76" i="55"/>
  <c r="O76" i="57" s="1"/>
  <c r="BB77" i="55"/>
  <c r="BL77" i="55"/>
  <c r="N77" i="57" s="1"/>
  <c r="BC78" i="55"/>
  <c r="E78" i="57" s="1"/>
  <c r="AY79" i="55"/>
  <c r="AW81" i="55"/>
  <c r="BM81" i="55"/>
  <c r="O81" i="57" s="1"/>
  <c r="BP82" i="55"/>
  <c r="R82" i="57" s="1"/>
  <c r="AT84" i="55"/>
  <c r="BO95" i="55"/>
  <c r="Q95" i="57" s="1"/>
  <c r="BU97" i="55"/>
  <c r="W97" i="57" s="1"/>
  <c r="BQ78" i="55"/>
  <c r="S78" i="57" s="1"/>
  <c r="AZ79" i="55"/>
  <c r="BP79" i="55"/>
  <c r="R79" i="57" s="1"/>
  <c r="AY80" i="55"/>
  <c r="BG80" i="55"/>
  <c r="I80" i="57" s="1"/>
  <c r="BO80" i="55"/>
  <c r="Q80" i="57" s="1"/>
  <c r="AX81" i="55"/>
  <c r="BF81" i="55"/>
  <c r="H81" i="57" s="1"/>
  <c r="BN81" i="55"/>
  <c r="P81" i="57" s="1"/>
  <c r="BV81" i="55"/>
  <c r="X81" i="57" s="1"/>
  <c r="AW82" i="55"/>
  <c r="BE82" i="55"/>
  <c r="G82" i="57" s="1"/>
  <c r="BM82" i="55"/>
  <c r="O82" i="57" s="1"/>
  <c r="BU82" i="55"/>
  <c r="W82" i="57" s="1"/>
  <c r="BD83" i="55"/>
  <c r="F83" i="57" s="1"/>
  <c r="BL83" i="55"/>
  <c r="N83" i="57" s="1"/>
  <c r="BT83" i="55"/>
  <c r="V83" i="57" s="1"/>
  <c r="BC84" i="55"/>
  <c r="E84" i="57" s="1"/>
  <c r="BK84" i="55"/>
  <c r="M84" i="57" s="1"/>
  <c r="BS84" i="55"/>
  <c r="U84" i="57" s="1"/>
  <c r="BV86" i="55"/>
  <c r="X86" i="57" s="1"/>
  <c r="BC90" i="55"/>
  <c r="E90" i="57" s="1"/>
  <c r="BF93" i="55"/>
  <c r="H93" i="57" s="1"/>
  <c r="AV93" i="55"/>
  <c r="BG93" i="55"/>
  <c r="I93" i="57" s="1"/>
  <c r="BR93" i="55"/>
  <c r="T93" i="57" s="1"/>
  <c r="BH98" i="55"/>
  <c r="J98" i="57" s="1"/>
  <c r="AX98" i="55"/>
  <c r="BH99" i="55"/>
  <c r="J99" i="57" s="1"/>
  <c r="AX99" i="55"/>
  <c r="BI100" i="55"/>
  <c r="K100" i="57" s="1"/>
  <c r="AY100" i="55"/>
  <c r="BW100" i="55"/>
  <c r="BR78" i="55"/>
  <c r="T78" i="57" s="1"/>
  <c r="BQ79" i="55"/>
  <c r="S79" i="57" s="1"/>
  <c r="BP80" i="55"/>
  <c r="R80" i="57" s="1"/>
  <c r="BO81" i="55"/>
  <c r="Q81" i="57" s="1"/>
  <c r="BN82" i="55"/>
  <c r="P82" i="57" s="1"/>
  <c r="BV82" i="55"/>
  <c r="X82" i="57" s="1"/>
  <c r="BM83" i="55"/>
  <c r="O83" i="57" s="1"/>
  <c r="BU83" i="55"/>
  <c r="W83" i="57" s="1"/>
  <c r="BT84" i="55"/>
  <c r="V84" i="57" s="1"/>
  <c r="BL87" i="55"/>
  <c r="N87" i="57" s="1"/>
  <c r="BB87" i="55"/>
  <c r="BM87" i="55"/>
  <c r="O87" i="57" s="1"/>
  <c r="BH93" i="55"/>
  <c r="J93" i="57" s="1"/>
  <c r="BD94" i="55"/>
  <c r="F94" i="57" s="1"/>
  <c r="AT94" i="55"/>
  <c r="BL94" i="55"/>
  <c r="N94" i="57" s="1"/>
  <c r="BB94" i="55"/>
  <c r="BV94" i="55"/>
  <c r="X94" i="57" s="1"/>
  <c r="BC95" i="55"/>
  <c r="E95" i="57" s="1"/>
  <c r="AS95" i="55"/>
  <c r="BK95" i="55"/>
  <c r="M95" i="57" s="1"/>
  <c r="BA95" i="55"/>
  <c r="BU95" i="55"/>
  <c r="W95" i="57" s="1"/>
  <c r="BJ96" i="55"/>
  <c r="L96" i="57" s="1"/>
  <c r="AZ96" i="55"/>
  <c r="BT96" i="55"/>
  <c r="V96" i="57" s="1"/>
  <c r="BI97" i="55"/>
  <c r="K97" i="57" s="1"/>
  <c r="AY97" i="55"/>
  <c r="BS97" i="55"/>
  <c r="U97" i="57" s="1"/>
  <c r="BI98" i="55"/>
  <c r="K98" i="57" s="1"/>
  <c r="AY98" i="55"/>
  <c r="BR98" i="55"/>
  <c r="T98" i="57" s="1"/>
  <c r="BW102" i="55"/>
  <c r="BQ80" i="55"/>
  <c r="S80" i="57" s="1"/>
  <c r="BP81" i="55"/>
  <c r="R81" i="57" s="1"/>
  <c r="BO82" i="55"/>
  <c r="Q82" i="57" s="1"/>
  <c r="BN83" i="55"/>
  <c r="P83" i="57" s="1"/>
  <c r="BV83" i="55"/>
  <c r="X83" i="57" s="1"/>
  <c r="BM84" i="55"/>
  <c r="O84" i="57" s="1"/>
  <c r="BU84" i="55"/>
  <c r="W84" i="57" s="1"/>
  <c r="BE94" i="55"/>
  <c r="G94" i="57" s="1"/>
  <c r="AU94" i="55"/>
  <c r="BD95" i="55"/>
  <c r="F95" i="57" s="1"/>
  <c r="AT95" i="55"/>
  <c r="BL95" i="55"/>
  <c r="N95" i="57" s="1"/>
  <c r="BB95" i="55"/>
  <c r="BV95" i="55"/>
  <c r="X95" i="57" s="1"/>
  <c r="BC96" i="55"/>
  <c r="E96" i="57" s="1"/>
  <c r="AS96" i="55"/>
  <c r="BK96" i="55"/>
  <c r="M96" i="57" s="1"/>
  <c r="BA96" i="55"/>
  <c r="BU96" i="55"/>
  <c r="W96" i="57" s="1"/>
  <c r="BJ97" i="55"/>
  <c r="L97" i="57" s="1"/>
  <c r="AZ97" i="55"/>
  <c r="BT97" i="55"/>
  <c r="V97" i="57" s="1"/>
  <c r="BH101" i="55"/>
  <c r="J101" i="57" s="1"/>
  <c r="AX101" i="55"/>
  <c r="BG102" i="55"/>
  <c r="I102" i="57" s="1"/>
  <c r="AW102" i="55"/>
  <c r="AT81" i="55"/>
  <c r="BB81" i="55"/>
  <c r="AZ83" i="55"/>
  <c r="AY84" i="55"/>
  <c r="AX85" i="55"/>
  <c r="AT86" i="55"/>
  <c r="BF86" i="55"/>
  <c r="H86" i="57" s="1"/>
  <c r="BP86" i="55"/>
  <c r="R86" i="57" s="1"/>
  <c r="AS87" i="55"/>
  <c r="BE87" i="55"/>
  <c r="G87" i="57" s="1"/>
  <c r="BL89" i="55"/>
  <c r="N89" i="57" s="1"/>
  <c r="BJ90" i="55"/>
  <c r="L90" i="57" s="1"/>
  <c r="BW90" i="55"/>
  <c r="BT91" i="55"/>
  <c r="V91" i="57" s="1"/>
  <c r="BV97" i="55"/>
  <c r="X97" i="57" s="1"/>
  <c r="AY85" i="55"/>
  <c r="BH85" i="55"/>
  <c r="J85" i="57" s="1"/>
  <c r="BU87" i="55"/>
  <c r="W87" i="57" s="1"/>
  <c r="BJ88" i="55"/>
  <c r="L88" i="57" s="1"/>
  <c r="AZ88" i="55"/>
  <c r="BO88" i="55"/>
  <c r="Q88" i="57" s="1"/>
  <c r="BM89" i="55"/>
  <c r="O89" i="57" s="1"/>
  <c r="BK90" i="55"/>
  <c r="M90" i="57" s="1"/>
  <c r="BI91" i="55"/>
  <c r="K91" i="57" s="1"/>
  <c r="BW91" i="55"/>
  <c r="BR92" i="55"/>
  <c r="T92" i="57" s="1"/>
  <c r="BN94" i="55"/>
  <c r="P94" i="57" s="1"/>
  <c r="BM95" i="55"/>
  <c r="O95" i="57" s="1"/>
  <c r="BJ98" i="55"/>
  <c r="L98" i="57" s="1"/>
  <c r="BW98" i="55"/>
  <c r="BW99" i="55"/>
  <c r="BF100" i="55"/>
  <c r="H100" i="57" s="1"/>
  <c r="AV100" i="55"/>
  <c r="AZ85" i="55"/>
  <c r="BI85" i="55"/>
  <c r="K85" i="57" s="1"/>
  <c r="BV87" i="55"/>
  <c r="X87" i="57" s="1"/>
  <c r="BC88" i="55"/>
  <c r="E88" i="57" s="1"/>
  <c r="AS88" i="55"/>
  <c r="BK88" i="55"/>
  <c r="M88" i="57" s="1"/>
  <c r="BA88" i="55"/>
  <c r="BE88" i="55"/>
  <c r="G88" i="57" s="1"/>
  <c r="BI89" i="55"/>
  <c r="K89" i="57" s="1"/>
  <c r="AY89" i="55"/>
  <c r="BC89" i="55"/>
  <c r="E89" i="57" s="1"/>
  <c r="BN89" i="55"/>
  <c r="P89" i="57" s="1"/>
  <c r="BW89" i="55"/>
  <c r="BH90" i="55"/>
  <c r="J90" i="57" s="1"/>
  <c r="AX90" i="55"/>
  <c r="BG91" i="55"/>
  <c r="I91" i="57" s="1"/>
  <c r="AW91" i="55"/>
  <c r="BJ91" i="55"/>
  <c r="L91" i="57" s="1"/>
  <c r="BF92" i="55"/>
  <c r="H92" i="57" s="1"/>
  <c r="AV92" i="55"/>
  <c r="BH92" i="55"/>
  <c r="J92" i="57" s="1"/>
  <c r="BS92" i="55"/>
  <c r="U92" i="57" s="1"/>
  <c r="BP93" i="55"/>
  <c r="R93" i="57" s="1"/>
  <c r="BO94" i="55"/>
  <c r="Q94" i="57" s="1"/>
  <c r="BN95" i="55"/>
  <c r="P95" i="57" s="1"/>
  <c r="BM96" i="55"/>
  <c r="O96" i="57" s="1"/>
  <c r="BW97" i="55"/>
  <c r="BP100" i="55"/>
  <c r="R100" i="57" s="1"/>
  <c r="BJ94" i="55"/>
  <c r="L94" i="57" s="1"/>
  <c r="BI95" i="55"/>
  <c r="K95" i="57" s="1"/>
  <c r="BH96" i="55"/>
  <c r="J96" i="57" s="1"/>
  <c r="BG97" i="55"/>
  <c r="I97" i="57" s="1"/>
  <c r="BF98" i="55"/>
  <c r="H98" i="57" s="1"/>
  <c r="BE99" i="55"/>
  <c r="G99" i="57" s="1"/>
  <c r="BM99" i="55"/>
  <c r="O99" i="57" s="1"/>
  <c r="BU99" i="55"/>
  <c r="W99" i="57" s="1"/>
  <c r="BD100" i="55"/>
  <c r="F100" i="57" s="1"/>
  <c r="BL100" i="55"/>
  <c r="N100" i="57" s="1"/>
  <c r="BT100" i="55"/>
  <c r="V100" i="57" s="1"/>
  <c r="BS101" i="55"/>
  <c r="U101" i="57" s="1"/>
  <c r="AT102" i="55"/>
  <c r="BB102" i="55"/>
  <c r="BJ102" i="55"/>
  <c r="L102" i="57" s="1"/>
  <c r="BR102" i="55"/>
  <c r="T102" i="57" s="1"/>
  <c r="BI88" i="55"/>
  <c r="K88" i="57" s="1"/>
  <c r="BH89" i="55"/>
  <c r="J89" i="57" s="1"/>
  <c r="BG90" i="55"/>
  <c r="I90" i="57" s="1"/>
  <c r="BF91" i="55"/>
  <c r="H91" i="57" s="1"/>
  <c r="BE92" i="55"/>
  <c r="G92" i="57" s="1"/>
  <c r="BD93" i="55"/>
  <c r="F93" i="57" s="1"/>
  <c r="BL93" i="55"/>
  <c r="N93" i="57" s="1"/>
  <c r="BC94" i="55"/>
  <c r="E94" i="57" s="1"/>
  <c r="BK94" i="55"/>
  <c r="M94" i="57" s="1"/>
  <c r="BJ95" i="55"/>
  <c r="L95" i="57" s="1"/>
  <c r="BI96" i="55"/>
  <c r="K96" i="57" s="1"/>
  <c r="BH97" i="55"/>
  <c r="J97" i="57" s="1"/>
  <c r="BG98" i="55"/>
  <c r="I98" i="57" s="1"/>
  <c r="BM100" i="55"/>
  <c r="O100" i="57" s="1"/>
  <c r="BU100" i="55"/>
  <c r="W100" i="57" s="1"/>
  <c r="AV101" i="55"/>
  <c r="BD101" i="55"/>
  <c r="F101" i="57" s="1"/>
  <c r="BL101" i="55"/>
  <c r="N101" i="57" s="1"/>
  <c r="BT101" i="55"/>
  <c r="V101" i="57" s="1"/>
  <c r="AU102" i="55"/>
  <c r="BC102" i="55"/>
  <c r="E102" i="57" s="1"/>
  <c r="BK102" i="55"/>
  <c r="M102" i="57" s="1"/>
  <c r="BS102" i="55"/>
  <c r="U102" i="57" s="1"/>
  <c r="BO99" i="55"/>
  <c r="Q99" i="57" s="1"/>
  <c r="BN100" i="55"/>
  <c r="P100" i="57" s="1"/>
  <c r="BV100" i="55"/>
  <c r="X100" i="57" s="1"/>
  <c r="AW101" i="55"/>
  <c r="BM101" i="55"/>
  <c r="O101" i="57" s="1"/>
  <c r="BU101" i="55"/>
  <c r="W101" i="57" s="1"/>
  <c r="AV102" i="55"/>
  <c r="BT102" i="55"/>
  <c r="V102" i="57" s="1"/>
  <c r="AY101" i="55"/>
  <c r="BG101" i="55"/>
  <c r="I101" i="57" s="1"/>
  <c r="BF102" i="55"/>
  <c r="H102" i="57" s="1"/>
  <c r="AY1" i="54"/>
  <c r="BG1" i="54"/>
  <c r="I1" i="56" s="1"/>
  <c r="C109" i="54"/>
  <c r="K109" i="54"/>
  <c r="K107" i="54"/>
  <c r="K106" i="54"/>
  <c r="K105" i="54"/>
  <c r="K114" i="54"/>
  <c r="K110" i="54"/>
  <c r="K113" i="54"/>
  <c r="K111" i="54"/>
  <c r="S107" i="54"/>
  <c r="S106" i="54"/>
  <c r="S105" i="54"/>
  <c r="M115" i="54"/>
  <c r="AA107" i="54"/>
  <c r="AA106" i="54"/>
  <c r="AA105" i="54"/>
  <c r="AW4" i="54"/>
  <c r="AV5" i="54"/>
  <c r="BE5" i="54"/>
  <c r="G5" i="56" s="1"/>
  <c r="BJ6" i="54"/>
  <c r="L6" i="56" s="1"/>
  <c r="BH1" i="54"/>
  <c r="J1" i="56" s="1"/>
  <c r="D107" i="54"/>
  <c r="D106" i="54"/>
  <c r="D111" i="54"/>
  <c r="D114" i="54"/>
  <c r="D110" i="54"/>
  <c r="D113" i="54"/>
  <c r="D109" i="54"/>
  <c r="D105" i="54"/>
  <c r="L107" i="54"/>
  <c r="H115" i="54"/>
  <c r="L106" i="54"/>
  <c r="L111" i="54"/>
  <c r="L114" i="54"/>
  <c r="L110" i="54"/>
  <c r="L113" i="54"/>
  <c r="L109" i="54"/>
  <c r="L105" i="54"/>
  <c r="T107" i="54"/>
  <c r="T106" i="54"/>
  <c r="T105" i="54"/>
  <c r="BX2" i="54"/>
  <c r="BG3" i="54"/>
  <c r="I3" i="56" s="1"/>
  <c r="BF4" i="54"/>
  <c r="H4" i="56" s="1"/>
  <c r="AW5" i="54"/>
  <c r="BF5" i="54"/>
  <c r="H5" i="56" s="1"/>
  <c r="BO5" i="54"/>
  <c r="Q5" i="56" s="1"/>
  <c r="BK6" i="54"/>
  <c r="M6" i="56" s="1"/>
  <c r="AS1" i="54"/>
  <c r="BA1" i="54"/>
  <c r="E106" i="54"/>
  <c r="E111" i="54"/>
  <c r="E105" i="54"/>
  <c r="E110" i="54"/>
  <c r="E113" i="54"/>
  <c r="E109" i="54"/>
  <c r="E107" i="54"/>
  <c r="E114" i="54"/>
  <c r="U106" i="54"/>
  <c r="U105" i="54"/>
  <c r="U107" i="54"/>
  <c r="AZ3" i="54"/>
  <c r="BG4" i="54"/>
  <c r="I4" i="56" s="1"/>
  <c r="BG5" i="54"/>
  <c r="I5" i="56" s="1"/>
  <c r="BG7" i="54"/>
  <c r="I7" i="56" s="1"/>
  <c r="AW7" i="54"/>
  <c r="BD10" i="54"/>
  <c r="F10" i="56" s="1"/>
  <c r="AT10" i="54"/>
  <c r="BL10" i="54"/>
  <c r="N10" i="56" s="1"/>
  <c r="BB10" i="54"/>
  <c r="F111" i="54"/>
  <c r="F105" i="54"/>
  <c r="F114" i="54"/>
  <c r="F113" i="54"/>
  <c r="F109" i="54"/>
  <c r="F107" i="54"/>
  <c r="F106" i="54"/>
  <c r="F110" i="54"/>
  <c r="N105" i="54"/>
  <c r="N107" i="54"/>
  <c r="N106" i="54"/>
  <c r="V105" i="54"/>
  <c r="V107" i="54"/>
  <c r="V106" i="54"/>
  <c r="GD31" i="54"/>
  <c r="GD13" i="54"/>
  <c r="BW13" i="54" s="1"/>
  <c r="D13" i="56" s="1"/>
  <c r="GD5" i="54"/>
  <c r="BQ3" i="54"/>
  <c r="S3" i="56" s="1"/>
  <c r="BP4" i="54"/>
  <c r="R4" i="56" s="1"/>
  <c r="HK5" i="54"/>
  <c r="G105" i="54"/>
  <c r="G114" i="54"/>
  <c r="C115" i="54"/>
  <c r="G110" i="54"/>
  <c r="G109" i="54"/>
  <c r="G107" i="54"/>
  <c r="G106" i="54"/>
  <c r="G111" i="54"/>
  <c r="G113" i="54"/>
  <c r="O105" i="54"/>
  <c r="O107" i="54"/>
  <c r="O106" i="54"/>
  <c r="W105" i="54"/>
  <c r="W107" i="54"/>
  <c r="W106" i="54"/>
  <c r="HK50" i="54"/>
  <c r="HK42" i="54"/>
  <c r="HK48" i="54"/>
  <c r="HK39" i="54"/>
  <c r="HK46" i="54"/>
  <c r="BW46" i="54" s="1"/>
  <c r="HK53" i="54"/>
  <c r="BW53" i="54" s="1"/>
  <c r="D53" i="56" s="1"/>
  <c r="HK45" i="54"/>
  <c r="HK52" i="54"/>
  <c r="HK44" i="54"/>
  <c r="HK51" i="54"/>
  <c r="HK36" i="54"/>
  <c r="HK28" i="54"/>
  <c r="HK35" i="54"/>
  <c r="HK27" i="54"/>
  <c r="HK49" i="54"/>
  <c r="HK34" i="54"/>
  <c r="HK26" i="54"/>
  <c r="HK43" i="54"/>
  <c r="HK33" i="54"/>
  <c r="HK41" i="54"/>
  <c r="HK32" i="54"/>
  <c r="HK24" i="54"/>
  <c r="HK40" i="54"/>
  <c r="HK31" i="54"/>
  <c r="HK38" i="54"/>
  <c r="HK37" i="54"/>
  <c r="HK29" i="54"/>
  <c r="HK21" i="54"/>
  <c r="HK20" i="54"/>
  <c r="HK12" i="54"/>
  <c r="HK30" i="54"/>
  <c r="HK25" i="54"/>
  <c r="HK23" i="54"/>
  <c r="HK19" i="54"/>
  <c r="HK11" i="54"/>
  <c r="HK18" i="54"/>
  <c r="HK10" i="54"/>
  <c r="HK17" i="54"/>
  <c r="HK9" i="54"/>
  <c r="HK16" i="54"/>
  <c r="HK8" i="54"/>
  <c r="HK15" i="54"/>
  <c r="HK7" i="54"/>
  <c r="HK22" i="54"/>
  <c r="HK14" i="54"/>
  <c r="BJ3" i="54"/>
  <c r="L3" i="56" s="1"/>
  <c r="GD3" i="54"/>
  <c r="AZ5" i="54"/>
  <c r="BK11" i="54"/>
  <c r="M11" i="56" s="1"/>
  <c r="BA11" i="54"/>
  <c r="H109" i="54"/>
  <c r="P107" i="54"/>
  <c r="P106" i="54"/>
  <c r="P105" i="54"/>
  <c r="X107" i="54"/>
  <c r="X106" i="54"/>
  <c r="X105" i="54"/>
  <c r="AZ7" i="54"/>
  <c r="BT7" i="54"/>
  <c r="V7" i="56" s="1"/>
  <c r="BF8" i="54"/>
  <c r="H8" i="56" s="1"/>
  <c r="AV8" i="54"/>
  <c r="BJ12" i="54"/>
  <c r="L12" i="56" s="1"/>
  <c r="AZ12" i="54"/>
  <c r="I109" i="54"/>
  <c r="Q106" i="54"/>
  <c r="Q105" i="54"/>
  <c r="Q107" i="54"/>
  <c r="Y106" i="54"/>
  <c r="Y105" i="54"/>
  <c r="Y107" i="54"/>
  <c r="HK4" i="54"/>
  <c r="BT6" i="54"/>
  <c r="V6" i="56" s="1"/>
  <c r="AX1" i="54"/>
  <c r="BF1" i="54"/>
  <c r="H1" i="56" s="1"/>
  <c r="J113" i="54"/>
  <c r="J109" i="54"/>
  <c r="J107" i="54"/>
  <c r="J111" i="54"/>
  <c r="J105" i="54"/>
  <c r="J114" i="54"/>
  <c r="J110" i="54"/>
  <c r="J106" i="54"/>
  <c r="R107" i="54"/>
  <c r="R105" i="54"/>
  <c r="R106" i="54"/>
  <c r="Z107" i="54"/>
  <c r="Z105" i="54"/>
  <c r="Z106" i="54"/>
  <c r="BV5" i="54"/>
  <c r="X5" i="56" s="1"/>
  <c r="BU6" i="54"/>
  <c r="W6" i="56" s="1"/>
  <c r="BP8" i="54"/>
  <c r="R8" i="56" s="1"/>
  <c r="BE9" i="54"/>
  <c r="G9" i="56" s="1"/>
  <c r="AU9" i="54"/>
  <c r="BQ8" i="54"/>
  <c r="S8" i="56" s="1"/>
  <c r="BP9" i="54"/>
  <c r="R9" i="56" s="1"/>
  <c r="BO10" i="54"/>
  <c r="Q10" i="56" s="1"/>
  <c r="BN11" i="54"/>
  <c r="P11" i="56" s="1"/>
  <c r="BV11" i="54"/>
  <c r="X11" i="56" s="1"/>
  <c r="BU12" i="54"/>
  <c r="W12" i="56" s="1"/>
  <c r="BT13" i="54"/>
  <c r="V13" i="56" s="1"/>
  <c r="BQ16" i="54"/>
  <c r="S16" i="56" s="1"/>
  <c r="BP17" i="54"/>
  <c r="R17" i="56" s="1"/>
  <c r="BO18" i="54"/>
  <c r="Q18" i="56" s="1"/>
  <c r="BN19" i="54"/>
  <c r="P19" i="56" s="1"/>
  <c r="BV19" i="54"/>
  <c r="X19" i="56" s="1"/>
  <c r="BU20" i="54"/>
  <c r="W20" i="56" s="1"/>
  <c r="BT21" i="54"/>
  <c r="V21" i="56" s="1"/>
  <c r="BK22" i="54"/>
  <c r="M22" i="56" s="1"/>
  <c r="BU24" i="54"/>
  <c r="W24" i="56" s="1"/>
  <c r="BU25" i="54"/>
  <c r="W25" i="56" s="1"/>
  <c r="BK26" i="54"/>
  <c r="M26" i="56" s="1"/>
  <c r="BA26" i="54"/>
  <c r="BT26" i="54"/>
  <c r="V26" i="56" s="1"/>
  <c r="BD35" i="54"/>
  <c r="F35" i="56" s="1"/>
  <c r="AT35" i="54"/>
  <c r="BL35" i="54"/>
  <c r="N35" i="56" s="1"/>
  <c r="BB35" i="54"/>
  <c r="BQ9" i="54"/>
  <c r="S9" i="56" s="1"/>
  <c r="BP10" i="54"/>
  <c r="R10" i="56" s="1"/>
  <c r="BO11" i="54"/>
  <c r="Q11" i="56" s="1"/>
  <c r="BN12" i="54"/>
  <c r="P12" i="56" s="1"/>
  <c r="BV12" i="54"/>
  <c r="X12" i="56" s="1"/>
  <c r="BU13" i="54"/>
  <c r="W13" i="56" s="1"/>
  <c r="BT14" i="54"/>
  <c r="V14" i="56" s="1"/>
  <c r="BQ17" i="54"/>
  <c r="S17" i="56" s="1"/>
  <c r="BP18" i="54"/>
  <c r="R18" i="56" s="1"/>
  <c r="BO19" i="54"/>
  <c r="Q19" i="56" s="1"/>
  <c r="BN20" i="54"/>
  <c r="P20" i="56" s="1"/>
  <c r="BV20" i="54"/>
  <c r="X20" i="56" s="1"/>
  <c r="BU21" i="54"/>
  <c r="W21" i="56" s="1"/>
  <c r="BT22" i="54"/>
  <c r="V22" i="56" s="1"/>
  <c r="AV23" i="54"/>
  <c r="BA24" i="54"/>
  <c r="BL24" i="54"/>
  <c r="N24" i="56" s="1"/>
  <c r="BD25" i="54"/>
  <c r="F25" i="56" s="1"/>
  <c r="AT25" i="54"/>
  <c r="BL25" i="54"/>
  <c r="N25" i="56" s="1"/>
  <c r="BB25" i="54"/>
  <c r="BV25" i="54"/>
  <c r="X25" i="56" s="1"/>
  <c r="BD27" i="54"/>
  <c r="F27" i="56" s="1"/>
  <c r="AT27" i="54"/>
  <c r="BL27" i="54"/>
  <c r="N27" i="56" s="1"/>
  <c r="BB27" i="54"/>
  <c r="BK36" i="54"/>
  <c r="M36" i="56" s="1"/>
  <c r="BA36" i="54"/>
  <c r="BQ10" i="54"/>
  <c r="S10" i="56" s="1"/>
  <c r="BP11" i="54"/>
  <c r="R11" i="56" s="1"/>
  <c r="BO12" i="54"/>
  <c r="Q12" i="56" s="1"/>
  <c r="BN13" i="54"/>
  <c r="P13" i="56" s="1"/>
  <c r="BV13" i="54"/>
  <c r="X13" i="56" s="1"/>
  <c r="BU14" i="54"/>
  <c r="W14" i="56" s="1"/>
  <c r="BT15" i="54"/>
  <c r="V15" i="56" s="1"/>
  <c r="BQ18" i="54"/>
  <c r="S18" i="56" s="1"/>
  <c r="BP19" i="54"/>
  <c r="R19" i="56" s="1"/>
  <c r="BO20" i="54"/>
  <c r="Q20" i="56" s="1"/>
  <c r="BN21" i="54"/>
  <c r="P21" i="56" s="1"/>
  <c r="BV21" i="54"/>
  <c r="X21" i="56" s="1"/>
  <c r="BU22" i="54"/>
  <c r="W22" i="56" s="1"/>
  <c r="BN27" i="54"/>
  <c r="P27" i="56" s="1"/>
  <c r="BK28" i="54"/>
  <c r="M28" i="56" s="1"/>
  <c r="BA28" i="54"/>
  <c r="BJ29" i="54"/>
  <c r="L29" i="56" s="1"/>
  <c r="AZ29" i="54"/>
  <c r="BF6" i="54"/>
  <c r="H6" i="56" s="1"/>
  <c r="BE7" i="54"/>
  <c r="G7" i="56" s="1"/>
  <c r="BD8" i="54"/>
  <c r="F8" i="56" s="1"/>
  <c r="BL8" i="54"/>
  <c r="N8" i="56" s="1"/>
  <c r="BK9" i="54"/>
  <c r="M9" i="56" s="1"/>
  <c r="BJ10" i="54"/>
  <c r="L10" i="56" s="1"/>
  <c r="AW15" i="54"/>
  <c r="AV16" i="54"/>
  <c r="BD16" i="54"/>
  <c r="F16" i="56" s="1"/>
  <c r="BL16" i="54"/>
  <c r="N16" i="56" s="1"/>
  <c r="AU17" i="54"/>
  <c r="BK17" i="54"/>
  <c r="M17" i="56" s="1"/>
  <c r="AT18" i="54"/>
  <c r="BB18" i="54"/>
  <c r="BJ18" i="54"/>
  <c r="L18" i="56" s="1"/>
  <c r="BA19" i="54"/>
  <c r="AZ20" i="54"/>
  <c r="BG21" i="54"/>
  <c r="I21" i="56" s="1"/>
  <c r="BF22" i="54"/>
  <c r="H22" i="56" s="1"/>
  <c r="BD24" i="54"/>
  <c r="F24" i="56" s="1"/>
  <c r="BN24" i="54"/>
  <c r="P24" i="56" s="1"/>
  <c r="BK25" i="54"/>
  <c r="M25" i="56" s="1"/>
  <c r="BJ26" i="54"/>
  <c r="L26" i="56" s="1"/>
  <c r="BV35" i="54"/>
  <c r="X35" i="56" s="1"/>
  <c r="BG6" i="54"/>
  <c r="I6" i="56" s="1"/>
  <c r="BF7" i="54"/>
  <c r="H7" i="56" s="1"/>
  <c r="AW8" i="54"/>
  <c r="BE8" i="54"/>
  <c r="G8" i="56" s="1"/>
  <c r="AV9" i="54"/>
  <c r="BD9" i="54"/>
  <c r="F9" i="56" s="1"/>
  <c r="BL9" i="54"/>
  <c r="N9" i="56" s="1"/>
  <c r="AU10" i="54"/>
  <c r="BK10" i="54"/>
  <c r="M10" i="56" s="1"/>
  <c r="AT11" i="54"/>
  <c r="BB11" i="54"/>
  <c r="BJ11" i="54"/>
  <c r="L11" i="56" s="1"/>
  <c r="BA12" i="54"/>
  <c r="AZ13" i="54"/>
  <c r="BG14" i="54"/>
  <c r="I14" i="56" s="1"/>
  <c r="BF15" i="54"/>
  <c r="H15" i="56" s="1"/>
  <c r="AW16" i="54"/>
  <c r="BE16" i="54"/>
  <c r="G16" i="56" s="1"/>
  <c r="AV17" i="54"/>
  <c r="BD17" i="54"/>
  <c r="F17" i="56" s="1"/>
  <c r="BL17" i="54"/>
  <c r="N17" i="56" s="1"/>
  <c r="AU18" i="54"/>
  <c r="BK18" i="54"/>
  <c r="M18" i="56" s="1"/>
  <c r="AT19" i="54"/>
  <c r="BB19" i="54"/>
  <c r="BJ19" i="54"/>
  <c r="L19" i="56" s="1"/>
  <c r="BA20" i="54"/>
  <c r="AZ21" i="54"/>
  <c r="BG22" i="54"/>
  <c r="I22" i="56" s="1"/>
  <c r="BE24" i="54"/>
  <c r="G24" i="56" s="1"/>
  <c r="BO24" i="54"/>
  <c r="Q24" i="56" s="1"/>
  <c r="BG27" i="54"/>
  <c r="I27" i="56" s="1"/>
  <c r="AW27" i="54"/>
  <c r="BV27" i="54"/>
  <c r="X27" i="56" s="1"/>
  <c r="BU36" i="54"/>
  <c r="W36" i="56" s="1"/>
  <c r="BG15" i="54"/>
  <c r="I15" i="56" s="1"/>
  <c r="BF16" i="54"/>
  <c r="H16" i="56" s="1"/>
  <c r="BE17" i="54"/>
  <c r="G17" i="56" s="1"/>
  <c r="BD18" i="54"/>
  <c r="F18" i="56" s="1"/>
  <c r="BL18" i="54"/>
  <c r="N18" i="56" s="1"/>
  <c r="BK19" i="54"/>
  <c r="M19" i="56" s="1"/>
  <c r="BJ20" i="54"/>
  <c r="L20" i="56" s="1"/>
  <c r="AZ23" i="54"/>
  <c r="BJ23" i="54"/>
  <c r="L23" i="56" s="1"/>
  <c r="BN25" i="54"/>
  <c r="P25" i="56" s="1"/>
  <c r="BU28" i="54"/>
  <c r="W28" i="56" s="1"/>
  <c r="BG32" i="54"/>
  <c r="I32" i="56" s="1"/>
  <c r="AW32" i="54"/>
  <c r="BQ32" i="54"/>
  <c r="S32" i="56" s="1"/>
  <c r="BT24" i="54"/>
  <c r="V24" i="56" s="1"/>
  <c r="BF33" i="54"/>
  <c r="H33" i="56" s="1"/>
  <c r="AV33" i="54"/>
  <c r="BP33" i="54"/>
  <c r="R33" i="56" s="1"/>
  <c r="BE34" i="54"/>
  <c r="G34" i="56" s="1"/>
  <c r="AU34" i="54"/>
  <c r="BG25" i="54"/>
  <c r="I25" i="56" s="1"/>
  <c r="BF26" i="54"/>
  <c r="H26" i="56" s="1"/>
  <c r="BE27" i="54"/>
  <c r="G27" i="56" s="1"/>
  <c r="AV28" i="54"/>
  <c r="BD28" i="54"/>
  <c r="F28" i="56" s="1"/>
  <c r="BL28" i="54"/>
  <c r="N28" i="56" s="1"/>
  <c r="AU29" i="54"/>
  <c r="BK29" i="54"/>
  <c r="M29" i="56" s="1"/>
  <c r="AT30" i="54"/>
  <c r="BB30" i="54"/>
  <c r="BJ30" i="54"/>
  <c r="L30" i="56" s="1"/>
  <c r="BA31" i="54"/>
  <c r="AZ32" i="54"/>
  <c r="BP32" i="54"/>
  <c r="R32" i="56" s="1"/>
  <c r="BG33" i="54"/>
  <c r="I33" i="56" s="1"/>
  <c r="BO33" i="54"/>
  <c r="Q33" i="56" s="1"/>
  <c r="BF34" i="54"/>
  <c r="H34" i="56" s="1"/>
  <c r="BN34" i="54"/>
  <c r="P34" i="56" s="1"/>
  <c r="BV34" i="54"/>
  <c r="X34" i="56" s="1"/>
  <c r="AW35" i="54"/>
  <c r="BE35" i="54"/>
  <c r="G35" i="56" s="1"/>
  <c r="BU35" i="54"/>
  <c r="W35" i="56" s="1"/>
  <c r="AV36" i="54"/>
  <c r="BD36" i="54"/>
  <c r="F36" i="56" s="1"/>
  <c r="BL36" i="54"/>
  <c r="N36" i="56" s="1"/>
  <c r="BT36" i="54"/>
  <c r="V36" i="56" s="1"/>
  <c r="AU37" i="54"/>
  <c r="BK37" i="54"/>
  <c r="M37" i="56" s="1"/>
  <c r="AT38" i="54"/>
  <c r="BB38" i="54"/>
  <c r="BJ38" i="54"/>
  <c r="L38" i="56" s="1"/>
  <c r="BB39" i="54"/>
  <c r="BL39" i="54"/>
  <c r="N39" i="56" s="1"/>
  <c r="BU39" i="54"/>
  <c r="W39" i="56" s="1"/>
  <c r="BG40" i="54"/>
  <c r="I40" i="56" s="1"/>
  <c r="BE45" i="54"/>
  <c r="G45" i="56" s="1"/>
  <c r="AU45" i="54"/>
  <c r="AW56" i="54"/>
  <c r="BQ56" i="54"/>
  <c r="S56" i="56" s="1"/>
  <c r="BG56" i="54"/>
  <c r="I56" i="56" s="1"/>
  <c r="AU58" i="54"/>
  <c r="BO58" i="54"/>
  <c r="Q58" i="56" s="1"/>
  <c r="BE58" i="54"/>
  <c r="G58" i="56" s="1"/>
  <c r="AV37" i="54"/>
  <c r="BD37" i="54"/>
  <c r="F37" i="56" s="1"/>
  <c r="BL37" i="54"/>
  <c r="N37" i="56" s="1"/>
  <c r="AU38" i="54"/>
  <c r="BK38" i="54"/>
  <c r="M38" i="56" s="1"/>
  <c r="AT39" i="54"/>
  <c r="BQ40" i="54"/>
  <c r="S40" i="56" s="1"/>
  <c r="AU41" i="54"/>
  <c r="BE41" i="54"/>
  <c r="G41" i="56" s="1"/>
  <c r="BO44" i="54"/>
  <c r="Q44" i="56" s="1"/>
  <c r="AU44" i="54"/>
  <c r="BE44" i="54"/>
  <c r="G44" i="56" s="1"/>
  <c r="BJ48" i="54"/>
  <c r="L48" i="56" s="1"/>
  <c r="AZ48" i="54"/>
  <c r="BG51" i="54"/>
  <c r="I51" i="56" s="1"/>
  <c r="AW51" i="54"/>
  <c r="BQ51" i="54"/>
  <c r="S51" i="56" s="1"/>
  <c r="BF28" i="54"/>
  <c r="H28" i="56" s="1"/>
  <c r="AW29" i="54"/>
  <c r="BE29" i="54"/>
  <c r="G29" i="56" s="1"/>
  <c r="AV30" i="54"/>
  <c r="BD30" i="54"/>
  <c r="F30" i="56" s="1"/>
  <c r="BL30" i="54"/>
  <c r="N30" i="56" s="1"/>
  <c r="AU31" i="54"/>
  <c r="BK31" i="54"/>
  <c r="M31" i="56" s="1"/>
  <c r="BJ32" i="54"/>
  <c r="L32" i="56" s="1"/>
  <c r="BQ33" i="54"/>
  <c r="S33" i="56" s="1"/>
  <c r="BP34" i="54"/>
  <c r="R34" i="56" s="1"/>
  <c r="BG35" i="54"/>
  <c r="I35" i="56" s="1"/>
  <c r="BO35" i="54"/>
  <c r="Q35" i="56" s="1"/>
  <c r="BF36" i="54"/>
  <c r="H36" i="56" s="1"/>
  <c r="BN36" i="54"/>
  <c r="P36" i="56" s="1"/>
  <c r="BV36" i="54"/>
  <c r="X36" i="56" s="1"/>
  <c r="BE37" i="54"/>
  <c r="G37" i="56" s="1"/>
  <c r="BU37" i="54"/>
  <c r="W37" i="56" s="1"/>
  <c r="BD38" i="54"/>
  <c r="F38" i="56" s="1"/>
  <c r="BL38" i="54"/>
  <c r="N38" i="56" s="1"/>
  <c r="BT38" i="54"/>
  <c r="V38" i="56" s="1"/>
  <c r="BG43" i="54"/>
  <c r="I43" i="56" s="1"/>
  <c r="AW43" i="54"/>
  <c r="BF44" i="54"/>
  <c r="H44" i="56" s="1"/>
  <c r="AV44" i="54"/>
  <c r="BF52" i="54"/>
  <c r="H52" i="56" s="1"/>
  <c r="AV52" i="54"/>
  <c r="BH64" i="54"/>
  <c r="J64" i="56" s="1"/>
  <c r="BR64" i="54"/>
  <c r="T64" i="56" s="1"/>
  <c r="AX64" i="54"/>
  <c r="BJ25" i="54"/>
  <c r="L25" i="56" s="1"/>
  <c r="AZ27" i="54"/>
  <c r="BG28" i="54"/>
  <c r="I28" i="56" s="1"/>
  <c r="BF29" i="54"/>
  <c r="H29" i="56" s="1"/>
  <c r="AW30" i="54"/>
  <c r="BE30" i="54"/>
  <c r="G30" i="56" s="1"/>
  <c r="AV31" i="54"/>
  <c r="BD31" i="54"/>
  <c r="F31" i="56" s="1"/>
  <c r="BL31" i="54"/>
  <c r="N31" i="56" s="1"/>
  <c r="AU32" i="54"/>
  <c r="BK32" i="54"/>
  <c r="M32" i="56" s="1"/>
  <c r="AT33" i="54"/>
  <c r="BB33" i="54"/>
  <c r="BJ33" i="54"/>
  <c r="L33" i="56" s="1"/>
  <c r="BA34" i="54"/>
  <c r="AZ35" i="54"/>
  <c r="BG36" i="54"/>
  <c r="I36" i="56" s="1"/>
  <c r="BF37" i="54"/>
  <c r="H37" i="56" s="1"/>
  <c r="AW38" i="54"/>
  <c r="BE38" i="54"/>
  <c r="G38" i="56" s="1"/>
  <c r="BO39" i="54"/>
  <c r="Q39" i="56" s="1"/>
  <c r="BA40" i="54"/>
  <c r="BT40" i="54"/>
  <c r="V40" i="56" s="1"/>
  <c r="AU42" i="54"/>
  <c r="BE42" i="54"/>
  <c r="G42" i="56" s="1"/>
  <c r="BP52" i="54"/>
  <c r="R52" i="56" s="1"/>
  <c r="BE53" i="54"/>
  <c r="G53" i="56" s="1"/>
  <c r="AU53" i="54"/>
  <c r="AS60" i="54"/>
  <c r="BM60" i="54"/>
  <c r="O60" i="56" s="1"/>
  <c r="BC60" i="54"/>
  <c r="E60" i="56" s="1"/>
  <c r="BA60" i="54"/>
  <c r="BU60" i="54"/>
  <c r="W60" i="56" s="1"/>
  <c r="BK60" i="54"/>
  <c r="M60" i="56" s="1"/>
  <c r="BW61" i="54"/>
  <c r="BQ42" i="54"/>
  <c r="S42" i="56" s="1"/>
  <c r="BD46" i="54"/>
  <c r="F46" i="56" s="1"/>
  <c r="AT46" i="54"/>
  <c r="BL46" i="54"/>
  <c r="N46" i="56" s="1"/>
  <c r="BB46" i="54"/>
  <c r="AY62" i="54"/>
  <c r="BS62" i="54"/>
  <c r="U62" i="56" s="1"/>
  <c r="BI62" i="54"/>
  <c r="K62" i="56" s="1"/>
  <c r="BJ27" i="54"/>
  <c r="L27" i="56" s="1"/>
  <c r="BG30" i="54"/>
  <c r="I30" i="56" s="1"/>
  <c r="BF31" i="54"/>
  <c r="H31" i="56" s="1"/>
  <c r="BE32" i="54"/>
  <c r="G32" i="56" s="1"/>
  <c r="BD33" i="54"/>
  <c r="F33" i="56" s="1"/>
  <c r="BL33" i="54"/>
  <c r="N33" i="56" s="1"/>
  <c r="BK34" i="54"/>
  <c r="M34" i="56" s="1"/>
  <c r="AU40" i="54"/>
  <c r="AZ41" i="54"/>
  <c r="BJ41" i="54"/>
  <c r="L41" i="56" s="1"/>
  <c r="AW42" i="54"/>
  <c r="AZ45" i="54"/>
  <c r="BT45" i="54"/>
  <c r="V45" i="56" s="1"/>
  <c r="BJ45" i="54"/>
  <c r="L45" i="56" s="1"/>
  <c r="BK47" i="54"/>
  <c r="M47" i="56" s="1"/>
  <c r="BA47" i="54"/>
  <c r="BE40" i="54"/>
  <c r="G40" i="56" s="1"/>
  <c r="BK41" i="54"/>
  <c r="M41" i="56" s="1"/>
  <c r="BU41" i="54"/>
  <c r="W41" i="56" s="1"/>
  <c r="BT42" i="54"/>
  <c r="V42" i="56" s="1"/>
  <c r="BQ43" i="54"/>
  <c r="S43" i="56" s="1"/>
  <c r="BN46" i="54"/>
  <c r="P46" i="56" s="1"/>
  <c r="BO63" i="54"/>
  <c r="Q63" i="56" s="1"/>
  <c r="BE63" i="54"/>
  <c r="G63" i="56" s="1"/>
  <c r="AU63" i="54"/>
  <c r="BA39" i="54"/>
  <c r="BJ42" i="54"/>
  <c r="L42" i="56" s="1"/>
  <c r="AT43" i="54"/>
  <c r="BD43" i="54"/>
  <c r="F43" i="56" s="1"/>
  <c r="BB43" i="54"/>
  <c r="BL43" i="54"/>
  <c r="N43" i="56" s="1"/>
  <c r="BA44" i="54"/>
  <c r="BK44" i="54"/>
  <c r="M44" i="56" s="1"/>
  <c r="BP44" i="54"/>
  <c r="R44" i="56" s="1"/>
  <c r="BV46" i="54"/>
  <c r="X46" i="56" s="1"/>
  <c r="BD54" i="54"/>
  <c r="F54" i="56" s="1"/>
  <c r="AT54" i="54"/>
  <c r="BL54" i="54"/>
  <c r="N54" i="56" s="1"/>
  <c r="BB54" i="54"/>
  <c r="BW63" i="54"/>
  <c r="BQ45" i="54"/>
  <c r="S45" i="56" s="1"/>
  <c r="BP46" i="54"/>
  <c r="R46" i="56" s="1"/>
  <c r="BO47" i="54"/>
  <c r="Q47" i="56" s="1"/>
  <c r="BN48" i="54"/>
  <c r="P48" i="56" s="1"/>
  <c r="BV48" i="54"/>
  <c r="X48" i="56" s="1"/>
  <c r="BU49" i="54"/>
  <c r="W49" i="56" s="1"/>
  <c r="BT50" i="54"/>
  <c r="V50" i="56" s="1"/>
  <c r="AT52" i="54"/>
  <c r="BB52" i="54"/>
  <c r="BJ52" i="54"/>
  <c r="L52" i="56" s="1"/>
  <c r="BA53" i="54"/>
  <c r="BI53" i="54"/>
  <c r="K53" i="56" s="1"/>
  <c r="AZ54" i="54"/>
  <c r="BA55" i="54"/>
  <c r="BJ55" i="54"/>
  <c r="L55" i="56" s="1"/>
  <c r="BS55" i="54"/>
  <c r="U55" i="56" s="1"/>
  <c r="AU56" i="54"/>
  <c r="BD56" i="54"/>
  <c r="F56" i="56" s="1"/>
  <c r="BN56" i="54"/>
  <c r="P56" i="56" s="1"/>
  <c r="AY57" i="54"/>
  <c r="BH57" i="54"/>
  <c r="J57" i="56" s="1"/>
  <c r="BQ57" i="54"/>
  <c r="S57" i="56" s="1"/>
  <c r="AS58" i="54"/>
  <c r="BB58" i="54"/>
  <c r="BU58" i="54"/>
  <c r="W58" i="56" s="1"/>
  <c r="AW59" i="54"/>
  <c r="BF59" i="54"/>
  <c r="H59" i="56" s="1"/>
  <c r="BO59" i="54"/>
  <c r="Q59" i="56" s="1"/>
  <c r="AZ60" i="54"/>
  <c r="BJ60" i="54"/>
  <c r="L60" i="56" s="1"/>
  <c r="BS60" i="54"/>
  <c r="U60" i="56" s="1"/>
  <c r="AU61" i="54"/>
  <c r="BD61" i="54"/>
  <c r="F61" i="56" s="1"/>
  <c r="BM61" i="54"/>
  <c r="O61" i="56" s="1"/>
  <c r="BV61" i="54"/>
  <c r="X61" i="56" s="1"/>
  <c r="AX62" i="54"/>
  <c r="BH62" i="54"/>
  <c r="J62" i="56" s="1"/>
  <c r="BQ62" i="54"/>
  <c r="S62" i="56" s="1"/>
  <c r="AS63" i="54"/>
  <c r="BK63" i="54"/>
  <c r="M63" i="56" s="1"/>
  <c r="BT63" i="54"/>
  <c r="V63" i="56" s="1"/>
  <c r="BJ64" i="54"/>
  <c r="L64" i="56" s="1"/>
  <c r="BV64" i="54"/>
  <c r="X64" i="56" s="1"/>
  <c r="BR65" i="54"/>
  <c r="T65" i="56" s="1"/>
  <c r="AV67" i="54"/>
  <c r="BP67" i="54"/>
  <c r="R67" i="56" s="1"/>
  <c r="BF67" i="54"/>
  <c r="H67" i="56" s="1"/>
  <c r="BT43" i="54"/>
  <c r="V43" i="56" s="1"/>
  <c r="AT45" i="54"/>
  <c r="BB45" i="54"/>
  <c r="BA46" i="54"/>
  <c r="BQ46" i="54"/>
  <c r="S46" i="56" s="1"/>
  <c r="AZ47" i="54"/>
  <c r="BP47" i="54"/>
  <c r="R47" i="56" s="1"/>
  <c r="BG48" i="54"/>
  <c r="I48" i="56" s="1"/>
  <c r="BO48" i="54"/>
  <c r="Q48" i="56" s="1"/>
  <c r="BF49" i="54"/>
  <c r="H49" i="56" s="1"/>
  <c r="BN49" i="54"/>
  <c r="P49" i="56" s="1"/>
  <c r="BV49" i="54"/>
  <c r="X49" i="56" s="1"/>
  <c r="AW50" i="54"/>
  <c r="BE50" i="54"/>
  <c r="G50" i="56" s="1"/>
  <c r="BU50" i="54"/>
  <c r="W50" i="56" s="1"/>
  <c r="AV51" i="54"/>
  <c r="BD51" i="54"/>
  <c r="F51" i="56" s="1"/>
  <c r="BL51" i="54"/>
  <c r="N51" i="56" s="1"/>
  <c r="BT51" i="54"/>
  <c r="V51" i="56" s="1"/>
  <c r="BK52" i="54"/>
  <c r="M52" i="56" s="1"/>
  <c r="BQ54" i="54"/>
  <c r="S54" i="56" s="1"/>
  <c r="BG59" i="54"/>
  <c r="I59" i="56" s="1"/>
  <c r="BE61" i="54"/>
  <c r="G61" i="56" s="1"/>
  <c r="BJ54" i="54"/>
  <c r="L54" i="56" s="1"/>
  <c r="BW64" i="54"/>
  <c r="BF65" i="54"/>
  <c r="H65" i="56" s="1"/>
  <c r="AV65" i="54"/>
  <c r="AS65" i="54"/>
  <c r="BH65" i="54"/>
  <c r="J65" i="56" s="1"/>
  <c r="BW65" i="54"/>
  <c r="BW67" i="54"/>
  <c r="BQ48" i="54"/>
  <c r="S48" i="56" s="1"/>
  <c r="BP49" i="54"/>
  <c r="R49" i="56" s="1"/>
  <c r="BO50" i="54"/>
  <c r="Q50" i="56" s="1"/>
  <c r="BN51" i="54"/>
  <c r="P51" i="56" s="1"/>
  <c r="BV51" i="54"/>
  <c r="X51" i="56" s="1"/>
  <c r="BU52" i="54"/>
  <c r="W52" i="56" s="1"/>
  <c r="BT53" i="54"/>
  <c r="V53" i="56" s="1"/>
  <c r="BS54" i="54"/>
  <c r="U54" i="56" s="1"/>
  <c r="BB62" i="54"/>
  <c r="BO64" i="54"/>
  <c r="Q64" i="56" s="1"/>
  <c r="BE64" i="54"/>
  <c r="G64" i="56" s="1"/>
  <c r="BF66" i="54"/>
  <c r="H66" i="56" s="1"/>
  <c r="BP66" i="54"/>
  <c r="R66" i="56" s="1"/>
  <c r="BI67" i="54"/>
  <c r="K67" i="56" s="1"/>
  <c r="AY67" i="54"/>
  <c r="AZ56" i="54"/>
  <c r="AX58" i="54"/>
  <c r="BA59" i="54"/>
  <c r="BK59" i="54"/>
  <c r="M59" i="56" s="1"/>
  <c r="AY61" i="54"/>
  <c r="BP63" i="54"/>
  <c r="R63" i="56" s="1"/>
  <c r="AW66" i="54"/>
  <c r="BG66" i="54"/>
  <c r="I66" i="56" s="1"/>
  <c r="AX53" i="54"/>
  <c r="BH53" i="54" s="1"/>
  <c r="AW54" i="54"/>
  <c r="AW55" i="54"/>
  <c r="AU57" i="54"/>
  <c r="AS59" i="54"/>
  <c r="BG64" i="54"/>
  <c r="I64" i="56" s="1"/>
  <c r="AW64" i="54"/>
  <c r="BH68" i="54"/>
  <c r="J68" i="56" s="1"/>
  <c r="BR68" i="54"/>
  <c r="T68" i="56" s="1"/>
  <c r="AX68" i="54"/>
  <c r="BW54" i="54"/>
  <c r="BL56" i="54"/>
  <c r="N56" i="56" s="1"/>
  <c r="BA58" i="54"/>
  <c r="BJ58" i="54"/>
  <c r="L58" i="56" s="1"/>
  <c r="AY60" i="54"/>
  <c r="BH60" i="54"/>
  <c r="J60" i="56" s="1"/>
  <c r="AW62" i="54"/>
  <c r="BF62" i="54"/>
  <c r="H62" i="56" s="1"/>
  <c r="BA65" i="54"/>
  <c r="BQ65" i="54"/>
  <c r="S65" i="56" s="1"/>
  <c r="BJ66" i="54"/>
  <c r="L66" i="56" s="1"/>
  <c r="AZ66" i="54"/>
  <c r="BW66" i="54"/>
  <c r="BO66" i="54"/>
  <c r="Q66" i="56" s="1"/>
  <c r="BN67" i="54"/>
  <c r="P67" i="56" s="1"/>
  <c r="BV67" i="54"/>
  <c r="X67" i="56" s="1"/>
  <c r="BA68" i="54"/>
  <c r="BK68" i="54"/>
  <c r="M68" i="56" s="1"/>
  <c r="BW72" i="54"/>
  <c r="BE76" i="54"/>
  <c r="G76" i="56" s="1"/>
  <c r="AZ77" i="54"/>
  <c r="BJ77" i="54"/>
  <c r="L77" i="56" s="1"/>
  <c r="BA77" i="54"/>
  <c r="BQ77" i="54"/>
  <c r="S77" i="56" s="1"/>
  <c r="AY78" i="54"/>
  <c r="BI78" i="54"/>
  <c r="K78" i="56" s="1"/>
  <c r="BB80" i="54"/>
  <c r="BM81" i="54"/>
  <c r="O81" i="56" s="1"/>
  <c r="BE84" i="54"/>
  <c r="G84" i="56" s="1"/>
  <c r="AZ85" i="54"/>
  <c r="BJ85" i="54"/>
  <c r="L85" i="56" s="1"/>
  <c r="BA85" i="54"/>
  <c r="BQ85" i="54"/>
  <c r="S85" i="56" s="1"/>
  <c r="AY86" i="54"/>
  <c r="BS86" i="54"/>
  <c r="U86" i="56" s="1"/>
  <c r="BI86" i="54"/>
  <c r="K86" i="56" s="1"/>
  <c r="BH97" i="54"/>
  <c r="J97" i="56" s="1"/>
  <c r="AX97" i="54"/>
  <c r="BR97" i="54"/>
  <c r="T97" i="56" s="1"/>
  <c r="BO67" i="54"/>
  <c r="Q67" i="56" s="1"/>
  <c r="BG71" i="54"/>
  <c r="I71" i="56" s="1"/>
  <c r="AV73" i="54"/>
  <c r="BF73" i="54"/>
  <c r="H73" i="56" s="1"/>
  <c r="AZ78" i="54"/>
  <c r="AX79" i="54"/>
  <c r="BH79" i="54"/>
  <c r="J79" i="56" s="1"/>
  <c r="BS80" i="54"/>
  <c r="U80" i="56" s="1"/>
  <c r="BD85" i="54"/>
  <c r="F85" i="56" s="1"/>
  <c r="AZ86" i="54"/>
  <c r="BM86" i="54"/>
  <c r="O86" i="56" s="1"/>
  <c r="BD89" i="54"/>
  <c r="F89" i="56" s="1"/>
  <c r="AT89" i="54"/>
  <c r="BN89" i="54"/>
  <c r="P89" i="56" s="1"/>
  <c r="BL89" i="54"/>
  <c r="N89" i="56" s="1"/>
  <c r="BV89" i="54"/>
  <c r="X89" i="56" s="1"/>
  <c r="BB89" i="54"/>
  <c r="BI96" i="54"/>
  <c r="K96" i="56" s="1"/>
  <c r="AY96" i="54"/>
  <c r="BS96" i="54"/>
  <c r="U96" i="56" s="1"/>
  <c r="BS69" i="54"/>
  <c r="U69" i="56" s="1"/>
  <c r="BR70" i="54"/>
  <c r="T70" i="56" s="1"/>
  <c r="AX71" i="54"/>
  <c r="BH71" i="54"/>
  <c r="J71" i="56" s="1"/>
  <c r="BG73" i="54"/>
  <c r="I73" i="56" s="1"/>
  <c r="BU77" i="54"/>
  <c r="W77" i="56" s="1"/>
  <c r="BP78" i="54"/>
  <c r="R78" i="56" s="1"/>
  <c r="BA81" i="54"/>
  <c r="BQ81" i="54"/>
  <c r="S81" i="56" s="1"/>
  <c r="BP90" i="54"/>
  <c r="R90" i="56" s="1"/>
  <c r="BF90" i="54"/>
  <c r="H90" i="56" s="1"/>
  <c r="AV90" i="54"/>
  <c r="BS65" i="54"/>
  <c r="U65" i="56" s="1"/>
  <c r="BR66" i="54"/>
  <c r="T66" i="56" s="1"/>
  <c r="BQ67" i="54"/>
  <c r="S67" i="56" s="1"/>
  <c r="BU68" i="54"/>
  <c r="W68" i="56" s="1"/>
  <c r="AZ69" i="54"/>
  <c r="BJ69" i="54"/>
  <c r="L69" i="56" s="1"/>
  <c r="BI69" i="54"/>
  <c r="K69" i="56" s="1"/>
  <c r="BT69" i="54"/>
  <c r="V69" i="56" s="1"/>
  <c r="AY70" i="54"/>
  <c r="BI70" i="54"/>
  <c r="K70" i="56" s="1"/>
  <c r="BH70" i="54"/>
  <c r="J70" i="56" s="1"/>
  <c r="BS70" i="54"/>
  <c r="U70" i="56" s="1"/>
  <c r="BB72" i="54"/>
  <c r="BP72" i="54"/>
  <c r="R72" i="56" s="1"/>
  <c r="BH73" i="54"/>
  <c r="J73" i="56" s="1"/>
  <c r="AZ74" i="54"/>
  <c r="AS77" i="54"/>
  <c r="BV77" i="54"/>
  <c r="X77" i="56" s="1"/>
  <c r="BC78" i="54"/>
  <c r="E78" i="56" s="1"/>
  <c r="BS78" i="54"/>
  <c r="U78" i="56" s="1"/>
  <c r="AY79" i="54"/>
  <c r="AW80" i="54"/>
  <c r="BG80" i="54"/>
  <c r="I80" i="56" s="1"/>
  <c r="AT80" i="54"/>
  <c r="BI80" i="54"/>
  <c r="K80" i="56" s="1"/>
  <c r="BW80" i="54"/>
  <c r="AZ82" i="54"/>
  <c r="AS85" i="54"/>
  <c r="BV85" i="54"/>
  <c r="X85" i="56" s="1"/>
  <c r="BC86" i="54"/>
  <c r="E86" i="56" s="1"/>
  <c r="BT86" i="54"/>
  <c r="V86" i="56" s="1"/>
  <c r="BJ87" i="54"/>
  <c r="L87" i="56" s="1"/>
  <c r="AZ87" i="54"/>
  <c r="BD65" i="54"/>
  <c r="F65" i="56" s="1"/>
  <c r="BL65" i="54"/>
  <c r="N65" i="56" s="1"/>
  <c r="AU66" i="54"/>
  <c r="BC66" i="54"/>
  <c r="E66" i="56" s="1"/>
  <c r="BK66" i="54"/>
  <c r="M66" i="56" s="1"/>
  <c r="AT67" i="54"/>
  <c r="BB67" i="54"/>
  <c r="BJ67" i="54"/>
  <c r="L67" i="56" s="1"/>
  <c r="BB68" i="54"/>
  <c r="BL68" i="54"/>
  <c r="N68" i="56" s="1"/>
  <c r="BK69" i="54"/>
  <c r="M69" i="56" s="1"/>
  <c r="BJ70" i="54"/>
  <c r="L70" i="56" s="1"/>
  <c r="BQ74" i="54"/>
  <c r="S74" i="56" s="1"/>
  <c r="AY75" i="54"/>
  <c r="BO75" i="54"/>
  <c r="Q75" i="56" s="1"/>
  <c r="BT78" i="54"/>
  <c r="V78" i="56" s="1"/>
  <c r="BO79" i="54"/>
  <c r="Q79" i="56" s="1"/>
  <c r="AV81" i="54"/>
  <c r="BF81" i="54"/>
  <c r="H81" i="56" s="1"/>
  <c r="BU81" i="54"/>
  <c r="W81" i="56" s="1"/>
  <c r="BQ82" i="54"/>
  <c r="S82" i="56" s="1"/>
  <c r="AY83" i="54"/>
  <c r="BO83" i="54"/>
  <c r="Q83" i="56" s="1"/>
  <c r="BU86" i="54"/>
  <c r="W86" i="56" s="1"/>
  <c r="BQ87" i="54"/>
  <c r="S87" i="56" s="1"/>
  <c r="BW90" i="54"/>
  <c r="BL69" i="54"/>
  <c r="N69" i="56" s="1"/>
  <c r="BV69" i="54"/>
  <c r="X69" i="56" s="1"/>
  <c r="BK70" i="54"/>
  <c r="M70" i="56" s="1"/>
  <c r="BU70" i="54"/>
  <c r="W70" i="56" s="1"/>
  <c r="BF72" i="54"/>
  <c r="H72" i="56" s="1"/>
  <c r="AU74" i="54"/>
  <c r="BE74" i="54"/>
  <c r="G74" i="56" s="1"/>
  <c r="AU82" i="54"/>
  <c r="BE82" i="54"/>
  <c r="G82" i="56" s="1"/>
  <c r="BP86" i="54"/>
  <c r="R86" i="56" s="1"/>
  <c r="BF86" i="54"/>
  <c r="H86" i="56" s="1"/>
  <c r="BN87" i="54"/>
  <c r="P87" i="56" s="1"/>
  <c r="BD87" i="54"/>
  <c r="F87" i="56" s="1"/>
  <c r="AT87" i="54"/>
  <c r="BV87" i="54"/>
  <c r="X87" i="56" s="1"/>
  <c r="BL87" i="54"/>
  <c r="N87" i="56" s="1"/>
  <c r="BF91" i="54"/>
  <c r="H91" i="56" s="1"/>
  <c r="AV91" i="54"/>
  <c r="BP91" i="54"/>
  <c r="R91" i="56" s="1"/>
  <c r="BI68" i="54"/>
  <c r="K68" i="56" s="1"/>
  <c r="BS68" i="54"/>
  <c r="U68" i="56" s="1"/>
  <c r="AU68" i="54"/>
  <c r="BD68" i="54"/>
  <c r="F68" i="56" s="1"/>
  <c r="BB70" i="54"/>
  <c r="BL70" i="54"/>
  <c r="N70" i="56" s="1"/>
  <c r="BO71" i="54"/>
  <c r="Q71" i="56" s="1"/>
  <c r="AW72" i="54"/>
  <c r="BG72" i="54"/>
  <c r="I72" i="56" s="1"/>
  <c r="AT72" i="54"/>
  <c r="BS72" i="54"/>
  <c r="U72" i="56" s="1"/>
  <c r="BM73" i="54"/>
  <c r="O73" i="56" s="1"/>
  <c r="BG74" i="54"/>
  <c r="I74" i="56" s="1"/>
  <c r="AT75" i="54"/>
  <c r="BD75" i="54"/>
  <c r="F75" i="56" s="1"/>
  <c r="BB75" i="54"/>
  <c r="BL75" i="54"/>
  <c r="N75" i="56" s="1"/>
  <c r="BS75" i="54"/>
  <c r="U75" i="56" s="1"/>
  <c r="BO76" i="54"/>
  <c r="Q76" i="56" s="1"/>
  <c r="AW77" i="54"/>
  <c r="BM77" i="54"/>
  <c r="O77" i="56" s="1"/>
  <c r="BW78" i="54"/>
  <c r="BS79" i="54"/>
  <c r="U79" i="56" s="1"/>
  <c r="BN80" i="54"/>
  <c r="P80" i="56" s="1"/>
  <c r="BG82" i="54"/>
  <c r="I82" i="56" s="1"/>
  <c r="AT83" i="54"/>
  <c r="BD83" i="54"/>
  <c r="F83" i="56" s="1"/>
  <c r="BB83" i="54"/>
  <c r="BL83" i="54"/>
  <c r="N83" i="56" s="1"/>
  <c r="BS83" i="54"/>
  <c r="U83" i="56" s="1"/>
  <c r="BO84" i="54"/>
  <c r="Q84" i="56" s="1"/>
  <c r="AW85" i="54"/>
  <c r="BM85" i="54"/>
  <c r="O85" i="56" s="1"/>
  <c r="BW87" i="54"/>
  <c r="BO88" i="54"/>
  <c r="Q88" i="56" s="1"/>
  <c r="BT90" i="54"/>
  <c r="V90" i="56" s="1"/>
  <c r="BJ90" i="54"/>
  <c r="L90" i="56" s="1"/>
  <c r="BW98" i="54"/>
  <c r="BE68" i="54"/>
  <c r="G68" i="56" s="1"/>
  <c r="BD69" i="54"/>
  <c r="F69" i="56" s="1"/>
  <c r="BN69" i="54"/>
  <c r="P69" i="56" s="1"/>
  <c r="BC70" i="54"/>
  <c r="E70" i="56" s="1"/>
  <c r="BM70" i="54"/>
  <c r="O70" i="56" s="1"/>
  <c r="BW70" i="54"/>
  <c r="BQ71" i="54"/>
  <c r="S71" i="56" s="1"/>
  <c r="BI72" i="54"/>
  <c r="K72" i="56" s="1"/>
  <c r="BO73" i="54"/>
  <c r="Q73" i="56" s="1"/>
  <c r="BF75" i="54"/>
  <c r="H75" i="56" s="1"/>
  <c r="AS76" i="54"/>
  <c r="BC76" i="54"/>
  <c r="E76" i="56" s="1"/>
  <c r="BA76" i="54"/>
  <c r="BK76" i="54"/>
  <c r="M76" i="56" s="1"/>
  <c r="BB76" i="54"/>
  <c r="BN77" i="54"/>
  <c r="P77" i="56" s="1"/>
  <c r="AV78" i="54"/>
  <c r="BK78" i="54"/>
  <c r="M78" i="56" s="1"/>
  <c r="AW81" i="54"/>
  <c r="AS84" i="54"/>
  <c r="BC84" i="54"/>
  <c r="E84" i="56" s="1"/>
  <c r="BA84" i="54"/>
  <c r="BK84" i="54"/>
  <c r="M84" i="56" s="1"/>
  <c r="BN85" i="54"/>
  <c r="P85" i="56" s="1"/>
  <c r="AV86" i="54"/>
  <c r="BK86" i="54"/>
  <c r="M86" i="56" s="1"/>
  <c r="AV88" i="54"/>
  <c r="BP88" i="54"/>
  <c r="R88" i="56" s="1"/>
  <c r="BF88" i="54"/>
  <c r="H88" i="56" s="1"/>
  <c r="BG98" i="54"/>
  <c r="I98" i="56" s="1"/>
  <c r="AW98" i="54"/>
  <c r="BQ98" i="54"/>
  <c r="S98" i="56" s="1"/>
  <c r="BF99" i="54"/>
  <c r="H99" i="56" s="1"/>
  <c r="AV99" i="54"/>
  <c r="BE92" i="54"/>
  <c r="G92" i="56" s="1"/>
  <c r="AU92" i="54"/>
  <c r="BR69" i="54"/>
  <c r="T69" i="56" s="1"/>
  <c r="BQ70" i="54"/>
  <c r="S70" i="56" s="1"/>
  <c r="BP71" i="54"/>
  <c r="R71" i="56" s="1"/>
  <c r="BO72" i="54"/>
  <c r="Q72" i="56" s="1"/>
  <c r="BN73" i="54"/>
  <c r="P73" i="56" s="1"/>
  <c r="BV73" i="54"/>
  <c r="X73" i="56" s="1"/>
  <c r="BM74" i="54"/>
  <c r="O74" i="56" s="1"/>
  <c r="BU74" i="54"/>
  <c r="W74" i="56" s="1"/>
  <c r="BT75" i="54"/>
  <c r="V75" i="56" s="1"/>
  <c r="BS76" i="54"/>
  <c r="U76" i="56" s="1"/>
  <c r="BR77" i="54"/>
  <c r="T77" i="56" s="1"/>
  <c r="BQ78" i="54"/>
  <c r="S78" i="56" s="1"/>
  <c r="BP79" i="54"/>
  <c r="R79" i="56" s="1"/>
  <c r="BO80" i="54"/>
  <c r="Q80" i="56" s="1"/>
  <c r="BN81" i="54"/>
  <c r="P81" i="56" s="1"/>
  <c r="BV81" i="54"/>
  <c r="X81" i="56" s="1"/>
  <c r="BM82" i="54"/>
  <c r="O82" i="56" s="1"/>
  <c r="BU82" i="54"/>
  <c r="W82" i="56" s="1"/>
  <c r="BT83" i="54"/>
  <c r="V83" i="56" s="1"/>
  <c r="BS84" i="54"/>
  <c r="U84" i="56" s="1"/>
  <c r="BR85" i="54"/>
  <c r="T85" i="56" s="1"/>
  <c r="BR86" i="54"/>
  <c r="T86" i="56" s="1"/>
  <c r="BU88" i="54"/>
  <c r="W88" i="56" s="1"/>
  <c r="BM89" i="54"/>
  <c r="O89" i="56" s="1"/>
  <c r="BG90" i="54"/>
  <c r="I90" i="56" s="1"/>
  <c r="AW90" i="54"/>
  <c r="BN74" i="54"/>
  <c r="P74" i="56" s="1"/>
  <c r="BV74" i="54"/>
  <c r="X74" i="56" s="1"/>
  <c r="BM75" i="54"/>
  <c r="O75" i="56" s="1"/>
  <c r="BU75" i="54"/>
  <c r="W75" i="56" s="1"/>
  <c r="BT76" i="54"/>
  <c r="V76" i="56" s="1"/>
  <c r="BS77" i="54"/>
  <c r="U77" i="56" s="1"/>
  <c r="BR78" i="54"/>
  <c r="T78" i="56" s="1"/>
  <c r="BQ79" i="54"/>
  <c r="S79" i="56" s="1"/>
  <c r="BP80" i="54"/>
  <c r="R80" i="56" s="1"/>
  <c r="BO81" i="54"/>
  <c r="Q81" i="56" s="1"/>
  <c r="BN82" i="54"/>
  <c r="P82" i="56" s="1"/>
  <c r="BV82" i="54"/>
  <c r="X82" i="56" s="1"/>
  <c r="BM83" i="54"/>
  <c r="O83" i="56" s="1"/>
  <c r="BU83" i="54"/>
  <c r="W83" i="56" s="1"/>
  <c r="BT84" i="54"/>
  <c r="V84" i="56" s="1"/>
  <c r="BS85" i="54"/>
  <c r="U85" i="56" s="1"/>
  <c r="BV88" i="54"/>
  <c r="X88" i="56" s="1"/>
  <c r="BC94" i="54"/>
  <c r="E94" i="56" s="1"/>
  <c r="AS94" i="54"/>
  <c r="BK94" i="54"/>
  <c r="M94" i="56" s="1"/>
  <c r="BA94" i="54"/>
  <c r="BC102" i="54"/>
  <c r="E102" i="56" s="1"/>
  <c r="AS102" i="54"/>
  <c r="BK102" i="54"/>
  <c r="M102" i="56" s="1"/>
  <c r="BA102" i="54"/>
  <c r="BU102" i="54"/>
  <c r="W102" i="56" s="1"/>
  <c r="BD93" i="54"/>
  <c r="F93" i="56" s="1"/>
  <c r="AT93" i="54"/>
  <c r="BL93" i="54"/>
  <c r="N93" i="56" s="1"/>
  <c r="BB93" i="54"/>
  <c r="BV93" i="54"/>
  <c r="X93" i="56" s="1"/>
  <c r="BJ95" i="54"/>
  <c r="L95" i="56" s="1"/>
  <c r="AZ95" i="54"/>
  <c r="BW95" i="54"/>
  <c r="BW96" i="54"/>
  <c r="BW97" i="54"/>
  <c r="BW102" i="54"/>
  <c r="BD101" i="54"/>
  <c r="F101" i="56" s="1"/>
  <c r="AT101" i="54"/>
  <c r="BL101" i="54"/>
  <c r="N101" i="56" s="1"/>
  <c r="BB101" i="54"/>
  <c r="BW101" i="54"/>
  <c r="BE100" i="54"/>
  <c r="G100" i="56" s="1"/>
  <c r="AU100" i="54"/>
  <c r="BI87" i="54"/>
  <c r="K87" i="56" s="1"/>
  <c r="BW94" i="54"/>
  <c r="BT95" i="54"/>
  <c r="V95" i="56" s="1"/>
  <c r="BM90" i="54"/>
  <c r="O90" i="56" s="1"/>
  <c r="BU90" i="54"/>
  <c r="W90" i="56" s="1"/>
  <c r="BT91" i="54"/>
  <c r="V91" i="56" s="1"/>
  <c r="BS92" i="54"/>
  <c r="U92" i="56" s="1"/>
  <c r="BR93" i="54"/>
  <c r="T93" i="56" s="1"/>
  <c r="BQ94" i="54"/>
  <c r="S94" i="56" s="1"/>
  <c r="BP95" i="54"/>
  <c r="R95" i="56" s="1"/>
  <c r="BO96" i="54"/>
  <c r="Q96" i="56" s="1"/>
  <c r="BN97" i="54"/>
  <c r="P97" i="56" s="1"/>
  <c r="BV97" i="54"/>
  <c r="X97" i="56" s="1"/>
  <c r="BM98" i="54"/>
  <c r="O98" i="56" s="1"/>
  <c r="BU98" i="54"/>
  <c r="W98" i="56" s="1"/>
  <c r="BD99" i="54"/>
  <c r="F99" i="56" s="1"/>
  <c r="BL99" i="54"/>
  <c r="N99" i="56" s="1"/>
  <c r="BT99" i="54"/>
  <c r="V99" i="56" s="1"/>
  <c r="BC100" i="54"/>
  <c r="E100" i="56" s="1"/>
  <c r="BK100" i="54"/>
  <c r="M100" i="56" s="1"/>
  <c r="BS100" i="54"/>
  <c r="U100" i="56" s="1"/>
  <c r="BJ101" i="54"/>
  <c r="L101" i="56" s="1"/>
  <c r="BR101" i="54"/>
  <c r="T101" i="56" s="1"/>
  <c r="BI102" i="54"/>
  <c r="K102" i="56" s="1"/>
  <c r="BQ102" i="54"/>
  <c r="S102" i="56" s="1"/>
  <c r="BO89" i="54"/>
  <c r="Q89" i="56" s="1"/>
  <c r="BN90" i="54"/>
  <c r="P90" i="56" s="1"/>
  <c r="BV90" i="54"/>
  <c r="X90" i="56" s="1"/>
  <c r="BE91" i="54"/>
  <c r="G91" i="56" s="1"/>
  <c r="BM91" i="54"/>
  <c r="O91" i="56" s="1"/>
  <c r="BU91" i="54"/>
  <c r="W91" i="56" s="1"/>
  <c r="BD92" i="54"/>
  <c r="F92" i="56" s="1"/>
  <c r="BL92" i="54"/>
  <c r="N92" i="56" s="1"/>
  <c r="BT92" i="54"/>
  <c r="V92" i="56" s="1"/>
  <c r="BC93" i="54"/>
  <c r="E93" i="56" s="1"/>
  <c r="BK93" i="54"/>
  <c r="M93" i="56" s="1"/>
  <c r="BS93" i="54"/>
  <c r="U93" i="56" s="1"/>
  <c r="BJ94" i="54"/>
  <c r="L94" i="56" s="1"/>
  <c r="BR94" i="54"/>
  <c r="T94" i="56" s="1"/>
  <c r="BI95" i="54"/>
  <c r="K95" i="56" s="1"/>
  <c r="BQ95" i="54"/>
  <c r="S95" i="56" s="1"/>
  <c r="BH96" i="54"/>
  <c r="J96" i="56" s="1"/>
  <c r="BP96" i="54"/>
  <c r="R96" i="56" s="1"/>
  <c r="BG97" i="54"/>
  <c r="I97" i="56" s="1"/>
  <c r="BO97" i="54"/>
  <c r="Q97" i="56" s="1"/>
  <c r="BF98" i="54"/>
  <c r="H98" i="56" s="1"/>
  <c r="BN98" i="54"/>
  <c r="P98" i="56" s="1"/>
  <c r="BV98" i="54"/>
  <c r="X98" i="56" s="1"/>
  <c r="BE99" i="54"/>
  <c r="G99" i="56" s="1"/>
  <c r="BM99" i="54"/>
  <c r="O99" i="56" s="1"/>
  <c r="BU99" i="54"/>
  <c r="W99" i="56" s="1"/>
  <c r="BD100" i="54"/>
  <c r="F100" i="56" s="1"/>
  <c r="BL100" i="54"/>
  <c r="N100" i="56" s="1"/>
  <c r="BT100" i="54"/>
  <c r="V100" i="56" s="1"/>
  <c r="BC101" i="54"/>
  <c r="E101" i="56" s="1"/>
  <c r="BK101" i="54"/>
  <c r="M101" i="56" s="1"/>
  <c r="BS101" i="54"/>
  <c r="U101" i="56" s="1"/>
  <c r="AT102" i="54"/>
  <c r="BB102" i="54"/>
  <c r="BJ102" i="54"/>
  <c r="L102" i="56" s="1"/>
  <c r="BR102" i="54"/>
  <c r="T102" i="56" s="1"/>
  <c r="AZ89" i="54"/>
  <c r="AY90" i="54"/>
  <c r="AX91" i="54"/>
  <c r="AW92" i="54"/>
  <c r="AV93" i="54"/>
  <c r="BT93" i="54"/>
  <c r="V93" i="56" s="1"/>
  <c r="AU94" i="54"/>
  <c r="BS94" i="54"/>
  <c r="U94" i="56" s="1"/>
  <c r="AT95" i="54"/>
  <c r="BB95" i="54"/>
  <c r="BR95" i="54"/>
  <c r="T95" i="56" s="1"/>
  <c r="AS96" i="54"/>
  <c r="BA96" i="54"/>
  <c r="BQ96" i="54"/>
  <c r="S96" i="56" s="1"/>
  <c r="AZ97" i="54"/>
  <c r="BP97" i="54"/>
  <c r="R97" i="56" s="1"/>
  <c r="AY98" i="54"/>
  <c r="BO98" i="54"/>
  <c r="Q98" i="56" s="1"/>
  <c r="AX99" i="54"/>
  <c r="BN99" i="54"/>
  <c r="P99" i="56" s="1"/>
  <c r="BV99" i="54"/>
  <c r="X99" i="56" s="1"/>
  <c r="AW100" i="54"/>
  <c r="BM100" i="54"/>
  <c r="O100" i="56" s="1"/>
  <c r="BU100" i="54"/>
  <c r="W100" i="56" s="1"/>
  <c r="AV101" i="54"/>
  <c r="BT101" i="54"/>
  <c r="V101" i="56" s="1"/>
  <c r="AU102" i="54"/>
  <c r="BS102" i="54"/>
  <c r="U102" i="56" s="1"/>
  <c r="AY91" i="54"/>
  <c r="BO91" i="54"/>
  <c r="Q91" i="56" s="1"/>
  <c r="AX92" i="54"/>
  <c r="BN92" i="54"/>
  <c r="P92" i="56" s="1"/>
  <c r="BV92" i="54"/>
  <c r="X92" i="56" s="1"/>
  <c r="AW93" i="54"/>
  <c r="BM93" i="54"/>
  <c r="O93" i="56" s="1"/>
  <c r="BU93" i="54"/>
  <c r="W93" i="56" s="1"/>
  <c r="AV94" i="54"/>
  <c r="BT94" i="54"/>
  <c r="V94" i="56" s="1"/>
  <c r="AU95" i="54"/>
  <c r="BS95" i="54"/>
  <c r="U95" i="56" s="1"/>
  <c r="AT96" i="54"/>
  <c r="BB96" i="54"/>
  <c r="BR96" i="54"/>
  <c r="T96" i="56" s="1"/>
  <c r="AS97" i="54"/>
  <c r="BA97" i="54"/>
  <c r="BQ97" i="54"/>
  <c r="S97" i="56" s="1"/>
  <c r="AZ98" i="54"/>
  <c r="AY99" i="54"/>
  <c r="AX100" i="54"/>
  <c r="BN100" i="54"/>
  <c r="P100" i="56" s="1"/>
  <c r="BV100" i="54"/>
  <c r="X100" i="56" s="1"/>
  <c r="AW101" i="54"/>
  <c r="BM101" i="54"/>
  <c r="O101" i="56" s="1"/>
  <c r="BU101" i="54"/>
  <c r="W101" i="56" s="1"/>
  <c r="AV102" i="54"/>
  <c r="BT102" i="54"/>
  <c r="V102" i="56" s="1"/>
  <c r="BI91" i="54"/>
  <c r="K91" i="56" s="1"/>
  <c r="BH92" i="54"/>
  <c r="J92" i="56" s="1"/>
  <c r="BG93" i="54"/>
  <c r="I93" i="56" s="1"/>
  <c r="BF94" i="54"/>
  <c r="H94" i="56" s="1"/>
  <c r="BE95" i="54"/>
  <c r="G95" i="56" s="1"/>
  <c r="BD96" i="54"/>
  <c r="F96" i="56" s="1"/>
  <c r="BL96" i="54"/>
  <c r="N96" i="56" s="1"/>
  <c r="BC97" i="54"/>
  <c r="E97" i="56" s="1"/>
  <c r="BK97" i="54"/>
  <c r="M97" i="56" s="1"/>
  <c r="BJ98" i="54"/>
  <c r="L98" i="56" s="1"/>
  <c r="BI99" i="54"/>
  <c r="K99" i="56" s="1"/>
  <c r="BH100" i="54"/>
  <c r="J100" i="56" s="1"/>
  <c r="BG101" i="54"/>
  <c r="I101" i="56" s="1"/>
  <c r="BF102" i="54"/>
  <c r="H102" i="56" s="1"/>
  <c r="FT3" i="55" l="1"/>
  <c r="BW3" i="55" s="1"/>
  <c r="D3" i="57" s="1"/>
  <c r="FT40" i="55"/>
  <c r="HB47" i="55"/>
  <c r="HB37" i="55"/>
  <c r="BW37" i="55" s="1"/>
  <c r="D37" i="57" s="1"/>
  <c r="GL21" i="55"/>
  <c r="GL29" i="55"/>
  <c r="GL6" i="55"/>
  <c r="GL44" i="55"/>
  <c r="GL43" i="55"/>
  <c r="BW33" i="55"/>
  <c r="D33" i="57" s="1"/>
  <c r="BW24" i="55"/>
  <c r="D24" i="57" s="1"/>
  <c r="BW8" i="55"/>
  <c r="D8" i="57" s="1"/>
  <c r="BW52" i="55"/>
  <c r="D52" i="57" s="1"/>
  <c r="BW51" i="55"/>
  <c r="D51" i="57" s="1"/>
  <c r="BW40" i="55"/>
  <c r="D40" i="57" s="1"/>
  <c r="BW23" i="55"/>
  <c r="D23" i="57" s="1"/>
  <c r="BW48" i="55"/>
  <c r="D48" i="57" s="1"/>
  <c r="BW47" i="55"/>
  <c r="D47" i="57" s="1"/>
  <c r="BW44" i="55"/>
  <c r="D44" i="57" s="1"/>
  <c r="BW34" i="55"/>
  <c r="D34" i="57" s="1"/>
  <c r="BW30" i="55"/>
  <c r="D30" i="57" s="1"/>
  <c r="BW29" i="55"/>
  <c r="D29" i="57" s="1"/>
  <c r="BW22" i="55"/>
  <c r="D22" i="57" s="1"/>
  <c r="BW14" i="55"/>
  <c r="D14" i="57" s="1"/>
  <c r="BW35" i="55"/>
  <c r="D35" i="57" s="1"/>
  <c r="BW32" i="55"/>
  <c r="D32" i="57" s="1"/>
  <c r="BW25" i="55"/>
  <c r="D25" i="57" s="1"/>
  <c r="BW20" i="55"/>
  <c r="D20" i="57" s="1"/>
  <c r="BW43" i="55"/>
  <c r="D43" i="57" s="1"/>
  <c r="BW27" i="55"/>
  <c r="D27" i="57" s="1"/>
  <c r="BW19" i="55"/>
  <c r="D19" i="57" s="1"/>
  <c r="BW18" i="55"/>
  <c r="D18" i="57" s="1"/>
  <c r="BW15" i="55"/>
  <c r="D15" i="57" s="1"/>
  <c r="BW9" i="55"/>
  <c r="D9" i="57" s="1"/>
  <c r="BW6" i="55"/>
  <c r="D6" i="57" s="1"/>
  <c r="BW10" i="55"/>
  <c r="D10" i="57" s="1"/>
  <c r="BW31" i="55"/>
  <c r="D31" i="57" s="1"/>
  <c r="BW41" i="55"/>
  <c r="D41" i="57" s="1"/>
  <c r="BW42" i="55"/>
  <c r="D42" i="57" s="1"/>
  <c r="BW38" i="55"/>
  <c r="D38" i="57" s="1"/>
  <c r="BW21" i="55"/>
  <c r="D21" i="57" s="1"/>
  <c r="HJ42" i="54"/>
  <c r="BW42" i="54" s="1"/>
  <c r="D42" i="56" s="1"/>
  <c r="HJ41" i="54"/>
  <c r="BW41" i="54" s="1"/>
  <c r="D41" i="56" s="1"/>
  <c r="HJ37" i="54"/>
  <c r="BW37" i="54" s="1"/>
  <c r="D37" i="56" s="1"/>
  <c r="HJ28" i="54"/>
  <c r="BW28" i="54" s="1"/>
  <c r="D28" i="56" s="1"/>
  <c r="HJ24" i="54"/>
  <c r="BW24" i="54" s="1"/>
  <c r="D24" i="56" s="1"/>
  <c r="HJ23" i="54"/>
  <c r="BW23" i="54" s="1"/>
  <c r="D23" i="56" s="1"/>
  <c r="HJ22" i="54"/>
  <c r="BW22" i="54" s="1"/>
  <c r="D22" i="56" s="1"/>
  <c r="HJ21" i="54"/>
  <c r="BW21" i="54" s="1"/>
  <c r="D21" i="56" s="1"/>
  <c r="HJ9" i="54"/>
  <c r="BW9" i="54" s="1"/>
  <c r="D9" i="56" s="1"/>
  <c r="HJ7" i="54"/>
  <c r="BW7" i="54" s="1"/>
  <c r="D7" i="56" s="1"/>
  <c r="HJ4" i="54"/>
  <c r="BW4" i="54" s="1"/>
  <c r="D4" i="56" s="1"/>
  <c r="HJ52" i="54"/>
  <c r="BW52" i="54" s="1"/>
  <c r="D52" i="56" s="1"/>
  <c r="HJ49" i="54"/>
  <c r="BW49" i="54" s="1"/>
  <c r="D49" i="56" s="1"/>
  <c r="HJ45" i="54"/>
  <c r="BW45" i="54" s="1"/>
  <c r="D45" i="56" s="1"/>
  <c r="HJ43" i="54"/>
  <c r="BW43" i="54" s="1"/>
  <c r="D43" i="56" s="1"/>
  <c r="HJ38" i="54"/>
  <c r="BW38" i="54" s="1"/>
  <c r="D38" i="56" s="1"/>
  <c r="HJ36" i="54"/>
  <c r="BW36" i="54" s="1"/>
  <c r="D36" i="56" s="1"/>
  <c r="HJ33" i="54"/>
  <c r="BW33" i="54" s="1"/>
  <c r="D33" i="56" s="1"/>
  <c r="HJ26" i="54"/>
  <c r="BW26" i="54" s="1"/>
  <c r="D26" i="56" s="1"/>
  <c r="HJ25" i="54"/>
  <c r="BW25" i="54" s="1"/>
  <c r="D25" i="56" s="1"/>
  <c r="HJ16" i="54"/>
  <c r="BW16" i="54" s="1"/>
  <c r="D16" i="56" s="1"/>
  <c r="HJ12" i="54"/>
  <c r="BW12" i="54" s="1"/>
  <c r="D12" i="56" s="1"/>
  <c r="HJ11" i="54"/>
  <c r="BW11" i="54" s="1"/>
  <c r="D11" i="56" s="1"/>
  <c r="HJ48" i="54"/>
  <c r="BW48" i="54" s="1"/>
  <c r="D48" i="56" s="1"/>
  <c r="HJ47" i="54"/>
  <c r="BW47" i="54" s="1"/>
  <c r="D47" i="56" s="1"/>
  <c r="HJ40" i="54"/>
  <c r="BW40" i="54" s="1"/>
  <c r="D40" i="56" s="1"/>
  <c r="HJ39" i="54"/>
  <c r="BW39" i="54" s="1"/>
  <c r="D39" i="56" s="1"/>
  <c r="HJ32" i="54"/>
  <c r="BW32" i="54" s="1"/>
  <c r="D32" i="56" s="1"/>
  <c r="HJ31" i="54"/>
  <c r="BW31" i="54" s="1"/>
  <c r="D31" i="56" s="1"/>
  <c r="HJ29" i="54"/>
  <c r="BW29" i="54" s="1"/>
  <c r="D29" i="56" s="1"/>
  <c r="HJ15" i="54"/>
  <c r="BW15" i="54" s="1"/>
  <c r="D15" i="56" s="1"/>
  <c r="HJ10" i="54"/>
  <c r="BW10" i="54" s="1"/>
  <c r="D10" i="56" s="1"/>
  <c r="HJ6" i="54"/>
  <c r="BW6" i="54" s="1"/>
  <c r="D6" i="56" s="1"/>
  <c r="HJ5" i="54"/>
  <c r="BW5" i="54" s="1"/>
  <c r="D5" i="56" s="1"/>
  <c r="HJ3" i="54"/>
  <c r="BW3" i="54" s="1"/>
  <c r="D3" i="56" s="1"/>
  <c r="HJ51" i="54"/>
  <c r="BW51" i="54" s="1"/>
  <c r="D51" i="56" s="1"/>
  <c r="HJ50" i="54"/>
  <c r="BW50" i="54" s="1"/>
  <c r="D50" i="56" s="1"/>
  <c r="HJ44" i="54"/>
  <c r="BW44" i="54" s="1"/>
  <c r="D44" i="56" s="1"/>
  <c r="HJ35" i="54"/>
  <c r="BW35" i="54" s="1"/>
  <c r="D35" i="56" s="1"/>
  <c r="HJ34" i="54"/>
  <c r="BW34" i="54" s="1"/>
  <c r="D34" i="56" s="1"/>
  <c r="HJ30" i="54"/>
  <c r="BW30" i="54" s="1"/>
  <c r="D30" i="56" s="1"/>
  <c r="HJ27" i="54"/>
  <c r="BW27" i="54" s="1"/>
  <c r="D27" i="56" s="1"/>
  <c r="HJ20" i="54"/>
  <c r="BW20" i="54" s="1"/>
  <c r="D20" i="56" s="1"/>
  <c r="HJ19" i="54"/>
  <c r="BW19" i="54" s="1"/>
  <c r="D19" i="56" s="1"/>
  <c r="HJ18" i="54"/>
  <c r="BW18" i="54" s="1"/>
  <c r="D18" i="56" s="1"/>
  <c r="HJ17" i="54"/>
  <c r="BW17" i="54" s="1"/>
  <c r="D17" i="56" s="1"/>
  <c r="HJ14" i="54"/>
  <c r="BW14" i="54" s="1"/>
  <c r="D14" i="56" s="1"/>
  <c r="HJ8" i="54"/>
  <c r="BW8" i="54" s="1"/>
  <c r="D8" i="56" s="1"/>
  <c r="BR53" i="55"/>
  <c r="T53" i="57" s="1"/>
  <c r="AD53" i="57" s="1"/>
  <c r="J53" i="57"/>
  <c r="BR53" i="54"/>
  <c r="T53" i="56" s="1"/>
  <c r="AD53" i="56" s="1"/>
  <c r="J53" i="56"/>
  <c r="Q108" i="15" l="1"/>
  <c r="P108" i="15"/>
  <c r="O108" i="15"/>
  <c r="N108" i="15"/>
  <c r="M108" i="15"/>
  <c r="L108" i="15"/>
  <c r="K108" i="15"/>
  <c r="J108" i="15"/>
  <c r="I108" i="15"/>
  <c r="H108" i="15"/>
  <c r="G108" i="15"/>
  <c r="F108" i="15"/>
  <c r="E108" i="15"/>
  <c r="D108" i="15"/>
  <c r="C108" i="15"/>
  <c r="AA109" i="15" l="1"/>
  <c r="Z109" i="15"/>
  <c r="Y109" i="15"/>
  <c r="X109" i="15"/>
  <c r="W109" i="15"/>
  <c r="V109" i="15"/>
  <c r="U109" i="15"/>
  <c r="T109" i="15"/>
  <c r="S109" i="15"/>
  <c r="R109" i="15"/>
  <c r="Q109" i="15"/>
  <c r="P109" i="15"/>
  <c r="O109" i="15"/>
  <c r="N109" i="15"/>
  <c r="M109" i="15"/>
  <c r="L109" i="15"/>
  <c r="K109" i="15"/>
  <c r="J109" i="15"/>
  <c r="I109" i="15"/>
  <c r="I52" i="55" s="1"/>
  <c r="H109" i="15"/>
  <c r="G109" i="15"/>
  <c r="F109" i="15"/>
  <c r="E109" i="15"/>
  <c r="D109" i="15"/>
  <c r="AA108" i="15"/>
  <c r="Z108" i="15"/>
  <c r="Y108" i="15"/>
  <c r="X108" i="15"/>
  <c r="W108" i="15"/>
  <c r="V108" i="15"/>
  <c r="U108" i="15"/>
  <c r="T108" i="15"/>
  <c r="S108" i="15"/>
  <c r="R108" i="15"/>
  <c r="C109" i="15"/>
  <c r="AO52" i="57" l="1"/>
  <c r="AY52" i="55"/>
  <c r="BI52" i="55" s="1"/>
  <c r="I106" i="55"/>
  <c r="I4" i="54"/>
  <c r="I20" i="54"/>
  <c r="I49" i="54"/>
  <c r="I9" i="55"/>
  <c r="I20" i="55"/>
  <c r="I3" i="54"/>
  <c r="I9" i="54"/>
  <c r="I31" i="54"/>
  <c r="I43" i="54"/>
  <c r="I8" i="55"/>
  <c r="I27" i="55"/>
  <c r="I43" i="55"/>
  <c r="I17" i="54"/>
  <c r="I26" i="54"/>
  <c r="I35" i="54"/>
  <c r="I50" i="54"/>
  <c r="I17" i="55"/>
  <c r="I33" i="55"/>
  <c r="I40" i="55"/>
  <c r="I5" i="54"/>
  <c r="I28" i="54"/>
  <c r="I45" i="54"/>
  <c r="I12" i="55"/>
  <c r="I28" i="55"/>
  <c r="I44" i="55"/>
  <c r="I14" i="54"/>
  <c r="I21" i="54"/>
  <c r="I52" i="54"/>
  <c r="I13" i="55"/>
  <c r="I23" i="55"/>
  <c r="I6" i="54"/>
  <c r="I10" i="54"/>
  <c r="I36" i="54"/>
  <c r="I47" i="54"/>
  <c r="I11" i="55"/>
  <c r="I31" i="55"/>
  <c r="I48" i="55"/>
  <c r="I23" i="54"/>
  <c r="I29" i="54"/>
  <c r="I38" i="54"/>
  <c r="I4" i="55"/>
  <c r="I19" i="55"/>
  <c r="I34" i="55"/>
  <c r="I42" i="55"/>
  <c r="I16" i="54"/>
  <c r="I32" i="54"/>
  <c r="I46" i="54"/>
  <c r="I16" i="55"/>
  <c r="I29" i="55"/>
  <c r="I45" i="55"/>
  <c r="I15" i="54"/>
  <c r="I22" i="54"/>
  <c r="I6" i="55"/>
  <c r="I15" i="55"/>
  <c r="I41" i="55"/>
  <c r="I7" i="54"/>
  <c r="I11" i="54"/>
  <c r="I37" i="54"/>
  <c r="I48" i="54"/>
  <c r="I22" i="55"/>
  <c r="I37" i="55"/>
  <c r="I51" i="55"/>
  <c r="I24" i="54"/>
  <c r="I30" i="54"/>
  <c r="I39" i="54"/>
  <c r="I10" i="55"/>
  <c r="I25" i="55"/>
  <c r="I35" i="55"/>
  <c r="I46" i="55"/>
  <c r="I18" i="54"/>
  <c r="I33" i="54"/>
  <c r="I51" i="54"/>
  <c r="I21" i="55"/>
  <c r="I32" i="55"/>
  <c r="I50" i="55"/>
  <c r="I19" i="54"/>
  <c r="I41" i="54"/>
  <c r="I7" i="55"/>
  <c r="I18" i="55"/>
  <c r="I49" i="55"/>
  <c r="I8" i="54"/>
  <c r="I12" i="54"/>
  <c r="I42" i="54"/>
  <c r="I5" i="55"/>
  <c r="I26" i="55"/>
  <c r="I39" i="55"/>
  <c r="I13" i="54"/>
  <c r="I25" i="54"/>
  <c r="I34" i="54"/>
  <c r="I44" i="54"/>
  <c r="I14" i="55"/>
  <c r="I30" i="55"/>
  <c r="I36" i="55"/>
  <c r="I47" i="55"/>
  <c r="I27" i="54"/>
  <c r="I40" i="54"/>
  <c r="I3" i="55"/>
  <c r="I24" i="55"/>
  <c r="I38" i="55"/>
  <c r="C23" i="55"/>
  <c r="AI23" i="57" s="1"/>
  <c r="C13" i="55"/>
  <c r="AI13" i="57" s="1"/>
  <c r="C35" i="55"/>
  <c r="AI35" i="57" s="1"/>
  <c r="C19" i="55"/>
  <c r="AI19" i="57" s="1"/>
  <c r="C14" i="54"/>
  <c r="AI14" i="56" s="1"/>
  <c r="C24" i="54"/>
  <c r="AI24" i="56" s="1"/>
  <c r="C26" i="54"/>
  <c r="AI26" i="56" s="1"/>
  <c r="C11" i="54"/>
  <c r="AI11" i="56" s="1"/>
  <c r="C34" i="54"/>
  <c r="AI34" i="56" s="1"/>
  <c r="C13" i="54"/>
  <c r="AI13" i="56" s="1"/>
  <c r="C27" i="54"/>
  <c r="AI27" i="56" s="1"/>
  <c r="C15" i="55"/>
  <c r="AI15" i="57" s="1"/>
  <c r="C3" i="55"/>
  <c r="AI3" i="57" s="1"/>
  <c r="C28" i="55"/>
  <c r="AI28" i="57" s="1"/>
  <c r="C8" i="55"/>
  <c r="AI8" i="57" s="1"/>
  <c r="C17" i="54"/>
  <c r="AI17" i="56" s="1"/>
  <c r="C12" i="54"/>
  <c r="AI12" i="56" s="1"/>
  <c r="C40" i="55"/>
  <c r="AI40" i="57" s="1"/>
  <c r="C29" i="55"/>
  <c r="AI29" i="57" s="1"/>
  <c r="C32" i="54"/>
  <c r="AI32" i="56" s="1"/>
  <c r="C5" i="54"/>
  <c r="C14" i="55"/>
  <c r="AI14" i="57" s="1"/>
  <c r="C53" i="54"/>
  <c r="C22" i="55"/>
  <c r="AI22" i="57" s="1"/>
  <c r="C51" i="54"/>
  <c r="AI51" i="56" s="1"/>
  <c r="C8" i="54"/>
  <c r="AI8" i="56" s="1"/>
  <c r="C24" i="55"/>
  <c r="AI24" i="57" s="1"/>
  <c r="C23" i="54"/>
  <c r="AI23" i="56" s="1"/>
  <c r="C10" i="55"/>
  <c r="AI10" i="57" s="1"/>
  <c r="C20" i="55"/>
  <c r="AI20" i="57" s="1"/>
  <c r="C45" i="55"/>
  <c r="AI45" i="57" s="1"/>
  <c r="C30" i="55"/>
  <c r="AI30" i="57" s="1"/>
  <c r="C18" i="55"/>
  <c r="AI18" i="57" s="1"/>
  <c r="C9" i="54"/>
  <c r="AI9" i="56" s="1"/>
  <c r="C50" i="55"/>
  <c r="AI50" i="57" s="1"/>
  <c r="C41" i="54"/>
  <c r="AI41" i="56" s="1"/>
  <c r="C6" i="55"/>
  <c r="AI6" i="57" s="1"/>
  <c r="C30" i="54"/>
  <c r="AI30" i="56" s="1"/>
  <c r="C16" i="55"/>
  <c r="AI16" i="57" s="1"/>
  <c r="C44" i="55"/>
  <c r="AI44" i="57" s="1"/>
  <c r="C4" i="55"/>
  <c r="AI4" i="57" s="1"/>
  <c r="C12" i="55"/>
  <c r="AI12" i="57" s="1"/>
  <c r="C32" i="55"/>
  <c r="AI32" i="57" s="1"/>
  <c r="C41" i="55"/>
  <c r="AI41" i="57" s="1"/>
  <c r="C25" i="55"/>
  <c r="AI25" i="57" s="1"/>
  <c r="C17" i="55"/>
  <c r="AI17" i="57" s="1"/>
  <c r="C4" i="54"/>
  <c r="AI4" i="56" s="1"/>
  <c r="C21" i="55"/>
  <c r="AI21" i="57" s="1"/>
  <c r="C35" i="54"/>
  <c r="AI35" i="56" s="1"/>
  <c r="C45" i="54"/>
  <c r="AI45" i="56" s="1"/>
  <c r="C42" i="55"/>
  <c r="AI42" i="57" s="1"/>
  <c r="C53" i="55"/>
  <c r="C9" i="55"/>
  <c r="AI9" i="57" s="1"/>
  <c r="C37" i="55"/>
  <c r="AI37" i="57" s="1"/>
  <c r="C11" i="55"/>
  <c r="AI11" i="57" s="1"/>
  <c r="C33" i="55"/>
  <c r="AI33" i="57" s="1"/>
  <c r="C44" i="54"/>
  <c r="AI44" i="56" s="1"/>
  <c r="C47" i="54"/>
  <c r="AI47" i="56" s="1"/>
  <c r="C48" i="55"/>
  <c r="AI48" i="57" s="1"/>
  <c r="C50" i="54"/>
  <c r="AI50" i="56" s="1"/>
  <c r="C33" i="54"/>
  <c r="AI33" i="56" s="1"/>
  <c r="C39" i="54"/>
  <c r="AI39" i="56" s="1"/>
  <c r="C22" i="54"/>
  <c r="AI22" i="56" s="1"/>
  <c r="C19" i="54"/>
  <c r="AI19" i="56" s="1"/>
  <c r="C5" i="55"/>
  <c r="AI5" i="57" s="1"/>
  <c r="C28" i="54"/>
  <c r="AI28" i="56" s="1"/>
  <c r="C46" i="54"/>
  <c r="AI46" i="56" s="1"/>
  <c r="C42" i="54"/>
  <c r="AI42" i="56" s="1"/>
  <c r="C38" i="54"/>
  <c r="AI38" i="56" s="1"/>
  <c r="C10" i="54"/>
  <c r="AI10" i="56" s="1"/>
  <c r="C48" i="54"/>
  <c r="AI48" i="56" s="1"/>
  <c r="C51" i="55"/>
  <c r="AI51" i="57" s="1"/>
  <c r="C49" i="55"/>
  <c r="AI49" i="57" s="1"/>
  <c r="C46" i="55"/>
  <c r="AI46" i="57" s="1"/>
  <c r="C34" i="55"/>
  <c r="AI34" i="57" s="1"/>
  <c r="C7" i="55"/>
  <c r="AI7" i="57" s="1"/>
  <c r="C29" i="54"/>
  <c r="AI29" i="56" s="1"/>
  <c r="C36" i="55"/>
  <c r="AI36" i="57" s="1"/>
  <c r="C7" i="54"/>
  <c r="AI7" i="56" s="1"/>
  <c r="C21" i="54"/>
  <c r="AI21" i="56" s="1"/>
  <c r="C31" i="55"/>
  <c r="AI31" i="57" s="1"/>
  <c r="C31" i="54"/>
  <c r="AI31" i="56" s="1"/>
  <c r="C52" i="55"/>
  <c r="AI52" i="57" s="1"/>
  <c r="C39" i="55"/>
  <c r="AI39" i="57" s="1"/>
  <c r="C27" i="55"/>
  <c r="AI27" i="57" s="1"/>
  <c r="C38" i="55"/>
  <c r="AI38" i="57" s="1"/>
  <c r="C52" i="54"/>
  <c r="AI52" i="56" s="1"/>
  <c r="C26" i="55"/>
  <c r="AI26" i="57" s="1"/>
  <c r="C18" i="54"/>
  <c r="AI18" i="56" s="1"/>
  <c r="C25" i="54"/>
  <c r="AI25" i="56" s="1"/>
  <c r="C40" i="54"/>
  <c r="AI40" i="56" s="1"/>
  <c r="C43" i="54"/>
  <c r="AI43" i="56" s="1"/>
  <c r="C36" i="54"/>
  <c r="AI36" i="56" s="1"/>
  <c r="C6" i="54"/>
  <c r="C37" i="54"/>
  <c r="AI37" i="56" s="1"/>
  <c r="C15" i="54"/>
  <c r="AI15" i="56" s="1"/>
  <c r="C16" i="54"/>
  <c r="AI16" i="56" s="1"/>
  <c r="C3" i="54"/>
  <c r="AI3" i="56" s="1"/>
  <c r="C20" i="54"/>
  <c r="AI20" i="56" s="1"/>
  <c r="C47" i="55"/>
  <c r="AI47" i="57" s="1"/>
  <c r="C43" i="55"/>
  <c r="AI43" i="57" s="1"/>
  <c r="C49" i="54"/>
  <c r="AI49" i="56" s="1"/>
  <c r="M52" i="54"/>
  <c r="M21" i="55"/>
  <c r="M26" i="54"/>
  <c r="M11" i="54"/>
  <c r="M34" i="54"/>
  <c r="M13" i="55"/>
  <c r="M42" i="55"/>
  <c r="M4" i="55"/>
  <c r="M24" i="54"/>
  <c r="M33" i="55"/>
  <c r="M45" i="54"/>
  <c r="M52" i="55"/>
  <c r="M106" i="55" s="1"/>
  <c r="M107" i="55" s="1"/>
  <c r="M46" i="55"/>
  <c r="M35" i="55"/>
  <c r="M18" i="55"/>
  <c r="M17" i="54"/>
  <c r="M16" i="54"/>
  <c r="M27" i="55"/>
  <c r="M3" i="54"/>
  <c r="M32" i="54"/>
  <c r="M23" i="55"/>
  <c r="M16" i="55"/>
  <c r="M51" i="54"/>
  <c r="M41" i="55"/>
  <c r="M31" i="54"/>
  <c r="M20" i="55"/>
  <c r="M36" i="55"/>
  <c r="M28" i="55"/>
  <c r="M22" i="55"/>
  <c r="M37" i="55"/>
  <c r="M45" i="55"/>
  <c r="M40" i="55"/>
  <c r="M9" i="54"/>
  <c r="M8" i="54"/>
  <c r="M49" i="54"/>
  <c r="M15" i="55"/>
  <c r="M30" i="54"/>
  <c r="M27" i="54"/>
  <c r="M28" i="54"/>
  <c r="M44" i="54"/>
  <c r="M32" i="55"/>
  <c r="M4" i="54"/>
  <c r="M18" i="54"/>
  <c r="M29" i="54"/>
  <c r="M50" i="55"/>
  <c r="M12" i="55"/>
  <c r="M26" i="55"/>
  <c r="M11" i="55"/>
  <c r="M31" i="55"/>
  <c r="M47" i="54"/>
  <c r="M17" i="55"/>
  <c r="M50" i="54"/>
  <c r="M35" i="54"/>
  <c r="M39" i="54"/>
  <c r="M22" i="54"/>
  <c r="M19" i="54"/>
  <c r="M14" i="54"/>
  <c r="M49" i="55"/>
  <c r="M44" i="55"/>
  <c r="M19" i="55"/>
  <c r="M25" i="55"/>
  <c r="M46" i="54"/>
  <c r="M42" i="54"/>
  <c r="M38" i="54"/>
  <c r="M10" i="54"/>
  <c r="M39" i="55"/>
  <c r="M34" i="55"/>
  <c r="M41" i="54"/>
  <c r="M9" i="55"/>
  <c r="M7" i="55"/>
  <c r="M43" i="55"/>
  <c r="M14" i="55"/>
  <c r="M33" i="54"/>
  <c r="M21" i="54"/>
  <c r="M25" i="54"/>
  <c r="M12" i="54"/>
  <c r="M10" i="55"/>
  <c r="M20" i="54"/>
  <c r="M51" i="55"/>
  <c r="M48" i="55"/>
  <c r="M5" i="55"/>
  <c r="M8" i="55"/>
  <c r="M24" i="55"/>
  <c r="M6" i="55"/>
  <c r="M40" i="54"/>
  <c r="M3" i="55"/>
  <c r="M36" i="54"/>
  <c r="M7" i="54"/>
  <c r="M37" i="54"/>
  <c r="M15" i="54"/>
  <c r="M5" i="54"/>
  <c r="M47" i="55"/>
  <c r="M38" i="55"/>
  <c r="M43" i="54"/>
  <c r="M6" i="54"/>
  <c r="M29" i="55"/>
  <c r="M13" i="54"/>
  <c r="M48" i="54"/>
  <c r="M30" i="55"/>
  <c r="M23" i="54"/>
  <c r="H44" i="55"/>
  <c r="AN44" i="57" s="1"/>
  <c r="H21" i="55"/>
  <c r="AN21" i="57" s="1"/>
  <c r="H16" i="55"/>
  <c r="AN16" i="57" s="1"/>
  <c r="H4" i="55"/>
  <c r="AN4" i="57" s="1"/>
  <c r="H41" i="54"/>
  <c r="AN41" i="56" s="1"/>
  <c r="H32" i="55"/>
  <c r="AN32" i="57" s="1"/>
  <c r="H32" i="54"/>
  <c r="AN32" i="56" s="1"/>
  <c r="H28" i="55"/>
  <c r="AN28" i="57" s="1"/>
  <c r="H5" i="54"/>
  <c r="AN5" i="56" s="1"/>
  <c r="H51" i="54"/>
  <c r="AN51" i="56" s="1"/>
  <c r="H52" i="54"/>
  <c r="AN52" i="56" s="1"/>
  <c r="H4" i="54"/>
  <c r="H8" i="54"/>
  <c r="AN8" i="56" s="1"/>
  <c r="H45" i="55"/>
  <c r="AN45" i="57" s="1"/>
  <c r="H52" i="55"/>
  <c r="AN52" i="57" s="1"/>
  <c r="H18" i="55"/>
  <c r="AN18" i="57" s="1"/>
  <c r="H35" i="54"/>
  <c r="AN35" i="56" s="1"/>
  <c r="H22" i="55"/>
  <c r="AN22" i="57" s="1"/>
  <c r="H31" i="54"/>
  <c r="AN31" i="56" s="1"/>
  <c r="H20" i="55"/>
  <c r="AN20" i="57" s="1"/>
  <c r="H44" i="54"/>
  <c r="AN44" i="56" s="1"/>
  <c r="H47" i="54"/>
  <c r="AN47" i="56" s="1"/>
  <c r="H50" i="54"/>
  <c r="AN50" i="56" s="1"/>
  <c r="H41" i="55"/>
  <c r="AN41" i="57" s="1"/>
  <c r="H33" i="54"/>
  <c r="AN33" i="56" s="1"/>
  <c r="H11" i="55"/>
  <c r="AN11" i="57" s="1"/>
  <c r="H30" i="54"/>
  <c r="AN30" i="56" s="1"/>
  <c r="H12" i="55"/>
  <c r="AN12" i="57" s="1"/>
  <c r="H47" i="55"/>
  <c r="AN47" i="57" s="1"/>
  <c r="H29" i="54"/>
  <c r="AN29" i="56" s="1"/>
  <c r="H46" i="54"/>
  <c r="AN46" i="56" s="1"/>
  <c r="H37" i="55"/>
  <c r="AN37" i="57" s="1"/>
  <c r="H42" i="54"/>
  <c r="AN42" i="56" s="1"/>
  <c r="H50" i="55"/>
  <c r="AN50" i="57" s="1"/>
  <c r="H40" i="55"/>
  <c r="AN40" i="57" s="1"/>
  <c r="H39" i="55"/>
  <c r="AN39" i="57" s="1"/>
  <c r="H7" i="54"/>
  <c r="AN7" i="56" s="1"/>
  <c r="H45" i="54"/>
  <c r="AN45" i="56" s="1"/>
  <c r="H23" i="54"/>
  <c r="AN23" i="56" s="1"/>
  <c r="H48" i="54"/>
  <c r="AN48" i="56" s="1"/>
  <c r="H28" i="54"/>
  <c r="AN28" i="56" s="1"/>
  <c r="H25" i="54"/>
  <c r="AN25" i="56" s="1"/>
  <c r="H40" i="54"/>
  <c r="AN40" i="56" s="1"/>
  <c r="H26" i="55"/>
  <c r="AN26" i="57" s="1"/>
  <c r="H35" i="55"/>
  <c r="AN35" i="57" s="1"/>
  <c r="H49" i="55"/>
  <c r="AN49" i="57" s="1"/>
  <c r="H33" i="55"/>
  <c r="AN33" i="57" s="1"/>
  <c r="H36" i="55"/>
  <c r="AN36" i="57" s="1"/>
  <c r="H23" i="55"/>
  <c r="AN23" i="57" s="1"/>
  <c r="H27" i="55"/>
  <c r="AN27" i="57" s="1"/>
  <c r="H38" i="55"/>
  <c r="AN38" i="57" s="1"/>
  <c r="H6" i="54"/>
  <c r="AN6" i="56" s="1"/>
  <c r="H39" i="54"/>
  <c r="H22" i="54"/>
  <c r="AN22" i="56" s="1"/>
  <c r="H27" i="54"/>
  <c r="AN27" i="56" s="1"/>
  <c r="H18" i="54"/>
  <c r="AN18" i="56" s="1"/>
  <c r="H24" i="54"/>
  <c r="AN24" i="56" s="1"/>
  <c r="H26" i="54"/>
  <c r="AN26" i="56" s="1"/>
  <c r="H8" i="55"/>
  <c r="AN8" i="57" s="1"/>
  <c r="H11" i="54"/>
  <c r="AN11" i="56" s="1"/>
  <c r="H48" i="55"/>
  <c r="AN48" i="57" s="1"/>
  <c r="H31" i="55"/>
  <c r="AN31" i="57" s="1"/>
  <c r="H43" i="55"/>
  <c r="AN43" i="57" s="1"/>
  <c r="H30" i="55"/>
  <c r="AN30" i="57" s="1"/>
  <c r="H15" i="55"/>
  <c r="AN15" i="57" s="1"/>
  <c r="H13" i="55"/>
  <c r="AN13" i="57" s="1"/>
  <c r="H19" i="55"/>
  <c r="AN19" i="57" s="1"/>
  <c r="H3" i="54"/>
  <c r="H38" i="54"/>
  <c r="AN38" i="56" s="1"/>
  <c r="H21" i="54"/>
  <c r="AN21" i="56" s="1"/>
  <c r="H20" i="54"/>
  <c r="AN20" i="56" s="1"/>
  <c r="H14" i="54"/>
  <c r="AN14" i="56" s="1"/>
  <c r="H42" i="55"/>
  <c r="AN42" i="57" s="1"/>
  <c r="H17" i="54"/>
  <c r="AN17" i="56" s="1"/>
  <c r="H43" i="54"/>
  <c r="AN43" i="56" s="1"/>
  <c r="H36" i="54"/>
  <c r="AN36" i="56" s="1"/>
  <c r="H51" i="55"/>
  <c r="AN51" i="57" s="1"/>
  <c r="H25" i="55"/>
  <c r="AN25" i="57" s="1"/>
  <c r="H6" i="55"/>
  <c r="AN6" i="57" s="1"/>
  <c r="H29" i="55"/>
  <c r="AN29" i="57" s="1"/>
  <c r="H14" i="55"/>
  <c r="AN14" i="57" s="1"/>
  <c r="H3" i="55"/>
  <c r="AN3" i="57" s="1"/>
  <c r="H9" i="55"/>
  <c r="AN9" i="57" s="1"/>
  <c r="H37" i="54"/>
  <c r="AN37" i="56" s="1"/>
  <c r="H15" i="54"/>
  <c r="AN15" i="56" s="1"/>
  <c r="H19" i="54"/>
  <c r="AN19" i="56" s="1"/>
  <c r="H34" i="55"/>
  <c r="AN34" i="57" s="1"/>
  <c r="H13" i="54"/>
  <c r="AN13" i="56" s="1"/>
  <c r="H16" i="54"/>
  <c r="AN16" i="56" s="1"/>
  <c r="H24" i="55"/>
  <c r="AN24" i="57" s="1"/>
  <c r="H17" i="55"/>
  <c r="AN17" i="57" s="1"/>
  <c r="H10" i="55"/>
  <c r="AN10" i="57" s="1"/>
  <c r="H49" i="54"/>
  <c r="AN49" i="56" s="1"/>
  <c r="H46" i="55"/>
  <c r="AN46" i="57" s="1"/>
  <c r="H34" i="54"/>
  <c r="AN34" i="56" s="1"/>
  <c r="H10" i="54"/>
  <c r="AN10" i="56" s="1"/>
  <c r="H5" i="55"/>
  <c r="AN5" i="57" s="1"/>
  <c r="H7" i="55"/>
  <c r="AN7" i="57" s="1"/>
  <c r="H9" i="54"/>
  <c r="AN9" i="56" s="1"/>
  <c r="H12" i="54"/>
  <c r="AN12" i="56" s="1"/>
  <c r="G8" i="51"/>
  <c r="F8" i="51"/>
  <c r="E8" i="51"/>
  <c r="D8" i="51"/>
  <c r="C8" i="51"/>
  <c r="G7" i="51"/>
  <c r="G3" i="51"/>
  <c r="G4" i="51"/>
  <c r="F4" i="51"/>
  <c r="E4" i="51"/>
  <c r="D4" i="51"/>
  <c r="C4" i="51"/>
  <c r="M106" i="54" l="1"/>
  <c r="M107" i="54" s="1"/>
  <c r="AS6" i="54"/>
  <c r="BC6" i="54" s="1"/>
  <c r="AI6" i="56"/>
  <c r="AS5" i="54"/>
  <c r="BC5" i="54" s="1"/>
  <c r="AI5" i="56"/>
  <c r="K52" i="57"/>
  <c r="BS52" i="55"/>
  <c r="U52" i="57" s="1"/>
  <c r="AE52" i="57" s="1"/>
  <c r="AO38" i="57"/>
  <c r="AY38" i="55"/>
  <c r="BI38" i="55" s="1"/>
  <c r="K38" i="57" s="1"/>
  <c r="AO27" i="56"/>
  <c r="AY27" i="54"/>
  <c r="BI27" i="54" s="1"/>
  <c r="AO14" i="57"/>
  <c r="AY14" i="55"/>
  <c r="BI14" i="55" s="1"/>
  <c r="AO13" i="56"/>
  <c r="AY13" i="54"/>
  <c r="BI13" i="54" s="1"/>
  <c r="K13" i="56" s="1"/>
  <c r="AO42" i="56"/>
  <c r="AY42" i="54"/>
  <c r="BI42" i="54" s="1"/>
  <c r="AY18" i="55"/>
  <c r="BI18" i="55" s="1"/>
  <c r="K18" i="57" s="1"/>
  <c r="AO18" i="57"/>
  <c r="AO50" i="57"/>
  <c r="AY50" i="55"/>
  <c r="BI50" i="55" s="1"/>
  <c r="K50" i="57" s="1"/>
  <c r="AO33" i="56"/>
  <c r="AY33" i="54"/>
  <c r="BI33" i="54" s="1"/>
  <c r="K33" i="56" s="1"/>
  <c r="AO25" i="57"/>
  <c r="AY25" i="55"/>
  <c r="BI25" i="55" s="1"/>
  <c r="K25" i="57" s="1"/>
  <c r="AO24" i="56"/>
  <c r="AY24" i="54"/>
  <c r="BI24" i="54" s="1"/>
  <c r="AO48" i="56"/>
  <c r="AY48" i="54"/>
  <c r="BI48" i="54" s="1"/>
  <c r="K48" i="56" s="1"/>
  <c r="AY41" i="55"/>
  <c r="BI41" i="55" s="1"/>
  <c r="AO41" i="57"/>
  <c r="AY15" i="54"/>
  <c r="BI15" i="54" s="1"/>
  <c r="K15" i="56" s="1"/>
  <c r="AO15" i="56"/>
  <c r="AY46" i="54"/>
  <c r="BI46" i="54" s="1"/>
  <c r="AO46" i="56"/>
  <c r="AO34" i="57"/>
  <c r="AY34" i="55"/>
  <c r="BI34" i="55" s="1"/>
  <c r="K34" i="57" s="1"/>
  <c r="AO29" i="56"/>
  <c r="AY29" i="54"/>
  <c r="BI29" i="54" s="1"/>
  <c r="K29" i="56" s="1"/>
  <c r="AO11" i="57"/>
  <c r="AY11" i="55"/>
  <c r="BI11" i="55" s="1"/>
  <c r="K11" i="57" s="1"/>
  <c r="AO6" i="56"/>
  <c r="AY6" i="54"/>
  <c r="BI6" i="54" s="1"/>
  <c r="AO21" i="56"/>
  <c r="AY21" i="54"/>
  <c r="BI21" i="54" s="1"/>
  <c r="AO12" i="57"/>
  <c r="AY12" i="55"/>
  <c r="BI12" i="55" s="1"/>
  <c r="K12" i="57" s="1"/>
  <c r="AO40" i="57"/>
  <c r="AY40" i="55"/>
  <c r="BI40" i="55" s="1"/>
  <c r="K40" i="57" s="1"/>
  <c r="AO35" i="56"/>
  <c r="AY35" i="54"/>
  <c r="BI35" i="54" s="1"/>
  <c r="K35" i="56" s="1"/>
  <c r="AO27" i="57"/>
  <c r="AY27" i="55"/>
  <c r="BI27" i="55" s="1"/>
  <c r="AO9" i="56"/>
  <c r="AY9" i="54"/>
  <c r="BI9" i="54" s="1"/>
  <c r="K9" i="56" s="1"/>
  <c r="AO49" i="56"/>
  <c r="AY49" i="54"/>
  <c r="BI49" i="54" s="1"/>
  <c r="K49" i="56" s="1"/>
  <c r="I111" i="55"/>
  <c r="I107" i="55"/>
  <c r="I114" i="55"/>
  <c r="AO24" i="57"/>
  <c r="AY24" i="55"/>
  <c r="BI24" i="55" s="1"/>
  <c r="K24" i="57" s="1"/>
  <c r="AO47" i="57"/>
  <c r="AY47" i="55"/>
  <c r="BI47" i="55" s="1"/>
  <c r="K47" i="57" s="1"/>
  <c r="AO44" i="56"/>
  <c r="AY44" i="54"/>
  <c r="BI44" i="54" s="1"/>
  <c r="K44" i="56" s="1"/>
  <c r="AO39" i="57"/>
  <c r="AY39" i="55"/>
  <c r="BI39" i="55" s="1"/>
  <c r="AO12" i="56"/>
  <c r="AY12" i="54"/>
  <c r="BI12" i="54" s="1"/>
  <c r="K12" i="56" s="1"/>
  <c r="AO7" i="57"/>
  <c r="AY7" i="55"/>
  <c r="BI7" i="55" s="1"/>
  <c r="AO32" i="57"/>
  <c r="AY32" i="55"/>
  <c r="BI32" i="55" s="1"/>
  <c r="AO18" i="56"/>
  <c r="AY18" i="54"/>
  <c r="BI18" i="54" s="1"/>
  <c r="K18" i="56" s="1"/>
  <c r="AY10" i="55"/>
  <c r="BI10" i="55" s="1"/>
  <c r="AO10" i="57"/>
  <c r="AO51" i="57"/>
  <c r="AY51" i="55"/>
  <c r="BI51" i="55" s="1"/>
  <c r="AO37" i="56"/>
  <c r="AY37" i="54"/>
  <c r="BI37" i="54" s="1"/>
  <c r="K37" i="56" s="1"/>
  <c r="AO15" i="57"/>
  <c r="AY15" i="55"/>
  <c r="BI15" i="55" s="1"/>
  <c r="AO45" i="57"/>
  <c r="AY45" i="55"/>
  <c r="BI45" i="55" s="1"/>
  <c r="AO32" i="56"/>
  <c r="AY32" i="54"/>
  <c r="BI32" i="54" s="1"/>
  <c r="K32" i="56" s="1"/>
  <c r="AY19" i="55"/>
  <c r="BI19" i="55" s="1"/>
  <c r="AO19" i="57"/>
  <c r="AO23" i="56"/>
  <c r="AY23" i="54"/>
  <c r="BI23" i="54" s="1"/>
  <c r="K23" i="56" s="1"/>
  <c r="AO47" i="56"/>
  <c r="AY47" i="54"/>
  <c r="BI47" i="54" s="1"/>
  <c r="AO23" i="57"/>
  <c r="AY23" i="55"/>
  <c r="BI23" i="55" s="1"/>
  <c r="AO14" i="56"/>
  <c r="AY14" i="54"/>
  <c r="BI14" i="54" s="1"/>
  <c r="K14" i="56" s="1"/>
  <c r="AO45" i="56"/>
  <c r="AY45" i="54"/>
  <c r="BI45" i="54" s="1"/>
  <c r="AO33" i="57"/>
  <c r="AY33" i="55"/>
  <c r="BI33" i="55" s="1"/>
  <c r="AO26" i="56"/>
  <c r="AY26" i="54"/>
  <c r="BI26" i="54" s="1"/>
  <c r="AO8" i="57"/>
  <c r="AY8" i="55"/>
  <c r="BI8" i="55" s="1"/>
  <c r="K8" i="57" s="1"/>
  <c r="AO3" i="56"/>
  <c r="AY3" i="54"/>
  <c r="BI3" i="54" s="1"/>
  <c r="K3" i="56" s="1"/>
  <c r="I105" i="54"/>
  <c r="AO20" i="56"/>
  <c r="AY20" i="54"/>
  <c r="BI20" i="54" s="1"/>
  <c r="K20" i="56" s="1"/>
  <c r="AO3" i="57"/>
  <c r="AY3" i="55"/>
  <c r="BI3" i="55" s="1"/>
  <c r="K3" i="57" s="1"/>
  <c r="I105" i="55"/>
  <c r="AO36" i="57"/>
  <c r="AY36" i="55"/>
  <c r="BI36" i="55" s="1"/>
  <c r="AO34" i="56"/>
  <c r="AY34" i="54"/>
  <c r="BI34" i="54" s="1"/>
  <c r="AY26" i="55"/>
  <c r="BI26" i="55" s="1"/>
  <c r="K26" i="57" s="1"/>
  <c r="AO26" i="57"/>
  <c r="AY8" i="54"/>
  <c r="BI8" i="54" s="1"/>
  <c r="K8" i="56" s="1"/>
  <c r="AO8" i="56"/>
  <c r="AO41" i="56"/>
  <c r="AY41" i="54"/>
  <c r="BI41" i="54" s="1"/>
  <c r="K41" i="56" s="1"/>
  <c r="AO21" i="57"/>
  <c r="AY21" i="55"/>
  <c r="BI21" i="55" s="1"/>
  <c r="AO46" i="57"/>
  <c r="AY46" i="55"/>
  <c r="BI46" i="55" s="1"/>
  <c r="K46" i="57" s="1"/>
  <c r="AO39" i="56"/>
  <c r="AY39" i="54"/>
  <c r="BI39" i="54" s="1"/>
  <c r="K39" i="56" s="1"/>
  <c r="AY37" i="55"/>
  <c r="BI37" i="55" s="1"/>
  <c r="K37" i="57" s="1"/>
  <c r="AO37" i="57"/>
  <c r="AO11" i="56"/>
  <c r="AY11" i="54"/>
  <c r="BI11" i="54" s="1"/>
  <c r="AO6" i="57"/>
  <c r="AY6" i="55"/>
  <c r="BI6" i="55" s="1"/>
  <c r="AY29" i="55"/>
  <c r="BI29" i="55" s="1"/>
  <c r="AO29" i="57"/>
  <c r="AY16" i="54"/>
  <c r="BI16" i="54" s="1"/>
  <c r="AO16" i="56"/>
  <c r="AY4" i="55"/>
  <c r="BI4" i="55" s="1"/>
  <c r="K4" i="57" s="1"/>
  <c r="AO4" i="57"/>
  <c r="AO48" i="57"/>
  <c r="AY48" i="55"/>
  <c r="BI48" i="55" s="1"/>
  <c r="K48" i="57" s="1"/>
  <c r="AO36" i="56"/>
  <c r="AY36" i="54"/>
  <c r="BI36" i="54" s="1"/>
  <c r="K36" i="56" s="1"/>
  <c r="AO13" i="57"/>
  <c r="AY13" i="55"/>
  <c r="BI13" i="55" s="1"/>
  <c r="K13" i="57" s="1"/>
  <c r="AO44" i="57"/>
  <c r="AY44" i="55"/>
  <c r="BI44" i="55" s="1"/>
  <c r="AO28" i="56"/>
  <c r="AY28" i="54"/>
  <c r="BI28" i="54" s="1"/>
  <c r="K28" i="56" s="1"/>
  <c r="AO17" i="57"/>
  <c r="AY17" i="55"/>
  <c r="BI17" i="55" s="1"/>
  <c r="AO17" i="56"/>
  <c r="AY17" i="54"/>
  <c r="BI17" i="54" s="1"/>
  <c r="AY43" i="54"/>
  <c r="BI43" i="54" s="1"/>
  <c r="K43" i="56" s="1"/>
  <c r="AO43" i="56"/>
  <c r="AO20" i="57"/>
  <c r="AY20" i="55"/>
  <c r="BI20" i="55" s="1"/>
  <c r="AO4" i="56"/>
  <c r="AY4" i="54"/>
  <c r="BI4" i="54" s="1"/>
  <c r="AY40" i="54"/>
  <c r="BI40" i="54" s="1"/>
  <c r="K40" i="56" s="1"/>
  <c r="AO40" i="56"/>
  <c r="AO30" i="57"/>
  <c r="AY30" i="55"/>
  <c r="BI30" i="55" s="1"/>
  <c r="AO25" i="56"/>
  <c r="AY25" i="54"/>
  <c r="BI25" i="54" s="1"/>
  <c r="AY5" i="55"/>
  <c r="BI5" i="55" s="1"/>
  <c r="AO5" i="57"/>
  <c r="AO49" i="57"/>
  <c r="AY49" i="55"/>
  <c r="BI49" i="55" s="1"/>
  <c r="AO19" i="56"/>
  <c r="AY19" i="54"/>
  <c r="BI19" i="54" s="1"/>
  <c r="AY51" i="54"/>
  <c r="BI51" i="54" s="1"/>
  <c r="K51" i="56" s="1"/>
  <c r="AO51" i="56"/>
  <c r="AO35" i="57"/>
  <c r="AY35" i="55"/>
  <c r="BI35" i="55" s="1"/>
  <c r="K35" i="57" s="1"/>
  <c r="AO30" i="56"/>
  <c r="AY30" i="54"/>
  <c r="BI30" i="54" s="1"/>
  <c r="K30" i="56" s="1"/>
  <c r="AO22" i="57"/>
  <c r="AY22" i="55"/>
  <c r="BI22" i="55" s="1"/>
  <c r="AY7" i="54"/>
  <c r="BI7" i="54" s="1"/>
  <c r="K7" i="56" s="1"/>
  <c r="AO7" i="56"/>
  <c r="AO22" i="56"/>
  <c r="AY22" i="54"/>
  <c r="BI22" i="54" s="1"/>
  <c r="AO16" i="57"/>
  <c r="AY16" i="55"/>
  <c r="BI16" i="55" s="1"/>
  <c r="AO42" i="57"/>
  <c r="AY42" i="55"/>
  <c r="BI42" i="55" s="1"/>
  <c r="K42" i="57" s="1"/>
  <c r="AO38" i="56"/>
  <c r="AY38" i="54"/>
  <c r="BI38" i="54" s="1"/>
  <c r="AO31" i="57"/>
  <c r="AY31" i="55"/>
  <c r="BI31" i="55" s="1"/>
  <c r="AO10" i="56"/>
  <c r="AY10" i="54"/>
  <c r="BI10" i="54" s="1"/>
  <c r="K10" i="56" s="1"/>
  <c r="AO52" i="56"/>
  <c r="I106" i="54"/>
  <c r="AY52" i="54"/>
  <c r="BI52" i="54" s="1"/>
  <c r="AO28" i="57"/>
  <c r="AY28" i="55"/>
  <c r="BI28" i="55" s="1"/>
  <c r="K28" i="57" s="1"/>
  <c r="AY5" i="54"/>
  <c r="BI5" i="54" s="1"/>
  <c r="K5" i="56" s="1"/>
  <c r="AO5" i="56"/>
  <c r="AO50" i="56"/>
  <c r="AY50" i="54"/>
  <c r="BI50" i="54" s="1"/>
  <c r="AO43" i="57"/>
  <c r="AY43" i="55"/>
  <c r="BI43" i="55" s="1"/>
  <c r="K43" i="57" s="1"/>
  <c r="AO31" i="56"/>
  <c r="AY31" i="54"/>
  <c r="BI31" i="54" s="1"/>
  <c r="AO9" i="57"/>
  <c r="AY9" i="55"/>
  <c r="BI9" i="55" s="1"/>
  <c r="K9" i="57" s="1"/>
  <c r="AN3" i="56"/>
  <c r="AN4" i="56"/>
  <c r="AX39" i="54"/>
  <c r="BH39" i="54" s="1"/>
  <c r="J39" i="56" s="1"/>
  <c r="AN39" i="56"/>
  <c r="H106" i="55"/>
  <c r="H107" i="55" s="1"/>
  <c r="AX24" i="55"/>
  <c r="BH24" i="55" s="1"/>
  <c r="J24" i="57" s="1"/>
  <c r="AX29" i="55"/>
  <c r="BH29" i="55" s="1"/>
  <c r="J29" i="57" s="1"/>
  <c r="AX43" i="54"/>
  <c r="BH43" i="54" s="1"/>
  <c r="J43" i="56" s="1"/>
  <c r="AX19" i="55"/>
  <c r="BH19" i="55" s="1"/>
  <c r="J19" i="57" s="1"/>
  <c r="AX22" i="54"/>
  <c r="BH22" i="54" s="1"/>
  <c r="J22" i="56" s="1"/>
  <c r="AX33" i="55"/>
  <c r="BH33" i="55" s="1"/>
  <c r="J33" i="57" s="1"/>
  <c r="AX25" i="54"/>
  <c r="BH25" i="54" s="1"/>
  <c r="J25" i="56" s="1"/>
  <c r="AX39" i="55"/>
  <c r="BH39" i="55" s="1"/>
  <c r="J39" i="57" s="1"/>
  <c r="AX42" i="54"/>
  <c r="BH42" i="54" s="1"/>
  <c r="J42" i="56" s="1"/>
  <c r="AX33" i="54"/>
  <c r="BH33" i="54" s="1"/>
  <c r="J33" i="56" s="1"/>
  <c r="AX20" i="55"/>
  <c r="BH20" i="55" s="1"/>
  <c r="AX18" i="55"/>
  <c r="BH18" i="55" s="1"/>
  <c r="J18" i="57" s="1"/>
  <c r="AX52" i="54"/>
  <c r="BH52" i="54" s="1"/>
  <c r="J52" i="56" s="1"/>
  <c r="AX4" i="55"/>
  <c r="BH4" i="55" s="1"/>
  <c r="M105" i="54"/>
  <c r="AS43" i="55"/>
  <c r="BC43" i="55" s="1"/>
  <c r="E43" i="57" s="1"/>
  <c r="AS15" i="54"/>
  <c r="BC15" i="54" s="1"/>
  <c r="E15" i="56" s="1"/>
  <c r="AS36" i="55"/>
  <c r="BC36" i="55" s="1"/>
  <c r="E36" i="57" s="1"/>
  <c r="AS28" i="54"/>
  <c r="BC28" i="54" s="1"/>
  <c r="E28" i="56" s="1"/>
  <c r="AS48" i="55"/>
  <c r="BC48" i="55" s="1"/>
  <c r="E48" i="57" s="1"/>
  <c r="AS35" i="54"/>
  <c r="BC35" i="54" s="1"/>
  <c r="E35" i="56" s="1"/>
  <c r="AS30" i="54"/>
  <c r="BC30" i="54" s="1"/>
  <c r="E30" i="56" s="1"/>
  <c r="AS53" i="54"/>
  <c r="BC53" i="54" s="1"/>
  <c r="E53" i="56" s="1"/>
  <c r="BM53" i="54"/>
  <c r="O53" i="56" s="1"/>
  <c r="Y53" i="56" s="1"/>
  <c r="AS12" i="54"/>
  <c r="BC12" i="54" s="1"/>
  <c r="E12" i="56" s="1"/>
  <c r="AS3" i="55"/>
  <c r="BC3" i="55" s="1"/>
  <c r="E3" i="57" s="1"/>
  <c r="C105" i="55"/>
  <c r="AS13" i="54"/>
  <c r="BC13" i="54" s="1"/>
  <c r="E13" i="56" s="1"/>
  <c r="AX34" i="54"/>
  <c r="BH34" i="54" s="1"/>
  <c r="J34" i="56" s="1"/>
  <c r="AX19" i="54"/>
  <c r="BH19" i="54" s="1"/>
  <c r="J19" i="56" s="1"/>
  <c r="AX6" i="55"/>
  <c r="BH6" i="55" s="1"/>
  <c r="J6" i="57" s="1"/>
  <c r="AX17" i="54"/>
  <c r="BH17" i="54" s="1"/>
  <c r="J17" i="56" s="1"/>
  <c r="AX13" i="55"/>
  <c r="BH13" i="55" s="1"/>
  <c r="J13" i="57" s="1"/>
  <c r="AX48" i="55"/>
  <c r="BH48" i="55" s="1"/>
  <c r="AX28" i="54"/>
  <c r="BH28" i="54" s="1"/>
  <c r="J28" i="56" s="1"/>
  <c r="AX37" i="55"/>
  <c r="BH37" i="55" s="1"/>
  <c r="J37" i="57" s="1"/>
  <c r="AX31" i="54"/>
  <c r="BH31" i="54" s="1"/>
  <c r="J31" i="56" s="1"/>
  <c r="AX52" i="55"/>
  <c r="BH52" i="55" s="1"/>
  <c r="J52" i="57" s="1"/>
  <c r="AX51" i="54"/>
  <c r="BH51" i="54" s="1"/>
  <c r="J51" i="56" s="1"/>
  <c r="AX16" i="55"/>
  <c r="BH16" i="55" s="1"/>
  <c r="M105" i="55"/>
  <c r="AS47" i="55"/>
  <c r="BC47" i="55" s="1"/>
  <c r="E47" i="57" s="1"/>
  <c r="AS37" i="54"/>
  <c r="BC37" i="54" s="1"/>
  <c r="E37" i="56" s="1"/>
  <c r="AS26" i="55"/>
  <c r="BC26" i="55" s="1"/>
  <c r="E26" i="57" s="1"/>
  <c r="AS29" i="54"/>
  <c r="BC29" i="54" s="1"/>
  <c r="E29" i="56" s="1"/>
  <c r="AS5" i="55"/>
  <c r="BC5" i="55" s="1"/>
  <c r="E5" i="57" s="1"/>
  <c r="AS47" i="54"/>
  <c r="BC47" i="54" s="1"/>
  <c r="E47" i="56" s="1"/>
  <c r="C106" i="54"/>
  <c r="AS21" i="55"/>
  <c r="BC21" i="55" s="1"/>
  <c r="E21" i="57" s="1"/>
  <c r="AS4" i="55"/>
  <c r="BC4" i="55" s="1"/>
  <c r="E4" i="57" s="1"/>
  <c r="AS6" i="55"/>
  <c r="BC6" i="55" s="1"/>
  <c r="E6" i="57" s="1"/>
  <c r="AS45" i="55"/>
  <c r="BC45" i="55" s="1"/>
  <c r="AS14" i="55"/>
  <c r="BC14" i="55" s="1"/>
  <c r="E14" i="57" s="1"/>
  <c r="AS17" i="54"/>
  <c r="BC17" i="54" s="1"/>
  <c r="E17" i="56" s="1"/>
  <c r="AS15" i="55"/>
  <c r="BC15" i="55" s="1"/>
  <c r="E15" i="57" s="1"/>
  <c r="AS35" i="55"/>
  <c r="BC35" i="55" s="1"/>
  <c r="E35" i="57" s="1"/>
  <c r="AX46" i="55"/>
  <c r="BH46" i="55" s="1"/>
  <c r="J46" i="57" s="1"/>
  <c r="AX15" i="54"/>
  <c r="BH15" i="54" s="1"/>
  <c r="J15" i="56" s="1"/>
  <c r="AX25" i="55"/>
  <c r="BH25" i="55" s="1"/>
  <c r="J25" i="57" s="1"/>
  <c r="AX42" i="55"/>
  <c r="BH42" i="55" s="1"/>
  <c r="AX15" i="55"/>
  <c r="BH15" i="55" s="1"/>
  <c r="AX11" i="54"/>
  <c r="BH11" i="54" s="1"/>
  <c r="J11" i="56" s="1"/>
  <c r="AX6" i="54"/>
  <c r="BH6" i="54" s="1"/>
  <c r="J6" i="56" s="1"/>
  <c r="AX48" i="54"/>
  <c r="BH48" i="54" s="1"/>
  <c r="J48" i="56" s="1"/>
  <c r="AX46" i="54"/>
  <c r="BH46" i="54" s="1"/>
  <c r="J46" i="56" s="1"/>
  <c r="AX22" i="55"/>
  <c r="BH22" i="55" s="1"/>
  <c r="J22" i="57" s="1"/>
  <c r="AX5" i="54"/>
  <c r="BH5" i="54" s="1"/>
  <c r="J5" i="56" s="1"/>
  <c r="BM6" i="54"/>
  <c r="O6" i="56" s="1"/>
  <c r="Y6" i="56" s="1"/>
  <c r="E6" i="56"/>
  <c r="AS52" i="54"/>
  <c r="BC52" i="54" s="1"/>
  <c r="AS7" i="55"/>
  <c r="BC7" i="55" s="1"/>
  <c r="E7" i="57" s="1"/>
  <c r="AS44" i="54"/>
  <c r="BC44" i="54" s="1"/>
  <c r="E44" i="56" s="1"/>
  <c r="AS53" i="55"/>
  <c r="BC53" i="55" s="1"/>
  <c r="E53" i="57" s="1"/>
  <c r="C106" i="55"/>
  <c r="BM53" i="55"/>
  <c r="O53" i="57" s="1"/>
  <c r="Y53" i="57" s="1"/>
  <c r="AS4" i="54"/>
  <c r="BC4" i="54" s="1"/>
  <c r="E4" i="56" s="1"/>
  <c r="AS41" i="54"/>
  <c r="BC41" i="54" s="1"/>
  <c r="E41" i="56" s="1"/>
  <c r="AS20" i="55"/>
  <c r="BC20" i="55" s="1"/>
  <c r="E20" i="57" s="1"/>
  <c r="AS23" i="54"/>
  <c r="BC23" i="54" s="1"/>
  <c r="E23" i="56" s="1"/>
  <c r="AS34" i="54"/>
  <c r="BC34" i="54" s="1"/>
  <c r="E34" i="56" s="1"/>
  <c r="AS13" i="55"/>
  <c r="BC13" i="55" s="1"/>
  <c r="E13" i="57" s="1"/>
  <c r="AX12" i="54"/>
  <c r="BH12" i="54" s="1"/>
  <c r="J12" i="56" s="1"/>
  <c r="AX49" i="54"/>
  <c r="BH49" i="54" s="1"/>
  <c r="J49" i="56" s="1"/>
  <c r="AX37" i="54"/>
  <c r="BH37" i="54" s="1"/>
  <c r="J37" i="56" s="1"/>
  <c r="AX51" i="55"/>
  <c r="BH51" i="55" s="1"/>
  <c r="AX14" i="54"/>
  <c r="BH14" i="54" s="1"/>
  <c r="J14" i="56" s="1"/>
  <c r="AX30" i="55"/>
  <c r="BH30" i="55" s="1"/>
  <c r="AX8" i="55"/>
  <c r="BH8" i="55" s="1"/>
  <c r="AX38" i="55"/>
  <c r="BH38" i="55" s="1"/>
  <c r="J38" i="57" s="1"/>
  <c r="AX23" i="54"/>
  <c r="BH23" i="54" s="1"/>
  <c r="AX40" i="55"/>
  <c r="BH40" i="55" s="1"/>
  <c r="J40" i="57" s="1"/>
  <c r="AX29" i="54"/>
  <c r="BH29" i="54" s="1"/>
  <c r="J29" i="56" s="1"/>
  <c r="AX50" i="54"/>
  <c r="BH50" i="54" s="1"/>
  <c r="J50" i="56" s="1"/>
  <c r="AX35" i="54"/>
  <c r="BH35" i="54" s="1"/>
  <c r="J35" i="56" s="1"/>
  <c r="AX45" i="55"/>
  <c r="BH45" i="55" s="1"/>
  <c r="AX28" i="55"/>
  <c r="BH28" i="55" s="1"/>
  <c r="J28" i="57" s="1"/>
  <c r="AX21" i="55"/>
  <c r="BH21" i="55" s="1"/>
  <c r="J21" i="57" s="1"/>
  <c r="AS20" i="54"/>
  <c r="BC20" i="54" s="1"/>
  <c r="E20" i="56" s="1"/>
  <c r="AS36" i="54"/>
  <c r="BC36" i="54" s="1"/>
  <c r="E36" i="56" s="1"/>
  <c r="AS38" i="55"/>
  <c r="BC38" i="55" s="1"/>
  <c r="E38" i="57" s="1"/>
  <c r="AS31" i="54"/>
  <c r="BC31" i="54" s="1"/>
  <c r="E31" i="56" s="1"/>
  <c r="AS34" i="55"/>
  <c r="BC34" i="55" s="1"/>
  <c r="E34" i="57" s="1"/>
  <c r="AS48" i="54"/>
  <c r="BC48" i="54" s="1"/>
  <c r="E48" i="56" s="1"/>
  <c r="AS19" i="54"/>
  <c r="BC19" i="54" s="1"/>
  <c r="E19" i="56" s="1"/>
  <c r="AS33" i="55"/>
  <c r="BC33" i="55" s="1"/>
  <c r="E33" i="57" s="1"/>
  <c r="AS17" i="55"/>
  <c r="BC17" i="55" s="1"/>
  <c r="E17" i="57" s="1"/>
  <c r="AS50" i="55"/>
  <c r="BC50" i="55" s="1"/>
  <c r="AS24" i="55"/>
  <c r="BC24" i="55" s="1"/>
  <c r="E24" i="57" s="1"/>
  <c r="AS11" i="54"/>
  <c r="BC11" i="54" s="1"/>
  <c r="E11" i="56" s="1"/>
  <c r="AS23" i="55"/>
  <c r="BC23" i="55" s="1"/>
  <c r="E23" i="57" s="1"/>
  <c r="AX9" i="54"/>
  <c r="BH9" i="54" s="1"/>
  <c r="J9" i="56" s="1"/>
  <c r="AX20" i="54"/>
  <c r="BH20" i="54" s="1"/>
  <c r="J20" i="56" s="1"/>
  <c r="AX43" i="55"/>
  <c r="BH43" i="55" s="1"/>
  <c r="J43" i="57" s="1"/>
  <c r="AX26" i="54"/>
  <c r="BH26" i="54" s="1"/>
  <c r="J26" i="56" s="1"/>
  <c r="AX27" i="55"/>
  <c r="BH27" i="55" s="1"/>
  <c r="J27" i="57" s="1"/>
  <c r="AX49" i="55"/>
  <c r="BH49" i="55" s="1"/>
  <c r="J49" i="57" s="1"/>
  <c r="AX45" i="54"/>
  <c r="BH45" i="54" s="1"/>
  <c r="AX47" i="55"/>
  <c r="BH47" i="55" s="1"/>
  <c r="J47" i="57" s="1"/>
  <c r="AX32" i="54"/>
  <c r="BH32" i="54" s="1"/>
  <c r="AS3" i="54"/>
  <c r="BC3" i="54" s="1"/>
  <c r="C105" i="54"/>
  <c r="AS43" i="54"/>
  <c r="BC43" i="54" s="1"/>
  <c r="E43" i="56" s="1"/>
  <c r="AS27" i="55"/>
  <c r="BC27" i="55" s="1"/>
  <c r="E27" i="57" s="1"/>
  <c r="AS31" i="55"/>
  <c r="BC31" i="55" s="1"/>
  <c r="AS46" i="55"/>
  <c r="BC46" i="55" s="1"/>
  <c r="E46" i="57" s="1"/>
  <c r="AS10" i="54"/>
  <c r="BC10" i="54" s="1"/>
  <c r="E10" i="56" s="1"/>
  <c r="AS22" i="54"/>
  <c r="BC22" i="54" s="1"/>
  <c r="AS11" i="55"/>
  <c r="BC11" i="55" s="1"/>
  <c r="E11" i="57" s="1"/>
  <c r="AS25" i="55"/>
  <c r="BC25" i="55" s="1"/>
  <c r="AS9" i="54"/>
  <c r="BC9" i="54" s="1"/>
  <c r="AS10" i="55"/>
  <c r="BC10" i="55" s="1"/>
  <c r="E10" i="57" s="1"/>
  <c r="AS8" i="54"/>
  <c r="BC8" i="54" s="1"/>
  <c r="E8" i="56" s="1"/>
  <c r="BM5" i="54"/>
  <c r="O5" i="56" s="1"/>
  <c r="Y5" i="56" s="1"/>
  <c r="E5" i="56"/>
  <c r="AS26" i="54"/>
  <c r="BC26" i="54" s="1"/>
  <c r="E26" i="56" s="1"/>
  <c r="AX7" i="55"/>
  <c r="BH7" i="55" s="1"/>
  <c r="AX10" i="55"/>
  <c r="BH10" i="55" s="1"/>
  <c r="J10" i="57" s="1"/>
  <c r="AX16" i="54"/>
  <c r="BH16" i="54" s="1"/>
  <c r="J16" i="56" s="1"/>
  <c r="AX9" i="55"/>
  <c r="BH9" i="55" s="1"/>
  <c r="J9" i="57" s="1"/>
  <c r="AX21" i="54"/>
  <c r="BH21" i="54" s="1"/>
  <c r="AX31" i="55"/>
  <c r="BH31" i="55" s="1"/>
  <c r="J31" i="57" s="1"/>
  <c r="AX24" i="54"/>
  <c r="BH24" i="54" s="1"/>
  <c r="J24" i="56" s="1"/>
  <c r="AX23" i="55"/>
  <c r="BH23" i="55" s="1"/>
  <c r="J23" i="57" s="1"/>
  <c r="AX35" i="55"/>
  <c r="BH35" i="55" s="1"/>
  <c r="J35" i="57" s="1"/>
  <c r="AX7" i="54"/>
  <c r="BH7" i="54" s="1"/>
  <c r="J7" i="56" s="1"/>
  <c r="AX12" i="55"/>
  <c r="BH12" i="55" s="1"/>
  <c r="J12" i="57" s="1"/>
  <c r="AX47" i="54"/>
  <c r="BH47" i="54" s="1"/>
  <c r="H106" i="54"/>
  <c r="AX32" i="55"/>
  <c r="BH32" i="55" s="1"/>
  <c r="J32" i="57" s="1"/>
  <c r="AX44" i="55"/>
  <c r="BH44" i="55" s="1"/>
  <c r="J44" i="57" s="1"/>
  <c r="AS16" i="54"/>
  <c r="BC16" i="54" s="1"/>
  <c r="E16" i="56" s="1"/>
  <c r="AS40" i="54"/>
  <c r="BC40" i="54" s="1"/>
  <c r="E40" i="56" s="1"/>
  <c r="AS39" i="55"/>
  <c r="BC39" i="55" s="1"/>
  <c r="AS49" i="55"/>
  <c r="BC49" i="55" s="1"/>
  <c r="E49" i="57" s="1"/>
  <c r="AS38" i="54"/>
  <c r="BC38" i="54" s="1"/>
  <c r="E38" i="56" s="1"/>
  <c r="AS39" i="54"/>
  <c r="BC39" i="54" s="1"/>
  <c r="E39" i="56" s="1"/>
  <c r="AS37" i="55"/>
  <c r="BC37" i="55" s="1"/>
  <c r="E37" i="57" s="1"/>
  <c r="AS41" i="55"/>
  <c r="BC41" i="55" s="1"/>
  <c r="E41" i="57" s="1"/>
  <c r="AS18" i="55"/>
  <c r="BC18" i="55" s="1"/>
  <c r="E18" i="57" s="1"/>
  <c r="AS32" i="54"/>
  <c r="BC32" i="54" s="1"/>
  <c r="E32" i="56" s="1"/>
  <c r="AS8" i="55"/>
  <c r="BC8" i="55" s="1"/>
  <c r="E8" i="57" s="1"/>
  <c r="AS24" i="54"/>
  <c r="BC24" i="54" s="1"/>
  <c r="E24" i="56" s="1"/>
  <c r="AX5" i="55"/>
  <c r="BH5" i="55" s="1"/>
  <c r="J5" i="57" s="1"/>
  <c r="AX17" i="55"/>
  <c r="BH17" i="55" s="1"/>
  <c r="J17" i="57" s="1"/>
  <c r="AX13" i="54"/>
  <c r="BH13" i="54" s="1"/>
  <c r="AX3" i="55"/>
  <c r="BH3" i="55" s="1"/>
  <c r="J3" i="57" s="1"/>
  <c r="H105" i="55"/>
  <c r="AX38" i="54"/>
  <c r="BH38" i="54" s="1"/>
  <c r="J38" i="56" s="1"/>
  <c r="AX18" i="54"/>
  <c r="BH18" i="54" s="1"/>
  <c r="J18" i="56" s="1"/>
  <c r="AX36" i="55"/>
  <c r="BH36" i="55" s="1"/>
  <c r="J36" i="57" s="1"/>
  <c r="AX26" i="55"/>
  <c r="BH26" i="55" s="1"/>
  <c r="AX30" i="54"/>
  <c r="BH30" i="54" s="1"/>
  <c r="J30" i="56" s="1"/>
  <c r="AX41" i="55"/>
  <c r="BH41" i="55" s="1"/>
  <c r="AX44" i="54"/>
  <c r="BH44" i="54" s="1"/>
  <c r="J44" i="56" s="1"/>
  <c r="AX8" i="54"/>
  <c r="BH8" i="54" s="1"/>
  <c r="J8" i="56" s="1"/>
  <c r="AX41" i="54"/>
  <c r="BH41" i="54" s="1"/>
  <c r="J41" i="56" s="1"/>
  <c r="AS25" i="54"/>
  <c r="BC25" i="54" s="1"/>
  <c r="E25" i="56" s="1"/>
  <c r="AS21" i="54"/>
  <c r="BC21" i="54" s="1"/>
  <c r="E21" i="56" s="1"/>
  <c r="AS42" i="54"/>
  <c r="BC42" i="54" s="1"/>
  <c r="E42" i="56" s="1"/>
  <c r="AS33" i="54"/>
  <c r="BC33" i="54" s="1"/>
  <c r="E33" i="56" s="1"/>
  <c r="AS9" i="55"/>
  <c r="BC9" i="55" s="1"/>
  <c r="E9" i="57" s="1"/>
  <c r="AS42" i="55"/>
  <c r="BC42" i="55" s="1"/>
  <c r="E42" i="57" s="1"/>
  <c r="AS32" i="55"/>
  <c r="BC32" i="55" s="1"/>
  <c r="E32" i="57" s="1"/>
  <c r="AS44" i="55"/>
  <c r="BC44" i="55" s="1"/>
  <c r="AS30" i="55"/>
  <c r="BC30" i="55" s="1"/>
  <c r="E30" i="57" s="1"/>
  <c r="AS51" i="54"/>
  <c r="BC51" i="54" s="1"/>
  <c r="E51" i="56" s="1"/>
  <c r="AS29" i="55"/>
  <c r="BC29" i="55" s="1"/>
  <c r="E29" i="57" s="1"/>
  <c r="AS14" i="54"/>
  <c r="BC14" i="54" s="1"/>
  <c r="E14" i="56" s="1"/>
  <c r="AX10" i="54"/>
  <c r="BH10" i="54" s="1"/>
  <c r="J10" i="56" s="1"/>
  <c r="AX34" i="55"/>
  <c r="BH34" i="55" s="1"/>
  <c r="J34" i="57" s="1"/>
  <c r="AX14" i="55"/>
  <c r="BH14" i="55" s="1"/>
  <c r="J14" i="57" s="1"/>
  <c r="AX36" i="54"/>
  <c r="BH36" i="54" s="1"/>
  <c r="J36" i="56" s="1"/>
  <c r="H105" i="54"/>
  <c r="AX3" i="54"/>
  <c r="BH3" i="54" s="1"/>
  <c r="J3" i="56" s="1"/>
  <c r="AX27" i="54"/>
  <c r="BH27" i="54" s="1"/>
  <c r="AX40" i="54"/>
  <c r="BH40" i="54" s="1"/>
  <c r="J40" i="56" s="1"/>
  <c r="AX50" i="55"/>
  <c r="BH50" i="55" s="1"/>
  <c r="J50" i="57" s="1"/>
  <c r="AX11" i="55"/>
  <c r="BH11" i="55" s="1"/>
  <c r="J11" i="57" s="1"/>
  <c r="AX4" i="54"/>
  <c r="BH4" i="54" s="1"/>
  <c r="J4" i="56" s="1"/>
  <c r="AS49" i="54"/>
  <c r="BC49" i="54" s="1"/>
  <c r="E49" i="56" s="1"/>
  <c r="AS18" i="54"/>
  <c r="BC18" i="54" s="1"/>
  <c r="AS52" i="55"/>
  <c r="BC52" i="55" s="1"/>
  <c r="E52" i="57" s="1"/>
  <c r="AS7" i="54"/>
  <c r="BC7" i="54" s="1"/>
  <c r="E7" i="56" s="1"/>
  <c r="AS51" i="55"/>
  <c r="BC51" i="55" s="1"/>
  <c r="E51" i="57" s="1"/>
  <c r="AS46" i="54"/>
  <c r="BC46" i="54" s="1"/>
  <c r="E46" i="56" s="1"/>
  <c r="AS50" i="54"/>
  <c r="BC50" i="54" s="1"/>
  <c r="AS45" i="54"/>
  <c r="BC45" i="54" s="1"/>
  <c r="E45" i="56" s="1"/>
  <c r="AS12" i="55"/>
  <c r="BC12" i="55" s="1"/>
  <c r="AS16" i="55"/>
  <c r="BC16" i="55" s="1"/>
  <c r="E16" i="57" s="1"/>
  <c r="AS22" i="55"/>
  <c r="BC22" i="55" s="1"/>
  <c r="E22" i="57" s="1"/>
  <c r="AS40" i="55"/>
  <c r="BC40" i="55" s="1"/>
  <c r="E40" i="57" s="1"/>
  <c r="AS28" i="55"/>
  <c r="BC28" i="55" s="1"/>
  <c r="AS27" i="54"/>
  <c r="BC27" i="54" s="1"/>
  <c r="E27" i="56" s="1"/>
  <c r="AS19" i="55"/>
  <c r="BC19" i="55" s="1"/>
  <c r="E19" i="57" s="1"/>
  <c r="K45" i="57" l="1"/>
  <c r="BS45" i="55"/>
  <c r="U45" i="57" s="1"/>
  <c r="AE45" i="57" s="1"/>
  <c r="K5" i="57"/>
  <c r="BS5" i="55"/>
  <c r="U5" i="57" s="1"/>
  <c r="AE5" i="57" s="1"/>
  <c r="K33" i="57"/>
  <c r="BS33" i="55"/>
  <c r="U33" i="57" s="1"/>
  <c r="AE33" i="57" s="1"/>
  <c r="K29" i="57"/>
  <c r="BS29" i="55"/>
  <c r="U29" i="57" s="1"/>
  <c r="AE29" i="57" s="1"/>
  <c r="BS9" i="55"/>
  <c r="U9" i="57" s="1"/>
  <c r="AE9" i="57" s="1"/>
  <c r="BS4" i="55"/>
  <c r="U4" i="57" s="1"/>
  <c r="AE4" i="57" s="1"/>
  <c r="BS26" i="55"/>
  <c r="U26" i="57" s="1"/>
  <c r="AE26" i="57" s="1"/>
  <c r="BS3" i="55"/>
  <c r="U3" i="57" s="1"/>
  <c r="AE3" i="57" s="1"/>
  <c r="BS47" i="55"/>
  <c r="U47" i="57" s="1"/>
  <c r="AE47" i="57" s="1"/>
  <c r="K47" i="56"/>
  <c r="BS47" i="54"/>
  <c r="U47" i="56" s="1"/>
  <c r="AE47" i="56" s="1"/>
  <c r="BR39" i="54"/>
  <c r="T39" i="56" s="1"/>
  <c r="AD39" i="56" s="1"/>
  <c r="K25" i="56"/>
  <c r="BS25" i="54"/>
  <c r="U25" i="56" s="1"/>
  <c r="AE25" i="56" s="1"/>
  <c r="K16" i="56"/>
  <c r="BS16" i="54"/>
  <c r="U16" i="56" s="1"/>
  <c r="AE16" i="56" s="1"/>
  <c r="K45" i="56"/>
  <c r="BS45" i="54"/>
  <c r="U45" i="56" s="1"/>
  <c r="AE45" i="56" s="1"/>
  <c r="BS3" i="54"/>
  <c r="U3" i="56" s="1"/>
  <c r="AE3" i="56" s="1"/>
  <c r="BS18" i="54"/>
  <c r="U18" i="56" s="1"/>
  <c r="AE18" i="56" s="1"/>
  <c r="BS12" i="54"/>
  <c r="U12" i="56" s="1"/>
  <c r="AE12" i="56" s="1"/>
  <c r="BS32" i="54"/>
  <c r="U32" i="56" s="1"/>
  <c r="AE32" i="56" s="1"/>
  <c r="K31" i="57"/>
  <c r="BS31" i="55"/>
  <c r="U31" i="57" s="1"/>
  <c r="AE31" i="57" s="1"/>
  <c r="K20" i="57"/>
  <c r="BS20" i="55"/>
  <c r="U20" i="57" s="1"/>
  <c r="AE20" i="57" s="1"/>
  <c r="K44" i="57"/>
  <c r="BS44" i="55"/>
  <c r="U44" i="57" s="1"/>
  <c r="AE44" i="57" s="1"/>
  <c r="K21" i="57"/>
  <c r="BS21" i="55"/>
  <c r="U21" i="57" s="1"/>
  <c r="AE21" i="57" s="1"/>
  <c r="K34" i="56"/>
  <c r="BS34" i="54"/>
  <c r="U34" i="56" s="1"/>
  <c r="AE34" i="56" s="1"/>
  <c r="K26" i="56"/>
  <c r="BS26" i="54"/>
  <c r="U26" i="56" s="1"/>
  <c r="AE26" i="56" s="1"/>
  <c r="K15" i="57"/>
  <c r="BS15" i="55"/>
  <c r="U15" i="57" s="1"/>
  <c r="AE15" i="57" s="1"/>
  <c r="K10" i="57"/>
  <c r="BS10" i="55"/>
  <c r="U10" i="57" s="1"/>
  <c r="AE10" i="57" s="1"/>
  <c r="K41" i="57"/>
  <c r="BS41" i="55"/>
  <c r="U41" i="57" s="1"/>
  <c r="AE41" i="57" s="1"/>
  <c r="K24" i="56"/>
  <c r="BS24" i="54"/>
  <c r="U24" i="56" s="1"/>
  <c r="AE24" i="56" s="1"/>
  <c r="K19" i="56"/>
  <c r="BS19" i="54"/>
  <c r="U19" i="56" s="1"/>
  <c r="AE19" i="56" s="1"/>
  <c r="K30" i="57"/>
  <c r="BS30" i="55"/>
  <c r="U30" i="57" s="1"/>
  <c r="AE30" i="57" s="1"/>
  <c r="K17" i="56"/>
  <c r="BS17" i="54"/>
  <c r="U17" i="56" s="1"/>
  <c r="AE17" i="56" s="1"/>
  <c r="K11" i="56"/>
  <c r="BS11" i="54"/>
  <c r="U11" i="56" s="1"/>
  <c r="AE11" i="56" s="1"/>
  <c r="K23" i="57"/>
  <c r="BS23" i="55"/>
  <c r="U23" i="57" s="1"/>
  <c r="AE23" i="57" s="1"/>
  <c r="K51" i="57"/>
  <c r="BS51" i="55"/>
  <c r="U51" i="57" s="1"/>
  <c r="AE51" i="57" s="1"/>
  <c r="K32" i="57"/>
  <c r="BS32" i="55"/>
  <c r="U32" i="57" s="1"/>
  <c r="AE32" i="57" s="1"/>
  <c r="K39" i="57"/>
  <c r="BS39" i="55"/>
  <c r="U39" i="57" s="1"/>
  <c r="AE39" i="57" s="1"/>
  <c r="K21" i="56"/>
  <c r="BS21" i="54"/>
  <c r="U21" i="56" s="1"/>
  <c r="AE21" i="56" s="1"/>
  <c r="K27" i="56"/>
  <c r="BS27" i="54"/>
  <c r="U27" i="56" s="1"/>
  <c r="AE27" i="56" s="1"/>
  <c r="K22" i="56"/>
  <c r="BS22" i="54"/>
  <c r="U22" i="56" s="1"/>
  <c r="AE22" i="56" s="1"/>
  <c r="K50" i="56"/>
  <c r="BS50" i="54"/>
  <c r="U50" i="56" s="1"/>
  <c r="AE50" i="56" s="1"/>
  <c r="K52" i="56"/>
  <c r="BS52" i="54"/>
  <c r="U52" i="56" s="1"/>
  <c r="AE52" i="56" s="1"/>
  <c r="K38" i="56"/>
  <c r="BS38" i="54"/>
  <c r="U38" i="56" s="1"/>
  <c r="AE38" i="56" s="1"/>
  <c r="K22" i="57"/>
  <c r="BS22" i="55"/>
  <c r="U22" i="57" s="1"/>
  <c r="AE22" i="57" s="1"/>
  <c r="K4" i="56"/>
  <c r="BS4" i="54"/>
  <c r="U4" i="56" s="1"/>
  <c r="AE4" i="56" s="1"/>
  <c r="K36" i="57"/>
  <c r="BS36" i="55"/>
  <c r="U36" i="57" s="1"/>
  <c r="AE36" i="57" s="1"/>
  <c r="K27" i="57"/>
  <c r="BS27" i="55"/>
  <c r="U27" i="57" s="1"/>
  <c r="AE27" i="57" s="1"/>
  <c r="K42" i="56"/>
  <c r="BS42" i="54"/>
  <c r="U42" i="56" s="1"/>
  <c r="AE42" i="56" s="1"/>
  <c r="K31" i="56"/>
  <c r="BS31" i="54"/>
  <c r="U31" i="56" s="1"/>
  <c r="AE31" i="56" s="1"/>
  <c r="K16" i="57"/>
  <c r="BS16" i="55"/>
  <c r="U16" i="57" s="1"/>
  <c r="AE16" i="57" s="1"/>
  <c r="K49" i="57"/>
  <c r="BS49" i="55"/>
  <c r="U49" i="57" s="1"/>
  <c r="AE49" i="57" s="1"/>
  <c r="K17" i="57"/>
  <c r="BS17" i="55"/>
  <c r="U17" i="57" s="1"/>
  <c r="AE17" i="57" s="1"/>
  <c r="K6" i="57"/>
  <c r="BS6" i="55"/>
  <c r="U6" i="57" s="1"/>
  <c r="AE6" i="57" s="1"/>
  <c r="K19" i="57"/>
  <c r="BS19" i="55"/>
  <c r="U19" i="57" s="1"/>
  <c r="AE19" i="57" s="1"/>
  <c r="K7" i="57"/>
  <c r="BS7" i="55"/>
  <c r="U7" i="57" s="1"/>
  <c r="AE7" i="57" s="1"/>
  <c r="K6" i="56"/>
  <c r="BS6" i="54"/>
  <c r="U6" i="56" s="1"/>
  <c r="AE6" i="56" s="1"/>
  <c r="K46" i="56"/>
  <c r="BS46" i="54"/>
  <c r="U46" i="56" s="1"/>
  <c r="AE46" i="56" s="1"/>
  <c r="K14" i="57"/>
  <c r="BS14" i="55"/>
  <c r="U14" i="57" s="1"/>
  <c r="AE14" i="57" s="1"/>
  <c r="BS5" i="54"/>
  <c r="U5" i="56" s="1"/>
  <c r="AE5" i="56" s="1"/>
  <c r="BS10" i="54"/>
  <c r="U10" i="56" s="1"/>
  <c r="AE10" i="56" s="1"/>
  <c r="BS42" i="55"/>
  <c r="U42" i="57" s="1"/>
  <c r="AE42" i="57" s="1"/>
  <c r="BS30" i="54"/>
  <c r="U30" i="56" s="1"/>
  <c r="AE30" i="56" s="1"/>
  <c r="BS35" i="55"/>
  <c r="U35" i="57" s="1"/>
  <c r="AE35" i="57" s="1"/>
  <c r="BS28" i="54"/>
  <c r="U28" i="56" s="1"/>
  <c r="AE28" i="56" s="1"/>
  <c r="BS13" i="55"/>
  <c r="U13" i="57" s="1"/>
  <c r="AE13" i="57" s="1"/>
  <c r="BS36" i="54"/>
  <c r="U36" i="56" s="1"/>
  <c r="AE36" i="56" s="1"/>
  <c r="BS48" i="55"/>
  <c r="U48" i="57" s="1"/>
  <c r="AE48" i="57" s="1"/>
  <c r="BS39" i="54"/>
  <c r="U39" i="56" s="1"/>
  <c r="AE39" i="56" s="1"/>
  <c r="BS46" i="55"/>
  <c r="U46" i="57" s="1"/>
  <c r="AE46" i="57" s="1"/>
  <c r="BS41" i="54"/>
  <c r="U41" i="56" s="1"/>
  <c r="AE41" i="56" s="1"/>
  <c r="BS14" i="54"/>
  <c r="U14" i="56" s="1"/>
  <c r="AE14" i="56" s="1"/>
  <c r="BS44" i="54"/>
  <c r="U44" i="56" s="1"/>
  <c r="AE44" i="56" s="1"/>
  <c r="I107" i="54"/>
  <c r="I111" i="54"/>
  <c r="I114" i="54"/>
  <c r="BS7" i="54"/>
  <c r="U7" i="56" s="1"/>
  <c r="AE7" i="56" s="1"/>
  <c r="BS51" i="54"/>
  <c r="U51" i="56" s="1"/>
  <c r="AE51" i="56" s="1"/>
  <c r="BS40" i="54"/>
  <c r="U40" i="56" s="1"/>
  <c r="AE40" i="56" s="1"/>
  <c r="BS43" i="54"/>
  <c r="U43" i="56" s="1"/>
  <c r="AE43" i="56" s="1"/>
  <c r="BS37" i="55"/>
  <c r="U37" i="57" s="1"/>
  <c r="AE37" i="57" s="1"/>
  <c r="BS8" i="54"/>
  <c r="U8" i="56" s="1"/>
  <c r="AE8" i="56" s="1"/>
  <c r="I110" i="55"/>
  <c r="I113" i="55"/>
  <c r="BS20" i="54"/>
  <c r="U20" i="56" s="1"/>
  <c r="AE20" i="56" s="1"/>
  <c r="BS49" i="54"/>
  <c r="U49" i="56" s="1"/>
  <c r="AE49" i="56" s="1"/>
  <c r="BS9" i="54"/>
  <c r="U9" i="56" s="1"/>
  <c r="AE9" i="56" s="1"/>
  <c r="BS35" i="54"/>
  <c r="U35" i="56" s="1"/>
  <c r="AE35" i="56" s="1"/>
  <c r="BS40" i="55"/>
  <c r="U40" i="57" s="1"/>
  <c r="AE40" i="57" s="1"/>
  <c r="BS12" i="55"/>
  <c r="U12" i="57" s="1"/>
  <c r="AE12" i="57" s="1"/>
  <c r="BS11" i="55"/>
  <c r="U11" i="57" s="1"/>
  <c r="AE11" i="57" s="1"/>
  <c r="BS29" i="54"/>
  <c r="U29" i="56" s="1"/>
  <c r="AE29" i="56" s="1"/>
  <c r="BS34" i="55"/>
  <c r="U34" i="57" s="1"/>
  <c r="AE34" i="57" s="1"/>
  <c r="BS48" i="54"/>
  <c r="U48" i="56" s="1"/>
  <c r="AE48" i="56" s="1"/>
  <c r="BS33" i="54"/>
  <c r="U33" i="56" s="1"/>
  <c r="AE33" i="56" s="1"/>
  <c r="BS50" i="55"/>
  <c r="U50" i="57" s="1"/>
  <c r="AE50" i="57" s="1"/>
  <c r="BS13" i="54"/>
  <c r="U13" i="56" s="1"/>
  <c r="AE13" i="56" s="1"/>
  <c r="BS38" i="55"/>
  <c r="U38" i="57" s="1"/>
  <c r="AE38" i="57" s="1"/>
  <c r="I110" i="54"/>
  <c r="I113" i="54"/>
  <c r="BS43" i="55"/>
  <c r="U43" i="57" s="1"/>
  <c r="AE43" i="57" s="1"/>
  <c r="BS28" i="55"/>
  <c r="U28" i="57" s="1"/>
  <c r="AE28" i="57" s="1"/>
  <c r="BS8" i="55"/>
  <c r="U8" i="57" s="1"/>
  <c r="AE8" i="57" s="1"/>
  <c r="BS23" i="54"/>
  <c r="U23" i="56" s="1"/>
  <c r="AE23" i="56" s="1"/>
  <c r="BS37" i="54"/>
  <c r="U37" i="56" s="1"/>
  <c r="AE37" i="56" s="1"/>
  <c r="BS24" i="55"/>
  <c r="U24" i="57" s="1"/>
  <c r="AE24" i="57" s="1"/>
  <c r="BS15" i="54"/>
  <c r="U15" i="56" s="1"/>
  <c r="AE15" i="56" s="1"/>
  <c r="BS25" i="55"/>
  <c r="U25" i="57" s="1"/>
  <c r="AE25" i="57" s="1"/>
  <c r="BS18" i="55"/>
  <c r="U18" i="57" s="1"/>
  <c r="AE18" i="57" s="1"/>
  <c r="BR8" i="54"/>
  <c r="T8" i="56" s="1"/>
  <c r="AD8" i="56" s="1"/>
  <c r="H114" i="55"/>
  <c r="H111" i="55"/>
  <c r="H112" i="55" s="1"/>
  <c r="AC110" i="55" s="1"/>
  <c r="BR49" i="55"/>
  <c r="T49" i="57" s="1"/>
  <c r="AD49" i="57" s="1"/>
  <c r="BR40" i="55"/>
  <c r="T40" i="57" s="1"/>
  <c r="AD40" i="57" s="1"/>
  <c r="BR37" i="55"/>
  <c r="T37" i="57" s="1"/>
  <c r="AD37" i="57" s="1"/>
  <c r="BR17" i="55"/>
  <c r="T17" i="57" s="1"/>
  <c r="AD17" i="57" s="1"/>
  <c r="BM16" i="55"/>
  <c r="O16" i="57" s="1"/>
  <c r="Y16" i="57" s="1"/>
  <c r="BR12" i="55"/>
  <c r="T12" i="57" s="1"/>
  <c r="AD12" i="57" s="1"/>
  <c r="BR10" i="55"/>
  <c r="T10" i="57" s="1"/>
  <c r="AD10" i="57" s="1"/>
  <c r="BR6" i="55"/>
  <c r="T6" i="57" s="1"/>
  <c r="AD6" i="57" s="1"/>
  <c r="J30" i="57"/>
  <c r="BR30" i="55"/>
  <c r="T30" i="57" s="1"/>
  <c r="AD30" i="57" s="1"/>
  <c r="J45" i="57"/>
  <c r="BR45" i="55"/>
  <c r="T45" i="57" s="1"/>
  <c r="AD45" i="57" s="1"/>
  <c r="J16" i="57"/>
  <c r="BR16" i="55"/>
  <c r="T16" i="57" s="1"/>
  <c r="AD16" i="57" s="1"/>
  <c r="J7" i="57"/>
  <c r="BR7" i="55"/>
  <c r="T7" i="57" s="1"/>
  <c r="AD7" i="57" s="1"/>
  <c r="E28" i="57"/>
  <c r="BM28" i="55"/>
  <c r="O28" i="57" s="1"/>
  <c r="Y28" i="57" s="1"/>
  <c r="J15" i="57"/>
  <c r="BR15" i="55"/>
  <c r="T15" i="57" s="1"/>
  <c r="AD15" i="57" s="1"/>
  <c r="J26" i="57"/>
  <c r="BR26" i="55"/>
  <c r="T26" i="57" s="1"/>
  <c r="AD26" i="57" s="1"/>
  <c r="BR32" i="55"/>
  <c r="T32" i="57" s="1"/>
  <c r="AD32" i="57" s="1"/>
  <c r="BM23" i="55"/>
  <c r="O23" i="57" s="1"/>
  <c r="Y23" i="57" s="1"/>
  <c r="BR28" i="55"/>
  <c r="T28" i="57" s="1"/>
  <c r="AD28" i="57" s="1"/>
  <c r="BR25" i="55"/>
  <c r="T25" i="57" s="1"/>
  <c r="AD25" i="57" s="1"/>
  <c r="BR13" i="55"/>
  <c r="T13" i="57" s="1"/>
  <c r="AD13" i="57" s="1"/>
  <c r="BR34" i="55"/>
  <c r="T34" i="57" s="1"/>
  <c r="AD34" i="57" s="1"/>
  <c r="BR5" i="55"/>
  <c r="T5" i="57" s="1"/>
  <c r="AD5" i="57" s="1"/>
  <c r="BM51" i="55"/>
  <c r="O51" i="57" s="1"/>
  <c r="Y51" i="57" s="1"/>
  <c r="BR11" i="55"/>
  <c r="T11" i="57" s="1"/>
  <c r="AD11" i="57" s="1"/>
  <c r="BM37" i="55"/>
  <c r="O37" i="57" s="1"/>
  <c r="Y37" i="57" s="1"/>
  <c r="BR43" i="55"/>
  <c r="T43" i="57" s="1"/>
  <c r="AD43" i="57" s="1"/>
  <c r="BM35" i="55"/>
  <c r="O35" i="57" s="1"/>
  <c r="Y35" i="57" s="1"/>
  <c r="BR50" i="55"/>
  <c r="T50" i="57" s="1"/>
  <c r="AD50" i="57" s="1"/>
  <c r="BR36" i="55"/>
  <c r="T36" i="57" s="1"/>
  <c r="AD36" i="57" s="1"/>
  <c r="BR38" i="55"/>
  <c r="T38" i="57" s="1"/>
  <c r="AD38" i="57" s="1"/>
  <c r="BR50" i="54"/>
  <c r="T50" i="56" s="1"/>
  <c r="AD50" i="56" s="1"/>
  <c r="BM45" i="54"/>
  <c r="O45" i="56" s="1"/>
  <c r="Y45" i="56" s="1"/>
  <c r="BM44" i="54"/>
  <c r="O44" i="56" s="1"/>
  <c r="Y44" i="56" s="1"/>
  <c r="BR41" i="54"/>
  <c r="T41" i="56" s="1"/>
  <c r="AD41" i="56" s="1"/>
  <c r="BM30" i="54"/>
  <c r="O30" i="56" s="1"/>
  <c r="Y30" i="56" s="1"/>
  <c r="BR28" i="54"/>
  <c r="T28" i="56" s="1"/>
  <c r="AD28" i="56" s="1"/>
  <c r="BM26" i="54"/>
  <c r="O26" i="56" s="1"/>
  <c r="Y26" i="56" s="1"/>
  <c r="BR18" i="54"/>
  <c r="T18" i="56" s="1"/>
  <c r="AD18" i="56" s="1"/>
  <c r="BR15" i="54"/>
  <c r="T15" i="56" s="1"/>
  <c r="AD15" i="56" s="1"/>
  <c r="BR14" i="54"/>
  <c r="T14" i="56" s="1"/>
  <c r="AD14" i="56" s="1"/>
  <c r="BM14" i="54"/>
  <c r="O14" i="56" s="1"/>
  <c r="Y14" i="56" s="1"/>
  <c r="BR3" i="54"/>
  <c r="T3" i="56" s="1"/>
  <c r="AD3" i="56" s="1"/>
  <c r="J27" i="56"/>
  <c r="BR27" i="54"/>
  <c r="T27" i="56" s="1"/>
  <c r="AD27" i="56" s="1"/>
  <c r="J21" i="56"/>
  <c r="BR21" i="54"/>
  <c r="T21" i="56" s="1"/>
  <c r="AD21" i="56" s="1"/>
  <c r="E3" i="56"/>
  <c r="BM3" i="54"/>
  <c r="O3" i="56" s="1"/>
  <c r="Y3" i="56" s="1"/>
  <c r="BR43" i="54"/>
  <c r="T43" i="56" s="1"/>
  <c r="AD43" i="56" s="1"/>
  <c r="BM46" i="54"/>
  <c r="O46" i="56" s="1"/>
  <c r="Y46" i="56" s="1"/>
  <c r="BM51" i="54"/>
  <c r="O51" i="56" s="1"/>
  <c r="Y51" i="56" s="1"/>
  <c r="BM21" i="54"/>
  <c r="O21" i="56" s="1"/>
  <c r="Y21" i="56" s="1"/>
  <c r="BR20" i="54"/>
  <c r="T20" i="56" s="1"/>
  <c r="AD20" i="56" s="1"/>
  <c r="BR35" i="54"/>
  <c r="T35" i="56" s="1"/>
  <c r="AD35" i="56" s="1"/>
  <c r="BR5" i="54"/>
  <c r="T5" i="56" s="1"/>
  <c r="AD5" i="56" s="1"/>
  <c r="BR36" i="54"/>
  <c r="T36" i="56" s="1"/>
  <c r="AD36" i="56" s="1"/>
  <c r="BR7" i="54"/>
  <c r="T7" i="56" s="1"/>
  <c r="AD7" i="56" s="1"/>
  <c r="BR46" i="54"/>
  <c r="T46" i="56" s="1"/>
  <c r="AD46" i="56" s="1"/>
  <c r="BM33" i="54"/>
  <c r="O33" i="56" s="1"/>
  <c r="Y33" i="56" s="1"/>
  <c r="BM42" i="54"/>
  <c r="O42" i="56" s="1"/>
  <c r="Y42" i="56" s="1"/>
  <c r="BM11" i="54"/>
  <c r="O11" i="56" s="1"/>
  <c r="Y11" i="56" s="1"/>
  <c r="BM13" i="54"/>
  <c r="O13" i="56" s="1"/>
  <c r="Y13" i="56" s="1"/>
  <c r="BR44" i="54"/>
  <c r="T44" i="56" s="1"/>
  <c r="AD44" i="56" s="1"/>
  <c r="BR37" i="54"/>
  <c r="T37" i="56" s="1"/>
  <c r="AD37" i="56" s="1"/>
  <c r="BR19" i="54"/>
  <c r="T19" i="56" s="1"/>
  <c r="AD19" i="56" s="1"/>
  <c r="BR42" i="54"/>
  <c r="T42" i="56" s="1"/>
  <c r="AD42" i="56" s="1"/>
  <c r="E22" i="56"/>
  <c r="BM22" i="54"/>
  <c r="O22" i="56" s="1"/>
  <c r="Y22" i="56" s="1"/>
  <c r="E52" i="56"/>
  <c r="BM52" i="54"/>
  <c r="O52" i="56" s="1"/>
  <c r="Y52" i="56" s="1"/>
  <c r="E31" i="57"/>
  <c r="BM31" i="55"/>
  <c r="O31" i="57" s="1"/>
  <c r="Y31" i="57" s="1"/>
  <c r="BM19" i="55"/>
  <c r="O19" i="57" s="1"/>
  <c r="Y19" i="57" s="1"/>
  <c r="BM7" i="54"/>
  <c r="O7" i="56" s="1"/>
  <c r="Y7" i="56" s="1"/>
  <c r="BM40" i="54"/>
  <c r="O40" i="56" s="1"/>
  <c r="Y40" i="56" s="1"/>
  <c r="BM10" i="54"/>
  <c r="O10" i="56" s="1"/>
  <c r="Y10" i="56" s="1"/>
  <c r="BM24" i="55"/>
  <c r="O24" i="57" s="1"/>
  <c r="Y24" i="57" s="1"/>
  <c r="BM31" i="54"/>
  <c r="O31" i="56" s="1"/>
  <c r="Y31" i="56" s="1"/>
  <c r="BM41" i="54"/>
  <c r="O41" i="56" s="1"/>
  <c r="Y41" i="56" s="1"/>
  <c r="BM6" i="55"/>
  <c r="O6" i="57" s="1"/>
  <c r="Y6" i="57" s="1"/>
  <c r="BM27" i="54"/>
  <c r="O27" i="56" s="1"/>
  <c r="Y27" i="56" s="1"/>
  <c r="BM41" i="55"/>
  <c r="O41" i="57" s="1"/>
  <c r="Y41" i="57" s="1"/>
  <c r="BM16" i="54"/>
  <c r="O16" i="56" s="1"/>
  <c r="Y16" i="56" s="1"/>
  <c r="BM43" i="54"/>
  <c r="O43" i="56" s="1"/>
  <c r="Y43" i="56" s="1"/>
  <c r="BM4" i="55"/>
  <c r="O4" i="57" s="1"/>
  <c r="Y4" i="57" s="1"/>
  <c r="BM5" i="55"/>
  <c r="O5" i="57" s="1"/>
  <c r="Y5" i="57" s="1"/>
  <c r="BM26" i="55"/>
  <c r="O26" i="57" s="1"/>
  <c r="Y26" i="57" s="1"/>
  <c r="BM8" i="54"/>
  <c r="O8" i="56" s="1"/>
  <c r="Y8" i="56" s="1"/>
  <c r="BM11" i="55"/>
  <c r="O11" i="57" s="1"/>
  <c r="Y11" i="57" s="1"/>
  <c r="BM46" i="55"/>
  <c r="O46" i="57" s="1"/>
  <c r="Y46" i="57" s="1"/>
  <c r="BM34" i="54"/>
  <c r="O34" i="56" s="1"/>
  <c r="Y34" i="56" s="1"/>
  <c r="BM23" i="54"/>
  <c r="O23" i="56" s="1"/>
  <c r="Y23" i="56" s="1"/>
  <c r="BM12" i="54"/>
  <c r="O12" i="56" s="1"/>
  <c r="Y12" i="56" s="1"/>
  <c r="BM20" i="54"/>
  <c r="O20" i="56" s="1"/>
  <c r="Y20" i="56" s="1"/>
  <c r="BM4" i="54"/>
  <c r="O4" i="56" s="1"/>
  <c r="Y4" i="56" s="1"/>
  <c r="BM20" i="55"/>
  <c r="O20" i="57" s="1"/>
  <c r="Y20" i="57" s="1"/>
  <c r="BM32" i="55"/>
  <c r="O32" i="57" s="1"/>
  <c r="Y32" i="57" s="1"/>
  <c r="BM17" i="55"/>
  <c r="O17" i="57" s="1"/>
  <c r="Y17" i="57" s="1"/>
  <c r="BM34" i="55"/>
  <c r="O34" i="57" s="1"/>
  <c r="Y34" i="57" s="1"/>
  <c r="BM36" i="55"/>
  <c r="O36" i="57" s="1"/>
  <c r="Y36" i="57" s="1"/>
  <c r="E25" i="57"/>
  <c r="BM25" i="55"/>
  <c r="O25" i="57" s="1"/>
  <c r="Y25" i="57" s="1"/>
  <c r="J4" i="57"/>
  <c r="BR4" i="55"/>
  <c r="T4" i="57" s="1"/>
  <c r="AD4" i="57" s="1"/>
  <c r="J32" i="56"/>
  <c r="BR32" i="54"/>
  <c r="T32" i="56" s="1"/>
  <c r="AD32" i="56" s="1"/>
  <c r="J51" i="57"/>
  <c r="BR51" i="55"/>
  <c r="T51" i="57" s="1"/>
  <c r="AD51" i="57" s="1"/>
  <c r="J48" i="57"/>
  <c r="BR48" i="55"/>
  <c r="T48" i="57" s="1"/>
  <c r="AD48" i="57" s="1"/>
  <c r="E50" i="56"/>
  <c r="BM50" i="54"/>
  <c r="O50" i="56" s="1"/>
  <c r="Y50" i="56" s="1"/>
  <c r="E50" i="57"/>
  <c r="BM50" i="55"/>
  <c r="O50" i="57" s="1"/>
  <c r="Y50" i="57" s="1"/>
  <c r="E18" i="56"/>
  <c r="BM18" i="54"/>
  <c r="O18" i="56" s="1"/>
  <c r="Y18" i="56" s="1"/>
  <c r="J41" i="57"/>
  <c r="BR41" i="55"/>
  <c r="T41" i="57" s="1"/>
  <c r="AD41" i="57" s="1"/>
  <c r="J8" i="57"/>
  <c r="BR8" i="55"/>
  <c r="T8" i="57" s="1"/>
  <c r="AD8" i="57" s="1"/>
  <c r="J20" i="57"/>
  <c r="BR20" i="55"/>
  <c r="T20" i="57" s="1"/>
  <c r="AD20" i="57" s="1"/>
  <c r="E44" i="57"/>
  <c r="BM44" i="55"/>
  <c r="O44" i="57" s="1"/>
  <c r="Y44" i="57" s="1"/>
  <c r="J47" i="56"/>
  <c r="BR47" i="54"/>
  <c r="T47" i="56" s="1"/>
  <c r="AD47" i="56" s="1"/>
  <c r="E12" i="57"/>
  <c r="BM12" i="55"/>
  <c r="O12" i="57" s="1"/>
  <c r="Y12" i="57" s="1"/>
  <c r="E9" i="56"/>
  <c r="BM9" i="54"/>
  <c r="O9" i="56" s="1"/>
  <c r="Y9" i="56" s="1"/>
  <c r="J45" i="56"/>
  <c r="BR45" i="54"/>
  <c r="T45" i="56" s="1"/>
  <c r="AD45" i="56" s="1"/>
  <c r="J42" i="57"/>
  <c r="BR42" i="55"/>
  <c r="T42" i="57" s="1"/>
  <c r="AD42" i="57" s="1"/>
  <c r="J13" i="56"/>
  <c r="BR13" i="54"/>
  <c r="T13" i="56" s="1"/>
  <c r="AD13" i="56" s="1"/>
  <c r="E39" i="57"/>
  <c r="BM39" i="55"/>
  <c r="O39" i="57" s="1"/>
  <c r="Y39" i="57" s="1"/>
  <c r="J23" i="56"/>
  <c r="BR23" i="54"/>
  <c r="T23" i="56" s="1"/>
  <c r="AD23" i="56" s="1"/>
  <c r="E45" i="57"/>
  <c r="BM45" i="55"/>
  <c r="O45" i="57" s="1"/>
  <c r="Y45" i="57" s="1"/>
  <c r="BM40" i="55"/>
  <c r="O40" i="57" s="1"/>
  <c r="Y40" i="57" s="1"/>
  <c r="BM27" i="55"/>
  <c r="O27" i="57" s="1"/>
  <c r="Y27" i="57" s="1"/>
  <c r="BM19" i="54"/>
  <c r="O19" i="56" s="1"/>
  <c r="Y19" i="56" s="1"/>
  <c r="C107" i="55"/>
  <c r="C111" i="55"/>
  <c r="C112" i="55" s="1"/>
  <c r="C114" i="55"/>
  <c r="BR48" i="54"/>
  <c r="T48" i="56" s="1"/>
  <c r="AD48" i="56" s="1"/>
  <c r="C107" i="54"/>
  <c r="C114" i="54"/>
  <c r="C111" i="54"/>
  <c r="C112" i="54" s="1"/>
  <c r="BR51" i="54"/>
  <c r="T51" i="56" s="1"/>
  <c r="AD51" i="56" s="1"/>
  <c r="BM43" i="55"/>
  <c r="O43" i="57" s="1"/>
  <c r="Y43" i="57" s="1"/>
  <c r="BR52" i="54"/>
  <c r="T52" i="56" s="1"/>
  <c r="AD52" i="56" s="1"/>
  <c r="BR39" i="55"/>
  <c r="T39" i="57" s="1"/>
  <c r="AD39" i="57" s="1"/>
  <c r="BR29" i="55"/>
  <c r="T29" i="57" s="1"/>
  <c r="AD29" i="57" s="1"/>
  <c r="BM22" i="55"/>
  <c r="O22" i="57" s="1"/>
  <c r="Y22" i="57" s="1"/>
  <c r="BR10" i="54"/>
  <c r="T10" i="56" s="1"/>
  <c r="AD10" i="56" s="1"/>
  <c r="BM30" i="55"/>
  <c r="O30" i="57" s="1"/>
  <c r="Y30" i="57" s="1"/>
  <c r="BM42" i="55"/>
  <c r="O42" i="57" s="1"/>
  <c r="Y42" i="57" s="1"/>
  <c r="BM25" i="54"/>
  <c r="O25" i="56" s="1"/>
  <c r="Y25" i="56" s="1"/>
  <c r="BM39" i="54"/>
  <c r="O39" i="56" s="1"/>
  <c r="Y39" i="56" s="1"/>
  <c r="BR44" i="55"/>
  <c r="T44" i="57" s="1"/>
  <c r="AD44" i="57" s="1"/>
  <c r="BR35" i="55"/>
  <c r="T35" i="57" s="1"/>
  <c r="AD35" i="57" s="1"/>
  <c r="BR31" i="55"/>
  <c r="T31" i="57" s="1"/>
  <c r="AD31" i="57" s="1"/>
  <c r="BR9" i="55"/>
  <c r="T9" i="57" s="1"/>
  <c r="AD9" i="57" s="1"/>
  <c r="BR27" i="55"/>
  <c r="T27" i="57" s="1"/>
  <c r="AD27" i="57" s="1"/>
  <c r="BM38" i="55"/>
  <c r="O38" i="57" s="1"/>
  <c r="Y38" i="57" s="1"/>
  <c r="BR21" i="55"/>
  <c r="T21" i="57" s="1"/>
  <c r="AD21" i="57" s="1"/>
  <c r="BR49" i="54"/>
  <c r="T49" i="56" s="1"/>
  <c r="AD49" i="56" s="1"/>
  <c r="BM7" i="55"/>
  <c r="O7" i="57" s="1"/>
  <c r="Y7" i="57" s="1"/>
  <c r="BM15" i="55"/>
  <c r="O15" i="57" s="1"/>
  <c r="Y15" i="57" s="1"/>
  <c r="BM21" i="55"/>
  <c r="O21" i="57" s="1"/>
  <c r="Y21" i="57" s="1"/>
  <c r="BM47" i="55"/>
  <c r="O47" i="57" s="1"/>
  <c r="Y47" i="57" s="1"/>
  <c r="BR52" i="55"/>
  <c r="T52" i="57" s="1"/>
  <c r="AD52" i="57" s="1"/>
  <c r="BM3" i="55"/>
  <c r="O3" i="57" s="1"/>
  <c r="Y3" i="57" s="1"/>
  <c r="BM48" i="55"/>
  <c r="O48" i="57" s="1"/>
  <c r="Y48" i="57" s="1"/>
  <c r="BR25" i="54"/>
  <c r="T25" i="56" s="1"/>
  <c r="AD25" i="56" s="1"/>
  <c r="BM52" i="55"/>
  <c r="O52" i="57" s="1"/>
  <c r="Y52" i="57" s="1"/>
  <c r="BR3" i="55"/>
  <c r="T3" i="57" s="1"/>
  <c r="AD3" i="57" s="1"/>
  <c r="BM49" i="54"/>
  <c r="O49" i="56" s="1"/>
  <c r="Y49" i="56" s="1"/>
  <c r="BR4" i="54"/>
  <c r="T4" i="56" s="1"/>
  <c r="AD4" i="56" s="1"/>
  <c r="BR40" i="54"/>
  <c r="T40" i="56" s="1"/>
  <c r="AD40" i="56" s="1"/>
  <c r="BR14" i="55"/>
  <c r="T14" i="57" s="1"/>
  <c r="AD14" i="57" s="1"/>
  <c r="BM29" i="55"/>
  <c r="O29" i="57" s="1"/>
  <c r="Y29" i="57" s="1"/>
  <c r="BM9" i="55"/>
  <c r="O9" i="57" s="1"/>
  <c r="Y9" i="57" s="1"/>
  <c r="H110" i="55"/>
  <c r="H113" i="55"/>
  <c r="BM8" i="55"/>
  <c r="O8" i="57" s="1"/>
  <c r="Y8" i="57" s="1"/>
  <c r="BM38" i="54"/>
  <c r="O38" i="56" s="1"/>
  <c r="Y38" i="56" s="1"/>
  <c r="BR23" i="55"/>
  <c r="T23" i="57" s="1"/>
  <c r="AD23" i="57" s="1"/>
  <c r="BR16" i="54"/>
  <c r="T16" i="56" s="1"/>
  <c r="AD16" i="56" s="1"/>
  <c r="BR26" i="54"/>
  <c r="T26" i="56" s="1"/>
  <c r="AD26" i="56" s="1"/>
  <c r="BR9" i="54"/>
  <c r="T9" i="56" s="1"/>
  <c r="AD9" i="56" s="1"/>
  <c r="BM48" i="54"/>
  <c r="O48" i="56" s="1"/>
  <c r="Y48" i="56" s="1"/>
  <c r="BM36" i="54"/>
  <c r="O36" i="56" s="1"/>
  <c r="Y36" i="56" s="1"/>
  <c r="BR12" i="54"/>
  <c r="T12" i="56" s="1"/>
  <c r="AD12" i="56" s="1"/>
  <c r="BR6" i="54"/>
  <c r="T6" i="56" s="1"/>
  <c r="AD6" i="56" s="1"/>
  <c r="BR46" i="55"/>
  <c r="T46" i="57" s="1"/>
  <c r="AD46" i="57" s="1"/>
  <c r="BM17" i="54"/>
  <c r="O17" i="56" s="1"/>
  <c r="Y17" i="56" s="1"/>
  <c r="BR31" i="54"/>
  <c r="T31" i="56" s="1"/>
  <c r="AD31" i="56" s="1"/>
  <c r="BR17" i="54"/>
  <c r="T17" i="56" s="1"/>
  <c r="AD17" i="56" s="1"/>
  <c r="BR34" i="54"/>
  <c r="T34" i="56" s="1"/>
  <c r="AD34" i="56" s="1"/>
  <c r="C110" i="55"/>
  <c r="C113" i="55"/>
  <c r="BM35" i="54"/>
  <c r="O35" i="56" s="1"/>
  <c r="Y35" i="56" s="1"/>
  <c r="BM28" i="54"/>
  <c r="O28" i="56" s="1"/>
  <c r="Y28" i="56" s="1"/>
  <c r="BR18" i="55"/>
  <c r="T18" i="57" s="1"/>
  <c r="AD18" i="57" s="1"/>
  <c r="BR33" i="54"/>
  <c r="T33" i="56" s="1"/>
  <c r="AD33" i="56" s="1"/>
  <c r="BR33" i="55"/>
  <c r="T33" i="57" s="1"/>
  <c r="AD33" i="57" s="1"/>
  <c r="BR19" i="55"/>
  <c r="T19" i="57" s="1"/>
  <c r="AD19" i="57" s="1"/>
  <c r="C110" i="54"/>
  <c r="C113" i="54"/>
  <c r="BR38" i="54"/>
  <c r="T38" i="56" s="1"/>
  <c r="AD38" i="56" s="1"/>
  <c r="BR24" i="55"/>
  <c r="T24" i="57" s="1"/>
  <c r="AD24" i="57" s="1"/>
  <c r="BR30" i="54"/>
  <c r="T30" i="56" s="1"/>
  <c r="AD30" i="56" s="1"/>
  <c r="BM24" i="54"/>
  <c r="O24" i="56" s="1"/>
  <c r="Y24" i="56" s="1"/>
  <c r="BM32" i="54"/>
  <c r="O32" i="56" s="1"/>
  <c r="Y32" i="56" s="1"/>
  <c r="BM18" i="55"/>
  <c r="O18" i="57" s="1"/>
  <c r="Y18" i="57" s="1"/>
  <c r="BM49" i="55"/>
  <c r="O49" i="57" s="1"/>
  <c r="Y49" i="57" s="1"/>
  <c r="H107" i="54"/>
  <c r="H114" i="54"/>
  <c r="H111" i="54"/>
  <c r="BR24" i="54"/>
  <c r="T24" i="56" s="1"/>
  <c r="AD24" i="56" s="1"/>
  <c r="BM10" i="55"/>
  <c r="O10" i="57" s="1"/>
  <c r="Y10" i="57" s="1"/>
  <c r="BR47" i="55"/>
  <c r="T47" i="57" s="1"/>
  <c r="AD47" i="57" s="1"/>
  <c r="BM33" i="55"/>
  <c r="O33" i="57" s="1"/>
  <c r="Y33" i="57" s="1"/>
  <c r="BR29" i="54"/>
  <c r="T29" i="56" s="1"/>
  <c r="AD29" i="56" s="1"/>
  <c r="BM13" i="55"/>
  <c r="O13" i="57" s="1"/>
  <c r="Y13" i="57" s="1"/>
  <c r="BR22" i="55"/>
  <c r="T22" i="57" s="1"/>
  <c r="AD22" i="57" s="1"/>
  <c r="BR11" i="54"/>
  <c r="T11" i="56" s="1"/>
  <c r="AD11" i="56" s="1"/>
  <c r="BM14" i="55"/>
  <c r="O14" i="57" s="1"/>
  <c r="Y14" i="57" s="1"/>
  <c r="BM47" i="54"/>
  <c r="O47" i="56" s="1"/>
  <c r="Y47" i="56" s="1"/>
  <c r="BM29" i="54"/>
  <c r="O29" i="56" s="1"/>
  <c r="Y29" i="56" s="1"/>
  <c r="BM37" i="54"/>
  <c r="O37" i="56" s="1"/>
  <c r="Y37" i="56" s="1"/>
  <c r="BM15" i="54"/>
  <c r="O15" i="56" s="1"/>
  <c r="Y15" i="56" s="1"/>
  <c r="BR22" i="54"/>
  <c r="T22" i="56" s="1"/>
  <c r="AD22" i="56" s="1"/>
  <c r="H110" i="54"/>
  <c r="H113" i="54"/>
  <c r="H112" i="54" l="1"/>
  <c r="AC110" i="5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aveli</author>
  </authors>
  <commentList>
    <comment ref="G3" authorId="0" shapeId="0" xr:uid="{C10ADC2A-9ACA-4FAB-9F70-703483E4FDFF}">
      <text>
        <r>
          <rPr>
            <b/>
            <sz val="15"/>
            <color indexed="81"/>
            <rFont val="Tahoma"/>
            <family val="2"/>
          </rPr>
          <t>Total weight = 100%</t>
        </r>
      </text>
    </comment>
    <comment ref="G7" authorId="0" shapeId="0" xr:uid="{9E96CA1F-C339-4E6B-9514-A88BCCCBA6E7}">
      <text>
        <r>
          <rPr>
            <b/>
            <sz val="15"/>
            <color indexed="81"/>
            <rFont val="Tahoma"/>
            <family val="2"/>
          </rPr>
          <t>Total weight = 100%</t>
        </r>
      </text>
    </comment>
  </commentList>
</comments>
</file>

<file path=xl/sharedStrings.xml><?xml version="1.0" encoding="utf-8"?>
<sst xmlns="http://schemas.openxmlformats.org/spreadsheetml/2006/main" count="791" uniqueCount="76">
  <si>
    <t>Index</t>
  </si>
  <si>
    <t>Slacks boundary</t>
  </si>
  <si>
    <t>DMU</t>
  </si>
  <si>
    <t>Reliability (%)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</si>
  <si>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</si>
  <si>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</si>
  <si>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</si>
  <si>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</si>
  <si>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</si>
  <si>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</si>
  <si>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</si>
  <si>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</si>
  <si>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 Of 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</si>
  <si>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</si>
  <si>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</si>
  <si>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</si>
  <si>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</si>
  <si>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</si>
  <si>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</si>
  <si>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</si>
  <si>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</si>
  <si>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</si>
  <si>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</si>
  <si>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</si>
  <si>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</si>
  <si>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</si>
  <si>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</si>
  <si>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</si>
  <si>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</si>
  <si>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</si>
  <si>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</si>
  <si>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</si>
  <si>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</si>
  <si>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</si>
  <si>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</si>
  <si>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</si>
  <si>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</si>
  <si>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</si>
  <si>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</si>
  <si>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</si>
  <si>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</si>
  <si>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</si>
  <si>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</si>
  <si>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</si>
  <si>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</si>
  <si>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</si>
  <si>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</si>
  <si>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</si>
  <si>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</si>
  <si>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</si>
  <si>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</si>
  <si>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</si>
  <si>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</si>
  <si>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</si>
  <si>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Individual evaluation</t>
  </si>
  <si>
    <t>t</t>
  </si>
  <si>
    <t>Performance</t>
  </si>
  <si>
    <t>CONSTRAINTS</t>
  </si>
  <si>
    <t>INPUTS</t>
  </si>
  <si>
    <t>OUTPUTS</t>
  </si>
  <si>
    <t>OUTPUT INDICATORS' WEIGHTS</t>
  </si>
  <si>
    <t>INPUT INDICATORS' WEIGHTS</t>
  </si>
  <si>
    <t>DMU index to analyze:</t>
  </si>
  <si>
    <t>MIN</t>
  </si>
  <si>
    <t>MAX</t>
  </si>
  <si>
    <t>THRESHOLD (if applicable)</t>
  </si>
  <si>
    <t>Bottom limit</t>
  </si>
  <si>
    <t>Upper limit</t>
  </si>
  <si>
    <t>Number of indicators</t>
  </si>
  <si>
    <t/>
  </si>
  <si>
    <t xml:space="preserve"> </t>
  </si>
  <si>
    <t>GROUP</t>
  </si>
  <si>
    <t>Group name</t>
  </si>
  <si>
    <t>Maintenance costs (USD/m2)</t>
  </si>
  <si>
    <t>Outdated data (%)</t>
  </si>
  <si>
    <t>Traffic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</si>
</sst>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mbria Math"/>
      <family val="1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sz val="10"/>
      <color theme="1" tint="0.499984740745262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sz val="20"/>
      <name val="Calibri"/>
      <family val="2"/>
      <scheme val="minor"/>
    </font>
    <font>
      <b/>
      <sz val="15"/>
      <color indexed="81"/>
      <name val="Tahoma"/>
      <family val="2"/>
    </font>
    <font>
      <b/>
      <sz val="3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AED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EE3EA"/>
        <bgColor indexed="64"/>
      </patternFill>
    </fill>
  </fills>
  <borders count="22">
    <border>
      <left/>
      <right/>
      <top/>
      <bottom/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theme="1" tint="0.499984740745262"/>
      </left>
      <right/>
      <top/>
      <bottom/>
      <diagonal/>
    </border>
    <border>
      <left/>
      <right style="medium">
        <color theme="1" tint="0.499984740745262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1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/>
    <xf numFmtId="0" fontId="7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8" fillId="7" borderId="0" xfId="0" applyNumberFormat="1" applyFont="1" applyFill="1" applyAlignment="1">
      <alignment horizontal="center" vertical="center"/>
    </xf>
    <xf numFmtId="9" fontId="8" fillId="7" borderId="0" xfId="2" applyFont="1" applyFill="1" applyAlignment="1">
      <alignment horizontal="center" vertical="center"/>
    </xf>
    <xf numFmtId="2" fontId="8" fillId="7" borderId="0" xfId="2" applyNumberFormat="1" applyFont="1" applyFill="1" applyAlignment="1">
      <alignment horizontal="center" vertical="center"/>
    </xf>
    <xf numFmtId="0" fontId="2" fillId="6" borderId="0" xfId="0" applyFont="1" applyFill="1"/>
    <xf numFmtId="0" fontId="2" fillId="6" borderId="0" xfId="0" applyFont="1" applyFill="1" applyAlignment="1">
      <alignment vertical="center" wrapText="1"/>
    </xf>
    <xf numFmtId="2" fontId="13" fillId="7" borderId="1" xfId="0" applyNumberFormat="1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2" fontId="2" fillId="11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9" fontId="2" fillId="11" borderId="0" xfId="2" applyFont="1" applyFill="1" applyBorder="1" applyAlignment="1">
      <alignment horizontal="center" vertical="center"/>
    </xf>
    <xf numFmtId="2" fontId="2" fillId="11" borderId="0" xfId="2" applyNumberFormat="1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/>
    </xf>
    <xf numFmtId="0" fontId="2" fillId="11" borderId="15" xfId="0" applyFont="1" applyFill="1" applyBorder="1" applyAlignment="1">
      <alignment horizontal="center" vertical="center"/>
    </xf>
    <xf numFmtId="9" fontId="2" fillId="11" borderId="15" xfId="2" applyFont="1" applyFill="1" applyBorder="1" applyAlignment="1">
      <alignment horizontal="center" vertical="center"/>
    </xf>
    <xf numFmtId="2" fontId="2" fillId="11" borderId="15" xfId="0" applyNumberFormat="1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9" fontId="15" fillId="12" borderId="8" xfId="0" applyNumberFormat="1" applyFont="1" applyFill="1" applyBorder="1" applyAlignment="1">
      <alignment horizontal="center" vertical="center"/>
    </xf>
    <xf numFmtId="9" fontId="16" fillId="11" borderId="8" xfId="2" applyFont="1" applyFill="1" applyBorder="1" applyAlignment="1">
      <alignment horizontal="center" vertical="center"/>
    </xf>
    <xf numFmtId="0" fontId="11" fillId="6" borderId="0" xfId="0" applyFont="1" applyFill="1" applyAlignment="1">
      <alignment vertical="center"/>
    </xf>
    <xf numFmtId="9" fontId="15" fillId="13" borderId="8" xfId="0" applyNumberFormat="1" applyFont="1" applyFill="1" applyBorder="1" applyAlignment="1">
      <alignment horizontal="center" vertical="center"/>
    </xf>
    <xf numFmtId="0" fontId="6" fillId="11" borderId="8" xfId="0" applyFont="1" applyFill="1" applyBorder="1" applyAlignment="1">
      <alignment horizontal="center" vertical="center" wrapText="1"/>
    </xf>
    <xf numFmtId="0" fontId="2" fillId="6" borderId="0" xfId="0" applyFont="1" applyFill="1" applyAlignment="1">
      <alignment wrapText="1"/>
    </xf>
    <xf numFmtId="0" fontId="2" fillId="0" borderId="0" xfId="0" applyFont="1" applyAlignment="1">
      <alignment wrapText="1"/>
    </xf>
    <xf numFmtId="0" fontId="6" fillId="4" borderId="8" xfId="0" applyFont="1" applyFill="1" applyBorder="1" applyAlignment="1">
      <alignment horizontal="center" vertical="center" wrapText="1"/>
    </xf>
    <xf numFmtId="0" fontId="18" fillId="11" borderId="8" xfId="0" applyFont="1" applyFill="1" applyBorder="1" applyAlignment="1">
      <alignment horizontal="center" vertical="center" wrapText="1"/>
    </xf>
    <xf numFmtId="0" fontId="2" fillId="3" borderId="0" xfId="0" applyFont="1" applyFill="1"/>
    <xf numFmtId="0" fontId="2" fillId="3" borderId="0" xfId="0" applyFont="1" applyFill="1" applyAlignment="1">
      <alignment vertical="center" wrapText="1"/>
    </xf>
    <xf numFmtId="0" fontId="11" fillId="3" borderId="12" xfId="0" applyFont="1" applyFill="1" applyBorder="1" applyAlignment="1">
      <alignment vertical="center" wrapText="1"/>
    </xf>
    <xf numFmtId="0" fontId="11" fillId="3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wrapText="1"/>
    </xf>
    <xf numFmtId="0" fontId="11" fillId="3" borderId="12" xfId="0" applyFont="1" applyFill="1" applyBorder="1" applyAlignment="1">
      <alignment vertical="center"/>
    </xf>
    <xf numFmtId="9" fontId="2" fillId="6" borderId="0" xfId="2" applyFont="1" applyFill="1" applyAlignment="1">
      <alignment horizontal="center" vertical="center"/>
    </xf>
    <xf numFmtId="2" fontId="2" fillId="6" borderId="0" xfId="0" applyNumberFormat="1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9" fontId="2" fillId="11" borderId="0" xfId="0" applyNumberFormat="1" applyFont="1" applyFill="1" applyAlignment="1">
      <alignment horizontal="center" vertical="center"/>
    </xf>
    <xf numFmtId="9" fontId="2" fillId="11" borderId="15" xfId="0" applyNumberFormat="1" applyFont="1" applyFill="1" applyBorder="1" applyAlignment="1">
      <alignment horizontal="center" vertical="center"/>
    </xf>
    <xf numFmtId="2" fontId="13" fillId="11" borderId="17" xfId="0" applyNumberFormat="1" applyFont="1" applyFill="1" applyBorder="1" applyAlignment="1">
      <alignment horizontal="center" vertical="center"/>
    </xf>
    <xf numFmtId="2" fontId="13" fillId="11" borderId="18" xfId="0" applyNumberFormat="1" applyFont="1" applyFill="1" applyBorder="1" applyAlignment="1">
      <alignment horizontal="center" vertical="center"/>
    </xf>
    <xf numFmtId="2" fontId="13" fillId="11" borderId="19" xfId="0" applyNumberFormat="1" applyFont="1" applyFill="1" applyBorder="1" applyAlignment="1">
      <alignment horizontal="center" vertical="center"/>
    </xf>
    <xf numFmtId="2" fontId="20" fillId="11" borderId="17" xfId="2" applyNumberFormat="1" applyFont="1" applyFill="1" applyBorder="1" applyAlignment="1">
      <alignment horizontal="center" vertical="center"/>
    </xf>
    <xf numFmtId="2" fontId="20" fillId="11" borderId="18" xfId="2" applyNumberFormat="1" applyFont="1" applyFill="1" applyBorder="1" applyAlignment="1">
      <alignment horizontal="center" vertical="center"/>
    </xf>
    <xf numFmtId="2" fontId="20" fillId="11" borderId="18" xfId="0" applyNumberFormat="1" applyFont="1" applyFill="1" applyBorder="1" applyAlignment="1">
      <alignment horizontal="center" vertical="center"/>
    </xf>
    <xf numFmtId="2" fontId="20" fillId="11" borderId="18" xfId="1" applyNumberFormat="1" applyFont="1" applyFill="1" applyBorder="1" applyAlignment="1">
      <alignment horizontal="center" vertical="center"/>
    </xf>
    <xf numFmtId="2" fontId="8" fillId="11" borderId="0" xfId="2" applyNumberFormat="1" applyFont="1" applyFill="1" applyBorder="1" applyAlignment="1">
      <alignment horizontal="center" vertical="center"/>
    </xf>
    <xf numFmtId="2" fontId="20" fillId="11" borderId="19" xfId="0" applyNumberFormat="1" applyFont="1" applyFill="1" applyBorder="1" applyAlignment="1">
      <alignment horizontal="center" vertical="center"/>
    </xf>
    <xf numFmtId="0" fontId="2" fillId="6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11" borderId="0" xfId="0" applyFont="1" applyFill="1" applyAlignment="1">
      <alignment horizontal="center" vertical="center" wrapText="1"/>
    </xf>
    <xf numFmtId="0" fontId="3" fillId="11" borderId="21" xfId="0" applyFont="1" applyFill="1" applyBorder="1" applyAlignment="1">
      <alignment horizontal="center" vertical="center" wrapText="1"/>
    </xf>
    <xf numFmtId="0" fontId="2" fillId="11" borderId="20" xfId="0" applyFont="1" applyFill="1" applyBorder="1" applyAlignment="1">
      <alignment horizontal="center" vertical="center"/>
    </xf>
    <xf numFmtId="2" fontId="2" fillId="11" borderId="0" xfId="0" applyNumberFormat="1" applyFont="1" applyFill="1" applyAlignment="1">
      <alignment horizontal="left" vertical="center"/>
    </xf>
    <xf numFmtId="2" fontId="2" fillId="11" borderId="0" xfId="0" applyNumberFormat="1" applyFont="1" applyFill="1" applyAlignment="1">
      <alignment horizontal="center"/>
    </xf>
    <xf numFmtId="2" fontId="2" fillId="11" borderId="21" xfId="0" applyNumberFormat="1" applyFont="1" applyFill="1" applyBorder="1" applyAlignment="1">
      <alignment horizontal="center" vertical="center"/>
    </xf>
    <xf numFmtId="0" fontId="2" fillId="11" borderId="0" xfId="0" applyFont="1" applyFill="1" applyAlignment="1">
      <alignment horizontal="left" vertical="center"/>
    </xf>
    <xf numFmtId="0" fontId="2" fillId="11" borderId="5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left" vertical="center"/>
    </xf>
    <xf numFmtId="9" fontId="2" fillId="11" borderId="6" xfId="2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/>
    </xf>
    <xf numFmtId="2" fontId="2" fillId="11" borderId="6" xfId="0" applyNumberFormat="1" applyFont="1" applyFill="1" applyBorder="1" applyAlignment="1">
      <alignment horizontal="center" vertical="center"/>
    </xf>
    <xf numFmtId="2" fontId="2" fillId="11" borderId="6" xfId="2" applyNumberFormat="1" applyFont="1" applyFill="1" applyBorder="1" applyAlignment="1">
      <alignment horizontal="center" vertical="center"/>
    </xf>
    <xf numFmtId="2" fontId="2" fillId="11" borderId="7" xfId="0" applyNumberFormat="1" applyFont="1" applyFill="1" applyBorder="1" applyAlignment="1">
      <alignment horizontal="center" vertical="center"/>
    </xf>
    <xf numFmtId="2" fontId="2" fillId="11" borderId="0" xfId="2" quotePrefix="1" applyNumberFormat="1" applyFont="1" applyFill="1" applyBorder="1" applyAlignment="1">
      <alignment horizontal="center" vertical="center"/>
    </xf>
    <xf numFmtId="9" fontId="2" fillId="11" borderId="21" xfId="2" applyFont="1" applyFill="1" applyBorder="1" applyAlignment="1">
      <alignment horizontal="center" vertical="center"/>
    </xf>
    <xf numFmtId="2" fontId="2" fillId="11" borderId="6" xfId="0" applyNumberFormat="1" applyFont="1" applyFill="1" applyBorder="1" applyAlignment="1">
      <alignment horizontal="left" vertical="center"/>
    </xf>
    <xf numFmtId="2" fontId="2" fillId="11" borderId="6" xfId="2" quotePrefix="1" applyNumberFormat="1" applyFont="1" applyFill="1" applyBorder="1" applyAlignment="1">
      <alignment horizontal="center" vertical="center"/>
    </xf>
    <xf numFmtId="9" fontId="2" fillId="11" borderId="7" xfId="2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 wrapText="1"/>
    </xf>
    <xf numFmtId="2" fontId="2" fillId="6" borderId="0" xfId="2" applyNumberFormat="1" applyFont="1" applyFill="1" applyBorder="1" applyAlignment="1">
      <alignment horizontal="center" vertical="center"/>
    </xf>
    <xf numFmtId="2" fontId="3" fillId="9" borderId="0" xfId="0" applyNumberFormat="1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9" fontId="2" fillId="6" borderId="0" xfId="2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2" fontId="8" fillId="6" borderId="0" xfId="0" applyNumberFormat="1" applyFont="1" applyFill="1" applyAlignment="1">
      <alignment horizontal="left" vertical="center"/>
    </xf>
    <xf numFmtId="0" fontId="2" fillId="6" borderId="21" xfId="0" applyFont="1" applyFill="1" applyBorder="1" applyAlignment="1">
      <alignment horizontal="center" vertical="center"/>
    </xf>
    <xf numFmtId="0" fontId="4" fillId="6" borderId="0" xfId="0" applyFont="1" applyFill="1"/>
    <xf numFmtId="0" fontId="8" fillId="6" borderId="21" xfId="0" applyFont="1" applyFill="1" applyBorder="1" applyAlignment="1">
      <alignment horizontal="center" vertical="center"/>
    </xf>
    <xf numFmtId="2" fontId="8" fillId="11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2" fontId="13" fillId="9" borderId="0" xfId="0" applyNumberFormat="1" applyFont="1" applyFill="1" applyAlignment="1">
      <alignment horizontal="center" vertical="center"/>
    </xf>
    <xf numFmtId="2" fontId="9" fillId="11" borderId="0" xfId="0" applyNumberFormat="1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2" fillId="0" borderId="5" xfId="0" applyFont="1" applyBorder="1" applyAlignment="1">
      <alignment vertical="center" wrapText="1"/>
    </xf>
    <xf numFmtId="0" fontId="2" fillId="10" borderId="6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2" fontId="8" fillId="11" borderId="3" xfId="2" applyNumberFormat="1" applyFont="1" applyFill="1" applyBorder="1" applyAlignment="1">
      <alignment horizontal="center" vertical="center"/>
    </xf>
    <xf numFmtId="2" fontId="8" fillId="11" borderId="4" xfId="2" applyNumberFormat="1" applyFont="1" applyFill="1" applyBorder="1" applyAlignment="1">
      <alignment horizontal="center" vertical="center"/>
    </xf>
    <xf numFmtId="2" fontId="8" fillId="11" borderId="21" xfId="0" applyNumberFormat="1" applyFont="1" applyFill="1" applyBorder="1" applyAlignment="1">
      <alignment horizontal="center" vertical="center"/>
    </xf>
    <xf numFmtId="2" fontId="8" fillId="11" borderId="2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5" borderId="20" xfId="0" applyFont="1" applyFill="1" applyBorder="1" applyAlignment="1">
      <alignment horizontal="center" vertical="center"/>
    </xf>
    <xf numFmtId="2" fontId="8" fillId="15" borderId="0" xfId="0" applyNumberFormat="1" applyFont="1" applyFill="1" applyAlignment="1">
      <alignment horizontal="left" vertical="center"/>
    </xf>
    <xf numFmtId="9" fontId="9" fillId="15" borderId="0" xfId="2" applyFont="1" applyFill="1" applyBorder="1" applyAlignment="1">
      <alignment horizontal="center" vertical="center"/>
    </xf>
    <xf numFmtId="9" fontId="8" fillId="15" borderId="0" xfId="2" applyFont="1" applyFill="1" applyBorder="1" applyAlignment="1">
      <alignment horizontal="center" vertical="center"/>
    </xf>
    <xf numFmtId="2" fontId="8" fillId="15" borderId="0" xfId="2" applyNumberFormat="1" applyFont="1" applyFill="1" applyBorder="1" applyAlignment="1">
      <alignment horizontal="center" vertical="center"/>
    </xf>
    <xf numFmtId="9" fontId="8" fillId="15" borderId="21" xfId="2" applyFont="1" applyFill="1" applyBorder="1" applyAlignment="1">
      <alignment horizontal="center" vertical="center"/>
    </xf>
    <xf numFmtId="0" fontId="8" fillId="15" borderId="5" xfId="0" applyFont="1" applyFill="1" applyBorder="1" applyAlignment="1">
      <alignment horizontal="center" vertical="center"/>
    </xf>
    <xf numFmtId="2" fontId="8" fillId="15" borderId="6" xfId="0" applyNumberFormat="1" applyFont="1" applyFill="1" applyBorder="1" applyAlignment="1">
      <alignment horizontal="left" vertical="center"/>
    </xf>
    <xf numFmtId="9" fontId="9" fillId="15" borderId="6" xfId="2" applyFont="1" applyFill="1" applyBorder="1" applyAlignment="1">
      <alignment horizontal="center" vertical="center"/>
    </xf>
    <xf numFmtId="9" fontId="8" fillId="15" borderId="6" xfId="2" applyFont="1" applyFill="1" applyBorder="1" applyAlignment="1">
      <alignment horizontal="center" vertical="center"/>
    </xf>
    <xf numFmtId="2" fontId="8" fillId="15" borderId="6" xfId="2" applyNumberFormat="1" applyFont="1" applyFill="1" applyBorder="1" applyAlignment="1">
      <alignment horizontal="center" vertical="center"/>
    </xf>
    <xf numFmtId="9" fontId="8" fillId="15" borderId="7" xfId="2" applyFont="1" applyFill="1" applyBorder="1" applyAlignment="1">
      <alignment horizontal="center" vertical="center"/>
    </xf>
    <xf numFmtId="164" fontId="8" fillId="15" borderId="0" xfId="2" applyNumberFormat="1" applyFont="1" applyFill="1" applyBorder="1" applyAlignment="1">
      <alignment horizontal="center" vertical="center"/>
    </xf>
    <xf numFmtId="164" fontId="8" fillId="15" borderId="21" xfId="2" applyNumberFormat="1" applyFont="1" applyFill="1" applyBorder="1" applyAlignment="1">
      <alignment horizontal="center" vertical="center"/>
    </xf>
    <xf numFmtId="164" fontId="8" fillId="15" borderId="6" xfId="2" applyNumberFormat="1" applyFont="1" applyFill="1" applyBorder="1" applyAlignment="1">
      <alignment horizontal="center" vertical="center"/>
    </xf>
    <xf numFmtId="164" fontId="8" fillId="15" borderId="7" xfId="2" applyNumberFormat="1" applyFont="1" applyFill="1" applyBorder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2" fontId="3" fillId="10" borderId="0" xfId="0" applyNumberFormat="1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 wrapText="1"/>
    </xf>
    <xf numFmtId="9" fontId="2" fillId="11" borderId="0" xfId="2" quotePrefix="1" applyFont="1" applyFill="1" applyBorder="1" applyAlignment="1">
      <alignment horizontal="center" vertical="center"/>
    </xf>
    <xf numFmtId="0" fontId="3" fillId="10" borderId="14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12" borderId="3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4" borderId="3" xfId="0" applyFont="1" applyFill="1" applyBorder="1" applyAlignment="1">
      <alignment horizontal="center" vertical="center"/>
    </xf>
    <xf numFmtId="0" fontId="3" fillId="14" borderId="4" xfId="0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left" vertical="center"/>
    </xf>
    <xf numFmtId="0" fontId="10" fillId="4" borderId="10" xfId="0" applyFont="1" applyFill="1" applyBorder="1" applyAlignment="1">
      <alignment horizontal="left" vertical="center"/>
    </xf>
    <xf numFmtId="0" fontId="10" fillId="4" borderId="11" xfId="0" applyFont="1" applyFill="1" applyBorder="1" applyAlignment="1">
      <alignment horizontal="left" vertical="center"/>
    </xf>
    <xf numFmtId="0" fontId="3" fillId="10" borderId="12" xfId="0" applyFont="1" applyFill="1" applyBorder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15" fillId="12" borderId="8" xfId="0" applyFont="1" applyFill="1" applyBorder="1" applyAlignment="1">
      <alignment horizontal="center" vertical="center"/>
    </xf>
    <xf numFmtId="0" fontId="15" fillId="13" borderId="8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9" fontId="14" fillId="6" borderId="0" xfId="2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1" fillId="6" borderId="0" xfId="0" applyFont="1" applyFill="1" applyAlignment="1">
      <alignment horizontal="center" vertical="center" wrapText="1"/>
    </xf>
    <xf numFmtId="0" fontId="3" fillId="11" borderId="3" xfId="0" applyFont="1" applyFill="1" applyBorder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0" fontId="12" fillId="6" borderId="2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0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5" borderId="4" xfId="0" applyFont="1" applyFill="1" applyBorder="1" applyAlignment="1">
      <alignment horizontal="center" vertical="center" wrapText="1"/>
    </xf>
    <xf numFmtId="0" fontId="3" fillId="5" borderId="21" xfId="0" applyFont="1" applyFill="1" applyBorder="1" applyAlignment="1">
      <alignment horizontal="center" vertical="center" wrapText="1"/>
    </xf>
    <xf numFmtId="0" fontId="3" fillId="2" borderId="20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8" fillId="3" borderId="6" xfId="0" applyNumberFormat="1" applyFont="1" applyFill="1" applyBorder="1" applyAlignment="1">
      <alignment horizontal="center" vertical="center"/>
    </xf>
    <xf numFmtId="2" fontId="8" fillId="3" borderId="7" xfId="0" applyNumberFormat="1" applyFont="1" applyFill="1" applyBorder="1" applyAlignment="1">
      <alignment horizontal="center" vertical="center"/>
    </xf>
    <xf numFmtId="2" fontId="8" fillId="11" borderId="15" xfId="0" applyNumberFormat="1" applyFont="1" applyFill="1" applyBorder="1" applyAlignment="1">
      <alignment horizontal="center" vertical="center"/>
    </xf>
    <xf numFmtId="2" fontId="8" fillId="11" borderId="6" xfId="0" applyNumberFormat="1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233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EAEDF2"/>
        </patternFill>
      </fill>
    </dxf>
    <dxf>
      <fill>
        <patternFill>
          <bgColor rgb="FFEAEDF2"/>
        </patternFill>
      </fill>
    </dxf>
    <dxf>
      <fill>
        <patternFill>
          <bgColor rgb="FFEAEDF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EAEDF2"/>
        </patternFill>
      </fill>
    </dxf>
    <dxf>
      <fill>
        <patternFill>
          <bgColor rgb="FFEAEDF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EAEDF2"/>
        </patternFill>
      </fill>
    </dxf>
    <dxf>
      <fill>
        <patternFill>
          <bgColor rgb="FFEAEDF2"/>
        </patternFill>
      </fill>
    </dxf>
    <dxf>
      <fill>
        <patternFill>
          <bgColor rgb="FFEAEDF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EAEDF2"/>
        </patternFill>
      </fill>
    </dxf>
    <dxf>
      <fill>
        <patternFill>
          <bgColor rgb="FFEAEDF2"/>
        </patternFill>
      </fill>
    </dxf>
    <dxf>
      <fill>
        <patternFill>
          <bgColor theme="3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EAEDF2"/>
        </patternFill>
      </fill>
    </dxf>
    <dxf>
      <fill>
        <patternFill>
          <bgColor rgb="FFEAEDF2"/>
        </patternFill>
      </fill>
    </dxf>
  </dxfs>
  <tableStyles count="0" defaultTableStyle="TableStyleMedium2" defaultPivotStyle="PivotStyleLight16"/>
  <colors>
    <mruColors>
      <color rgb="FFDEE3EA"/>
      <color rgb="FFEAEDF2"/>
      <color rgb="FFFF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88900</xdr:colOff>
          <xdr:row>9</xdr:row>
          <xdr:rowOff>279400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107521" name="AnalyzeAll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1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9</xdr:row>
          <xdr:rowOff>279400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107522" name="Individual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1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176213</xdr:colOff>
      <xdr:row>104</xdr:row>
      <xdr:rowOff>88900</xdr:rowOff>
    </xdr:from>
    <xdr:ext cx="1533524" cy="4812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76213" y="19481800"/>
              <a:ext cx="1533524" cy="4812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l-GR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𝛬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𝑟𝑗</m:t>
                            </m:r>
                          </m:sub>
                        </m:sSub>
                      </m:e>
                    </m:nary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𝑂𝑅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l-GR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𝛬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𝑖𝑗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n-US" sz="1100" i="1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D702BDB-80CC-4FB7-86F4-6BF2A6F459F0}"/>
                </a:ext>
              </a:extLst>
            </xdr:cNvPr>
            <xdr:cNvSpPr txBox="1"/>
          </xdr:nvSpPr>
          <xdr:spPr>
            <a:xfrm>
              <a:off x="176213" y="19481800"/>
              <a:ext cx="1533524" cy="4812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_(𝑗=1)^𝑛▒〖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𝛬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 𝑦_𝑟𝑗 〗 𝑂𝑅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_(𝑗=1)^𝑛▒〖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𝛬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 𝑥_𝑖𝑗 〗</a:t>
              </a:r>
              <a:endParaRPr lang="en-US" sz="1100" i="1"/>
            </a:p>
          </xdr:txBody>
        </xdr:sp>
      </mc:Fallback>
    </mc:AlternateContent>
    <xdr:clientData/>
  </xdr:oneCellAnchor>
  <xdr:oneCellAnchor>
    <xdr:from>
      <xdr:col>0</xdr:col>
      <xdr:colOff>569919</xdr:colOff>
      <xdr:row>106</xdr:row>
      <xdr:rowOff>168275</xdr:rowOff>
    </xdr:from>
    <xdr:ext cx="723900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569919" y="20894675"/>
              <a:ext cx="723900" cy="304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𝑡𝑦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𝑟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𝑂𝑅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  <m:sSub>
                    <m:sSubPr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𝑡𝑥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</m:oMath>
              </a14:m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  </a:t>
              </a:r>
              <a:endParaRPr lang="en-US" sz="110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AD28A6B-D8A6-4929-90A7-EB5A238946AC}"/>
                </a:ext>
              </a:extLst>
            </xdr:cNvPr>
            <xdr:cNvSpPr txBox="1"/>
          </xdr:nvSpPr>
          <xdr:spPr>
            <a:xfrm>
              <a:off x="569919" y="20894675"/>
              <a:ext cx="723900" cy="304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〖𝑡𝑦〗_𝑟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𝑂𝑅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〖𝑡𝑥〗_𝑖</a:t>
              </a:r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  </a:t>
              </a:r>
              <a:endParaRPr lang="en-US" sz="110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552453</xdr:colOff>
      <xdr:row>107</xdr:row>
      <xdr:rowOff>166688</xdr:rowOff>
    </xdr:from>
    <xdr:ext cx="723900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552453" y="21559838"/>
              <a:ext cx="723900" cy="304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n-US" altLang="ko-KR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S</m:t>
                      </m:r>
                    </m:e>
                    <m:sub>
                      <m:r>
                        <a:rPr lang="en-US" altLang="ko-KR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𝑟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</m:oMath>
              </a14:m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OR</a:t>
              </a:r>
              <a:r>
                <a:rPr lang="en-US" altLang="ko-KR" sz="1100" i="1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14:m>
                <m:oMath xmlns:m="http://schemas.openxmlformats.org/officeDocument/2006/math"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sSub>
                    <m:sSubPr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S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</m:oMath>
              </a14:m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endParaRPr lang="en-US" sz="110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60B39EA-1CFD-45B6-A5DD-4CE6DBACBFCE}"/>
                </a:ext>
              </a:extLst>
            </xdr:cNvPr>
            <xdr:cNvSpPr txBox="1"/>
          </xdr:nvSpPr>
          <xdr:spPr>
            <a:xfrm>
              <a:off x="552453" y="21559838"/>
              <a:ext cx="723900" cy="304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S_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OR</a:t>
              </a:r>
              <a:r>
                <a:rPr lang="en-US" altLang="ko-KR" sz="1100" i="1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S_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  </a:t>
              </a:r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endParaRPr lang="en-US" sz="110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0</xdr:colOff>
      <xdr:row>109</xdr:row>
      <xdr:rowOff>87314</xdr:rowOff>
    </xdr:from>
    <xdr:ext cx="1893094" cy="4374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0" y="22813964"/>
              <a:ext cx="1893094" cy="4374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en-US" sz="10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  <m:r>
                          <a:rPr lang="en-US" sz="1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US" sz="1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n-US" sz="10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l-GR" sz="10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Λ</m:t>
                            </m:r>
                          </m:e>
                          <m:sub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</m:sub>
                        </m:sSub>
                        <m:sSub>
                          <m:sSubPr>
                            <m:ctrlPr>
                              <a:rPr lang="en-US" sz="10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𝑟𝑗</m:t>
                            </m:r>
                          </m:sub>
                        </m:sSub>
                      </m:e>
                    </m:nary>
                    <m:r>
                      <a:rPr lang="en-US" sz="1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US" sz="10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n-US" sz="10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S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n-US" sz="10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</m:t>
                        </m:r>
                      </m:sub>
                    </m:sSub>
                    <m:r>
                      <a:rPr lang="en-US" sz="1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</m:t>
                    </m:r>
                    <m:r>
                      <a:rPr lang="en-US" sz="1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𝑂𝑅</m:t>
                    </m:r>
                    <m:r>
                      <a:rPr lang="en-US" sz="1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n-US" sz="10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  <m:r>
                          <a:rPr lang="en-US" sz="1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US" sz="1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n-US" sz="10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l-GR" sz="10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Λ</m:t>
                            </m:r>
                          </m:e>
                          <m:sub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</m:sub>
                        </m:sSub>
                        <m:sSub>
                          <m:sSubPr>
                            <m:ctrlPr>
                              <a:rPr lang="en-US" sz="10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𝑖𝑗</m:t>
                            </m:r>
                          </m:sub>
                        </m:sSub>
                      </m:e>
                    </m:nary>
                    <m:r>
                      <a:rPr lang="en-US" sz="1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0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n-US" sz="10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S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US" sz="1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E4F2CD54-B8D5-4FE5-8C41-A0408644055E}"/>
                </a:ext>
              </a:extLst>
            </xdr:cNvPr>
            <xdr:cNvSpPr txBox="1"/>
          </xdr:nvSpPr>
          <xdr:spPr>
            <a:xfrm>
              <a:off x="0" y="22813964"/>
              <a:ext cx="1893094" cy="4374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_(𝑗=1)^𝑛▒〖</a:t>
              </a:r>
              <a:r>
                <a:rPr lang="el-GR" sz="1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Λ</a:t>
              </a:r>
              <a:r>
                <a:rPr lang="en-US" sz="1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 𝑦_𝑟𝑗 〗−</a:t>
              </a:r>
              <a:r>
                <a:rPr lang="en-US" sz="1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S_r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 𝑂𝑅 </a:t>
              </a:r>
              <a:r>
                <a:rPr lang="en-US" sz="1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_(𝑗=1)^𝑛▒〖</a:t>
              </a:r>
              <a:r>
                <a:rPr lang="el-GR" sz="1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Λ</a:t>
              </a:r>
              <a:r>
                <a:rPr lang="en-US" sz="1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 𝑥_𝑖𝑗 〗+</a:t>
              </a:r>
              <a:r>
                <a:rPr lang="en-US" sz="1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S_𝑖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endParaRPr lang="en-US" sz="1000"/>
            </a:p>
          </xdr:txBody>
        </xdr:sp>
      </mc:Fallback>
    </mc:AlternateContent>
    <xdr:clientData/>
  </xdr:oneCellAnchor>
  <xdr:oneCellAnchor>
    <xdr:from>
      <xdr:col>0</xdr:col>
      <xdr:colOff>336548</xdr:colOff>
      <xdr:row>110</xdr:row>
      <xdr:rowOff>127000</xdr:rowOff>
    </xdr:from>
    <xdr:ext cx="1306514" cy="41697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SpPr txBox="1"/>
          </xdr:nvSpPr>
          <xdr:spPr>
            <a:xfrm>
              <a:off x="336548" y="23520400"/>
              <a:ext cx="1306514" cy="4169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sSub>
                                  <m:sSubPr>
                                    <m:ctrlPr>
                                      <a:rPr lang="en-US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𝑣</m:t>
                                    </m:r>
                                  </m:e>
                                  <m:sub>
                                    <m:r>
                                      <a:rPr lang="en-US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𝑟</m:t>
                                    </m:r>
                                  </m:sub>
                                </m:sSub>
                                <m:r>
                                  <a:rPr lang="en-US" altLang="ko-KR" sz="11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en-US" altLang="ko-KR" sz="11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100" i="1">
                                    <a:latin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n-US" altLang="ko-KR" sz="11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sub>
                            </m:sSub>
                          </m:den>
                        </m:f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𝑂𝑅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sSub>
                                      <m:sSubPr>
                                        <m:ctrlPr>
                                          <a:rPr lang="en-US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altLang="ko-KR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𝑤</m:t>
                                        </m:r>
                                      </m:e>
                                      <m:sub>
                                        <m:r>
                                          <a:rPr lang="en-US" altLang="ko-KR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  <m:r>
                                      <a:rPr lang="en-US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altLang="ko-KR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den>
                            </m:f>
                          </m:e>
                        </m:nary>
                        <m:r>
                          <m:rPr>
                            <m:nor/>
                          </m:rPr>
                          <a:rPr lang="en-US" i="1">
                            <a:effectLst/>
                          </a:rPr>
                          <m:t> </m:t>
                        </m:r>
                      </m:e>
                    </m:nary>
                  </m:oMath>
                </m:oMathPara>
              </a14:m>
              <a:endParaRPr lang="en-US" sz="1100" i="1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CB3BBC48-214D-4321-9EB8-16C582B42278}"/>
                </a:ext>
              </a:extLst>
            </xdr:cNvPr>
            <xdr:cNvSpPr txBox="1"/>
          </xdr:nvSpPr>
          <xdr:spPr>
            <a:xfrm>
              <a:off x="336548" y="23520400"/>
              <a:ext cx="1306514" cy="4169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n-US" sz="1100" i="0">
                  <a:effectLst/>
                  <a:latin typeface="Cambria Math" panose="02040503050406030204" pitchFamily="18" charset="0"/>
                </a:rPr>
                <a:t>▒〖〖</a:t>
              </a:r>
              <a:r>
                <a:rPr lang="en-US" altLang="ko-K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US" altLang="ko-K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altLang="ko-KR" sz="1100" i="0">
                  <a:latin typeface="Cambria Math" panose="02040503050406030204" pitchFamily="18" charset="0"/>
                </a:rPr>
                <a:t>𝑆〗_𝑟/𝑦_𝑟 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  𝑂𝑅 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∑▒〖</a:t>
              </a:r>
              <a:r>
                <a:rPr lang="en-US" altLang="ko-K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𝑤_𝑖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𝑆〗_</a:t>
              </a:r>
              <a:r>
                <a:rPr lang="en-US" altLang="ko-K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𝑖/𝑥_𝑖  "</a:t>
              </a:r>
              <a:r>
                <a:rPr lang="en-US" i="0">
                  <a:effectLst/>
                </a:rPr>
                <a:t> </a:t>
              </a:r>
              <a:r>
                <a:rPr lang="en-US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US" sz="1100" i="0">
                  <a:effectLst/>
                  <a:latin typeface="Cambria Math" panose="02040503050406030204" pitchFamily="18" charset="0"/>
                </a:rPr>
                <a:t>〗</a:t>
              </a:r>
              <a:endParaRPr lang="en-US" sz="1100" i="1"/>
            </a:p>
          </xdr:txBody>
        </xdr:sp>
      </mc:Fallback>
    </mc:AlternateContent>
    <xdr:clientData/>
  </xdr:oneCellAnchor>
  <xdr:oneCellAnchor>
    <xdr:from>
      <xdr:col>0</xdr:col>
      <xdr:colOff>522293</xdr:colOff>
      <xdr:row>105</xdr:row>
      <xdr:rowOff>184150</xdr:rowOff>
    </xdr:from>
    <xdr:ext cx="723900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522293" y="20243800"/>
              <a:ext cx="723900" cy="304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𝑦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𝑟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𝑂𝑅</m:t>
                  </m:r>
                </m:oMath>
              </a14:m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</m:oMath>
              </a14:m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endParaRPr lang="en-US" sz="110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719C1E3-113B-4A3B-9BAB-AC9278F50BF4}"/>
                </a:ext>
              </a:extLst>
            </xdr:cNvPr>
            <xdr:cNvSpPr txBox="1"/>
          </xdr:nvSpPr>
          <xdr:spPr>
            <a:xfrm>
              <a:off x="522293" y="20243800"/>
              <a:ext cx="723900" cy="304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𝑦_𝑟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𝑂𝑅</a:t>
              </a:r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𝑥_𝑖</a:t>
              </a:r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endParaRPr lang="en-US" sz="110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0</xdr:colOff>
      <xdr:row>111</xdr:row>
      <xdr:rowOff>121443</xdr:rowOff>
    </xdr:from>
    <xdr:ext cx="1976437" cy="4091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0" y="24181593"/>
              <a:ext cx="1976437" cy="4091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+</m:t>
                        </m:r>
                        <m:nary>
                          <m:naryPr>
                            <m:chr m:val="∑"/>
                            <m:supHide m:val="on"/>
                            <m:ctrlPr>
                              <a:rPr lang="en-US" altLang="ko-KR" sz="100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sty m:val="p"/>
                                <m:brk m:alnAt="7"/>
                              </m:rPr>
                              <a:rPr lang="en-US" altLang="ko-KR" sz="1000" i="1">
                                <a:latin typeface="Cambria Math" panose="02040503050406030204" pitchFamily="18" charset="0"/>
                              </a:rPr>
                              <m:t>D</m:t>
                            </m:r>
                            <m:r>
                              <m:rPr>
                                <m:sty m:val="p"/>
                              </m:rPr>
                              <a:rPr lang="en-US" altLang="ko-KR" sz="1000" i="1">
                                <a:latin typeface="Cambria Math" panose="02040503050406030204" pitchFamily="18" charset="0"/>
                              </a:rPr>
                              <m:t>es</m:t>
                            </m:r>
                          </m:sub>
                          <m:sup/>
                          <m:e>
                            <m:f>
                              <m:fPr>
                                <m:ctrlPr>
                                  <a:rPr lang="en-US" sz="10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sSub>
                                      <m:sSubPr>
                                        <m:ctrlPr>
                                          <a:rPr lang="en-US" sz="10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m:rPr>
                                            <m:sty m:val="p"/>
                                          </m:rPr>
                                          <a:rPr lang="en-US" sz="10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v</m:t>
                                        </m:r>
                                      </m:e>
                                      <m:sub>
                                        <m:r>
                                          <m:rPr>
                                            <m:sty m:val="p"/>
                                          </m:rPr>
                                          <a:rPr lang="en-US" sz="10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r</m:t>
                                        </m:r>
                                      </m:sub>
                                    </m:sSub>
                                    <m:r>
                                      <m:rPr>
                                        <m:sty m:val="p"/>
                                      </m:rP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S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r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y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r</m:t>
                                    </m:r>
                                  </m:sub>
                                </m:sSub>
                              </m:den>
                            </m:f>
                          </m:e>
                        </m:nary>
                      </m:e>
                    </m:d>
                    <m:r>
                      <a:rPr lang="en-US" sz="1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</m:t>
                    </m:r>
                    <m:r>
                      <a:rPr lang="en-US" sz="1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𝑂𝑅</m:t>
                    </m:r>
                    <m:r>
                      <a:rPr lang="en-US" sz="1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d>
                      <m:dPr>
                        <m:ctrlPr>
                          <a:rPr lang="en-US" sz="1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sz="1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US" sz="10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f>
                              <m:fPr>
                                <m:ctrlPr>
                                  <a:rPr lang="en-US" sz="10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sSub>
                                      <m:sSubPr>
                                        <m:ctrlPr>
                                          <a:rPr lang="en-US" sz="10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0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𝑤</m:t>
                                        </m:r>
                                      </m:e>
                                      <m:sub>
                                        <m:r>
                                          <a:rPr lang="en-US" sz="10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  <m: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den>
                            </m:f>
                          </m:e>
                        </m:nary>
                      </m:e>
                    </m:d>
                    <m:r>
                      <a:rPr lang="en-US" sz="1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</m:t>
                    </m:r>
                  </m:oMath>
                </m:oMathPara>
              </a14:m>
              <a:endParaRPr lang="en-US" sz="10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F25B6A04-7DA5-4541-9C5F-32D9F950702C}"/>
                </a:ext>
              </a:extLst>
            </xdr:cNvPr>
            <xdr:cNvSpPr txBox="1"/>
          </xdr:nvSpPr>
          <xdr:spPr>
            <a:xfrm>
              <a:off x="0" y="24181593"/>
              <a:ext cx="1976437" cy="4091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(𝑡+∑_</a:t>
              </a:r>
              <a:r>
                <a:rPr lang="en-US" altLang="ko-KR" sz="1000" i="0">
                  <a:latin typeface="Cambria Math" panose="02040503050406030204" pitchFamily="18" charset="0"/>
                </a:rPr>
                <a:t>Des</a:t>
              </a:r>
              <a:r>
                <a:rPr lang="en-US" altLang="ko-KR" sz="1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▒〖</a:t>
              </a:r>
              <a:r>
                <a:rPr lang="en-US" sz="1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v_r S〗_r/y_r )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 𝑂𝑅 (𝑡−∑▒〖</a:t>
              </a:r>
              <a:r>
                <a:rPr lang="en-US" sz="1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𝑤_𝑖 𝑆〗_𝑖/𝑥_𝑖 )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 </a:t>
              </a:r>
              <a:endParaRPr lang="en-US" sz="1000"/>
            </a:p>
          </xdr:txBody>
        </xdr:sp>
      </mc:Fallback>
    </mc:AlternateContent>
    <xdr:clientData/>
  </xdr:oneCellAnchor>
  <xdr:oneCellAnchor>
    <xdr:from>
      <xdr:col>0</xdr:col>
      <xdr:colOff>536578</xdr:colOff>
      <xdr:row>108</xdr:row>
      <xdr:rowOff>187327</xdr:rowOff>
    </xdr:from>
    <xdr:ext cx="723900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536578" y="22247227"/>
              <a:ext cx="723900" cy="304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s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𝑟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</m:oMath>
              </a14:m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OR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n-US" altLang="ko-KR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s</m:t>
                      </m:r>
                    </m:e>
                    <m:sub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𝑖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 </m:t>
                  </m:r>
                </m:oMath>
              </a14:m>
              <a:endParaRPr lang="en-US" sz="110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A2FC4AAC-F0A5-4163-AD82-969AC17BFEFD}"/>
                </a:ext>
              </a:extLst>
            </xdr:cNvPr>
            <xdr:cNvSpPr txBox="1"/>
          </xdr:nvSpPr>
          <xdr:spPr>
            <a:xfrm>
              <a:off x="536578" y="22247227"/>
              <a:ext cx="723900" cy="304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s_𝑟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OR  </a:t>
              </a:r>
              <a:r>
                <a:rPr lang="en-US" altLang="ko-K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s_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𝑖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endParaRPr lang="en-US" sz="110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190500</xdr:colOff>
      <xdr:row>112</xdr:row>
      <xdr:rowOff>95250</xdr:rowOff>
    </xdr:from>
    <xdr:ext cx="1533524" cy="4812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90500" y="24822150"/>
              <a:ext cx="1533524" cy="4812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𝜆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𝑖𝑗</m:t>
                            </m:r>
                          </m:sub>
                        </m:sSub>
                      </m:e>
                    </m:nary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𝑜𝑟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𝜆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𝑟𝑗</m:t>
                            </m:r>
                          </m:sub>
                        </m:sSub>
                      </m:e>
                    </m:nary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4CE3912C-62B0-48E1-9E0D-9F941CBFE552}"/>
                </a:ext>
              </a:extLst>
            </xdr:cNvPr>
            <xdr:cNvSpPr txBox="1"/>
          </xdr:nvSpPr>
          <xdr:spPr>
            <a:xfrm>
              <a:off x="190500" y="24822150"/>
              <a:ext cx="1533524" cy="4812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_(𝑗=1)^𝑛▒〖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𝜆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 𝑥_𝑖𝑗 〗  𝑜𝑟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_(𝑗=1)^𝑛▒〖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𝜆_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 𝑦_𝑟𝑗 〗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29</xdr:col>
      <xdr:colOff>176213</xdr:colOff>
      <xdr:row>0</xdr:row>
      <xdr:rowOff>122237</xdr:rowOff>
    </xdr:from>
    <xdr:ext cx="272767" cy="3330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29557663" y="122237"/>
              <a:ext cx="272767" cy="3330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20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l-G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𝜆</m:t>
                        </m:r>
                      </m:e>
                      <m:sub>
                        <m:r>
                          <a:rPr lang="en-US" sz="20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US" sz="20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E5F8F38B-2FC5-458E-8E15-6E067774430A}"/>
                </a:ext>
              </a:extLst>
            </xdr:cNvPr>
            <xdr:cNvSpPr txBox="1"/>
          </xdr:nvSpPr>
          <xdr:spPr>
            <a:xfrm>
              <a:off x="29557663" y="122237"/>
              <a:ext cx="272767" cy="3330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l-G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</a:t>
              </a:r>
              <a:r>
                <a:rPr lang="en-US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2000" b="0" i="0">
                  <a:latin typeface="Cambria Math" panose="02040503050406030204" pitchFamily="18" charset="0"/>
                </a:rPr>
                <a:t>𝑗</a:t>
              </a:r>
              <a:endParaRPr lang="en-US" sz="2000"/>
            </a:p>
          </xdr:txBody>
        </xdr:sp>
      </mc:Fallback>
    </mc:AlternateContent>
    <xdr:clientData/>
  </xdr:oneCellAnchor>
  <xdr:oneCellAnchor>
    <xdr:from>
      <xdr:col>28</xdr:col>
      <xdr:colOff>217488</xdr:colOff>
      <xdr:row>0</xdr:row>
      <xdr:rowOff>123825</xdr:rowOff>
    </xdr:from>
    <xdr:ext cx="302840" cy="3330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28957588" y="123825"/>
              <a:ext cx="302840" cy="3330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20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l-G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Λ</m:t>
                        </m:r>
                      </m:e>
                      <m:sub>
                        <m:r>
                          <a:rPr lang="en-US" sz="20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US" sz="20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15F8050-F287-43BA-ADAD-BF5372AB93AD}"/>
                </a:ext>
              </a:extLst>
            </xdr:cNvPr>
            <xdr:cNvSpPr txBox="1"/>
          </xdr:nvSpPr>
          <xdr:spPr>
            <a:xfrm>
              <a:off x="28957588" y="123825"/>
              <a:ext cx="302840" cy="3330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l-G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Λ</a:t>
              </a:r>
              <a:r>
                <a:rPr lang="en-US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2000" b="0" i="0">
                  <a:latin typeface="Cambria Math" panose="02040503050406030204" pitchFamily="18" charset="0"/>
                </a:rPr>
                <a:t>𝑗</a:t>
              </a:r>
              <a:endParaRPr lang="en-US" sz="2000"/>
            </a:p>
          </xdr:txBody>
        </xdr:sp>
      </mc:Fallback>
    </mc:AlternateContent>
    <xdr:clientData/>
  </xdr:oneCellAnchor>
  <xdr:oneCellAnchor>
    <xdr:from>
      <xdr:col>27</xdr:col>
      <xdr:colOff>200025</xdr:colOff>
      <xdr:row>104</xdr:row>
      <xdr:rowOff>85725</xdr:rowOff>
    </xdr:from>
    <xdr:ext cx="828675" cy="5250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 txBox="1"/>
          </xdr:nvSpPr>
          <xdr:spPr>
            <a:xfrm>
              <a:off x="27670125" y="19478625"/>
              <a:ext cx="828675" cy="5250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n-US" sz="12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l-GR" sz="12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Λ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</m:sub>
                        </m:sSub>
                      </m:e>
                    </m:nary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420A530-8E8F-4BC9-A4C5-B4C2914A1A64}"/>
                </a:ext>
              </a:extLst>
            </xdr:cNvPr>
            <xdr:cNvSpPr txBox="1"/>
          </xdr:nvSpPr>
          <xdr:spPr>
            <a:xfrm>
              <a:off x="27670125" y="19478625"/>
              <a:ext cx="828675" cy="5250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_(𝑗=1)^𝑛▒</a:t>
              </a:r>
              <a:r>
                <a:rPr lang="el-GR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Λ</a:t>
              </a: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   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27</xdr:col>
      <xdr:colOff>13757</xdr:colOff>
      <xdr:row>109</xdr:row>
      <xdr:rowOff>10584</xdr:rowOff>
    </xdr:from>
    <xdr:ext cx="1097493" cy="6349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7483857" y="22737234"/>
              <a:ext cx="1097493" cy="634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14:m>
                <m:oMath xmlns:m="http://schemas.openxmlformats.org/officeDocument/2006/math">
                  <m:r>
                    <a:rPr lang="en-US" altLang="ko-KR" sz="14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𝑶𝒃𝒋</m:t>
                  </m:r>
                  <m:r>
                    <a:rPr lang="en-US" altLang="ko-KR" sz="14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(</m:t>
                  </m:r>
                  <m:r>
                    <a:rPr lang="en-US" altLang="ko-KR" sz="14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𝑴𝒊𝒏</m:t>
                  </m:r>
                  <m:r>
                    <a:rPr lang="en-US" altLang="ko-KR" sz="14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  <m:r>
                    <a:rPr lang="en-US" sz="14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𝝉</m:t>
                  </m:r>
                </m:oMath>
              </a14:m>
              <a:r>
                <a:rPr lang="en-US" altLang="ko-KR" sz="1400" b="1"/>
                <a:t>)</a:t>
              </a:r>
              <a:endParaRPr lang="en-US" sz="1400" b="1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95DA1DE0-8748-4673-9C91-81645314571E}"/>
                </a:ext>
              </a:extLst>
            </xdr:cNvPr>
            <xdr:cNvSpPr txBox="1"/>
          </xdr:nvSpPr>
          <xdr:spPr>
            <a:xfrm>
              <a:off x="27483857" y="22737234"/>
              <a:ext cx="1097493" cy="634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n-US" altLang="ko-KR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𝑶𝒃𝒋 (𝑴𝒊𝒏 </a:t>
              </a:r>
              <a:r>
                <a:rPr lang="en-US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𝝉</a:t>
              </a:r>
              <a:r>
                <a:rPr lang="en-US" altLang="ko-KR" sz="1400" b="1"/>
                <a:t>)</a:t>
              </a:r>
              <a:endParaRPr lang="en-US" sz="1400" b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50800</xdr:colOff>
          <xdr:row>2</xdr:row>
          <xdr:rowOff>69850</xdr:rowOff>
        </xdr:from>
        <xdr:to>
          <xdr:col>31</xdr:col>
          <xdr:colOff>19050</xdr:colOff>
          <xdr:row>4</xdr:row>
          <xdr:rowOff>127000</xdr:rowOff>
        </xdr:to>
        <xdr:sp macro="" textlink="">
          <xdr:nvSpPr>
            <xdr:cNvPr id="112641" name="All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00000000-0008-0000-0200-00000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38100</xdr:colOff>
          <xdr:row>5</xdr:row>
          <xdr:rowOff>88900</xdr:rowOff>
        </xdr:from>
        <xdr:to>
          <xdr:col>30</xdr:col>
          <xdr:colOff>1536700</xdr:colOff>
          <xdr:row>7</xdr:row>
          <xdr:rowOff>133350</xdr:rowOff>
        </xdr:to>
        <xdr:sp macro="" textlink="">
          <xdr:nvSpPr>
            <xdr:cNvPr id="112642" name="Individual" hidden="1">
              <a:extLst>
                <a:ext uri="{63B3BB69-23CF-44E3-9099-C40C66FF867C}">
                  <a14:compatExt spid="_x0000_s112642"/>
                </a:ext>
                <a:ext uri="{FF2B5EF4-FFF2-40B4-BE49-F238E27FC236}">
                  <a16:creationId xmlns:a16="http://schemas.microsoft.com/office/drawing/2014/main" id="{00000000-0008-0000-0200-000002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176213</xdr:colOff>
      <xdr:row>104</xdr:row>
      <xdr:rowOff>88900</xdr:rowOff>
    </xdr:from>
    <xdr:ext cx="1533524" cy="4812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76213" y="19481800"/>
              <a:ext cx="1533524" cy="4812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l-GR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𝛬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𝑟𝑗</m:t>
                            </m:r>
                          </m:sub>
                        </m:sSub>
                      </m:e>
                    </m:nary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𝑂𝑅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l-GR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𝛬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𝑖𝑗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n-US" sz="1100" i="1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3C278586-D538-445F-B695-6542B4731F14}"/>
                </a:ext>
              </a:extLst>
            </xdr:cNvPr>
            <xdr:cNvSpPr txBox="1"/>
          </xdr:nvSpPr>
          <xdr:spPr>
            <a:xfrm>
              <a:off x="176213" y="19481800"/>
              <a:ext cx="1533524" cy="4812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_(𝑗=1)^𝑛▒〖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𝛬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 𝑦_𝑟𝑗 〗 𝑂𝑅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_(𝑗=1)^𝑛▒〖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𝛬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 𝑥_𝑖𝑗 〗</a:t>
              </a:r>
              <a:endParaRPr lang="en-US" sz="1100" i="1"/>
            </a:p>
          </xdr:txBody>
        </xdr:sp>
      </mc:Fallback>
    </mc:AlternateContent>
    <xdr:clientData/>
  </xdr:oneCellAnchor>
  <xdr:oneCellAnchor>
    <xdr:from>
      <xdr:col>0</xdr:col>
      <xdr:colOff>569919</xdr:colOff>
      <xdr:row>106</xdr:row>
      <xdr:rowOff>168275</xdr:rowOff>
    </xdr:from>
    <xdr:ext cx="723900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569919" y="20894675"/>
              <a:ext cx="723900" cy="304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𝑡𝑦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𝑟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𝑂𝑅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  <m:sSub>
                    <m:sSubPr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𝑡𝑥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</m:oMath>
              </a14:m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  </a:t>
              </a:r>
              <a:endParaRPr lang="en-US" sz="110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1681456-BFC2-49D5-AA4E-5E6AB4C3A44E}"/>
                </a:ext>
              </a:extLst>
            </xdr:cNvPr>
            <xdr:cNvSpPr txBox="1"/>
          </xdr:nvSpPr>
          <xdr:spPr>
            <a:xfrm>
              <a:off x="569919" y="20894675"/>
              <a:ext cx="723900" cy="304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〖𝑡𝑦〗_𝑟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𝑂𝑅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〖𝑡𝑥〗_𝑖</a:t>
              </a:r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  </a:t>
              </a:r>
              <a:endParaRPr lang="en-US" sz="110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552453</xdr:colOff>
      <xdr:row>107</xdr:row>
      <xdr:rowOff>166688</xdr:rowOff>
    </xdr:from>
    <xdr:ext cx="723900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552453" y="21559838"/>
              <a:ext cx="723900" cy="304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n-US" altLang="ko-KR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S</m:t>
                      </m:r>
                    </m:e>
                    <m:sub>
                      <m:r>
                        <a:rPr lang="en-US" altLang="ko-KR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𝑟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</m:oMath>
              </a14:m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OR</a:t>
              </a:r>
              <a:r>
                <a:rPr lang="en-US" altLang="ko-KR" sz="1100" i="1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14:m>
                <m:oMath xmlns:m="http://schemas.openxmlformats.org/officeDocument/2006/math"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sSub>
                    <m:sSubPr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S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</m:oMath>
              </a14:m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endParaRPr lang="en-US" sz="110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11B6615-F988-49DB-9FF0-CFE4F55C9E33}"/>
                </a:ext>
              </a:extLst>
            </xdr:cNvPr>
            <xdr:cNvSpPr txBox="1"/>
          </xdr:nvSpPr>
          <xdr:spPr>
            <a:xfrm>
              <a:off x="552453" y="21559838"/>
              <a:ext cx="723900" cy="304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n-US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S_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OR</a:t>
              </a:r>
              <a:r>
                <a:rPr lang="en-US" altLang="ko-KR" sz="1100" i="1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S_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  </a:t>
              </a:r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endParaRPr lang="en-US" sz="110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0</xdr:colOff>
      <xdr:row>109</xdr:row>
      <xdr:rowOff>87314</xdr:rowOff>
    </xdr:from>
    <xdr:ext cx="1893094" cy="4374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0" y="22813964"/>
              <a:ext cx="1893094" cy="4374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en-US" sz="10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  <m:r>
                          <a:rPr lang="en-US" sz="1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US" sz="1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n-US" sz="10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l-GR" sz="10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Λ</m:t>
                            </m:r>
                          </m:e>
                          <m:sub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</m:sub>
                        </m:sSub>
                        <m:sSub>
                          <m:sSubPr>
                            <m:ctrlPr>
                              <a:rPr lang="en-US" sz="10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𝑟𝑗</m:t>
                            </m:r>
                          </m:sub>
                        </m:sSub>
                      </m:e>
                    </m:nary>
                    <m:r>
                      <a:rPr lang="en-US" sz="1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US" sz="10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n-US" sz="10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S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n-US" sz="10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</m:t>
                        </m:r>
                      </m:sub>
                    </m:sSub>
                    <m:r>
                      <a:rPr lang="en-US" sz="1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</m:t>
                    </m:r>
                    <m:r>
                      <a:rPr lang="en-US" sz="1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𝑂𝑅</m:t>
                    </m:r>
                    <m:r>
                      <a:rPr lang="en-US" sz="1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n-US" sz="10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  <m:r>
                          <a:rPr lang="en-US" sz="1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US" sz="1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n-US" sz="10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l-GR" sz="10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Λ</m:t>
                            </m:r>
                          </m:e>
                          <m:sub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</m:sub>
                        </m:sSub>
                        <m:sSub>
                          <m:sSubPr>
                            <m:ctrlPr>
                              <a:rPr lang="en-US" sz="10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𝑖𝑗</m:t>
                            </m:r>
                          </m:sub>
                        </m:sSub>
                      </m:e>
                    </m:nary>
                    <m:r>
                      <a:rPr lang="en-US" sz="1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0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n-US" sz="10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S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US" sz="1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A1299F96-893D-4E47-BE66-3742A746673A}"/>
                </a:ext>
              </a:extLst>
            </xdr:cNvPr>
            <xdr:cNvSpPr txBox="1"/>
          </xdr:nvSpPr>
          <xdr:spPr>
            <a:xfrm>
              <a:off x="0" y="22813964"/>
              <a:ext cx="1893094" cy="4374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_(𝑗=1)^𝑛▒〖</a:t>
              </a:r>
              <a:r>
                <a:rPr lang="el-GR" sz="1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Λ</a:t>
              </a:r>
              <a:r>
                <a:rPr lang="en-US" sz="1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 𝑦_𝑟𝑗 〗−</a:t>
              </a:r>
              <a:r>
                <a:rPr lang="en-US" sz="1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S_r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 𝑂𝑅 </a:t>
              </a:r>
              <a:r>
                <a:rPr lang="en-US" sz="1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_(𝑗=1)^𝑛▒〖</a:t>
              </a:r>
              <a:r>
                <a:rPr lang="el-GR" sz="1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Λ</a:t>
              </a:r>
              <a:r>
                <a:rPr lang="en-US" sz="1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 𝑥_𝑖𝑗 〗+</a:t>
              </a:r>
              <a:r>
                <a:rPr lang="en-US" sz="1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S_𝑖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endParaRPr lang="en-US" sz="1000"/>
            </a:p>
          </xdr:txBody>
        </xdr:sp>
      </mc:Fallback>
    </mc:AlternateContent>
    <xdr:clientData/>
  </xdr:oneCellAnchor>
  <xdr:oneCellAnchor>
    <xdr:from>
      <xdr:col>0</xdr:col>
      <xdr:colOff>336548</xdr:colOff>
      <xdr:row>110</xdr:row>
      <xdr:rowOff>127000</xdr:rowOff>
    </xdr:from>
    <xdr:ext cx="1306514" cy="41697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336548" y="23520400"/>
              <a:ext cx="1306514" cy="4169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sSub>
                                  <m:sSubPr>
                                    <m:ctrlPr>
                                      <a:rPr lang="en-US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𝑣</m:t>
                                    </m:r>
                                  </m:e>
                                  <m:sub>
                                    <m:r>
                                      <a:rPr lang="en-US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𝑟</m:t>
                                    </m:r>
                                  </m:sub>
                                </m:sSub>
                                <m:r>
                                  <a:rPr lang="en-US" altLang="ko-KR" sz="11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en-US" altLang="ko-KR" sz="11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100" i="1">
                                    <a:latin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n-US" altLang="ko-KR" sz="11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sub>
                            </m:sSub>
                          </m:den>
                        </m:f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𝑂𝑅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sSub>
                                      <m:sSubPr>
                                        <m:ctrlPr>
                                          <a:rPr lang="en-US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altLang="ko-KR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𝑤</m:t>
                                        </m:r>
                                      </m:e>
                                      <m:sub>
                                        <m:r>
                                          <a:rPr lang="en-US" altLang="ko-KR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  <m:r>
                                      <a:rPr lang="en-US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altLang="ko-KR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den>
                            </m:f>
                          </m:e>
                        </m:nary>
                        <m:r>
                          <m:rPr>
                            <m:nor/>
                          </m:rPr>
                          <a:rPr lang="en-US" i="1">
                            <a:effectLst/>
                          </a:rPr>
                          <m:t> </m:t>
                        </m:r>
                      </m:e>
                    </m:nary>
                  </m:oMath>
                </m:oMathPara>
              </a14:m>
              <a:endParaRPr lang="en-US" sz="1100" i="1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9C90A422-140D-4A2F-8DF4-2F965DCBC8E9}"/>
                </a:ext>
              </a:extLst>
            </xdr:cNvPr>
            <xdr:cNvSpPr txBox="1"/>
          </xdr:nvSpPr>
          <xdr:spPr>
            <a:xfrm>
              <a:off x="336548" y="23520400"/>
              <a:ext cx="1306514" cy="4169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n-US" sz="1100" i="0">
                  <a:effectLst/>
                  <a:latin typeface="Cambria Math" panose="02040503050406030204" pitchFamily="18" charset="0"/>
                </a:rPr>
                <a:t>▒〖〖</a:t>
              </a:r>
              <a:r>
                <a:rPr lang="en-US" altLang="ko-K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US" altLang="ko-K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altLang="ko-KR" sz="1100" i="0">
                  <a:latin typeface="Cambria Math" panose="02040503050406030204" pitchFamily="18" charset="0"/>
                </a:rPr>
                <a:t>𝑆〗_𝑟/𝑦_𝑟 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  𝑂𝑅 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∑▒〖</a:t>
              </a:r>
              <a:r>
                <a:rPr lang="en-US" altLang="ko-K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𝑤_𝑖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𝑆〗_</a:t>
              </a:r>
              <a:r>
                <a:rPr lang="en-US" altLang="ko-K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𝑖/𝑥_𝑖  "</a:t>
              </a:r>
              <a:r>
                <a:rPr lang="en-US" i="0">
                  <a:effectLst/>
                </a:rPr>
                <a:t> </a:t>
              </a:r>
              <a:r>
                <a:rPr lang="en-US" i="0">
                  <a:effectLst/>
                  <a:latin typeface="Cambria Math" panose="02040503050406030204" pitchFamily="18" charset="0"/>
                </a:rPr>
                <a:t>" </a:t>
              </a:r>
              <a:r>
                <a:rPr lang="en-US" sz="1100" i="0">
                  <a:effectLst/>
                  <a:latin typeface="Cambria Math" panose="02040503050406030204" pitchFamily="18" charset="0"/>
                </a:rPr>
                <a:t>〗</a:t>
              </a:r>
              <a:endParaRPr lang="en-US" sz="1100" i="1"/>
            </a:p>
          </xdr:txBody>
        </xdr:sp>
      </mc:Fallback>
    </mc:AlternateContent>
    <xdr:clientData/>
  </xdr:oneCellAnchor>
  <xdr:oneCellAnchor>
    <xdr:from>
      <xdr:col>0</xdr:col>
      <xdr:colOff>522293</xdr:colOff>
      <xdr:row>105</xdr:row>
      <xdr:rowOff>184150</xdr:rowOff>
    </xdr:from>
    <xdr:ext cx="723900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522293" y="20243800"/>
              <a:ext cx="723900" cy="304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𝑦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𝑟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𝑂𝑅</m:t>
                  </m:r>
                </m:oMath>
              </a14:m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</m:oMath>
              </a14:m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endParaRPr lang="en-US" sz="110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E45E9288-A61E-4031-9D8D-AADE6DA13D28}"/>
                </a:ext>
              </a:extLst>
            </xdr:cNvPr>
            <xdr:cNvSpPr txBox="1"/>
          </xdr:nvSpPr>
          <xdr:spPr>
            <a:xfrm>
              <a:off x="522293" y="20243800"/>
              <a:ext cx="723900" cy="304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𝑦_𝑟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𝑂𝑅</a:t>
              </a:r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𝑥_𝑖</a:t>
              </a:r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endParaRPr lang="en-US" sz="110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0</xdr:colOff>
      <xdr:row>111</xdr:row>
      <xdr:rowOff>121443</xdr:rowOff>
    </xdr:from>
    <xdr:ext cx="1976437" cy="4091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 txBox="1"/>
          </xdr:nvSpPr>
          <xdr:spPr>
            <a:xfrm>
              <a:off x="0" y="24181593"/>
              <a:ext cx="1976437" cy="4091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+</m:t>
                        </m:r>
                        <m:nary>
                          <m:naryPr>
                            <m:chr m:val="∑"/>
                            <m:supHide m:val="on"/>
                            <m:ctrlPr>
                              <a:rPr lang="en-US" altLang="ko-KR" sz="100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sty m:val="p"/>
                                <m:brk m:alnAt="7"/>
                              </m:rPr>
                              <a:rPr lang="en-US" altLang="ko-KR" sz="1000" i="1">
                                <a:latin typeface="Cambria Math" panose="02040503050406030204" pitchFamily="18" charset="0"/>
                              </a:rPr>
                              <m:t>D</m:t>
                            </m:r>
                            <m:r>
                              <m:rPr>
                                <m:sty m:val="p"/>
                              </m:rPr>
                              <a:rPr lang="en-US" altLang="ko-KR" sz="1000" i="1">
                                <a:latin typeface="Cambria Math" panose="02040503050406030204" pitchFamily="18" charset="0"/>
                              </a:rPr>
                              <m:t>es</m:t>
                            </m:r>
                          </m:sub>
                          <m:sup/>
                          <m:e>
                            <m:f>
                              <m:fPr>
                                <m:ctrlPr>
                                  <a:rPr lang="en-US" sz="10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sSub>
                                      <m:sSubPr>
                                        <m:ctrlPr>
                                          <a:rPr lang="en-US" sz="10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m:rPr>
                                            <m:sty m:val="p"/>
                                          </m:rPr>
                                          <a:rPr lang="en-US" sz="10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v</m:t>
                                        </m:r>
                                      </m:e>
                                      <m:sub>
                                        <m:r>
                                          <m:rPr>
                                            <m:sty m:val="p"/>
                                          </m:rPr>
                                          <a:rPr lang="en-US" sz="10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r</m:t>
                                        </m:r>
                                      </m:sub>
                                    </m:sSub>
                                    <m:r>
                                      <m:rPr>
                                        <m:sty m:val="p"/>
                                      </m:rP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S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r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y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r</m:t>
                                    </m:r>
                                  </m:sub>
                                </m:sSub>
                              </m:den>
                            </m:f>
                          </m:e>
                        </m:nary>
                      </m:e>
                    </m:d>
                    <m:r>
                      <a:rPr lang="en-US" sz="1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</m:t>
                    </m:r>
                    <m:r>
                      <a:rPr lang="en-US" sz="1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𝑂𝑅</m:t>
                    </m:r>
                    <m:r>
                      <a:rPr lang="en-US" sz="1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d>
                      <m:dPr>
                        <m:ctrlPr>
                          <a:rPr lang="en-US" sz="1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sz="1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US" sz="10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f>
                              <m:fPr>
                                <m:ctrlPr>
                                  <a:rPr lang="en-US" sz="10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sSub>
                                      <m:sSubPr>
                                        <m:ctrlPr>
                                          <a:rPr lang="en-US" sz="10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0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𝑤</m:t>
                                        </m:r>
                                      </m:e>
                                      <m:sub>
                                        <m:r>
                                          <a:rPr lang="en-US" sz="10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  <m: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0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den>
                            </m:f>
                          </m:e>
                        </m:nary>
                      </m:e>
                    </m:d>
                    <m:r>
                      <a:rPr lang="en-US" sz="1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</m:t>
                    </m:r>
                  </m:oMath>
                </m:oMathPara>
              </a14:m>
              <a:endParaRPr lang="en-US" sz="10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F2BB66C-9009-4CDB-A599-B428190FF90E}"/>
                </a:ext>
              </a:extLst>
            </xdr:cNvPr>
            <xdr:cNvSpPr txBox="1"/>
          </xdr:nvSpPr>
          <xdr:spPr>
            <a:xfrm>
              <a:off x="0" y="24181593"/>
              <a:ext cx="1976437" cy="4091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(𝑡+∑_</a:t>
              </a:r>
              <a:r>
                <a:rPr lang="en-US" altLang="ko-KR" sz="1000" i="0">
                  <a:latin typeface="Cambria Math" panose="02040503050406030204" pitchFamily="18" charset="0"/>
                </a:rPr>
                <a:t>Des</a:t>
              </a:r>
              <a:r>
                <a:rPr lang="en-US" altLang="ko-KR" sz="1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▒〖</a:t>
              </a:r>
              <a:r>
                <a:rPr lang="en-US" sz="1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v_r S〗_r/y_r )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 𝑂𝑅 (𝑡−∑▒〖</a:t>
              </a:r>
              <a:r>
                <a:rPr lang="en-US" sz="1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𝑤_𝑖 𝑆〗_𝑖/𝑥_𝑖 )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 </a:t>
              </a:r>
              <a:endParaRPr lang="en-US" sz="1000"/>
            </a:p>
          </xdr:txBody>
        </xdr:sp>
      </mc:Fallback>
    </mc:AlternateContent>
    <xdr:clientData/>
  </xdr:oneCellAnchor>
  <xdr:oneCellAnchor>
    <xdr:from>
      <xdr:col>0</xdr:col>
      <xdr:colOff>536578</xdr:colOff>
      <xdr:row>108</xdr:row>
      <xdr:rowOff>187327</xdr:rowOff>
    </xdr:from>
    <xdr:ext cx="723900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 txBox="1"/>
          </xdr:nvSpPr>
          <xdr:spPr>
            <a:xfrm>
              <a:off x="536578" y="22247227"/>
              <a:ext cx="723900" cy="304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s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𝑟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</m:oMath>
              </a14:m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OR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n-US" altLang="ko-KR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s</m:t>
                      </m:r>
                    </m:e>
                    <m:sub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𝑖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 </m:t>
                  </m:r>
                </m:oMath>
              </a14:m>
              <a:endParaRPr lang="en-US" sz="110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F5708549-FF8A-4B70-9EED-E561153ECB04}"/>
                </a:ext>
              </a:extLst>
            </xdr:cNvPr>
            <xdr:cNvSpPr txBox="1"/>
          </xdr:nvSpPr>
          <xdr:spPr>
            <a:xfrm>
              <a:off x="536578" y="22247227"/>
              <a:ext cx="723900" cy="304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s_𝑟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n-US" altLang="ko-KR" sz="1100" i="1">
                  <a:latin typeface="Cambria Math" panose="02040503050406030204" pitchFamily="18" charset="0"/>
                  <a:ea typeface="Cambria Math" panose="02040503050406030204" pitchFamily="18" charset="0"/>
                </a:rPr>
                <a:t>OR  </a:t>
              </a:r>
              <a:r>
                <a:rPr lang="en-US" altLang="ko-K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s_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𝑖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endParaRPr lang="en-US" sz="110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190500</xdr:colOff>
      <xdr:row>112</xdr:row>
      <xdr:rowOff>95250</xdr:rowOff>
    </xdr:from>
    <xdr:ext cx="1533524" cy="4812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190500" y="24822150"/>
              <a:ext cx="1533524" cy="4812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𝜆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𝑖𝑗</m:t>
                            </m:r>
                          </m:sub>
                        </m:sSub>
                      </m:e>
                    </m:nary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𝑜𝑟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𝜆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𝑟𝑗</m:t>
                            </m:r>
                          </m:sub>
                        </m:sSub>
                      </m:e>
                    </m:nary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638169-DE84-490A-927B-93C908855B05}"/>
                </a:ext>
              </a:extLst>
            </xdr:cNvPr>
            <xdr:cNvSpPr txBox="1"/>
          </xdr:nvSpPr>
          <xdr:spPr>
            <a:xfrm>
              <a:off x="190500" y="24822150"/>
              <a:ext cx="1533524" cy="4812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_(𝑗=1)^𝑛▒〖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𝜆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 𝑥_𝑖𝑗 〗  𝑜𝑟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_(𝑗=1)^𝑛▒〖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𝜆_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 𝑦_𝑟𝑗 〗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29</xdr:col>
      <xdr:colOff>176213</xdr:colOff>
      <xdr:row>0</xdr:row>
      <xdr:rowOff>122237</xdr:rowOff>
    </xdr:from>
    <xdr:ext cx="272767" cy="3330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:cNvPr>
            <xdr:cNvSpPr txBox="1"/>
          </xdr:nvSpPr>
          <xdr:spPr>
            <a:xfrm>
              <a:off x="29557663" y="122237"/>
              <a:ext cx="272767" cy="3330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20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l-G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𝜆</m:t>
                        </m:r>
                      </m:e>
                      <m:sub>
                        <m:r>
                          <a:rPr lang="en-US" sz="20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US" sz="20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841F7845-8F82-44C9-BB37-9B5E50917976}"/>
                </a:ext>
              </a:extLst>
            </xdr:cNvPr>
            <xdr:cNvSpPr txBox="1"/>
          </xdr:nvSpPr>
          <xdr:spPr>
            <a:xfrm>
              <a:off x="29557663" y="122237"/>
              <a:ext cx="272767" cy="3330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l-G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</a:t>
              </a:r>
              <a:r>
                <a:rPr lang="en-US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2000" b="0" i="0">
                  <a:latin typeface="Cambria Math" panose="02040503050406030204" pitchFamily="18" charset="0"/>
                </a:rPr>
                <a:t>𝑗</a:t>
              </a:r>
              <a:endParaRPr lang="en-US" sz="2000"/>
            </a:p>
          </xdr:txBody>
        </xdr:sp>
      </mc:Fallback>
    </mc:AlternateContent>
    <xdr:clientData/>
  </xdr:oneCellAnchor>
  <xdr:oneCellAnchor>
    <xdr:from>
      <xdr:col>28</xdr:col>
      <xdr:colOff>217488</xdr:colOff>
      <xdr:row>0</xdr:row>
      <xdr:rowOff>123825</xdr:rowOff>
    </xdr:from>
    <xdr:ext cx="302840" cy="3330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400-00000C000000}"/>
                </a:ext>
              </a:extLst>
            </xdr:cNvPr>
            <xdr:cNvSpPr txBox="1"/>
          </xdr:nvSpPr>
          <xdr:spPr>
            <a:xfrm>
              <a:off x="28957588" y="123825"/>
              <a:ext cx="302840" cy="3330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20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l-G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Λ</m:t>
                        </m:r>
                      </m:e>
                      <m:sub>
                        <m:r>
                          <a:rPr lang="en-US" sz="20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US" sz="20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10340B62-6CC8-43B4-BB8A-8653A85FABC4}"/>
                </a:ext>
              </a:extLst>
            </xdr:cNvPr>
            <xdr:cNvSpPr txBox="1"/>
          </xdr:nvSpPr>
          <xdr:spPr>
            <a:xfrm>
              <a:off x="28957588" y="123825"/>
              <a:ext cx="302840" cy="3330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l-G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Λ</a:t>
              </a:r>
              <a:r>
                <a:rPr lang="en-US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2000" b="0" i="0">
                  <a:latin typeface="Cambria Math" panose="02040503050406030204" pitchFamily="18" charset="0"/>
                </a:rPr>
                <a:t>𝑗</a:t>
              </a:r>
              <a:endParaRPr lang="en-US" sz="2000"/>
            </a:p>
          </xdr:txBody>
        </xdr:sp>
      </mc:Fallback>
    </mc:AlternateContent>
    <xdr:clientData/>
  </xdr:oneCellAnchor>
  <xdr:oneCellAnchor>
    <xdr:from>
      <xdr:col>27</xdr:col>
      <xdr:colOff>200025</xdr:colOff>
      <xdr:row>104</xdr:row>
      <xdr:rowOff>85725</xdr:rowOff>
    </xdr:from>
    <xdr:ext cx="828675" cy="5250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400-00000D000000}"/>
                </a:ext>
              </a:extLst>
            </xdr:cNvPr>
            <xdr:cNvSpPr txBox="1"/>
          </xdr:nvSpPr>
          <xdr:spPr>
            <a:xfrm>
              <a:off x="27670125" y="19478625"/>
              <a:ext cx="828675" cy="5250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en-US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US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n-US" sz="12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l-GR" sz="12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Λ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</m:sub>
                        </m:sSub>
                      </m:e>
                    </m:nary>
                    <m:r>
                      <a:rPr lang="en-US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B0A0112-027E-490B-84BA-A9213840C997}"/>
                </a:ext>
              </a:extLst>
            </xdr:cNvPr>
            <xdr:cNvSpPr txBox="1"/>
          </xdr:nvSpPr>
          <xdr:spPr>
            <a:xfrm>
              <a:off x="27670125" y="19478625"/>
              <a:ext cx="828675" cy="5250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_(𝑗=1)^𝑛▒</a:t>
              </a:r>
              <a:r>
                <a:rPr lang="el-GR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Λ</a:t>
              </a: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   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27</xdr:col>
      <xdr:colOff>13757</xdr:colOff>
      <xdr:row>109</xdr:row>
      <xdr:rowOff>10584</xdr:rowOff>
    </xdr:from>
    <xdr:ext cx="1097493" cy="6349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SpPr txBox="1"/>
          </xdr:nvSpPr>
          <xdr:spPr>
            <a:xfrm>
              <a:off x="27483857" y="22737234"/>
              <a:ext cx="1097493" cy="634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14:m>
                <m:oMath xmlns:m="http://schemas.openxmlformats.org/officeDocument/2006/math">
                  <m:r>
                    <a:rPr lang="en-US" altLang="ko-KR" sz="14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𝑶𝒃𝒋</m:t>
                  </m:r>
                  <m:r>
                    <a:rPr lang="en-US" altLang="ko-KR" sz="14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(</m:t>
                  </m:r>
                  <m:r>
                    <a:rPr lang="en-US" altLang="ko-KR" sz="14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𝑴𝒊𝒏</m:t>
                  </m:r>
                  <m:r>
                    <a:rPr lang="en-US" altLang="ko-KR" sz="14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  <m:r>
                    <a:rPr lang="en-US" sz="14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𝝉</m:t>
                  </m:r>
                </m:oMath>
              </a14:m>
              <a:r>
                <a:rPr lang="en-US" altLang="ko-KR" sz="1400" b="1"/>
                <a:t>)</a:t>
              </a:r>
              <a:endParaRPr lang="en-US" sz="1400" b="1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A32D88F-611C-4B53-BA04-B9BB094C4F06}"/>
                </a:ext>
              </a:extLst>
            </xdr:cNvPr>
            <xdr:cNvSpPr txBox="1"/>
          </xdr:nvSpPr>
          <xdr:spPr>
            <a:xfrm>
              <a:off x="27483857" y="22737234"/>
              <a:ext cx="1097493" cy="634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n-US" altLang="ko-KR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𝑶𝒃𝒋 (𝑴𝒊𝒏 </a:t>
              </a:r>
              <a:r>
                <a:rPr lang="en-US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𝝉</a:t>
              </a:r>
              <a:r>
                <a:rPr lang="en-US" altLang="ko-KR" sz="1400" b="1"/>
                <a:t>)</a:t>
              </a:r>
              <a:endParaRPr lang="en-US" sz="1400" b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38100</xdr:colOff>
          <xdr:row>2</xdr:row>
          <xdr:rowOff>57150</xdr:rowOff>
        </xdr:from>
        <xdr:to>
          <xdr:col>31</xdr:col>
          <xdr:colOff>12700</xdr:colOff>
          <xdr:row>4</xdr:row>
          <xdr:rowOff>114300</xdr:rowOff>
        </xdr:to>
        <xdr:sp macro="" textlink="">
          <xdr:nvSpPr>
            <xdr:cNvPr id="113665" name="All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04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38100</xdr:colOff>
          <xdr:row>5</xdr:row>
          <xdr:rowOff>88900</xdr:rowOff>
        </xdr:from>
        <xdr:to>
          <xdr:col>31</xdr:col>
          <xdr:colOff>19050</xdr:colOff>
          <xdr:row>7</xdr:row>
          <xdr:rowOff>133350</xdr:rowOff>
        </xdr:to>
        <xdr:sp macro="" textlink="">
          <xdr:nvSpPr>
            <xdr:cNvPr id="113666" name="Individual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4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A8FE-0F6F-43C6-8AE3-2455EF3E7D3E}">
  <sheetPr codeName="Sheet9">
    <tabColor theme="3" tint="0.39997558519241921"/>
  </sheetPr>
  <dimension ref="A1:AB112"/>
  <sheetViews>
    <sheetView tabSelected="1" zoomScale="80" zoomScaleNormal="80" workbookViewId="0">
      <pane xSplit="1" ySplit="2" topLeftCell="B88" activePane="bottomRight" state="frozen"/>
      <selection activeCell="E3" sqref="E3:E54"/>
      <selection pane="topRight" activeCell="E3" sqref="E3:E54"/>
      <selection pane="bottomLeft" activeCell="E3" sqref="E3:E54"/>
      <selection pane="bottomRight" activeCell="C106" sqref="C106"/>
    </sheetView>
  </sheetViews>
  <sheetFormatPr defaultColWidth="9.1796875" defaultRowHeight="13" x14ac:dyDescent="0.35"/>
  <cols>
    <col min="1" max="1" width="9.1796875" style="1" customWidth="1"/>
    <col min="2" max="2" width="20.453125" style="56" customWidth="1"/>
    <col min="3" max="27" width="14.54296875" style="1" customWidth="1"/>
    <col min="28" max="16384" width="9.1796875" style="1"/>
  </cols>
  <sheetData>
    <row r="1" spans="1:28" s="14" customFormat="1" ht="20.149999999999999" customHeight="1" x14ac:dyDescent="0.35">
      <c r="A1" s="125" t="s">
        <v>0</v>
      </c>
      <c r="B1" s="127" t="s">
        <v>2</v>
      </c>
      <c r="C1" s="129" t="s">
        <v>59</v>
      </c>
      <c r="D1" s="129"/>
      <c r="E1" s="129"/>
      <c r="F1" s="129"/>
      <c r="G1" s="129"/>
      <c r="H1" s="130" t="s">
        <v>58</v>
      </c>
      <c r="I1" s="130"/>
      <c r="J1" s="130"/>
      <c r="K1" s="130"/>
      <c r="L1" s="130"/>
      <c r="M1" s="131" t="s">
        <v>57</v>
      </c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2"/>
    </row>
    <row r="2" spans="1:28" s="14" customFormat="1" ht="30" customHeight="1" x14ac:dyDescent="0.35">
      <c r="A2" s="126"/>
      <c r="B2" s="128"/>
      <c r="C2" s="57" t="s">
        <v>3</v>
      </c>
      <c r="D2" s="57"/>
      <c r="E2" s="57"/>
      <c r="F2" s="57"/>
      <c r="G2" s="57"/>
      <c r="H2" s="57" t="s">
        <v>73</v>
      </c>
      <c r="I2" s="57" t="s">
        <v>74</v>
      </c>
      <c r="J2" s="57"/>
      <c r="K2" s="57"/>
      <c r="L2" s="57"/>
      <c r="M2" s="57" t="s">
        <v>75</v>
      </c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8"/>
      <c r="AB2" s="17"/>
    </row>
    <row r="3" spans="1:28" x14ac:dyDescent="0.3">
      <c r="A3" s="59">
        <v>1</v>
      </c>
      <c r="B3" s="60" t="s">
        <v>4</v>
      </c>
      <c r="C3" s="18">
        <v>0.9931943920088725</v>
      </c>
      <c r="D3" s="18"/>
      <c r="E3" s="18"/>
      <c r="F3" s="18"/>
      <c r="G3" s="18"/>
      <c r="H3" s="61">
        <v>1.6342867878832157</v>
      </c>
      <c r="I3" s="18">
        <v>8.7329310892346773E-2</v>
      </c>
      <c r="J3" s="19"/>
      <c r="K3" s="19"/>
      <c r="L3" s="18"/>
      <c r="M3" s="19">
        <v>11.25399</v>
      </c>
      <c r="N3" s="16"/>
      <c r="O3" s="19"/>
      <c r="P3" s="19"/>
      <c r="Q3" s="19"/>
      <c r="R3" s="19"/>
      <c r="S3" s="16"/>
      <c r="T3" s="19"/>
      <c r="U3" s="19"/>
      <c r="V3" s="19"/>
      <c r="W3" s="16"/>
      <c r="X3" s="16"/>
      <c r="Y3" s="16"/>
      <c r="Z3" s="16"/>
      <c r="AA3" s="62"/>
    </row>
    <row r="4" spans="1:28" x14ac:dyDescent="0.3">
      <c r="A4" s="59">
        <v>2</v>
      </c>
      <c r="B4" s="60" t="s">
        <v>5</v>
      </c>
      <c r="C4" s="18">
        <v>0.94204953862487117</v>
      </c>
      <c r="D4" s="18"/>
      <c r="E4" s="18"/>
      <c r="F4" s="18"/>
      <c r="G4" s="18"/>
      <c r="H4" s="61">
        <v>87.407065961315496</v>
      </c>
      <c r="I4" s="18">
        <v>0</v>
      </c>
      <c r="J4" s="19"/>
      <c r="K4" s="19"/>
      <c r="L4" s="18"/>
      <c r="M4" s="19">
        <v>8.1925399999999993</v>
      </c>
      <c r="N4" s="16"/>
      <c r="O4" s="19"/>
      <c r="P4" s="19"/>
      <c r="Q4" s="19"/>
      <c r="R4" s="19"/>
      <c r="S4" s="16"/>
      <c r="T4" s="19"/>
      <c r="U4" s="19"/>
      <c r="V4" s="19"/>
      <c r="W4" s="16"/>
      <c r="X4" s="16"/>
      <c r="Y4" s="16"/>
      <c r="Z4" s="16"/>
      <c r="AA4" s="62"/>
    </row>
    <row r="5" spans="1:28" x14ac:dyDescent="0.3">
      <c r="A5" s="59">
        <v>3</v>
      </c>
      <c r="B5" s="60" t="s">
        <v>6</v>
      </c>
      <c r="C5" s="18">
        <v>0.98972783176683632</v>
      </c>
      <c r="D5" s="18"/>
      <c r="E5" s="18"/>
      <c r="F5" s="18"/>
      <c r="G5" s="18"/>
      <c r="H5" s="61">
        <v>2.6065340949968974</v>
      </c>
      <c r="I5" s="18">
        <v>6.8663036902601338E-2</v>
      </c>
      <c r="J5" s="19"/>
      <c r="K5" s="19"/>
      <c r="L5" s="18"/>
      <c r="M5" s="19">
        <v>25.104690000000002</v>
      </c>
      <c r="N5" s="16"/>
      <c r="O5" s="19"/>
      <c r="P5" s="19"/>
      <c r="Q5" s="19"/>
      <c r="R5" s="19"/>
      <c r="S5" s="16"/>
      <c r="T5" s="19"/>
      <c r="U5" s="19"/>
      <c r="V5" s="19"/>
      <c r="W5" s="16"/>
      <c r="X5" s="16"/>
      <c r="Y5" s="16"/>
      <c r="Z5" s="16"/>
      <c r="AA5" s="62"/>
    </row>
    <row r="6" spans="1:28" x14ac:dyDescent="0.3">
      <c r="A6" s="59">
        <v>4</v>
      </c>
      <c r="B6" s="60" t="s">
        <v>7</v>
      </c>
      <c r="C6" s="18">
        <v>0.96662610449523723</v>
      </c>
      <c r="D6" s="18"/>
      <c r="E6" s="18"/>
      <c r="F6" s="18"/>
      <c r="G6" s="18"/>
      <c r="H6" s="61">
        <v>2.509307944490875</v>
      </c>
      <c r="I6" s="18">
        <v>5.4758800521512385E-2</v>
      </c>
      <c r="J6" s="19"/>
      <c r="K6" s="19"/>
      <c r="L6" s="18"/>
      <c r="M6" s="19">
        <v>9.8777200000000001</v>
      </c>
      <c r="N6" s="16"/>
      <c r="O6" s="19"/>
      <c r="P6" s="19"/>
      <c r="Q6" s="19"/>
      <c r="R6" s="19"/>
      <c r="S6" s="16"/>
      <c r="T6" s="19"/>
      <c r="U6" s="19"/>
      <c r="V6" s="19"/>
      <c r="W6" s="16"/>
      <c r="X6" s="16"/>
      <c r="Y6" s="16"/>
      <c r="Z6" s="16"/>
      <c r="AA6" s="62"/>
    </row>
    <row r="7" spans="1:28" x14ac:dyDescent="0.3">
      <c r="A7" s="59">
        <v>5</v>
      </c>
      <c r="B7" s="60" t="s">
        <v>8</v>
      </c>
      <c r="C7" s="18">
        <v>0.95268408285123241</v>
      </c>
      <c r="D7" s="18"/>
      <c r="E7" s="18"/>
      <c r="F7" s="18"/>
      <c r="G7" s="18"/>
      <c r="H7" s="61">
        <v>1.4198688440671288</v>
      </c>
      <c r="I7" s="18">
        <v>0.1038052602126469</v>
      </c>
      <c r="J7" s="19"/>
      <c r="K7" s="19"/>
      <c r="L7" s="18"/>
      <c r="M7" s="19">
        <v>30.11403</v>
      </c>
      <c r="N7" s="16"/>
      <c r="O7" s="19"/>
      <c r="P7" s="19"/>
      <c r="Q7" s="19"/>
      <c r="R7" s="19"/>
      <c r="S7" s="16"/>
      <c r="T7" s="19"/>
      <c r="U7" s="19"/>
      <c r="V7" s="19"/>
      <c r="W7" s="16"/>
      <c r="X7" s="16"/>
      <c r="Y7" s="16"/>
      <c r="Z7" s="16"/>
      <c r="AA7" s="62"/>
    </row>
    <row r="8" spans="1:28" x14ac:dyDescent="0.3">
      <c r="A8" s="59">
        <v>6</v>
      </c>
      <c r="B8" s="60" t="s">
        <v>9</v>
      </c>
      <c r="C8" s="18">
        <v>0.9419000146597436</v>
      </c>
      <c r="D8" s="18"/>
      <c r="E8" s="18"/>
      <c r="F8" s="18"/>
      <c r="G8" s="18"/>
      <c r="H8" s="61">
        <v>2.9771020927204654</v>
      </c>
      <c r="I8" s="18">
        <v>0.10124669437098602</v>
      </c>
      <c r="J8" s="19"/>
      <c r="K8" s="19"/>
      <c r="L8" s="18"/>
      <c r="M8" s="19">
        <v>27.502369999999999</v>
      </c>
      <c r="N8" s="16"/>
      <c r="O8" s="19"/>
      <c r="P8" s="19"/>
      <c r="Q8" s="19"/>
      <c r="R8" s="19"/>
      <c r="S8" s="16"/>
      <c r="T8" s="19"/>
      <c r="U8" s="19"/>
      <c r="V8" s="19"/>
      <c r="W8" s="16"/>
      <c r="X8" s="16"/>
      <c r="Y8" s="16"/>
      <c r="Z8" s="16"/>
      <c r="AA8" s="62"/>
    </row>
    <row r="9" spans="1:28" x14ac:dyDescent="0.3">
      <c r="A9" s="59">
        <v>7</v>
      </c>
      <c r="B9" s="60" t="s">
        <v>10</v>
      </c>
      <c r="C9" s="18">
        <v>0.91830004336423088</v>
      </c>
      <c r="D9" s="18"/>
      <c r="E9" s="18"/>
      <c r="F9" s="18"/>
      <c r="G9" s="18"/>
      <c r="H9" s="61">
        <v>20.224894505753991</v>
      </c>
      <c r="I9" s="18">
        <v>2.3587493143170598E-2</v>
      </c>
      <c r="J9" s="19"/>
      <c r="K9" s="19"/>
      <c r="L9" s="18"/>
      <c r="M9" s="19">
        <v>28.232279999999999</v>
      </c>
      <c r="N9" s="16"/>
      <c r="O9" s="19"/>
      <c r="P9" s="19"/>
      <c r="Q9" s="19"/>
      <c r="R9" s="19"/>
      <c r="S9" s="16"/>
      <c r="T9" s="19"/>
      <c r="U9" s="19"/>
      <c r="V9" s="19"/>
      <c r="W9" s="16"/>
      <c r="X9" s="16"/>
      <c r="Y9" s="16"/>
      <c r="Z9" s="16"/>
      <c r="AA9" s="62"/>
    </row>
    <row r="10" spans="1:28" x14ac:dyDescent="0.3">
      <c r="A10" s="59">
        <v>8</v>
      </c>
      <c r="B10" s="60" t="s">
        <v>11</v>
      </c>
      <c r="C10" s="18">
        <v>0.95705433473545809</v>
      </c>
      <c r="D10" s="18"/>
      <c r="E10" s="18"/>
      <c r="F10" s="18"/>
      <c r="G10" s="18"/>
      <c r="H10" s="61">
        <v>50.693153141784634</v>
      </c>
      <c r="I10" s="18">
        <v>4.0000000000000001E-3</v>
      </c>
      <c r="J10" s="19"/>
      <c r="K10" s="19"/>
      <c r="L10" s="18"/>
      <c r="M10" s="19">
        <v>16.543579999999999</v>
      </c>
      <c r="N10" s="16"/>
      <c r="O10" s="19"/>
      <c r="P10" s="19"/>
      <c r="Q10" s="19"/>
      <c r="R10" s="19"/>
      <c r="S10" s="16"/>
      <c r="T10" s="19"/>
      <c r="U10" s="19"/>
      <c r="V10" s="19"/>
      <c r="W10" s="16"/>
      <c r="X10" s="16"/>
      <c r="Y10" s="16"/>
      <c r="Z10" s="16"/>
      <c r="AA10" s="62"/>
    </row>
    <row r="11" spans="1:28" x14ac:dyDescent="0.3">
      <c r="A11" s="59">
        <v>9</v>
      </c>
      <c r="B11" s="60" t="s">
        <v>12</v>
      </c>
      <c r="C11" s="18">
        <v>0.9236502269511504</v>
      </c>
      <c r="D11" s="18"/>
      <c r="E11" s="18"/>
      <c r="F11" s="18"/>
      <c r="G11" s="18"/>
      <c r="H11" s="61">
        <v>18.578411557148275</v>
      </c>
      <c r="I11" s="18">
        <v>7.586206896551724E-2</v>
      </c>
      <c r="J11" s="19"/>
      <c r="K11" s="19"/>
      <c r="L11" s="18"/>
      <c r="M11" s="19">
        <v>14.248559999999999</v>
      </c>
      <c r="N11" s="16"/>
      <c r="O11" s="19"/>
      <c r="P11" s="19"/>
      <c r="Q11" s="19"/>
      <c r="R11" s="19"/>
      <c r="S11" s="16"/>
      <c r="T11" s="19"/>
      <c r="U11" s="19"/>
      <c r="V11" s="19"/>
      <c r="W11" s="16"/>
      <c r="X11" s="16"/>
      <c r="Y11" s="16"/>
      <c r="Z11" s="16"/>
      <c r="AA11" s="62"/>
    </row>
    <row r="12" spans="1:28" x14ac:dyDescent="0.3">
      <c r="A12" s="59">
        <v>10</v>
      </c>
      <c r="B12" s="60" t="s">
        <v>13</v>
      </c>
      <c r="C12" s="18">
        <v>0.98232234118132356</v>
      </c>
      <c r="D12" s="18"/>
      <c r="E12" s="18"/>
      <c r="F12" s="18"/>
      <c r="G12" s="18"/>
      <c r="H12" s="61">
        <v>0.88229283644144718</v>
      </c>
      <c r="I12" s="18">
        <v>5.8385671086299142E-2</v>
      </c>
      <c r="J12" s="19"/>
      <c r="K12" s="19"/>
      <c r="L12" s="18"/>
      <c r="M12" s="19">
        <v>15.3131</v>
      </c>
      <c r="N12" s="16"/>
      <c r="O12" s="19"/>
      <c r="P12" s="19"/>
      <c r="Q12" s="19"/>
      <c r="R12" s="19"/>
      <c r="S12" s="16"/>
      <c r="T12" s="19"/>
      <c r="U12" s="19"/>
      <c r="V12" s="19"/>
      <c r="W12" s="16"/>
      <c r="X12" s="16"/>
      <c r="Y12" s="16"/>
      <c r="Z12" s="16"/>
      <c r="AA12" s="62"/>
    </row>
    <row r="13" spans="1:28" x14ac:dyDescent="0.3">
      <c r="A13" s="59">
        <v>11</v>
      </c>
      <c r="B13" s="60" t="s">
        <v>14</v>
      </c>
      <c r="C13" s="18">
        <v>0.99418629513662549</v>
      </c>
      <c r="D13" s="18"/>
      <c r="E13" s="18"/>
      <c r="F13" s="18"/>
      <c r="G13" s="18"/>
      <c r="H13" s="61">
        <v>1.3829925335126623</v>
      </c>
      <c r="I13" s="18">
        <v>4.8359240069084632E-2</v>
      </c>
      <c r="J13" s="19"/>
      <c r="K13" s="19"/>
      <c r="L13" s="18"/>
      <c r="M13" s="19">
        <v>17.817409999999999</v>
      </c>
      <c r="N13" s="16"/>
      <c r="O13" s="19"/>
      <c r="P13" s="19"/>
      <c r="Q13" s="19"/>
      <c r="R13" s="19"/>
      <c r="S13" s="16"/>
      <c r="T13" s="19"/>
      <c r="U13" s="19"/>
      <c r="V13" s="19"/>
      <c r="W13" s="16"/>
      <c r="X13" s="16"/>
      <c r="Y13" s="16"/>
      <c r="Z13" s="16"/>
      <c r="AA13" s="62"/>
    </row>
    <row r="14" spans="1:28" x14ac:dyDescent="0.3">
      <c r="A14" s="59">
        <v>12</v>
      </c>
      <c r="B14" s="60" t="s">
        <v>15</v>
      </c>
      <c r="C14" s="18">
        <v>0.97729309223402905</v>
      </c>
      <c r="D14" s="18"/>
      <c r="E14" s="18"/>
      <c r="F14" s="18"/>
      <c r="G14" s="18"/>
      <c r="H14" s="61">
        <v>7.5716526981296433</v>
      </c>
      <c r="I14" s="18">
        <v>7.0588235294117646E-2</v>
      </c>
      <c r="J14" s="19"/>
      <c r="K14" s="19"/>
      <c r="L14" s="18"/>
      <c r="M14" s="19">
        <v>20.612490000000001</v>
      </c>
      <c r="N14" s="16"/>
      <c r="O14" s="19"/>
      <c r="P14" s="19"/>
      <c r="Q14" s="19"/>
      <c r="R14" s="19"/>
      <c r="S14" s="16"/>
      <c r="T14" s="19"/>
      <c r="U14" s="19"/>
      <c r="V14" s="19"/>
      <c r="W14" s="16"/>
      <c r="X14" s="16"/>
      <c r="Y14" s="16"/>
      <c r="Z14" s="16"/>
      <c r="AA14" s="62"/>
    </row>
    <row r="15" spans="1:28" x14ac:dyDescent="0.3">
      <c r="A15" s="59">
        <v>13</v>
      </c>
      <c r="B15" s="60" t="s">
        <v>16</v>
      </c>
      <c r="C15" s="18">
        <v>0.97567300446100802</v>
      </c>
      <c r="D15" s="18"/>
      <c r="E15" s="18"/>
      <c r="F15" s="18"/>
      <c r="G15" s="18"/>
      <c r="H15" s="61">
        <v>10.921400840577832</v>
      </c>
      <c r="I15" s="18">
        <v>4.3478260869565216E-2</v>
      </c>
      <c r="J15" s="19"/>
      <c r="K15" s="19"/>
      <c r="L15" s="18"/>
      <c r="M15" s="19">
        <v>11.35554</v>
      </c>
      <c r="N15" s="16"/>
      <c r="O15" s="19"/>
      <c r="P15" s="19"/>
      <c r="Q15" s="19"/>
      <c r="R15" s="19"/>
      <c r="S15" s="16"/>
      <c r="T15" s="19"/>
      <c r="U15" s="19"/>
      <c r="V15" s="19"/>
      <c r="W15" s="16"/>
      <c r="X15" s="16"/>
      <c r="Y15" s="16"/>
      <c r="Z15" s="16"/>
      <c r="AA15" s="62"/>
    </row>
    <row r="16" spans="1:28" x14ac:dyDescent="0.3">
      <c r="A16" s="59">
        <v>14</v>
      </c>
      <c r="B16" s="60" t="s">
        <v>17</v>
      </c>
      <c r="C16" s="18">
        <v>0.8510640052309969</v>
      </c>
      <c r="D16" s="18"/>
      <c r="E16" s="18"/>
      <c r="F16" s="18"/>
      <c r="G16" s="18"/>
      <c r="H16" s="61">
        <v>7.7187383822198461</v>
      </c>
      <c r="I16" s="18">
        <v>7.0853462157809979E-2</v>
      </c>
      <c r="J16" s="19"/>
      <c r="K16" s="19"/>
      <c r="L16" s="18"/>
      <c r="M16" s="19">
        <v>13.126950000000001</v>
      </c>
      <c r="N16" s="16"/>
      <c r="O16" s="19"/>
      <c r="P16" s="19"/>
      <c r="Q16" s="19"/>
      <c r="R16" s="19"/>
      <c r="S16" s="16"/>
      <c r="T16" s="19"/>
      <c r="U16" s="19"/>
      <c r="V16" s="19"/>
      <c r="W16" s="16"/>
      <c r="X16" s="16"/>
      <c r="Y16" s="16"/>
      <c r="Z16" s="16"/>
      <c r="AA16" s="62"/>
    </row>
    <row r="17" spans="1:27" x14ac:dyDescent="0.3">
      <c r="A17" s="59">
        <v>15</v>
      </c>
      <c r="B17" s="60" t="s">
        <v>18</v>
      </c>
      <c r="C17" s="18">
        <v>0.97987067107877546</v>
      </c>
      <c r="D17" s="18"/>
      <c r="E17" s="18"/>
      <c r="F17" s="18"/>
      <c r="G17" s="18"/>
      <c r="H17" s="61">
        <v>2.8156558390382882</v>
      </c>
      <c r="I17" s="18">
        <v>6.1347517730496452E-2</v>
      </c>
      <c r="J17" s="19"/>
      <c r="K17" s="19"/>
      <c r="L17" s="18"/>
      <c r="M17" s="19">
        <v>19.8704</v>
      </c>
      <c r="N17" s="16"/>
      <c r="O17" s="19"/>
      <c r="P17" s="19"/>
      <c r="Q17" s="19"/>
      <c r="R17" s="19"/>
      <c r="S17" s="16"/>
      <c r="T17" s="19"/>
      <c r="U17" s="19"/>
      <c r="V17" s="19"/>
      <c r="W17" s="16"/>
      <c r="X17" s="16"/>
      <c r="Y17" s="16"/>
      <c r="Z17" s="16"/>
      <c r="AA17" s="62"/>
    </row>
    <row r="18" spans="1:27" x14ac:dyDescent="0.3">
      <c r="A18" s="59">
        <v>16</v>
      </c>
      <c r="B18" s="60" t="s">
        <v>19</v>
      </c>
      <c r="C18" s="18">
        <v>0.97566035183856348</v>
      </c>
      <c r="D18" s="18"/>
      <c r="E18" s="18"/>
      <c r="F18" s="18"/>
      <c r="G18" s="18"/>
      <c r="H18" s="61">
        <v>13.331136380632666</v>
      </c>
      <c r="I18" s="18">
        <v>7.9286798179059176E-2</v>
      </c>
      <c r="J18" s="19"/>
      <c r="K18" s="19"/>
      <c r="L18" s="18"/>
      <c r="M18" s="19">
        <v>7.6028099999999998</v>
      </c>
      <c r="N18" s="16"/>
      <c r="O18" s="19"/>
      <c r="P18" s="19"/>
      <c r="Q18" s="19"/>
      <c r="R18" s="19"/>
      <c r="S18" s="16"/>
      <c r="T18" s="19"/>
      <c r="U18" s="19"/>
      <c r="V18" s="19"/>
      <c r="W18" s="16"/>
      <c r="X18" s="16"/>
      <c r="Y18" s="16"/>
      <c r="Z18" s="16"/>
      <c r="AA18" s="62"/>
    </row>
    <row r="19" spans="1:27" x14ac:dyDescent="0.3">
      <c r="A19" s="59">
        <v>17</v>
      </c>
      <c r="B19" s="60" t="s">
        <v>20</v>
      </c>
      <c r="C19" s="18">
        <v>0.97716813059570484</v>
      </c>
      <c r="D19" s="18"/>
      <c r="E19" s="18"/>
      <c r="F19" s="18"/>
      <c r="G19" s="18"/>
      <c r="H19" s="61">
        <v>2.8564242390755488</v>
      </c>
      <c r="I19" s="18">
        <v>1.1393847322445879E-3</v>
      </c>
      <c r="J19" s="19"/>
      <c r="K19" s="19"/>
      <c r="L19" s="18"/>
      <c r="M19" s="19">
        <v>7.4856999999999996</v>
      </c>
      <c r="N19" s="16"/>
      <c r="O19" s="19"/>
      <c r="P19" s="19"/>
      <c r="Q19" s="19"/>
      <c r="R19" s="19"/>
      <c r="S19" s="16"/>
      <c r="T19" s="19"/>
      <c r="U19" s="19"/>
      <c r="V19" s="19"/>
      <c r="W19" s="16"/>
      <c r="X19" s="16"/>
      <c r="Y19" s="16"/>
      <c r="Z19" s="16"/>
      <c r="AA19" s="62"/>
    </row>
    <row r="20" spans="1:27" x14ac:dyDescent="0.3">
      <c r="A20" s="59">
        <v>18</v>
      </c>
      <c r="B20" s="60" t="s">
        <v>21</v>
      </c>
      <c r="C20" s="18">
        <v>0.96157235948928099</v>
      </c>
      <c r="D20" s="18"/>
      <c r="E20" s="18"/>
      <c r="F20" s="18"/>
      <c r="G20" s="18"/>
      <c r="H20" s="61">
        <v>2.7928847096058331</v>
      </c>
      <c r="I20" s="18">
        <v>0</v>
      </c>
      <c r="J20" s="19"/>
      <c r="K20" s="19"/>
      <c r="L20" s="18"/>
      <c r="M20" s="19">
        <v>16.447590000000002</v>
      </c>
      <c r="N20" s="16"/>
      <c r="O20" s="19"/>
      <c r="P20" s="19"/>
      <c r="Q20" s="19"/>
      <c r="R20" s="19"/>
      <c r="S20" s="16"/>
      <c r="T20" s="19"/>
      <c r="U20" s="19"/>
      <c r="V20" s="19"/>
      <c r="W20" s="16"/>
      <c r="X20" s="16"/>
      <c r="Y20" s="16"/>
      <c r="Z20" s="16"/>
      <c r="AA20" s="62"/>
    </row>
    <row r="21" spans="1:27" x14ac:dyDescent="0.3">
      <c r="A21" s="59">
        <v>19</v>
      </c>
      <c r="B21" s="60" t="s">
        <v>22</v>
      </c>
      <c r="C21" s="18">
        <v>0.92759225932139378</v>
      </c>
      <c r="D21" s="18"/>
      <c r="E21" s="18"/>
      <c r="F21" s="18"/>
      <c r="G21" s="18"/>
      <c r="H21" s="61">
        <v>3.1366219240033506</v>
      </c>
      <c r="I21" s="18">
        <v>4.8466864490603362E-2</v>
      </c>
      <c r="J21" s="19"/>
      <c r="K21" s="19"/>
      <c r="L21" s="18"/>
      <c r="M21" s="19">
        <v>4.8613400000000002</v>
      </c>
      <c r="N21" s="16"/>
      <c r="O21" s="19"/>
      <c r="P21" s="19"/>
      <c r="Q21" s="19"/>
      <c r="R21" s="19"/>
      <c r="S21" s="16"/>
      <c r="T21" s="19"/>
      <c r="U21" s="19"/>
      <c r="V21" s="19"/>
      <c r="W21" s="16"/>
      <c r="X21" s="16"/>
      <c r="Y21" s="16"/>
      <c r="Z21" s="16"/>
      <c r="AA21" s="62"/>
    </row>
    <row r="22" spans="1:27" x14ac:dyDescent="0.3">
      <c r="A22" s="59">
        <v>20</v>
      </c>
      <c r="B22" s="60" t="s">
        <v>23</v>
      </c>
      <c r="C22" s="18">
        <v>0.92399846224211168</v>
      </c>
      <c r="D22" s="18"/>
      <c r="E22" s="18"/>
      <c r="F22" s="18"/>
      <c r="G22" s="18"/>
      <c r="H22" s="61">
        <v>72.567687054182187</v>
      </c>
      <c r="I22" s="18">
        <v>1.1389521640091117E-2</v>
      </c>
      <c r="J22" s="19"/>
      <c r="K22" s="19"/>
      <c r="L22" s="18"/>
      <c r="M22" s="19">
        <v>9.9513800000000003</v>
      </c>
      <c r="N22" s="16"/>
      <c r="O22" s="19"/>
      <c r="P22" s="19"/>
      <c r="Q22" s="19"/>
      <c r="R22" s="19"/>
      <c r="S22" s="16"/>
      <c r="T22" s="19"/>
      <c r="U22" s="19"/>
      <c r="V22" s="19"/>
      <c r="W22" s="16"/>
      <c r="X22" s="16"/>
      <c r="Y22" s="16"/>
      <c r="Z22" s="16"/>
      <c r="AA22" s="62"/>
    </row>
    <row r="23" spans="1:27" x14ac:dyDescent="0.3">
      <c r="A23" s="59">
        <v>21</v>
      </c>
      <c r="B23" s="60" t="s">
        <v>24</v>
      </c>
      <c r="C23" s="18">
        <v>0.97671158640955424</v>
      </c>
      <c r="D23" s="18"/>
      <c r="E23" s="18"/>
      <c r="F23" s="18"/>
      <c r="G23" s="18"/>
      <c r="H23" s="61">
        <v>2.6244846484326856</v>
      </c>
      <c r="I23" s="18">
        <v>2.7288231949971573E-2</v>
      </c>
      <c r="J23" s="19"/>
      <c r="K23" s="19"/>
      <c r="L23" s="18"/>
      <c r="M23" s="19">
        <v>28.416699999999999</v>
      </c>
      <c r="N23" s="16"/>
      <c r="O23" s="19"/>
      <c r="P23" s="19"/>
      <c r="Q23" s="19"/>
      <c r="R23" s="19"/>
      <c r="S23" s="16"/>
      <c r="T23" s="19"/>
      <c r="U23" s="19"/>
      <c r="V23" s="19"/>
      <c r="W23" s="16"/>
      <c r="X23" s="16"/>
      <c r="Y23" s="16"/>
      <c r="Z23" s="16"/>
      <c r="AA23" s="62"/>
    </row>
    <row r="24" spans="1:27" x14ac:dyDescent="0.3">
      <c r="A24" s="59">
        <v>22</v>
      </c>
      <c r="B24" s="60" t="s">
        <v>25</v>
      </c>
      <c r="C24" s="18">
        <v>0.88436296971482597</v>
      </c>
      <c r="D24" s="18"/>
      <c r="E24" s="18"/>
      <c r="F24" s="18"/>
      <c r="G24" s="18"/>
      <c r="H24" s="61">
        <v>20.385337190848112</v>
      </c>
      <c r="I24" s="18">
        <v>9.5472440944881887E-2</v>
      </c>
      <c r="J24" s="19"/>
      <c r="K24" s="19"/>
      <c r="L24" s="18"/>
      <c r="M24" s="19">
        <v>34.007420000000003</v>
      </c>
      <c r="N24" s="16"/>
      <c r="O24" s="19"/>
      <c r="P24" s="19"/>
      <c r="Q24" s="19"/>
      <c r="R24" s="19"/>
      <c r="S24" s="16"/>
      <c r="T24" s="19"/>
      <c r="U24" s="19"/>
      <c r="V24" s="19"/>
      <c r="W24" s="16"/>
      <c r="X24" s="16"/>
      <c r="Y24" s="16"/>
      <c r="Z24" s="16"/>
      <c r="AA24" s="62"/>
    </row>
    <row r="25" spans="1:27" x14ac:dyDescent="0.3">
      <c r="A25" s="59">
        <v>23</v>
      </c>
      <c r="B25" s="60" t="s">
        <v>26</v>
      </c>
      <c r="C25" s="18">
        <v>0.92880821920596024</v>
      </c>
      <c r="D25" s="18"/>
      <c r="E25" s="18"/>
      <c r="F25" s="18"/>
      <c r="G25" s="18"/>
      <c r="H25" s="61">
        <v>11.91791094931485</v>
      </c>
      <c r="I25" s="18">
        <v>1.0451786918408631E-2</v>
      </c>
      <c r="J25" s="19"/>
      <c r="K25" s="19"/>
      <c r="L25" s="18"/>
      <c r="M25" s="19">
        <v>21.011430000000001</v>
      </c>
      <c r="N25" s="16"/>
      <c r="O25" s="19"/>
      <c r="P25" s="19"/>
      <c r="Q25" s="19"/>
      <c r="R25" s="19"/>
      <c r="S25" s="16"/>
      <c r="T25" s="19"/>
      <c r="U25" s="19"/>
      <c r="V25" s="19"/>
      <c r="W25" s="16"/>
      <c r="X25" s="16"/>
      <c r="Y25" s="16"/>
      <c r="Z25" s="16"/>
      <c r="AA25" s="62"/>
    </row>
    <row r="26" spans="1:27" x14ac:dyDescent="0.3">
      <c r="A26" s="59">
        <v>24</v>
      </c>
      <c r="B26" s="60" t="s">
        <v>27</v>
      </c>
      <c r="C26" s="18">
        <v>0.97026139629570129</v>
      </c>
      <c r="D26" s="18"/>
      <c r="E26" s="18"/>
      <c r="F26" s="18"/>
      <c r="G26" s="18"/>
      <c r="H26" s="61">
        <v>3.2181796454776621</v>
      </c>
      <c r="I26" s="18">
        <v>1.7191977077363897E-3</v>
      </c>
      <c r="J26" s="19"/>
      <c r="K26" s="19"/>
      <c r="L26" s="18"/>
      <c r="M26" s="19">
        <v>14.3345</v>
      </c>
      <c r="N26" s="16"/>
      <c r="O26" s="19"/>
      <c r="P26" s="19"/>
      <c r="Q26" s="19"/>
      <c r="R26" s="19"/>
      <c r="S26" s="16"/>
      <c r="T26" s="19"/>
      <c r="U26" s="19"/>
      <c r="V26" s="19"/>
      <c r="W26" s="16"/>
      <c r="X26" s="16"/>
      <c r="Y26" s="16"/>
      <c r="Z26" s="16"/>
      <c r="AA26" s="62"/>
    </row>
    <row r="27" spans="1:27" x14ac:dyDescent="0.3">
      <c r="A27" s="59">
        <v>25</v>
      </c>
      <c r="B27" s="60" t="s">
        <v>28</v>
      </c>
      <c r="C27" s="18">
        <v>0.97692501732505765</v>
      </c>
      <c r="D27" s="18"/>
      <c r="E27" s="18"/>
      <c r="F27" s="18"/>
      <c r="G27" s="18"/>
      <c r="H27" s="61">
        <v>1.8926462285787438</v>
      </c>
      <c r="I27" s="18">
        <v>5.4324517512508934E-2</v>
      </c>
      <c r="J27" s="19"/>
      <c r="K27" s="19"/>
      <c r="L27" s="18"/>
      <c r="M27" s="19">
        <v>7.3569000000000004</v>
      </c>
      <c r="N27" s="16"/>
      <c r="O27" s="19"/>
      <c r="P27" s="19"/>
      <c r="Q27" s="19"/>
      <c r="R27" s="19"/>
      <c r="S27" s="16"/>
      <c r="T27" s="19"/>
      <c r="U27" s="19"/>
      <c r="V27" s="19"/>
      <c r="W27" s="16"/>
      <c r="X27" s="16"/>
      <c r="Y27" s="16"/>
      <c r="Z27" s="16"/>
      <c r="AA27" s="62"/>
    </row>
    <row r="28" spans="1:27" x14ac:dyDescent="0.3">
      <c r="A28" s="59">
        <v>26</v>
      </c>
      <c r="B28" s="60" t="s">
        <v>29</v>
      </c>
      <c r="C28" s="18">
        <v>0.92680135234128458</v>
      </c>
      <c r="D28" s="18"/>
      <c r="E28" s="18"/>
      <c r="F28" s="18"/>
      <c r="G28" s="18"/>
      <c r="H28" s="61">
        <v>6.941544805374809</v>
      </c>
      <c r="I28" s="18">
        <v>5.4600054600054598E-2</v>
      </c>
      <c r="J28" s="19"/>
      <c r="K28" s="19"/>
      <c r="L28" s="18"/>
      <c r="M28" s="19">
        <v>13.73047</v>
      </c>
      <c r="N28" s="16"/>
      <c r="O28" s="19"/>
      <c r="P28" s="19"/>
      <c r="Q28" s="19"/>
      <c r="R28" s="19"/>
      <c r="S28" s="16"/>
      <c r="T28" s="19"/>
      <c r="U28" s="19"/>
      <c r="V28" s="19"/>
      <c r="W28" s="16"/>
      <c r="X28" s="16"/>
      <c r="Y28" s="16"/>
      <c r="Z28" s="16"/>
      <c r="AA28" s="62"/>
    </row>
    <row r="29" spans="1:27" x14ac:dyDescent="0.3">
      <c r="A29" s="59">
        <v>27</v>
      </c>
      <c r="B29" s="60" t="s">
        <v>30</v>
      </c>
      <c r="C29" s="18">
        <v>0.94230935661215975</v>
      </c>
      <c r="D29" s="18"/>
      <c r="E29" s="18"/>
      <c r="F29" s="18"/>
      <c r="G29" s="18"/>
      <c r="H29" s="61">
        <v>30.499752453806565</v>
      </c>
      <c r="I29" s="18">
        <v>8.6410635155096005E-2</v>
      </c>
      <c r="J29" s="19"/>
      <c r="K29" s="19"/>
      <c r="L29" s="18"/>
      <c r="M29" s="19">
        <v>5.8886500000000002</v>
      </c>
      <c r="N29" s="16"/>
      <c r="O29" s="19"/>
      <c r="P29" s="19"/>
      <c r="Q29" s="19"/>
      <c r="R29" s="19"/>
      <c r="S29" s="16"/>
      <c r="T29" s="19"/>
      <c r="U29" s="19"/>
      <c r="V29" s="19"/>
      <c r="W29" s="16"/>
      <c r="X29" s="16"/>
      <c r="Y29" s="16"/>
      <c r="Z29" s="16"/>
      <c r="AA29" s="62"/>
    </row>
    <row r="30" spans="1:27" x14ac:dyDescent="0.3">
      <c r="A30" s="59">
        <v>28</v>
      </c>
      <c r="B30" s="60" t="s">
        <v>31</v>
      </c>
      <c r="C30" s="18">
        <v>0.9813846969107225</v>
      </c>
      <c r="D30" s="18"/>
      <c r="E30" s="18"/>
      <c r="F30" s="18"/>
      <c r="G30" s="18"/>
      <c r="H30" s="61">
        <v>14.399337031710576</v>
      </c>
      <c r="I30" s="18">
        <v>0.12365591397849462</v>
      </c>
      <c r="J30" s="19"/>
      <c r="K30" s="19"/>
      <c r="L30" s="18"/>
      <c r="M30" s="19">
        <v>17.485669999999999</v>
      </c>
      <c r="N30" s="16"/>
      <c r="O30" s="19"/>
      <c r="P30" s="19"/>
      <c r="Q30" s="19"/>
      <c r="R30" s="19"/>
      <c r="S30" s="16"/>
      <c r="T30" s="19"/>
      <c r="U30" s="19"/>
      <c r="V30" s="19"/>
      <c r="W30" s="16"/>
      <c r="X30" s="16"/>
      <c r="Y30" s="16"/>
      <c r="Z30" s="16"/>
      <c r="AA30" s="62"/>
    </row>
    <row r="31" spans="1:27" x14ac:dyDescent="0.3">
      <c r="A31" s="59">
        <v>29</v>
      </c>
      <c r="B31" s="60" t="s">
        <v>32</v>
      </c>
      <c r="C31" s="18">
        <v>0.99134198676277885</v>
      </c>
      <c r="D31" s="18"/>
      <c r="E31" s="18"/>
      <c r="F31" s="18"/>
      <c r="G31" s="18"/>
      <c r="H31" s="61">
        <v>7.4032612885176103</v>
      </c>
      <c r="I31" s="18">
        <v>2.0618556701030928E-3</v>
      </c>
      <c r="J31" s="19"/>
      <c r="K31" s="19"/>
      <c r="L31" s="18"/>
      <c r="M31" s="19">
        <v>26.25676</v>
      </c>
      <c r="N31" s="16"/>
      <c r="O31" s="19"/>
      <c r="P31" s="19"/>
      <c r="Q31" s="19"/>
      <c r="R31" s="19"/>
      <c r="S31" s="16"/>
      <c r="T31" s="19"/>
      <c r="U31" s="19"/>
      <c r="V31" s="19"/>
      <c r="W31" s="16"/>
      <c r="X31" s="16"/>
      <c r="Y31" s="16"/>
      <c r="Z31" s="16"/>
      <c r="AA31" s="62"/>
    </row>
    <row r="32" spans="1:27" x14ac:dyDescent="0.3">
      <c r="A32" s="59">
        <v>30</v>
      </c>
      <c r="B32" s="60" t="s">
        <v>33</v>
      </c>
      <c r="C32" s="18">
        <v>0.95460716695886605</v>
      </c>
      <c r="D32" s="18"/>
      <c r="E32" s="18"/>
      <c r="F32" s="18"/>
      <c r="G32" s="18"/>
      <c r="H32" s="61">
        <v>54.552691218338133</v>
      </c>
      <c r="I32" s="18">
        <v>0</v>
      </c>
      <c r="J32" s="19"/>
      <c r="K32" s="19"/>
      <c r="L32" s="18"/>
      <c r="M32" s="19">
        <v>18.226420000000001</v>
      </c>
      <c r="N32" s="16"/>
      <c r="O32" s="19"/>
      <c r="P32" s="19"/>
      <c r="Q32" s="19"/>
      <c r="R32" s="19"/>
      <c r="S32" s="16"/>
      <c r="T32" s="19"/>
      <c r="U32" s="19"/>
      <c r="V32" s="19"/>
      <c r="W32" s="16"/>
      <c r="X32" s="16"/>
      <c r="Y32" s="16"/>
      <c r="Z32" s="16"/>
      <c r="AA32" s="62"/>
    </row>
    <row r="33" spans="1:28" x14ac:dyDescent="0.3">
      <c r="A33" s="59">
        <v>31</v>
      </c>
      <c r="B33" s="60" t="s">
        <v>34</v>
      </c>
      <c r="C33" s="18">
        <v>0.90513461625988778</v>
      </c>
      <c r="D33" s="18"/>
      <c r="E33" s="18"/>
      <c r="F33" s="18"/>
      <c r="G33" s="18"/>
      <c r="H33" s="61">
        <v>9.7202196822616678</v>
      </c>
      <c r="I33" s="18">
        <v>0</v>
      </c>
      <c r="J33" s="19"/>
      <c r="K33" s="19"/>
      <c r="L33" s="18"/>
      <c r="M33" s="19">
        <v>28.255569999999999</v>
      </c>
      <c r="N33" s="16"/>
      <c r="O33" s="19"/>
      <c r="P33" s="19"/>
      <c r="Q33" s="19"/>
      <c r="R33" s="19"/>
      <c r="S33" s="16"/>
      <c r="T33" s="19"/>
      <c r="U33" s="19"/>
      <c r="V33" s="19"/>
      <c r="W33" s="16"/>
      <c r="X33" s="16"/>
      <c r="Y33" s="16"/>
      <c r="Z33" s="16"/>
      <c r="AA33" s="62"/>
    </row>
    <row r="34" spans="1:28" x14ac:dyDescent="0.3">
      <c r="A34" s="59">
        <v>32</v>
      </c>
      <c r="B34" s="60" t="s">
        <v>35</v>
      </c>
      <c r="C34" s="18">
        <v>0.971151546982435</v>
      </c>
      <c r="D34" s="18"/>
      <c r="E34" s="18"/>
      <c r="F34" s="18"/>
      <c r="G34" s="18"/>
      <c r="H34" s="61">
        <v>7.7409520868994504</v>
      </c>
      <c r="I34" s="18">
        <v>0.17563388991960421</v>
      </c>
      <c r="J34" s="19"/>
      <c r="K34" s="19"/>
      <c r="L34" s="18"/>
      <c r="M34" s="19">
        <v>30.873909999999999</v>
      </c>
      <c r="N34" s="16"/>
      <c r="O34" s="19"/>
      <c r="P34" s="19"/>
      <c r="Q34" s="19"/>
      <c r="R34" s="19"/>
      <c r="S34" s="16"/>
      <c r="T34" s="19"/>
      <c r="U34" s="19"/>
      <c r="V34" s="19"/>
      <c r="W34" s="16"/>
      <c r="X34" s="16"/>
      <c r="Y34" s="16"/>
      <c r="Z34" s="16"/>
      <c r="AA34" s="62"/>
    </row>
    <row r="35" spans="1:28" x14ac:dyDescent="0.3">
      <c r="A35" s="59">
        <v>33</v>
      </c>
      <c r="B35" s="60" t="s">
        <v>36</v>
      </c>
      <c r="C35" s="18">
        <v>0.88425989154515994</v>
      </c>
      <c r="D35" s="18"/>
      <c r="E35" s="18"/>
      <c r="F35" s="18"/>
      <c r="G35" s="18"/>
      <c r="H35" s="61">
        <v>6.151578194248235</v>
      </c>
      <c r="I35" s="18">
        <v>9.94431185361973E-4</v>
      </c>
      <c r="J35" s="19"/>
      <c r="K35" s="19"/>
      <c r="L35" s="18"/>
      <c r="M35" s="19">
        <v>17.896619999999999</v>
      </c>
      <c r="N35" s="16"/>
      <c r="O35" s="19"/>
      <c r="P35" s="19"/>
      <c r="Q35" s="19"/>
      <c r="R35" s="19"/>
      <c r="S35" s="16"/>
      <c r="T35" s="19"/>
      <c r="U35" s="19"/>
      <c r="V35" s="19"/>
      <c r="W35" s="16"/>
      <c r="X35" s="16"/>
      <c r="Y35" s="16"/>
      <c r="Z35" s="16"/>
      <c r="AA35" s="62"/>
    </row>
    <row r="36" spans="1:28" x14ac:dyDescent="0.3">
      <c r="A36" s="59">
        <v>34</v>
      </c>
      <c r="B36" s="60" t="s">
        <v>37</v>
      </c>
      <c r="C36" s="18">
        <v>0.97070787936577552</v>
      </c>
      <c r="D36" s="18"/>
      <c r="E36" s="18"/>
      <c r="F36" s="18"/>
      <c r="G36" s="18"/>
      <c r="H36" s="61">
        <v>7.8044694760585216</v>
      </c>
      <c r="I36" s="18">
        <v>9.0253671562082777E-2</v>
      </c>
      <c r="J36" s="19"/>
      <c r="K36" s="19"/>
      <c r="L36" s="18"/>
      <c r="M36" s="19">
        <v>16.540189999999999</v>
      </c>
      <c r="N36" s="16"/>
      <c r="O36" s="19"/>
      <c r="P36" s="19"/>
      <c r="Q36" s="19"/>
      <c r="R36" s="19"/>
      <c r="S36" s="16"/>
      <c r="T36" s="19"/>
      <c r="U36" s="19"/>
      <c r="V36" s="19"/>
      <c r="W36" s="16"/>
      <c r="X36" s="16"/>
      <c r="Y36" s="16"/>
      <c r="Z36" s="16"/>
      <c r="AA36" s="62"/>
    </row>
    <row r="37" spans="1:28" x14ac:dyDescent="0.3">
      <c r="A37" s="59">
        <v>35</v>
      </c>
      <c r="B37" s="60" t="s">
        <v>38</v>
      </c>
      <c r="C37" s="18">
        <v>0.98930735020681126</v>
      </c>
      <c r="D37" s="18"/>
      <c r="E37" s="18"/>
      <c r="F37" s="18"/>
      <c r="G37" s="18"/>
      <c r="H37" s="61">
        <v>44.264911698159167</v>
      </c>
      <c r="I37" s="18">
        <v>0</v>
      </c>
      <c r="J37" s="19"/>
      <c r="K37" s="19"/>
      <c r="L37" s="18"/>
      <c r="M37" s="19">
        <v>5.6410299999999998</v>
      </c>
      <c r="N37" s="16"/>
      <c r="O37" s="19"/>
      <c r="P37" s="19"/>
      <c r="Q37" s="19"/>
      <c r="R37" s="19"/>
      <c r="S37" s="16"/>
      <c r="T37" s="19"/>
      <c r="U37" s="19"/>
      <c r="V37" s="19"/>
      <c r="W37" s="16"/>
      <c r="X37" s="16"/>
      <c r="Y37" s="16"/>
      <c r="Z37" s="16"/>
      <c r="AA37" s="62"/>
    </row>
    <row r="38" spans="1:28" s="3" customFormat="1" x14ac:dyDescent="0.3">
      <c r="A38" s="59">
        <v>36</v>
      </c>
      <c r="B38" s="60" t="s">
        <v>39</v>
      </c>
      <c r="C38" s="18">
        <v>0.97943723856436926</v>
      </c>
      <c r="D38" s="18"/>
      <c r="E38" s="18"/>
      <c r="F38" s="18"/>
      <c r="G38" s="18"/>
      <c r="H38" s="61">
        <v>1.2648849159091013</v>
      </c>
      <c r="I38" s="18">
        <v>2.9107783168107994E-2</v>
      </c>
      <c r="J38" s="19"/>
      <c r="K38" s="19"/>
      <c r="L38" s="18"/>
      <c r="M38" s="19">
        <v>17.565550000000002</v>
      </c>
      <c r="N38" s="16"/>
      <c r="O38" s="19"/>
      <c r="P38" s="19"/>
      <c r="Q38" s="19"/>
      <c r="R38" s="19"/>
      <c r="S38" s="16"/>
      <c r="T38" s="19"/>
      <c r="U38" s="19"/>
      <c r="V38" s="19"/>
      <c r="W38" s="16"/>
      <c r="X38" s="16"/>
      <c r="Y38" s="16"/>
      <c r="Z38" s="16"/>
      <c r="AA38" s="62"/>
      <c r="AB38" s="1"/>
    </row>
    <row r="39" spans="1:28" x14ac:dyDescent="0.3">
      <c r="A39" s="59">
        <v>37</v>
      </c>
      <c r="B39" s="60" t="s">
        <v>40</v>
      </c>
      <c r="C39" s="18">
        <v>0.98522618040734489</v>
      </c>
      <c r="D39" s="18"/>
      <c r="E39" s="18"/>
      <c r="F39" s="18"/>
      <c r="G39" s="18"/>
      <c r="H39" s="61">
        <v>10.074426066590471</v>
      </c>
      <c r="I39" s="18">
        <v>6.0744115413819289E-3</v>
      </c>
      <c r="J39" s="19"/>
      <c r="K39" s="19"/>
      <c r="L39" s="18"/>
      <c r="M39" s="19">
        <v>15.276949999999999</v>
      </c>
      <c r="N39" s="16"/>
      <c r="O39" s="19"/>
      <c r="P39" s="19"/>
      <c r="Q39" s="19"/>
      <c r="R39" s="19"/>
      <c r="S39" s="16"/>
      <c r="T39" s="19"/>
      <c r="U39" s="19"/>
      <c r="V39" s="19"/>
      <c r="W39" s="16"/>
      <c r="X39" s="16"/>
      <c r="Y39" s="16"/>
      <c r="Z39" s="16"/>
      <c r="AA39" s="62"/>
    </row>
    <row r="40" spans="1:28" x14ac:dyDescent="0.3">
      <c r="A40" s="59">
        <v>38</v>
      </c>
      <c r="B40" s="60" t="s">
        <v>41</v>
      </c>
      <c r="C40" s="18">
        <v>0.985717279045911</v>
      </c>
      <c r="D40" s="18"/>
      <c r="E40" s="18"/>
      <c r="F40" s="18"/>
      <c r="G40" s="18"/>
      <c r="H40" s="61">
        <v>2.9877467962221846</v>
      </c>
      <c r="I40" s="18">
        <v>7.3051948051948104E-2</v>
      </c>
      <c r="J40" s="19"/>
      <c r="K40" s="19"/>
      <c r="L40" s="18"/>
      <c r="M40" s="19">
        <v>12.72288</v>
      </c>
      <c r="N40" s="16"/>
      <c r="O40" s="19"/>
      <c r="P40" s="19"/>
      <c r="Q40" s="19"/>
      <c r="R40" s="19"/>
      <c r="S40" s="16"/>
      <c r="T40" s="19"/>
      <c r="U40" s="19"/>
      <c r="V40" s="19"/>
      <c r="W40" s="16"/>
      <c r="X40" s="16"/>
      <c r="Y40" s="16"/>
      <c r="Z40" s="16"/>
      <c r="AA40" s="62"/>
    </row>
    <row r="41" spans="1:28" x14ac:dyDescent="0.3">
      <c r="A41" s="59">
        <v>39</v>
      </c>
      <c r="B41" s="60" t="s">
        <v>42</v>
      </c>
      <c r="C41" s="18">
        <v>0.94510869024101696</v>
      </c>
      <c r="D41" s="18"/>
      <c r="E41" s="18"/>
      <c r="F41" s="18"/>
      <c r="G41" s="18"/>
      <c r="H41" s="61">
        <v>5.0957927168664474</v>
      </c>
      <c r="I41" s="18">
        <v>0</v>
      </c>
      <c r="J41" s="19"/>
      <c r="K41" s="19"/>
      <c r="L41" s="18"/>
      <c r="M41" s="19">
        <v>15.72828</v>
      </c>
      <c r="N41" s="16"/>
      <c r="O41" s="19"/>
      <c r="P41" s="19"/>
      <c r="Q41" s="19"/>
      <c r="R41" s="19"/>
      <c r="S41" s="16"/>
      <c r="T41" s="19"/>
      <c r="U41" s="19"/>
      <c r="V41" s="19"/>
      <c r="W41" s="16"/>
      <c r="X41" s="16"/>
      <c r="Y41" s="16"/>
      <c r="Z41" s="16"/>
      <c r="AA41" s="62"/>
    </row>
    <row r="42" spans="1:28" x14ac:dyDescent="0.3">
      <c r="A42" s="59">
        <v>40</v>
      </c>
      <c r="B42" s="60" t="s">
        <v>43</v>
      </c>
      <c r="C42" s="18">
        <v>0.9661128521129988</v>
      </c>
      <c r="D42" s="18"/>
      <c r="E42" s="18"/>
      <c r="F42" s="18"/>
      <c r="G42" s="18"/>
      <c r="H42" s="61">
        <v>7.4091064856298487</v>
      </c>
      <c r="I42" s="18">
        <v>5.1664753157290473E-3</v>
      </c>
      <c r="J42" s="19"/>
      <c r="K42" s="19"/>
      <c r="L42" s="18"/>
      <c r="M42" s="19">
        <v>9.8123799999999992</v>
      </c>
      <c r="N42" s="16"/>
      <c r="O42" s="19"/>
      <c r="P42" s="19"/>
      <c r="Q42" s="19"/>
      <c r="R42" s="19"/>
      <c r="S42" s="16"/>
      <c r="T42" s="19"/>
      <c r="U42" s="19"/>
      <c r="V42" s="19"/>
      <c r="W42" s="16"/>
      <c r="X42" s="16"/>
      <c r="Y42" s="16"/>
      <c r="Z42" s="16"/>
      <c r="AA42" s="62"/>
    </row>
    <row r="43" spans="1:28" x14ac:dyDescent="0.3">
      <c r="A43" s="59">
        <v>41</v>
      </c>
      <c r="B43" s="60" t="s">
        <v>44</v>
      </c>
      <c r="C43" s="18">
        <v>0.97270012445617193</v>
      </c>
      <c r="D43" s="18"/>
      <c r="E43" s="18"/>
      <c r="F43" s="18"/>
      <c r="G43" s="18"/>
      <c r="H43" s="61">
        <v>51.353181940160162</v>
      </c>
      <c r="I43" s="18">
        <v>6.8158697863682602E-2</v>
      </c>
      <c r="J43" s="19"/>
      <c r="K43" s="19"/>
      <c r="L43" s="18"/>
      <c r="M43" s="19">
        <v>7.4608299999999996</v>
      </c>
      <c r="N43" s="16"/>
      <c r="O43" s="19"/>
      <c r="P43" s="19"/>
      <c r="Q43" s="19"/>
      <c r="R43" s="19"/>
      <c r="S43" s="16"/>
      <c r="T43" s="19"/>
      <c r="U43" s="19"/>
      <c r="V43" s="19"/>
      <c r="W43" s="16"/>
      <c r="X43" s="16"/>
      <c r="Y43" s="16"/>
      <c r="Z43" s="16"/>
      <c r="AA43" s="62"/>
    </row>
    <row r="44" spans="1:28" x14ac:dyDescent="0.3">
      <c r="A44" s="59">
        <v>42</v>
      </c>
      <c r="B44" s="60" t="s">
        <v>45</v>
      </c>
      <c r="C44" s="18">
        <v>0.95396042082219767</v>
      </c>
      <c r="D44" s="18"/>
      <c r="E44" s="18"/>
      <c r="F44" s="18"/>
      <c r="G44" s="18"/>
      <c r="H44" s="61">
        <v>1.5568408825927547</v>
      </c>
      <c r="I44" s="18">
        <v>8.1453336499643786E-2</v>
      </c>
      <c r="J44" s="19"/>
      <c r="K44" s="19"/>
      <c r="L44" s="18"/>
      <c r="M44" s="19">
        <v>25.69988</v>
      </c>
      <c r="N44" s="16"/>
      <c r="O44" s="19"/>
      <c r="P44" s="19"/>
      <c r="Q44" s="19"/>
      <c r="R44" s="19"/>
      <c r="S44" s="16"/>
      <c r="T44" s="19"/>
      <c r="U44" s="19"/>
      <c r="V44" s="19"/>
      <c r="W44" s="16"/>
      <c r="X44" s="16"/>
      <c r="Y44" s="16"/>
      <c r="Z44" s="16"/>
      <c r="AA44" s="62"/>
    </row>
    <row r="45" spans="1:28" x14ac:dyDescent="0.3">
      <c r="A45" s="59">
        <v>43</v>
      </c>
      <c r="B45" s="60" t="s">
        <v>46</v>
      </c>
      <c r="C45" s="18">
        <v>0.98965422563276984</v>
      </c>
      <c r="D45" s="18"/>
      <c r="E45" s="18"/>
      <c r="F45" s="18"/>
      <c r="G45" s="18"/>
      <c r="H45" s="61">
        <v>0.29574268608402715</v>
      </c>
      <c r="I45" s="18">
        <v>1.1485914641518559E-3</v>
      </c>
      <c r="J45" s="19"/>
      <c r="K45" s="19"/>
      <c r="L45" s="18"/>
      <c r="M45" s="19">
        <v>15.59248</v>
      </c>
      <c r="N45" s="16"/>
      <c r="O45" s="19"/>
      <c r="P45" s="19"/>
      <c r="Q45" s="19"/>
      <c r="R45" s="19"/>
      <c r="S45" s="16"/>
      <c r="T45" s="19"/>
      <c r="U45" s="19"/>
      <c r="V45" s="19"/>
      <c r="W45" s="16"/>
      <c r="X45" s="16"/>
      <c r="Y45" s="16"/>
      <c r="Z45" s="16"/>
      <c r="AA45" s="62"/>
    </row>
    <row r="46" spans="1:28" x14ac:dyDescent="0.3">
      <c r="A46" s="59">
        <v>44</v>
      </c>
      <c r="B46" s="60" t="s">
        <v>47</v>
      </c>
      <c r="C46" s="18">
        <v>0.99629268099502244</v>
      </c>
      <c r="D46" s="18"/>
      <c r="E46" s="18"/>
      <c r="F46" s="18"/>
      <c r="G46" s="18"/>
      <c r="H46" s="61">
        <v>1.8883174631545321</v>
      </c>
      <c r="I46" s="18">
        <v>3.9502560351133871E-2</v>
      </c>
      <c r="J46" s="19"/>
      <c r="K46" s="19"/>
      <c r="L46" s="18"/>
      <c r="M46" s="19">
        <v>48.106459999999998</v>
      </c>
      <c r="N46" s="16"/>
      <c r="O46" s="19"/>
      <c r="P46" s="19"/>
      <c r="Q46" s="19"/>
      <c r="R46" s="19"/>
      <c r="S46" s="16"/>
      <c r="T46" s="19"/>
      <c r="U46" s="19"/>
      <c r="V46" s="19"/>
      <c r="W46" s="16"/>
      <c r="X46" s="16"/>
      <c r="Y46" s="16"/>
      <c r="Z46" s="16"/>
      <c r="AA46" s="62"/>
    </row>
    <row r="47" spans="1:28" x14ac:dyDescent="0.3">
      <c r="A47" s="59">
        <v>45</v>
      </c>
      <c r="B47" s="60" t="s">
        <v>48</v>
      </c>
      <c r="C47" s="18">
        <v>0.96610327193725531</v>
      </c>
      <c r="D47" s="18"/>
      <c r="E47" s="18"/>
      <c r="F47" s="18"/>
      <c r="G47" s="18"/>
      <c r="H47" s="61">
        <v>20.087242805353156</v>
      </c>
      <c r="I47" s="18">
        <v>0</v>
      </c>
      <c r="J47" s="19"/>
      <c r="K47" s="19"/>
      <c r="L47" s="18"/>
      <c r="M47" s="19">
        <v>16.275870000000001</v>
      </c>
      <c r="N47" s="16"/>
      <c r="O47" s="19"/>
      <c r="P47" s="19"/>
      <c r="Q47" s="19"/>
      <c r="R47" s="19"/>
      <c r="S47" s="16"/>
      <c r="T47" s="19"/>
      <c r="U47" s="19"/>
      <c r="V47" s="19"/>
      <c r="W47" s="16"/>
      <c r="X47" s="16"/>
      <c r="Y47" s="16"/>
      <c r="Z47" s="16"/>
      <c r="AA47" s="62"/>
    </row>
    <row r="48" spans="1:28" x14ac:dyDescent="0.3">
      <c r="A48" s="59">
        <v>46</v>
      </c>
      <c r="B48" s="60" t="s">
        <v>49</v>
      </c>
      <c r="C48" s="18">
        <v>0.97521649362209606</v>
      </c>
      <c r="D48" s="18"/>
      <c r="E48" s="18"/>
      <c r="F48" s="18"/>
      <c r="G48" s="18"/>
      <c r="H48" s="61">
        <v>1.4823029390830671</v>
      </c>
      <c r="I48" s="18">
        <v>8.6009798584648883E-2</v>
      </c>
      <c r="J48" s="19"/>
      <c r="K48" s="19"/>
      <c r="L48" s="18"/>
      <c r="M48" s="19">
        <v>17.35904</v>
      </c>
      <c r="N48" s="16"/>
      <c r="O48" s="19"/>
      <c r="P48" s="19"/>
      <c r="Q48" s="19"/>
      <c r="R48" s="19"/>
      <c r="S48" s="16"/>
      <c r="T48" s="19"/>
      <c r="U48" s="19"/>
      <c r="V48" s="19"/>
      <c r="W48" s="16"/>
      <c r="X48" s="16"/>
      <c r="Y48" s="16"/>
      <c r="Z48" s="16"/>
      <c r="AA48" s="62"/>
    </row>
    <row r="49" spans="1:27" x14ac:dyDescent="0.3">
      <c r="A49" s="59">
        <v>47</v>
      </c>
      <c r="B49" s="60" t="s">
        <v>50</v>
      </c>
      <c r="C49" s="18">
        <v>0.93659658946256497</v>
      </c>
      <c r="D49" s="18"/>
      <c r="E49" s="18"/>
      <c r="F49" s="18"/>
      <c r="G49" s="18"/>
      <c r="H49" s="61">
        <v>6.6845345749275227</v>
      </c>
      <c r="I49" s="18">
        <v>9.4824180165942323E-3</v>
      </c>
      <c r="J49" s="19"/>
      <c r="K49" s="19"/>
      <c r="L49" s="18"/>
      <c r="M49" s="19">
        <v>13.08553</v>
      </c>
      <c r="N49" s="16"/>
      <c r="O49" s="19"/>
      <c r="P49" s="19"/>
      <c r="Q49" s="19"/>
      <c r="R49" s="19"/>
      <c r="S49" s="16"/>
      <c r="T49" s="19"/>
      <c r="U49" s="19"/>
      <c r="V49" s="19"/>
      <c r="W49" s="16"/>
      <c r="X49" s="16"/>
      <c r="Y49" s="16"/>
      <c r="Z49" s="16"/>
      <c r="AA49" s="62"/>
    </row>
    <row r="50" spans="1:27" x14ac:dyDescent="0.3">
      <c r="A50" s="59">
        <v>48</v>
      </c>
      <c r="B50" s="60" t="s">
        <v>51</v>
      </c>
      <c r="C50" s="18">
        <v>0.85744356112792741</v>
      </c>
      <c r="D50" s="18"/>
      <c r="E50" s="18"/>
      <c r="F50" s="18"/>
      <c r="G50" s="18"/>
      <c r="H50" s="61">
        <v>23.691519010594238</v>
      </c>
      <c r="I50" s="18">
        <v>5.0251256281407036E-3</v>
      </c>
      <c r="J50" s="19"/>
      <c r="K50" s="19"/>
      <c r="L50" s="18"/>
      <c r="M50" s="19">
        <v>7.9388399999999999</v>
      </c>
      <c r="N50" s="16"/>
      <c r="O50" s="19"/>
      <c r="P50" s="19"/>
      <c r="Q50" s="19"/>
      <c r="R50" s="19"/>
      <c r="S50" s="16"/>
      <c r="T50" s="19"/>
      <c r="U50" s="19"/>
      <c r="V50" s="19"/>
      <c r="W50" s="16"/>
      <c r="X50" s="16"/>
      <c r="Y50" s="16"/>
      <c r="Z50" s="16"/>
      <c r="AA50" s="62"/>
    </row>
    <row r="51" spans="1:27" x14ac:dyDescent="0.3">
      <c r="A51" s="59">
        <v>49</v>
      </c>
      <c r="B51" s="60" t="s">
        <v>52</v>
      </c>
      <c r="C51" s="18">
        <v>0.98637994472111279</v>
      </c>
      <c r="D51" s="18"/>
      <c r="E51" s="18"/>
      <c r="F51" s="18"/>
      <c r="G51" s="18"/>
      <c r="H51" s="61">
        <v>2.1415656579200975</v>
      </c>
      <c r="I51" s="18">
        <v>2.647141650239369E-2</v>
      </c>
      <c r="J51" s="19"/>
      <c r="K51" s="19"/>
      <c r="L51" s="18"/>
      <c r="M51" s="19">
        <v>16.321079999999998</v>
      </c>
      <c r="N51" s="16"/>
      <c r="O51" s="19"/>
      <c r="P51" s="19"/>
      <c r="Q51" s="19"/>
      <c r="R51" s="19"/>
      <c r="S51" s="16"/>
      <c r="T51" s="19"/>
      <c r="U51" s="19"/>
      <c r="V51" s="19"/>
      <c r="W51" s="16"/>
      <c r="X51" s="16"/>
      <c r="Y51" s="16"/>
      <c r="Z51" s="16"/>
      <c r="AA51" s="62"/>
    </row>
    <row r="52" spans="1:27" x14ac:dyDescent="0.3">
      <c r="A52" s="59">
        <v>50</v>
      </c>
      <c r="B52" s="60" t="s">
        <v>53</v>
      </c>
      <c r="C52" s="18">
        <v>0.92812832619550523</v>
      </c>
      <c r="D52" s="18"/>
      <c r="E52" s="18"/>
      <c r="F52" s="18"/>
      <c r="G52" s="18"/>
      <c r="H52" s="61">
        <v>50.5234318683111</v>
      </c>
      <c r="I52" s="18">
        <v>5.5347793567688854E-2</v>
      </c>
      <c r="J52" s="19"/>
      <c r="K52" s="19"/>
      <c r="L52" s="18"/>
      <c r="M52" s="19">
        <v>8.6528100000000006</v>
      </c>
      <c r="N52" s="16"/>
      <c r="O52" s="19"/>
      <c r="P52" s="19"/>
      <c r="Q52" s="19"/>
      <c r="R52" s="19"/>
      <c r="S52" s="16"/>
      <c r="T52" s="19"/>
      <c r="U52" s="19"/>
      <c r="V52" s="19"/>
      <c r="W52" s="16"/>
      <c r="X52" s="16"/>
      <c r="Y52" s="16"/>
      <c r="Z52" s="16"/>
      <c r="AA52" s="62"/>
    </row>
    <row r="53" spans="1:27" x14ac:dyDescent="0.3">
      <c r="A53" s="59"/>
      <c r="B53" s="60"/>
      <c r="C53" s="18"/>
      <c r="D53" s="18"/>
      <c r="E53" s="18"/>
      <c r="F53" s="18"/>
      <c r="G53" s="18"/>
      <c r="H53" s="61"/>
      <c r="I53" s="18"/>
      <c r="J53" s="19"/>
      <c r="K53" s="19"/>
      <c r="L53" s="18"/>
      <c r="M53" s="19"/>
      <c r="N53" s="16"/>
      <c r="O53" s="19"/>
      <c r="P53" s="19"/>
      <c r="Q53" s="19"/>
      <c r="R53" s="19"/>
      <c r="S53" s="16"/>
      <c r="T53" s="19"/>
      <c r="U53" s="19"/>
      <c r="V53" s="19"/>
      <c r="W53" s="16"/>
      <c r="X53" s="16"/>
      <c r="Y53" s="16"/>
      <c r="Z53" s="16"/>
      <c r="AA53" s="62"/>
    </row>
    <row r="54" spans="1:27" x14ac:dyDescent="0.3">
      <c r="A54" s="59"/>
      <c r="B54" s="60"/>
      <c r="C54" s="18"/>
      <c r="D54" s="18"/>
      <c r="E54" s="18"/>
      <c r="F54" s="18"/>
      <c r="G54" s="18"/>
      <c r="H54" s="61"/>
      <c r="I54" s="18"/>
      <c r="J54" s="18"/>
      <c r="K54" s="18"/>
      <c r="L54" s="18"/>
      <c r="M54" s="19"/>
      <c r="N54" s="16"/>
      <c r="O54" s="19"/>
      <c r="P54" s="19"/>
      <c r="Q54" s="19"/>
      <c r="R54" s="19"/>
      <c r="S54" s="16"/>
      <c r="T54" s="19"/>
      <c r="U54" s="19"/>
      <c r="V54" s="19"/>
      <c r="W54" s="16"/>
      <c r="X54" s="16"/>
      <c r="Y54" s="16"/>
      <c r="Z54" s="16"/>
      <c r="AA54" s="62"/>
    </row>
    <row r="55" spans="1:27" x14ac:dyDescent="0.35">
      <c r="A55" s="59"/>
      <c r="B55" s="63"/>
      <c r="C55" s="18"/>
      <c r="D55" s="15"/>
      <c r="E55" s="15"/>
      <c r="F55" s="15"/>
      <c r="G55" s="15"/>
      <c r="H55" s="15"/>
      <c r="I55" s="18"/>
      <c r="J55" s="18"/>
      <c r="K55" s="18"/>
      <c r="L55" s="18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62"/>
    </row>
    <row r="56" spans="1:27" x14ac:dyDescent="0.35">
      <c r="A56" s="59"/>
      <c r="B56" s="63"/>
      <c r="C56" s="18"/>
      <c r="D56" s="15"/>
      <c r="E56" s="15"/>
      <c r="F56" s="15"/>
      <c r="G56" s="15"/>
      <c r="H56" s="15"/>
      <c r="I56" s="18"/>
      <c r="J56" s="18"/>
      <c r="K56" s="18"/>
      <c r="L56" s="18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62"/>
    </row>
    <row r="57" spans="1:27" x14ac:dyDescent="0.35">
      <c r="A57" s="59"/>
      <c r="B57" s="63"/>
      <c r="C57" s="18"/>
      <c r="D57" s="15"/>
      <c r="E57" s="15"/>
      <c r="F57" s="15"/>
      <c r="G57" s="15"/>
      <c r="H57" s="15"/>
      <c r="I57" s="18"/>
      <c r="J57" s="18"/>
      <c r="K57" s="18"/>
      <c r="L57" s="18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62"/>
    </row>
    <row r="58" spans="1:27" x14ac:dyDescent="0.35">
      <c r="A58" s="59"/>
      <c r="B58" s="63"/>
      <c r="C58" s="18"/>
      <c r="D58" s="15"/>
      <c r="E58" s="15"/>
      <c r="F58" s="15"/>
      <c r="G58" s="15"/>
      <c r="H58" s="15"/>
      <c r="I58" s="18"/>
      <c r="J58" s="18"/>
      <c r="K58" s="18"/>
      <c r="L58" s="18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62"/>
    </row>
    <row r="59" spans="1:27" x14ac:dyDescent="0.35">
      <c r="A59" s="59"/>
      <c r="B59" s="63"/>
      <c r="C59" s="18"/>
      <c r="D59" s="15"/>
      <c r="E59" s="15"/>
      <c r="F59" s="15"/>
      <c r="G59" s="15"/>
      <c r="H59" s="15"/>
      <c r="I59" s="18"/>
      <c r="J59" s="18"/>
      <c r="K59" s="18"/>
      <c r="L59" s="18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62"/>
    </row>
    <row r="60" spans="1:27" x14ac:dyDescent="0.35">
      <c r="A60" s="59"/>
      <c r="B60" s="63"/>
      <c r="C60" s="18"/>
      <c r="D60" s="15"/>
      <c r="E60" s="15"/>
      <c r="F60" s="15"/>
      <c r="G60" s="15"/>
      <c r="H60" s="15"/>
      <c r="I60" s="18"/>
      <c r="J60" s="18"/>
      <c r="K60" s="18"/>
      <c r="L60" s="18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62"/>
    </row>
    <row r="61" spans="1:27" x14ac:dyDescent="0.35">
      <c r="A61" s="59"/>
      <c r="B61" s="63"/>
      <c r="C61" s="18"/>
      <c r="D61" s="15"/>
      <c r="E61" s="15"/>
      <c r="F61" s="15"/>
      <c r="G61" s="15"/>
      <c r="H61" s="15"/>
      <c r="I61" s="18"/>
      <c r="J61" s="18"/>
      <c r="K61" s="18"/>
      <c r="L61" s="18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62"/>
    </row>
    <row r="62" spans="1:27" x14ac:dyDescent="0.35">
      <c r="A62" s="59"/>
      <c r="B62" s="63"/>
      <c r="C62" s="18"/>
      <c r="D62" s="15"/>
      <c r="E62" s="15"/>
      <c r="F62" s="15"/>
      <c r="G62" s="15"/>
      <c r="H62" s="15"/>
      <c r="I62" s="18"/>
      <c r="J62" s="18"/>
      <c r="K62" s="18"/>
      <c r="L62" s="18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62"/>
    </row>
    <row r="63" spans="1:27" x14ac:dyDescent="0.35">
      <c r="A63" s="59"/>
      <c r="B63" s="63"/>
      <c r="C63" s="18"/>
      <c r="D63" s="15"/>
      <c r="E63" s="15"/>
      <c r="F63" s="15"/>
      <c r="G63" s="15"/>
      <c r="H63" s="15"/>
      <c r="I63" s="18"/>
      <c r="J63" s="18"/>
      <c r="K63" s="18"/>
      <c r="L63" s="18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62"/>
    </row>
    <row r="64" spans="1:27" x14ac:dyDescent="0.35">
      <c r="A64" s="59"/>
      <c r="B64" s="63"/>
      <c r="C64" s="18"/>
      <c r="D64" s="15"/>
      <c r="E64" s="15"/>
      <c r="F64" s="15"/>
      <c r="G64" s="15"/>
      <c r="H64" s="15"/>
      <c r="I64" s="18"/>
      <c r="J64" s="18"/>
      <c r="K64" s="18"/>
      <c r="L64" s="18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62"/>
    </row>
    <row r="65" spans="1:27" x14ac:dyDescent="0.35">
      <c r="A65" s="59"/>
      <c r="B65" s="63"/>
      <c r="C65" s="18"/>
      <c r="D65" s="15"/>
      <c r="E65" s="15"/>
      <c r="F65" s="15"/>
      <c r="G65" s="15"/>
      <c r="H65" s="15"/>
      <c r="I65" s="18"/>
      <c r="J65" s="18"/>
      <c r="K65" s="18"/>
      <c r="L65" s="18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62"/>
    </row>
    <row r="66" spans="1:27" x14ac:dyDescent="0.35">
      <c r="A66" s="59"/>
      <c r="B66" s="63"/>
      <c r="C66" s="18"/>
      <c r="D66" s="15"/>
      <c r="E66" s="15"/>
      <c r="F66" s="15"/>
      <c r="G66" s="15"/>
      <c r="H66" s="15"/>
      <c r="I66" s="18"/>
      <c r="J66" s="18"/>
      <c r="K66" s="18"/>
      <c r="L66" s="18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62"/>
    </row>
    <row r="67" spans="1:27" x14ac:dyDescent="0.35">
      <c r="A67" s="59"/>
      <c r="B67" s="63"/>
      <c r="C67" s="18"/>
      <c r="D67" s="15"/>
      <c r="E67" s="15"/>
      <c r="F67" s="15"/>
      <c r="G67" s="15"/>
      <c r="H67" s="15"/>
      <c r="I67" s="18"/>
      <c r="J67" s="18"/>
      <c r="K67" s="18"/>
      <c r="L67" s="18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62"/>
    </row>
    <row r="68" spans="1:27" x14ac:dyDescent="0.35">
      <c r="A68" s="59"/>
      <c r="B68" s="63"/>
      <c r="C68" s="18"/>
      <c r="D68" s="15"/>
      <c r="E68" s="15"/>
      <c r="F68" s="15"/>
      <c r="G68" s="15"/>
      <c r="H68" s="15"/>
      <c r="I68" s="18"/>
      <c r="J68" s="18"/>
      <c r="K68" s="18"/>
      <c r="L68" s="18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62"/>
    </row>
    <row r="69" spans="1:27" x14ac:dyDescent="0.35">
      <c r="A69" s="59"/>
      <c r="B69" s="63"/>
      <c r="C69" s="18"/>
      <c r="D69" s="15"/>
      <c r="E69" s="15"/>
      <c r="F69" s="15"/>
      <c r="G69" s="15"/>
      <c r="H69" s="15"/>
      <c r="I69" s="18"/>
      <c r="J69" s="18"/>
      <c r="K69" s="18"/>
      <c r="L69" s="18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62"/>
    </row>
    <row r="70" spans="1:27" x14ac:dyDescent="0.35">
      <c r="A70" s="59"/>
      <c r="B70" s="63"/>
      <c r="C70" s="18"/>
      <c r="D70" s="15"/>
      <c r="E70" s="15"/>
      <c r="F70" s="15"/>
      <c r="G70" s="15"/>
      <c r="H70" s="15"/>
      <c r="I70" s="18"/>
      <c r="J70" s="18"/>
      <c r="K70" s="18"/>
      <c r="L70" s="18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62"/>
    </row>
    <row r="71" spans="1:27" x14ac:dyDescent="0.35">
      <c r="A71" s="59"/>
      <c r="B71" s="63"/>
      <c r="C71" s="18"/>
      <c r="D71" s="15"/>
      <c r="E71" s="15"/>
      <c r="F71" s="15"/>
      <c r="G71" s="15"/>
      <c r="H71" s="15"/>
      <c r="I71" s="18"/>
      <c r="J71" s="18"/>
      <c r="K71" s="18"/>
      <c r="L71" s="18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62"/>
    </row>
    <row r="72" spans="1:27" x14ac:dyDescent="0.35">
      <c r="A72" s="59"/>
      <c r="B72" s="63"/>
      <c r="C72" s="18"/>
      <c r="D72" s="15"/>
      <c r="E72" s="15"/>
      <c r="F72" s="15"/>
      <c r="G72" s="15"/>
      <c r="H72" s="15"/>
      <c r="I72" s="18"/>
      <c r="J72" s="18"/>
      <c r="K72" s="18"/>
      <c r="L72" s="18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62"/>
    </row>
    <row r="73" spans="1:27" x14ac:dyDescent="0.35">
      <c r="A73" s="59"/>
      <c r="B73" s="63"/>
      <c r="C73" s="18"/>
      <c r="D73" s="15"/>
      <c r="E73" s="15"/>
      <c r="F73" s="15"/>
      <c r="G73" s="15"/>
      <c r="H73" s="15"/>
      <c r="I73" s="18"/>
      <c r="J73" s="18"/>
      <c r="K73" s="18"/>
      <c r="L73" s="18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62"/>
    </row>
    <row r="74" spans="1:27" x14ac:dyDescent="0.35">
      <c r="A74" s="59"/>
      <c r="B74" s="63"/>
      <c r="C74" s="18"/>
      <c r="D74" s="15"/>
      <c r="E74" s="15"/>
      <c r="F74" s="15"/>
      <c r="G74" s="15"/>
      <c r="H74" s="15"/>
      <c r="I74" s="18"/>
      <c r="J74" s="18"/>
      <c r="K74" s="18"/>
      <c r="L74" s="18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62"/>
    </row>
    <row r="75" spans="1:27" x14ac:dyDescent="0.35">
      <c r="A75" s="59"/>
      <c r="B75" s="63"/>
      <c r="C75" s="18"/>
      <c r="D75" s="15"/>
      <c r="E75" s="15"/>
      <c r="F75" s="15"/>
      <c r="G75" s="15"/>
      <c r="H75" s="15"/>
      <c r="I75" s="18"/>
      <c r="J75" s="18"/>
      <c r="K75" s="18"/>
      <c r="L75" s="18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62"/>
    </row>
    <row r="76" spans="1:27" x14ac:dyDescent="0.35">
      <c r="A76" s="59"/>
      <c r="B76" s="63"/>
      <c r="C76" s="18"/>
      <c r="D76" s="15"/>
      <c r="E76" s="15"/>
      <c r="F76" s="15"/>
      <c r="G76" s="15"/>
      <c r="H76" s="15"/>
      <c r="I76" s="18"/>
      <c r="J76" s="18"/>
      <c r="K76" s="18"/>
      <c r="L76" s="18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62"/>
    </row>
    <row r="77" spans="1:27" x14ac:dyDescent="0.35">
      <c r="A77" s="59"/>
      <c r="B77" s="63"/>
      <c r="C77" s="18"/>
      <c r="D77" s="15"/>
      <c r="E77" s="15"/>
      <c r="F77" s="15"/>
      <c r="G77" s="15"/>
      <c r="H77" s="15"/>
      <c r="I77" s="18"/>
      <c r="J77" s="18"/>
      <c r="K77" s="18"/>
      <c r="L77" s="18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62"/>
    </row>
    <row r="78" spans="1:27" x14ac:dyDescent="0.35">
      <c r="A78" s="59"/>
      <c r="B78" s="63"/>
      <c r="C78" s="18"/>
      <c r="D78" s="15"/>
      <c r="E78" s="15"/>
      <c r="F78" s="15"/>
      <c r="G78" s="15"/>
      <c r="H78" s="15"/>
      <c r="I78" s="18"/>
      <c r="J78" s="18"/>
      <c r="K78" s="18"/>
      <c r="L78" s="18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62"/>
    </row>
    <row r="79" spans="1:27" x14ac:dyDescent="0.35">
      <c r="A79" s="59"/>
      <c r="B79" s="63"/>
      <c r="C79" s="18"/>
      <c r="D79" s="15"/>
      <c r="E79" s="15"/>
      <c r="F79" s="15"/>
      <c r="G79" s="15"/>
      <c r="H79" s="15"/>
      <c r="I79" s="18"/>
      <c r="J79" s="18"/>
      <c r="K79" s="18"/>
      <c r="L79" s="18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62"/>
    </row>
    <row r="80" spans="1:27" x14ac:dyDescent="0.35">
      <c r="A80" s="59"/>
      <c r="B80" s="63"/>
      <c r="C80" s="18"/>
      <c r="D80" s="15"/>
      <c r="E80" s="15"/>
      <c r="F80" s="15"/>
      <c r="G80" s="15"/>
      <c r="H80" s="15"/>
      <c r="I80" s="18"/>
      <c r="J80" s="18"/>
      <c r="K80" s="18"/>
      <c r="L80" s="18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62"/>
    </row>
    <row r="81" spans="1:27" x14ac:dyDescent="0.35">
      <c r="A81" s="59"/>
      <c r="B81" s="63"/>
      <c r="C81" s="18"/>
      <c r="D81" s="15"/>
      <c r="E81" s="15"/>
      <c r="F81" s="15"/>
      <c r="G81" s="15"/>
      <c r="H81" s="15"/>
      <c r="I81" s="18"/>
      <c r="J81" s="18"/>
      <c r="K81" s="18"/>
      <c r="L81" s="18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62"/>
    </row>
    <row r="82" spans="1:27" x14ac:dyDescent="0.35">
      <c r="A82" s="59"/>
      <c r="B82" s="63"/>
      <c r="C82" s="18"/>
      <c r="D82" s="15"/>
      <c r="E82" s="15"/>
      <c r="F82" s="15"/>
      <c r="G82" s="15"/>
      <c r="H82" s="15"/>
      <c r="I82" s="18"/>
      <c r="J82" s="18"/>
      <c r="K82" s="18"/>
      <c r="L82" s="18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62"/>
    </row>
    <row r="83" spans="1:27" x14ac:dyDescent="0.35">
      <c r="A83" s="59"/>
      <c r="B83" s="63"/>
      <c r="C83" s="18"/>
      <c r="D83" s="15"/>
      <c r="E83" s="15"/>
      <c r="F83" s="15"/>
      <c r="G83" s="15"/>
      <c r="H83" s="15"/>
      <c r="I83" s="18"/>
      <c r="J83" s="18"/>
      <c r="K83" s="18"/>
      <c r="L83" s="18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62"/>
    </row>
    <row r="84" spans="1:27" x14ac:dyDescent="0.35">
      <c r="A84" s="59"/>
      <c r="B84" s="63"/>
      <c r="C84" s="18"/>
      <c r="D84" s="15"/>
      <c r="E84" s="15"/>
      <c r="F84" s="15"/>
      <c r="G84" s="15"/>
      <c r="H84" s="15"/>
      <c r="I84" s="18"/>
      <c r="J84" s="18"/>
      <c r="K84" s="18"/>
      <c r="L84" s="18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62"/>
    </row>
    <row r="85" spans="1:27" x14ac:dyDescent="0.35">
      <c r="A85" s="59"/>
      <c r="B85" s="63"/>
      <c r="C85" s="18"/>
      <c r="D85" s="15"/>
      <c r="E85" s="15"/>
      <c r="F85" s="15"/>
      <c r="G85" s="15"/>
      <c r="H85" s="15"/>
      <c r="I85" s="18"/>
      <c r="J85" s="18"/>
      <c r="K85" s="18"/>
      <c r="L85" s="18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62"/>
    </row>
    <row r="86" spans="1:27" x14ac:dyDescent="0.35">
      <c r="A86" s="59"/>
      <c r="B86" s="63"/>
      <c r="C86" s="18"/>
      <c r="D86" s="15"/>
      <c r="E86" s="15"/>
      <c r="F86" s="15"/>
      <c r="G86" s="15"/>
      <c r="H86" s="15"/>
      <c r="I86" s="18"/>
      <c r="J86" s="18"/>
      <c r="K86" s="18"/>
      <c r="L86" s="18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62"/>
    </row>
    <row r="87" spans="1:27" x14ac:dyDescent="0.35">
      <c r="A87" s="59"/>
      <c r="B87" s="63"/>
      <c r="C87" s="18"/>
      <c r="D87" s="15"/>
      <c r="E87" s="15"/>
      <c r="F87" s="15"/>
      <c r="G87" s="15"/>
      <c r="H87" s="15"/>
      <c r="I87" s="18"/>
      <c r="J87" s="18"/>
      <c r="K87" s="18"/>
      <c r="L87" s="18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62"/>
    </row>
    <row r="88" spans="1:27" x14ac:dyDescent="0.35">
      <c r="A88" s="59"/>
      <c r="B88" s="63"/>
      <c r="C88" s="18"/>
      <c r="D88" s="15"/>
      <c r="E88" s="15"/>
      <c r="F88" s="15"/>
      <c r="G88" s="15"/>
      <c r="H88" s="15"/>
      <c r="I88" s="18"/>
      <c r="J88" s="18"/>
      <c r="K88" s="18"/>
      <c r="L88" s="18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62"/>
    </row>
    <row r="89" spans="1:27" x14ac:dyDescent="0.35">
      <c r="A89" s="59"/>
      <c r="B89" s="63"/>
      <c r="C89" s="18"/>
      <c r="D89" s="15"/>
      <c r="E89" s="15"/>
      <c r="F89" s="15"/>
      <c r="G89" s="15"/>
      <c r="H89" s="15"/>
      <c r="I89" s="18"/>
      <c r="J89" s="18"/>
      <c r="K89" s="18"/>
      <c r="L89" s="18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62"/>
    </row>
    <row r="90" spans="1:27" x14ac:dyDescent="0.35">
      <c r="A90" s="59"/>
      <c r="B90" s="63"/>
      <c r="C90" s="18"/>
      <c r="D90" s="15"/>
      <c r="E90" s="15"/>
      <c r="F90" s="15"/>
      <c r="G90" s="15"/>
      <c r="H90" s="15"/>
      <c r="I90" s="18"/>
      <c r="J90" s="18"/>
      <c r="K90" s="18"/>
      <c r="L90" s="18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62"/>
    </row>
    <row r="91" spans="1:27" x14ac:dyDescent="0.35">
      <c r="A91" s="59"/>
      <c r="B91" s="63"/>
      <c r="C91" s="18"/>
      <c r="D91" s="15"/>
      <c r="E91" s="15"/>
      <c r="F91" s="15"/>
      <c r="G91" s="15"/>
      <c r="H91" s="15"/>
      <c r="I91" s="18"/>
      <c r="J91" s="18"/>
      <c r="K91" s="18"/>
      <c r="L91" s="18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62"/>
    </row>
    <row r="92" spans="1:27" x14ac:dyDescent="0.35">
      <c r="A92" s="59"/>
      <c r="B92" s="63"/>
      <c r="C92" s="18"/>
      <c r="D92" s="15"/>
      <c r="E92" s="15"/>
      <c r="F92" s="15"/>
      <c r="G92" s="15"/>
      <c r="H92" s="15"/>
      <c r="I92" s="18"/>
      <c r="J92" s="18"/>
      <c r="K92" s="18"/>
      <c r="L92" s="18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62"/>
    </row>
    <row r="93" spans="1:27" x14ac:dyDescent="0.35">
      <c r="A93" s="59"/>
      <c r="B93" s="63"/>
      <c r="C93" s="18"/>
      <c r="D93" s="15"/>
      <c r="E93" s="15"/>
      <c r="F93" s="15"/>
      <c r="G93" s="15"/>
      <c r="H93" s="15"/>
      <c r="I93" s="18"/>
      <c r="J93" s="18"/>
      <c r="K93" s="18"/>
      <c r="L93" s="18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62"/>
    </row>
    <row r="94" spans="1:27" x14ac:dyDescent="0.35">
      <c r="A94" s="59"/>
      <c r="B94" s="63"/>
      <c r="C94" s="18"/>
      <c r="D94" s="15"/>
      <c r="E94" s="15"/>
      <c r="F94" s="15"/>
      <c r="G94" s="15"/>
      <c r="H94" s="15"/>
      <c r="I94" s="18"/>
      <c r="J94" s="18"/>
      <c r="K94" s="18"/>
      <c r="L94" s="18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62"/>
    </row>
    <row r="95" spans="1:27" x14ac:dyDescent="0.35">
      <c r="A95" s="59"/>
      <c r="B95" s="63"/>
      <c r="C95" s="18"/>
      <c r="D95" s="15"/>
      <c r="E95" s="15"/>
      <c r="F95" s="15"/>
      <c r="G95" s="15"/>
      <c r="H95" s="15"/>
      <c r="I95" s="18"/>
      <c r="J95" s="18"/>
      <c r="K95" s="18"/>
      <c r="L95" s="18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62"/>
    </row>
    <row r="96" spans="1:27" x14ac:dyDescent="0.35">
      <c r="A96" s="59"/>
      <c r="B96" s="63"/>
      <c r="C96" s="18"/>
      <c r="D96" s="15"/>
      <c r="E96" s="15"/>
      <c r="F96" s="15"/>
      <c r="G96" s="15"/>
      <c r="H96" s="15"/>
      <c r="I96" s="18"/>
      <c r="J96" s="18"/>
      <c r="K96" s="18"/>
      <c r="L96" s="18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62"/>
    </row>
    <row r="97" spans="1:27" x14ac:dyDescent="0.35">
      <c r="A97" s="59"/>
      <c r="B97" s="63"/>
      <c r="C97" s="18"/>
      <c r="D97" s="15"/>
      <c r="E97" s="15"/>
      <c r="F97" s="15"/>
      <c r="G97" s="15"/>
      <c r="H97" s="15"/>
      <c r="I97" s="18"/>
      <c r="J97" s="18"/>
      <c r="K97" s="18"/>
      <c r="L97" s="18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62"/>
    </row>
    <row r="98" spans="1:27" x14ac:dyDescent="0.35">
      <c r="A98" s="59"/>
      <c r="B98" s="63"/>
      <c r="C98" s="18"/>
      <c r="D98" s="15"/>
      <c r="E98" s="15"/>
      <c r="F98" s="15"/>
      <c r="G98" s="15"/>
      <c r="H98" s="15"/>
      <c r="I98" s="18"/>
      <c r="J98" s="18"/>
      <c r="K98" s="18"/>
      <c r="L98" s="18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62"/>
    </row>
    <row r="99" spans="1:27" x14ac:dyDescent="0.35">
      <c r="A99" s="59"/>
      <c r="B99" s="63"/>
      <c r="C99" s="18"/>
      <c r="D99" s="15"/>
      <c r="E99" s="15"/>
      <c r="F99" s="15"/>
      <c r="G99" s="15"/>
      <c r="H99" s="15"/>
      <c r="I99" s="18"/>
      <c r="J99" s="18"/>
      <c r="K99" s="18"/>
      <c r="L99" s="18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62"/>
    </row>
    <row r="100" spans="1:27" x14ac:dyDescent="0.35">
      <c r="A100" s="59"/>
      <c r="B100" s="63"/>
      <c r="C100" s="18"/>
      <c r="D100" s="15"/>
      <c r="E100" s="15"/>
      <c r="F100" s="15"/>
      <c r="G100" s="15"/>
      <c r="H100" s="15"/>
      <c r="I100" s="18"/>
      <c r="J100" s="18"/>
      <c r="K100" s="18"/>
      <c r="L100" s="18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62"/>
    </row>
    <row r="101" spans="1:27" x14ac:dyDescent="0.35">
      <c r="A101" s="59"/>
      <c r="B101" s="63"/>
      <c r="C101" s="18"/>
      <c r="D101" s="15"/>
      <c r="E101" s="15"/>
      <c r="F101" s="15"/>
      <c r="G101" s="15"/>
      <c r="H101" s="15"/>
      <c r="I101" s="18"/>
      <c r="J101" s="18"/>
      <c r="K101" s="18"/>
      <c r="L101" s="18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62"/>
    </row>
    <row r="102" spans="1:27" ht="13.5" thickBot="1" x14ac:dyDescent="0.4">
      <c r="A102" s="64"/>
      <c r="B102" s="65"/>
      <c r="C102" s="66"/>
      <c r="D102" s="67"/>
      <c r="E102" s="67"/>
      <c r="F102" s="67"/>
      <c r="G102" s="67"/>
      <c r="H102" s="67"/>
      <c r="I102" s="66"/>
      <c r="J102" s="66"/>
      <c r="K102" s="66"/>
      <c r="L102" s="66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70"/>
    </row>
    <row r="103" spans="1:27" ht="13.5" thickBot="1" x14ac:dyDescent="0.4">
      <c r="A103" s="4"/>
      <c r="B103" s="55"/>
      <c r="C103" s="4"/>
      <c r="D103" s="4"/>
      <c r="E103" s="4"/>
      <c r="F103" s="4"/>
      <c r="G103" s="4"/>
      <c r="H103" s="4"/>
      <c r="I103" s="41"/>
      <c r="J103" s="41"/>
      <c r="K103" s="41"/>
      <c r="L103" s="41"/>
      <c r="M103" s="42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</row>
    <row r="104" spans="1:27" s="43" customFormat="1" ht="25" customHeight="1" x14ac:dyDescent="0.35">
      <c r="A104" s="133" t="s">
        <v>65</v>
      </c>
      <c r="B104" s="134"/>
      <c r="C104" s="134"/>
      <c r="D104" s="134"/>
      <c r="E104" s="134"/>
      <c r="F104" s="134"/>
      <c r="G104" s="134"/>
      <c r="H104" s="134"/>
      <c r="I104" s="134"/>
      <c r="J104" s="134"/>
      <c r="K104" s="134"/>
      <c r="L104" s="134"/>
      <c r="M104" s="134"/>
      <c r="N104" s="134"/>
      <c r="O104" s="134"/>
      <c r="P104" s="134"/>
      <c r="Q104" s="134"/>
      <c r="R104" s="134"/>
      <c r="S104" s="134"/>
      <c r="T104" s="134"/>
      <c r="U104" s="134"/>
      <c r="V104" s="134"/>
      <c r="W104" s="134"/>
      <c r="X104" s="134"/>
      <c r="Y104" s="134"/>
      <c r="Z104" s="134"/>
      <c r="AA104" s="135"/>
    </row>
    <row r="105" spans="1:27" x14ac:dyDescent="0.35">
      <c r="A105" s="136" t="s">
        <v>66</v>
      </c>
      <c r="B105" s="137"/>
      <c r="C105" s="44"/>
      <c r="D105" s="15"/>
      <c r="E105" s="15"/>
      <c r="F105" s="15"/>
      <c r="G105" s="15"/>
      <c r="H105" s="15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5"/>
      <c r="X105" s="15"/>
      <c r="Y105" s="15"/>
      <c r="Z105" s="15"/>
      <c r="AA105" s="20"/>
    </row>
    <row r="106" spans="1:27" ht="13.5" thickBot="1" x14ac:dyDescent="0.4">
      <c r="A106" s="122" t="s">
        <v>67</v>
      </c>
      <c r="B106" s="123"/>
      <c r="C106" s="45"/>
      <c r="D106" s="21"/>
      <c r="E106" s="21"/>
      <c r="F106" s="21"/>
      <c r="G106" s="21"/>
      <c r="H106" s="21"/>
      <c r="I106" s="22"/>
      <c r="J106" s="22"/>
      <c r="K106" s="22"/>
      <c r="L106" s="22"/>
      <c r="M106" s="23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4"/>
    </row>
    <row r="107" spans="1:27" x14ac:dyDescent="0.35">
      <c r="A107" s="4"/>
      <c r="B107" s="55"/>
      <c r="C107" s="4"/>
      <c r="D107" s="4"/>
      <c r="E107" s="4"/>
      <c r="F107" s="4"/>
      <c r="G107" s="4"/>
      <c r="H107" s="4"/>
      <c r="I107" s="41"/>
      <c r="J107" s="41"/>
      <c r="K107" s="41"/>
      <c r="L107" s="41"/>
      <c r="M107" s="42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</row>
    <row r="108" spans="1:27" s="5" customFormat="1" x14ac:dyDescent="0.35">
      <c r="A108" s="124" t="s">
        <v>63</v>
      </c>
      <c r="B108" s="124"/>
      <c r="C108" s="7">
        <f t="shared" ref="C108:AA108" si="0">IF(C105&lt;&gt;"",C105,MIN(C$3:C$102))</f>
        <v>0.8510640052309969</v>
      </c>
      <c r="D108" s="7">
        <f t="shared" si="0"/>
        <v>0</v>
      </c>
      <c r="E108" s="7">
        <f t="shared" si="0"/>
        <v>0</v>
      </c>
      <c r="F108" s="7">
        <f t="shared" si="0"/>
        <v>0</v>
      </c>
      <c r="G108" s="7">
        <f t="shared" si="0"/>
        <v>0</v>
      </c>
      <c r="H108" s="8">
        <f t="shared" si="0"/>
        <v>0.29574268608402715</v>
      </c>
      <c r="I108" s="7">
        <f t="shared" si="0"/>
        <v>0</v>
      </c>
      <c r="J108" s="7">
        <f t="shared" si="0"/>
        <v>0</v>
      </c>
      <c r="K108" s="7">
        <f t="shared" si="0"/>
        <v>0</v>
      </c>
      <c r="L108" s="7">
        <f t="shared" si="0"/>
        <v>0</v>
      </c>
      <c r="M108" s="8">
        <f t="shared" si="0"/>
        <v>4.8613400000000002</v>
      </c>
      <c r="N108" s="6">
        <f t="shared" si="0"/>
        <v>0</v>
      </c>
      <c r="O108" s="6">
        <f t="shared" si="0"/>
        <v>0</v>
      </c>
      <c r="P108" s="6">
        <f t="shared" si="0"/>
        <v>0</v>
      </c>
      <c r="Q108" s="6">
        <f t="shared" si="0"/>
        <v>0</v>
      </c>
      <c r="R108" s="7">
        <f t="shared" si="0"/>
        <v>0</v>
      </c>
      <c r="S108" s="6">
        <f t="shared" si="0"/>
        <v>0</v>
      </c>
      <c r="T108" s="6">
        <f t="shared" si="0"/>
        <v>0</v>
      </c>
      <c r="U108" s="7">
        <f t="shared" si="0"/>
        <v>0</v>
      </c>
      <c r="V108" s="6">
        <f t="shared" si="0"/>
        <v>0</v>
      </c>
      <c r="W108" s="6">
        <f t="shared" si="0"/>
        <v>0</v>
      </c>
      <c r="X108" s="6">
        <f t="shared" si="0"/>
        <v>0</v>
      </c>
      <c r="Y108" s="6">
        <f t="shared" si="0"/>
        <v>0</v>
      </c>
      <c r="Z108" s="6">
        <f t="shared" si="0"/>
        <v>0</v>
      </c>
      <c r="AA108" s="6">
        <f t="shared" si="0"/>
        <v>0</v>
      </c>
    </row>
    <row r="109" spans="1:27" s="5" customFormat="1" x14ac:dyDescent="0.35">
      <c r="A109" s="124" t="s">
        <v>64</v>
      </c>
      <c r="B109" s="124"/>
      <c r="C109" s="7">
        <f t="shared" ref="C109:AA109" si="1">IF(C106&lt;&gt;"",C106,MAX(C$3:C$102))</f>
        <v>0.99629268099502244</v>
      </c>
      <c r="D109" s="7">
        <f t="shared" si="1"/>
        <v>0</v>
      </c>
      <c r="E109" s="7">
        <f t="shared" si="1"/>
        <v>0</v>
      </c>
      <c r="F109" s="7">
        <f t="shared" si="1"/>
        <v>0</v>
      </c>
      <c r="G109" s="7">
        <f t="shared" si="1"/>
        <v>0</v>
      </c>
      <c r="H109" s="6">
        <f t="shared" si="1"/>
        <v>87.407065961315496</v>
      </c>
      <c r="I109" s="7">
        <f t="shared" si="1"/>
        <v>0.17563388991960421</v>
      </c>
      <c r="J109" s="7">
        <f t="shared" si="1"/>
        <v>0</v>
      </c>
      <c r="K109" s="7">
        <f t="shared" si="1"/>
        <v>0</v>
      </c>
      <c r="L109" s="7">
        <f t="shared" si="1"/>
        <v>0</v>
      </c>
      <c r="M109" s="8">
        <f t="shared" si="1"/>
        <v>48.106459999999998</v>
      </c>
      <c r="N109" s="6">
        <f t="shared" si="1"/>
        <v>0</v>
      </c>
      <c r="O109" s="6">
        <f t="shared" si="1"/>
        <v>0</v>
      </c>
      <c r="P109" s="6">
        <f t="shared" si="1"/>
        <v>0</v>
      </c>
      <c r="Q109" s="6">
        <f t="shared" si="1"/>
        <v>0</v>
      </c>
      <c r="R109" s="7">
        <f t="shared" si="1"/>
        <v>0</v>
      </c>
      <c r="S109" s="6">
        <f t="shared" si="1"/>
        <v>0</v>
      </c>
      <c r="T109" s="6">
        <f t="shared" si="1"/>
        <v>0</v>
      </c>
      <c r="U109" s="7">
        <f t="shared" si="1"/>
        <v>0</v>
      </c>
      <c r="V109" s="6">
        <f t="shared" si="1"/>
        <v>0</v>
      </c>
      <c r="W109" s="6">
        <f t="shared" si="1"/>
        <v>0</v>
      </c>
      <c r="X109" s="6">
        <f t="shared" si="1"/>
        <v>0</v>
      </c>
      <c r="Y109" s="6">
        <f t="shared" si="1"/>
        <v>0</v>
      </c>
      <c r="Z109" s="6">
        <f t="shared" si="1"/>
        <v>0</v>
      </c>
      <c r="AA109" s="6">
        <f t="shared" si="1"/>
        <v>0</v>
      </c>
    </row>
    <row r="112" spans="1:27" x14ac:dyDescent="0.35">
      <c r="N112" s="1" t="s">
        <v>70</v>
      </c>
    </row>
  </sheetData>
  <autoFilter ref="A2:W54" xr:uid="{80AF1C0B-A400-40A0-A28E-0B29E8BFADCA}"/>
  <mergeCells count="10">
    <mergeCell ref="C1:G1"/>
    <mergeCell ref="H1:L1"/>
    <mergeCell ref="M1:AA1"/>
    <mergeCell ref="A104:AA104"/>
    <mergeCell ref="A105:B105"/>
    <mergeCell ref="A106:B106"/>
    <mergeCell ref="A108:B108"/>
    <mergeCell ref="A109:B109"/>
    <mergeCell ref="A1:A2"/>
    <mergeCell ref="B1:B2"/>
  </mergeCells>
  <conditionalFormatting sqref="A3:A102">
    <cfRule type="expression" dxfId="232" priority="1">
      <formula>A3&lt;&gt;""</formula>
    </cfRule>
  </conditionalFormatting>
  <conditionalFormatting sqref="B3:B102">
    <cfRule type="expression" dxfId="231" priority="2">
      <formula>B3&lt;&gt;""</formula>
    </cfRule>
  </conditionalFormatting>
  <conditionalFormatting sqref="C3:C102">
    <cfRule type="expression" dxfId="230" priority="3">
      <formula>C3&lt;&gt;""</formula>
    </cfRule>
  </conditionalFormatting>
  <conditionalFormatting sqref="D3:D102">
    <cfRule type="expression" dxfId="229" priority="4">
      <formula>D3&lt;&gt;""</formula>
    </cfRule>
  </conditionalFormatting>
  <conditionalFormatting sqref="E3:E102">
    <cfRule type="expression" dxfId="228" priority="5">
      <formula>E3&lt;&gt;""</formula>
    </cfRule>
  </conditionalFormatting>
  <conditionalFormatting sqref="F3:F102">
    <cfRule type="expression" dxfId="227" priority="6">
      <formula>F3&lt;&gt;""</formula>
    </cfRule>
  </conditionalFormatting>
  <conditionalFormatting sqref="G3:G102">
    <cfRule type="expression" dxfId="226" priority="7">
      <formula>G3&lt;&gt;""</formula>
    </cfRule>
  </conditionalFormatting>
  <conditionalFormatting sqref="H3:H102">
    <cfRule type="expression" dxfId="225" priority="8">
      <formula>H3&lt;&gt;""</formula>
    </cfRule>
  </conditionalFormatting>
  <conditionalFormatting sqref="I3:I102">
    <cfRule type="expression" dxfId="224" priority="9">
      <formula>I3&lt;&gt;""</formula>
    </cfRule>
  </conditionalFormatting>
  <conditionalFormatting sqref="J3:J102">
    <cfRule type="expression" dxfId="223" priority="10">
      <formula>J3&lt;&gt;""</formula>
    </cfRule>
  </conditionalFormatting>
  <conditionalFormatting sqref="K3:K102">
    <cfRule type="expression" dxfId="222" priority="11">
      <formula>K3&lt;&gt;""</formula>
    </cfRule>
  </conditionalFormatting>
  <conditionalFormatting sqref="L3:L102">
    <cfRule type="expression" dxfId="221" priority="12">
      <formula>L3&lt;&gt;""</formula>
    </cfRule>
  </conditionalFormatting>
  <conditionalFormatting sqref="M3:M102">
    <cfRule type="expression" dxfId="220" priority="13">
      <formula>M3&lt;&gt;""</formula>
    </cfRule>
  </conditionalFormatting>
  <conditionalFormatting sqref="N3:N102">
    <cfRule type="expression" dxfId="219" priority="14">
      <formula>N3&lt;&gt;""</formula>
    </cfRule>
  </conditionalFormatting>
  <conditionalFormatting sqref="O3:O102">
    <cfRule type="expression" dxfId="218" priority="15">
      <formula>O3&lt;&gt;""</formula>
    </cfRule>
  </conditionalFormatting>
  <conditionalFormatting sqref="P3:P102">
    <cfRule type="expression" dxfId="217" priority="16">
      <formula>P3&lt;&gt;""</formula>
    </cfRule>
  </conditionalFormatting>
  <conditionalFormatting sqref="Q3:Q102">
    <cfRule type="expression" dxfId="216" priority="17">
      <formula>Q3&lt;&gt;""</formula>
    </cfRule>
  </conditionalFormatting>
  <conditionalFormatting sqref="R3:R102">
    <cfRule type="expression" dxfId="215" priority="18">
      <formula>R3&lt;&gt;""</formula>
    </cfRule>
  </conditionalFormatting>
  <conditionalFormatting sqref="S3:S102">
    <cfRule type="expression" dxfId="214" priority="19">
      <formula>S3&lt;&gt;""</formula>
    </cfRule>
  </conditionalFormatting>
  <conditionalFormatting sqref="T3:T102">
    <cfRule type="expression" dxfId="213" priority="20">
      <formula>T3&lt;&gt;""</formula>
    </cfRule>
  </conditionalFormatting>
  <conditionalFormatting sqref="U3:U102">
    <cfRule type="expression" dxfId="212" priority="21">
      <formula>U3&lt;&gt;""</formula>
    </cfRule>
  </conditionalFormatting>
  <conditionalFormatting sqref="V3:V102">
    <cfRule type="expression" dxfId="211" priority="22">
      <formula>V3&lt;&gt;""</formula>
    </cfRule>
  </conditionalFormatting>
  <conditionalFormatting sqref="W3:W102">
    <cfRule type="expression" dxfId="210" priority="23">
      <formula>W3&lt;&gt;""</formula>
    </cfRule>
  </conditionalFormatting>
  <conditionalFormatting sqref="X3:X102">
    <cfRule type="expression" dxfId="209" priority="24">
      <formula>X3&lt;&gt;""</formula>
    </cfRule>
  </conditionalFormatting>
  <conditionalFormatting sqref="Y3:Y102">
    <cfRule type="expression" dxfId="208" priority="25">
      <formula>Y3&lt;&gt;""</formula>
    </cfRule>
  </conditionalFormatting>
  <conditionalFormatting sqref="Z3:Z102">
    <cfRule type="expression" dxfId="207" priority="26">
      <formula>Z3&lt;&gt;""</formula>
    </cfRule>
  </conditionalFormatting>
  <conditionalFormatting sqref="AA3:AA102">
    <cfRule type="expression" dxfId="206" priority="27">
      <formula>AA3&lt;&gt;""</formula>
    </cfRule>
  </conditionalFormatting>
  <conditionalFormatting sqref="C2:G2">
    <cfRule type="expression" dxfId="205" priority="28">
      <formula>C2&lt;&gt;""</formula>
    </cfRule>
  </conditionalFormatting>
  <conditionalFormatting sqref="H2:L2">
    <cfRule type="expression" dxfId="204" priority="31">
      <formula>H2&lt;&gt;""</formula>
    </cfRule>
  </conditionalFormatting>
  <conditionalFormatting sqref="M2:AA2">
    <cfRule type="expression" dxfId="203" priority="34">
      <formula>M2&lt;&gt;""</formula>
    </cfRule>
  </conditionalFormatting>
  <conditionalFormatting sqref="C105:G105">
    <cfRule type="expression" dxfId="202" priority="29">
      <formula>C105&lt;&gt;""</formula>
    </cfRule>
  </conditionalFormatting>
  <conditionalFormatting sqref="C106:G106">
    <cfRule type="expression" dxfId="201" priority="30">
      <formula>C106&lt;&gt;""</formula>
    </cfRule>
  </conditionalFormatting>
  <conditionalFormatting sqref="H105:V105">
    <cfRule type="expression" dxfId="200" priority="32">
      <formula>H105&lt;&gt;""</formula>
    </cfRule>
  </conditionalFormatting>
  <conditionalFormatting sqref="H106:L106">
    <cfRule type="expression" dxfId="199" priority="33">
      <formula>H106&lt;&gt;""</formula>
    </cfRule>
  </conditionalFormatting>
  <conditionalFormatting sqref="W105:AA105">
    <cfRule type="expression" dxfId="198" priority="35">
      <formula>W105&lt;&gt;""</formula>
    </cfRule>
  </conditionalFormatting>
  <conditionalFormatting sqref="M106:AA106">
    <cfRule type="expression" dxfId="197" priority="36">
      <formula>M106&lt;&gt;""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3F7EA-D855-46C2-AA0A-14F17CF1DEBD}">
  <sheetPr codeName="Sheet3">
    <tabColor theme="3" tint="0.39997558519241921"/>
  </sheetPr>
  <dimension ref="A1:AY151"/>
  <sheetViews>
    <sheetView zoomScale="50" zoomScaleNormal="50" workbookViewId="0">
      <selection activeCell="E23" sqref="E23"/>
    </sheetView>
  </sheetViews>
  <sheetFormatPr defaultColWidth="9.1796875" defaultRowHeight="13" x14ac:dyDescent="0.3"/>
  <cols>
    <col min="1" max="2" width="4.26953125" style="2" customWidth="1"/>
    <col min="3" max="7" width="22.7265625" style="2" customWidth="1"/>
    <col min="8" max="8" width="46.453125" style="2" customWidth="1"/>
    <col min="9" max="78" width="4.26953125" style="2" customWidth="1"/>
    <col min="79" max="16384" width="9.1796875" style="2"/>
  </cols>
  <sheetData>
    <row r="1" spans="1:51" ht="22.5" customHeight="1" x14ac:dyDescent="0.3">
      <c r="A1" s="34"/>
      <c r="B1" s="34"/>
      <c r="C1" s="34"/>
      <c r="D1" s="34"/>
      <c r="E1" s="34"/>
      <c r="F1" s="34"/>
      <c r="G1" s="34"/>
      <c r="H1" s="34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</row>
    <row r="2" spans="1:51" ht="22.5" customHeight="1" thickBot="1" x14ac:dyDescent="0.35">
      <c r="A2" s="34"/>
      <c r="B2" s="34"/>
      <c r="C2" s="34"/>
      <c r="D2" s="34"/>
      <c r="E2" s="34"/>
      <c r="F2" s="34"/>
      <c r="G2" s="34"/>
      <c r="H2" s="34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</row>
    <row r="3" spans="1:51" ht="22.5" customHeight="1" thickBot="1" x14ac:dyDescent="0.35">
      <c r="A3" s="34"/>
      <c r="B3" s="34"/>
      <c r="C3" s="138" t="s">
        <v>60</v>
      </c>
      <c r="D3" s="138"/>
      <c r="E3" s="138"/>
      <c r="F3" s="138"/>
      <c r="G3" s="25">
        <f>SUM(C5:G5)</f>
        <v>1</v>
      </c>
      <c r="H3" s="40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</row>
    <row r="4" spans="1:51" s="13" customFormat="1" ht="35.15" customHeight="1" thickBot="1" x14ac:dyDescent="0.4">
      <c r="A4" s="38"/>
      <c r="B4" s="38"/>
      <c r="C4" s="29" t="str">
        <f>IF('Data input'!C2&lt;&gt;"",'Data input'!C2,"")</f>
        <v>Reliability (%)</v>
      </c>
      <c r="D4" s="29" t="str">
        <f>IF('Data input'!D2&lt;&gt;"",'Data input'!D2,"")</f>
        <v/>
      </c>
      <c r="E4" s="29" t="str">
        <f>IF('Data input'!E2&lt;&gt;"",'Data input'!E2,"")</f>
        <v/>
      </c>
      <c r="F4" s="29" t="str">
        <f>IF('Data input'!F2&lt;&gt;"",'Data input'!F2,"")</f>
        <v/>
      </c>
      <c r="G4" s="29" t="str">
        <f>IF('Data input'!G2&lt;&gt;"",'Data input'!G2,"")</f>
        <v/>
      </c>
      <c r="H4" s="38"/>
      <c r="I4" s="140"/>
      <c r="J4" s="140"/>
      <c r="K4" s="140"/>
      <c r="L4" s="140"/>
      <c r="M4" s="140"/>
      <c r="N4" s="12"/>
      <c r="O4" s="140"/>
      <c r="P4" s="140"/>
      <c r="Q4" s="140"/>
      <c r="R4" s="140"/>
      <c r="S4" s="140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</row>
    <row r="5" spans="1:51" ht="22.5" customHeight="1" thickBot="1" x14ac:dyDescent="0.35">
      <c r="A5" s="34"/>
      <c r="B5" s="34"/>
      <c r="C5" s="26">
        <v>1</v>
      </c>
      <c r="D5" s="26"/>
      <c r="E5" s="26"/>
      <c r="F5" s="26"/>
      <c r="G5" s="26"/>
      <c r="H5" s="34"/>
      <c r="I5" s="141"/>
      <c r="J5" s="141"/>
      <c r="K5" s="141"/>
      <c r="L5" s="141"/>
      <c r="M5" s="141"/>
      <c r="N5" s="9"/>
      <c r="O5" s="141"/>
      <c r="P5" s="141"/>
      <c r="Q5" s="141"/>
      <c r="R5" s="141"/>
      <c r="S5" s="141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</row>
    <row r="6" spans="1:51" ht="22.5" customHeight="1" thickBot="1" x14ac:dyDescent="0.35">
      <c r="A6" s="34"/>
      <c r="B6" s="34"/>
      <c r="C6" s="34"/>
      <c r="D6" s="34"/>
      <c r="E6" s="34"/>
      <c r="F6" s="34"/>
      <c r="G6" s="34"/>
      <c r="H6" s="34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</row>
    <row r="7" spans="1:51" ht="22.5" customHeight="1" thickBot="1" x14ac:dyDescent="0.35">
      <c r="A7" s="34"/>
      <c r="B7" s="34"/>
      <c r="C7" s="139" t="s">
        <v>61</v>
      </c>
      <c r="D7" s="139"/>
      <c r="E7" s="139"/>
      <c r="F7" s="139"/>
      <c r="G7" s="28">
        <f>SUM(C9:G9)</f>
        <v>1</v>
      </c>
      <c r="H7" s="34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</row>
    <row r="8" spans="1:51" s="31" customFormat="1" ht="35.15" customHeight="1" thickBot="1" x14ac:dyDescent="0.35">
      <c r="A8" s="39"/>
      <c r="B8" s="39"/>
      <c r="C8" s="29" t="str">
        <f>IF('Data input'!H2&lt;&gt;"",'Data input'!H2,"")</f>
        <v>Maintenance costs (USD/m2)</v>
      </c>
      <c r="D8" s="29" t="str">
        <f>IF('Data input'!I2&lt;&gt;"",'Data input'!I2,"")</f>
        <v>Outdated data (%)</v>
      </c>
      <c r="E8" s="29" t="str">
        <f>IF('Data input'!J2&lt;&gt;"",'Data input'!J2,"")</f>
        <v/>
      </c>
      <c r="F8" s="29" t="str">
        <f>IF('Data input'!K2&lt;&gt;"",'Data input'!K2,"")</f>
        <v/>
      </c>
      <c r="G8" s="29" t="str">
        <f>IF('Data input'!L2&lt;&gt;"",'Data input'!L2,"")</f>
        <v/>
      </c>
      <c r="H8" s="39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</row>
    <row r="9" spans="1:51" ht="22.5" customHeight="1" thickBot="1" x14ac:dyDescent="0.35">
      <c r="A9" s="34"/>
      <c r="B9" s="34"/>
      <c r="C9" s="26">
        <v>0.5</v>
      </c>
      <c r="D9" s="26">
        <v>0.5</v>
      </c>
      <c r="E9" s="26"/>
      <c r="F9" s="26"/>
      <c r="G9" s="26"/>
      <c r="H9" s="34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</row>
    <row r="10" spans="1:51" ht="22.5" customHeight="1" thickBot="1" x14ac:dyDescent="0.35">
      <c r="A10" s="34"/>
      <c r="B10" s="34"/>
      <c r="C10" s="34"/>
      <c r="D10" s="34"/>
      <c r="E10" s="34"/>
      <c r="F10" s="34"/>
      <c r="G10" s="34"/>
      <c r="H10" s="34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</row>
    <row r="11" spans="1:51" ht="45" customHeight="1" thickBot="1" x14ac:dyDescent="0.35">
      <c r="A11" s="34"/>
      <c r="B11" s="34"/>
      <c r="C11" s="32" t="s">
        <v>62</v>
      </c>
      <c r="D11" s="33">
        <v>1</v>
      </c>
      <c r="E11" s="36"/>
      <c r="F11" s="37"/>
      <c r="G11" s="37"/>
      <c r="H11" s="35"/>
      <c r="I11" s="142"/>
      <c r="J11" s="142"/>
      <c r="K11" s="142"/>
      <c r="L11" s="142"/>
      <c r="M11" s="142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</row>
    <row r="12" spans="1:51" ht="22.5" customHeight="1" x14ac:dyDescent="0.3">
      <c r="A12" s="34"/>
      <c r="B12" s="34"/>
      <c r="C12" s="35"/>
      <c r="D12" s="35"/>
      <c r="E12" s="35"/>
      <c r="F12" s="35"/>
      <c r="G12" s="35"/>
      <c r="H12" s="35"/>
      <c r="I12" s="10"/>
      <c r="J12" s="10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</row>
    <row r="13" spans="1:51" ht="22.5" customHeight="1" x14ac:dyDescent="0.3">
      <c r="A13" s="34"/>
      <c r="B13" s="34"/>
      <c r="C13" s="35"/>
      <c r="D13" s="35"/>
      <c r="E13" s="35"/>
      <c r="F13" s="35"/>
      <c r="G13" s="35"/>
      <c r="H13" s="35"/>
      <c r="I13" s="10"/>
      <c r="J13" s="10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</row>
    <row r="14" spans="1:51" ht="22.5" customHeight="1" x14ac:dyDescent="0.3">
      <c r="A14" s="9"/>
      <c r="B14" s="9"/>
      <c r="C14" s="10"/>
      <c r="D14" s="10"/>
      <c r="E14" s="10"/>
      <c r="F14" s="10"/>
      <c r="G14" s="10"/>
      <c r="H14" s="10"/>
      <c r="I14" s="10"/>
      <c r="J14" s="10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</row>
    <row r="15" spans="1:51" s="9" customFormat="1" ht="22.5" customHeight="1" x14ac:dyDescent="0.3">
      <c r="C15" s="143" t="s">
        <v>54</v>
      </c>
      <c r="D15" s="143"/>
      <c r="E15" s="143"/>
      <c r="F15" s="143"/>
      <c r="G15" s="143"/>
      <c r="H15" s="10"/>
      <c r="I15" s="10"/>
      <c r="J15" s="10"/>
    </row>
    <row r="16" spans="1:51" s="9" customFormat="1" ht="22.5" customHeight="1" x14ac:dyDescent="0.3">
      <c r="C16" s="143"/>
      <c r="D16" s="143"/>
      <c r="E16" s="143"/>
      <c r="F16" s="143"/>
      <c r="G16" s="143"/>
      <c r="H16" s="10"/>
      <c r="I16" s="10"/>
      <c r="J16" s="10"/>
    </row>
    <row r="17" spans="1:51" s="9" customFormat="1" ht="22.5" customHeight="1" x14ac:dyDescent="0.3"/>
    <row r="18" spans="1:51" ht="22.5" customHeight="1" x14ac:dyDescent="0.3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</row>
    <row r="19" spans="1:51" ht="22.5" customHeight="1" x14ac:dyDescent="0.3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</row>
    <row r="20" spans="1:51" ht="22.5" customHeight="1" x14ac:dyDescent="0.3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</row>
    <row r="21" spans="1:51" ht="22.5" customHeight="1" x14ac:dyDescent="0.3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</row>
    <row r="22" spans="1:51" ht="22.5" customHeight="1" x14ac:dyDescent="0.3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</row>
    <row r="23" spans="1:51" ht="22.5" customHeight="1" x14ac:dyDescent="0.3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</row>
    <row r="24" spans="1:51" ht="22.5" customHeight="1" x14ac:dyDescent="0.3"/>
    <row r="25" spans="1:51" ht="22.5" customHeight="1" x14ac:dyDescent="0.3"/>
    <row r="26" spans="1:51" ht="22.5" customHeight="1" x14ac:dyDescent="0.3"/>
    <row r="27" spans="1:51" ht="22.5" customHeight="1" x14ac:dyDescent="0.3"/>
    <row r="28" spans="1:51" ht="22.5" customHeight="1" x14ac:dyDescent="0.3"/>
    <row r="29" spans="1:51" ht="22.5" customHeight="1" x14ac:dyDescent="0.3"/>
    <row r="30" spans="1:51" ht="22.5" customHeight="1" x14ac:dyDescent="0.3"/>
    <row r="31" spans="1:51" ht="22.5" customHeight="1" x14ac:dyDescent="0.3"/>
    <row r="32" spans="1:51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spans="3:18" ht="22.5" customHeight="1" x14ac:dyDescent="0.3"/>
    <row r="98" spans="3:18" ht="22.5" customHeight="1" x14ac:dyDescent="0.3"/>
    <row r="99" spans="3:18" ht="22.5" customHeight="1" x14ac:dyDescent="0.3"/>
    <row r="100" spans="3:18" ht="22.5" customHeight="1" x14ac:dyDescent="0.3"/>
    <row r="101" spans="3:18" ht="22.5" customHeight="1" x14ac:dyDescent="0.3"/>
    <row r="102" spans="3:18" ht="22.5" customHeight="1" x14ac:dyDescent="0.3"/>
    <row r="103" spans="3:18" ht="22.5" customHeight="1" x14ac:dyDescent="0.3"/>
    <row r="104" spans="3:18" ht="22.5" customHeight="1" x14ac:dyDescent="0.3"/>
    <row r="105" spans="3:18" ht="22.5" customHeight="1" x14ac:dyDescent="0.3"/>
    <row r="106" spans="3:18" ht="22.5" customHeight="1" x14ac:dyDescent="0.3"/>
    <row r="107" spans="3:18" ht="22.5" customHeight="1" x14ac:dyDescent="0.3"/>
    <row r="108" spans="3:18" ht="22.5" customHeight="1" x14ac:dyDescent="0.3"/>
    <row r="109" spans="3:18" ht="22.5" customHeight="1" x14ac:dyDescent="0.3">
      <c r="R109" s="2">
        <v>0</v>
      </c>
    </row>
    <row r="110" spans="3:18" ht="22.5" customHeight="1" x14ac:dyDescent="0.3">
      <c r="C110" s="2">
        <v>0</v>
      </c>
      <c r="D110" s="2">
        <v>0</v>
      </c>
      <c r="E110" s="2">
        <v>0</v>
      </c>
      <c r="F110" s="2">
        <v>0</v>
      </c>
      <c r="R110" s="2">
        <v>0</v>
      </c>
    </row>
    <row r="111" spans="3:18" ht="22.5" customHeight="1" x14ac:dyDescent="0.3">
      <c r="C111" s="2">
        <v>0</v>
      </c>
      <c r="D111" s="2">
        <v>0</v>
      </c>
      <c r="E111" s="2">
        <v>0</v>
      </c>
      <c r="F111" s="2">
        <v>0</v>
      </c>
    </row>
    <row r="112" spans="3:18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ht="22.5" customHeight="1" x14ac:dyDescent="0.3"/>
    <row r="146" ht="22.5" customHeight="1" x14ac:dyDescent="0.3"/>
    <row r="147" ht="22.5" customHeight="1" x14ac:dyDescent="0.3"/>
    <row r="148" ht="22.5" customHeight="1" x14ac:dyDescent="0.3"/>
    <row r="149" ht="22.5" customHeight="1" x14ac:dyDescent="0.3"/>
    <row r="150" ht="22.5" customHeight="1" x14ac:dyDescent="0.3"/>
    <row r="151" ht="22.5" customHeight="1" x14ac:dyDescent="0.3"/>
  </sheetData>
  <mergeCells count="8">
    <mergeCell ref="I11:M11"/>
    <mergeCell ref="C15:G16"/>
    <mergeCell ref="C3:F3"/>
    <mergeCell ref="C7:F7"/>
    <mergeCell ref="I4:M4"/>
    <mergeCell ref="O4:S4"/>
    <mergeCell ref="I5:M5"/>
    <mergeCell ref="O5:S5"/>
  </mergeCells>
  <conditionalFormatting sqref="C4:G4">
    <cfRule type="expression" dxfId="196" priority="2">
      <formula>C4&lt;&gt;""</formula>
    </cfRule>
  </conditionalFormatting>
  <conditionalFormatting sqref="C5:G5">
    <cfRule type="expression" dxfId="195" priority="3">
      <formula>C5&lt;&gt;""</formula>
    </cfRule>
    <cfRule type="expression" dxfId="194" priority="4">
      <formula>$G$3&lt;&gt;100%</formula>
    </cfRule>
  </conditionalFormatting>
  <conditionalFormatting sqref="C8:G8">
    <cfRule type="expression" dxfId="193" priority="5">
      <formula>C8&lt;&gt;""</formula>
    </cfRule>
  </conditionalFormatting>
  <conditionalFormatting sqref="C9:G9">
    <cfRule type="expression" dxfId="192" priority="6">
      <formula>C9&lt;&gt;""</formula>
    </cfRule>
    <cfRule type="expression" dxfId="191" priority="7">
      <formula>$G$7&lt;&gt;100%</formula>
    </cfRule>
  </conditionalFormatting>
  <conditionalFormatting sqref="D11">
    <cfRule type="expression" dxfId="190" priority="1">
      <formula>D11&lt;&gt;""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7521" r:id="rId4" name="AnalyzeAll">
          <controlPr defaultSize="0" autoLine="0" r:id="rId5">
            <anchor moveWithCells="1">
              <from>
                <xdr:col>6</xdr:col>
                <xdr:colOff>88900</xdr:colOff>
                <xdr:row>9</xdr:row>
                <xdr:rowOff>279400</xdr:rowOff>
              </from>
              <to>
                <xdr:col>7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7521" r:id="rId4" name="AnalyzeAll"/>
      </mc:Fallback>
    </mc:AlternateContent>
    <mc:AlternateContent xmlns:mc="http://schemas.openxmlformats.org/markup-compatibility/2006">
      <mc:Choice Requires="x14">
        <control shapeId="107522" r:id="rId6" name="Individual">
          <controlPr defaultSize="0" autoLine="0" r:id="rId7">
            <anchor moveWithCells="1">
              <from>
                <xdr:col>5</xdr:col>
                <xdr:colOff>76200</xdr:colOff>
                <xdr:row>9</xdr:row>
                <xdr:rowOff>279400</xdr:rowOff>
              </from>
              <to>
                <xdr:col>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7522" r:id="rId6" name="Individua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C7A58-422F-497F-9DDB-B6C57FD75F21}">
  <sheetPr codeName="Sheet11">
    <tabColor theme="5"/>
  </sheetPr>
  <dimension ref="A1:JO115"/>
  <sheetViews>
    <sheetView zoomScale="70" zoomScaleNormal="70" workbookViewId="0">
      <pane xSplit="2" ySplit="2" topLeftCell="AC3" activePane="bottomRight" state="frozen"/>
      <selection pane="topRight" activeCell="C1" sqref="C1"/>
      <selection pane="bottomLeft" activeCell="A3" sqref="A3"/>
      <selection pane="bottomRight" activeCell="AE16" sqref="AE16"/>
    </sheetView>
  </sheetViews>
  <sheetFormatPr defaultColWidth="9.1796875" defaultRowHeight="13" x14ac:dyDescent="0.35"/>
  <cols>
    <col min="1" max="1" width="9.1796875" style="1" customWidth="1"/>
    <col min="2" max="2" width="20.453125" style="1" customWidth="1"/>
    <col min="3" max="27" width="14.54296875" style="1" customWidth="1"/>
    <col min="28" max="28" width="18.1796875" style="1" customWidth="1"/>
    <col min="29" max="30" width="9.1796875" style="1"/>
    <col min="31" max="31" width="22.7265625" style="1" customWidth="1"/>
    <col min="32" max="32" width="9.1796875" style="1" customWidth="1"/>
    <col min="33" max="33" width="20.453125" style="1" customWidth="1"/>
    <col min="34" max="75" width="18.1796875" style="1" customWidth="1"/>
    <col min="76" max="16384" width="9.1796875" style="1"/>
  </cols>
  <sheetData>
    <row r="1" spans="1:275" s="14" customFormat="1" ht="20.149999999999999" customHeight="1" x14ac:dyDescent="0.35">
      <c r="A1" s="125" t="s">
        <v>0</v>
      </c>
      <c r="B1" s="146" t="s">
        <v>2</v>
      </c>
      <c r="C1" s="129" t="s">
        <v>59</v>
      </c>
      <c r="D1" s="129"/>
      <c r="E1" s="129"/>
      <c r="F1" s="129"/>
      <c r="G1" s="129"/>
      <c r="H1" s="130" t="s">
        <v>58</v>
      </c>
      <c r="I1" s="130"/>
      <c r="J1" s="130"/>
      <c r="K1" s="130"/>
      <c r="L1" s="130"/>
      <c r="M1" s="131" t="s">
        <v>57</v>
      </c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2"/>
      <c r="AB1" s="76"/>
      <c r="AC1" s="148"/>
      <c r="AD1" s="148"/>
      <c r="AE1" s="150">
        <v>50</v>
      </c>
      <c r="AF1" s="152" t="str">
        <f>A1</f>
        <v>Index</v>
      </c>
      <c r="AG1" s="154" t="str">
        <f>B1</f>
        <v>DMU</v>
      </c>
      <c r="AH1" s="144" t="str">
        <f>IF(C2&lt;&gt;"",C2&amp;" (slacks)","")</f>
        <v>Reliability (%) (slacks)</v>
      </c>
      <c r="AI1" s="144" t="str">
        <f t="shared" ref="AI1:AQ1" si="0">IF(D2&lt;&gt;"",D2&amp;" (slacks)","")</f>
        <v/>
      </c>
      <c r="AJ1" s="144" t="str">
        <f t="shared" si="0"/>
        <v/>
      </c>
      <c r="AK1" s="144" t="str">
        <f t="shared" si="0"/>
        <v/>
      </c>
      <c r="AL1" s="144" t="str">
        <f t="shared" si="0"/>
        <v/>
      </c>
      <c r="AM1" s="144" t="str">
        <f t="shared" si="0"/>
        <v>Maintenance costs (USD/m2) (slacks)</v>
      </c>
      <c r="AN1" s="144" t="str">
        <f t="shared" si="0"/>
        <v>Outdated data (%) (slacks)</v>
      </c>
      <c r="AO1" s="144" t="str">
        <f t="shared" si="0"/>
        <v/>
      </c>
      <c r="AP1" s="144" t="str">
        <f t="shared" si="0"/>
        <v/>
      </c>
      <c r="AQ1" s="144" t="str">
        <f t="shared" si="0"/>
        <v/>
      </c>
      <c r="AR1" s="154" t="s">
        <v>56</v>
      </c>
      <c r="AS1" s="156" t="str">
        <f>IF(C2&lt;&gt;"",C2&amp;" (Target normalized)","")</f>
        <v>Reliability (%) (Target normalized)</v>
      </c>
      <c r="AT1" s="156" t="str">
        <f t="shared" ref="AT1:BB1" si="1">IF(D2&lt;&gt;"",D2&amp;" (Target normalized)","")</f>
        <v/>
      </c>
      <c r="AU1" s="156" t="str">
        <f t="shared" si="1"/>
        <v/>
      </c>
      <c r="AV1" s="156" t="str">
        <f t="shared" si="1"/>
        <v/>
      </c>
      <c r="AW1" s="156" t="str">
        <f t="shared" si="1"/>
        <v/>
      </c>
      <c r="AX1" s="156" t="str">
        <f t="shared" si="1"/>
        <v>Maintenance costs (USD/m2) (Target normalized)</v>
      </c>
      <c r="AY1" s="156" t="str">
        <f t="shared" si="1"/>
        <v>Outdated data (%) (Target normalized)</v>
      </c>
      <c r="AZ1" s="156" t="str">
        <f t="shared" si="1"/>
        <v/>
      </c>
      <c r="BA1" s="156" t="str">
        <f t="shared" si="1"/>
        <v/>
      </c>
      <c r="BB1" s="156" t="str">
        <f t="shared" si="1"/>
        <v/>
      </c>
      <c r="BC1" s="156" t="str">
        <f>IF(C2&lt;&gt;"",C2&amp;" (Target real value)","")</f>
        <v>Reliability (%) (Target real value)</v>
      </c>
      <c r="BD1" s="156" t="str">
        <f t="shared" ref="BD1:BL1" si="2">IF(D2&lt;&gt;"",D2&amp;" (Target real value)","")</f>
        <v/>
      </c>
      <c r="BE1" s="156" t="str">
        <f t="shared" si="2"/>
        <v/>
      </c>
      <c r="BF1" s="156" t="str">
        <f t="shared" si="2"/>
        <v/>
      </c>
      <c r="BG1" s="156" t="str">
        <f t="shared" si="2"/>
        <v/>
      </c>
      <c r="BH1" s="156" t="str">
        <f t="shared" si="2"/>
        <v>Maintenance costs (USD/m2) (Target real value)</v>
      </c>
      <c r="BI1" s="156" t="str">
        <f t="shared" si="2"/>
        <v>Outdated data (%) (Target real value)</v>
      </c>
      <c r="BJ1" s="156" t="str">
        <f t="shared" si="2"/>
        <v/>
      </c>
      <c r="BK1" s="156" t="str">
        <f t="shared" si="2"/>
        <v/>
      </c>
      <c r="BL1" s="156" t="str">
        <f t="shared" si="2"/>
        <v/>
      </c>
      <c r="BM1" s="156" t="str">
        <f>IF(C2&lt;&gt;"",C2&amp;" (Slacks real value)","")</f>
        <v>Reliability (%) (Slacks real value)</v>
      </c>
      <c r="BN1" s="156" t="str">
        <f t="shared" ref="BN1:BV1" si="3">IF(D2&lt;&gt;"",D2&amp;" (Slacks real value)","")</f>
        <v/>
      </c>
      <c r="BO1" s="156" t="str">
        <f t="shared" si="3"/>
        <v/>
      </c>
      <c r="BP1" s="156" t="str">
        <f t="shared" si="3"/>
        <v/>
      </c>
      <c r="BQ1" s="156" t="str">
        <f t="shared" si="3"/>
        <v/>
      </c>
      <c r="BR1" s="156" t="str">
        <f t="shared" si="3"/>
        <v>Maintenance costs (USD/m2) (Slacks real value)</v>
      </c>
      <c r="BS1" s="156" t="str">
        <f t="shared" si="3"/>
        <v>Outdated data (%) (Slacks real value)</v>
      </c>
      <c r="BT1" s="156" t="str">
        <f t="shared" si="3"/>
        <v/>
      </c>
      <c r="BU1" s="156" t="str">
        <f t="shared" si="3"/>
        <v/>
      </c>
      <c r="BV1" s="160" t="str">
        <f t="shared" si="3"/>
        <v/>
      </c>
      <c r="BW1" s="162" t="s">
        <v>71</v>
      </c>
      <c r="BX1" s="128"/>
      <c r="BY1" s="128"/>
      <c r="BZ1" s="128"/>
      <c r="CA1" s="128"/>
      <c r="CB1" s="128"/>
      <c r="CC1" s="128"/>
      <c r="CD1" s="128"/>
      <c r="CE1" s="128"/>
      <c r="CF1" s="128"/>
      <c r="CG1" s="128"/>
      <c r="CH1" s="128"/>
      <c r="CI1" s="128"/>
      <c r="CJ1" s="128"/>
      <c r="CK1" s="128"/>
      <c r="CL1" s="128"/>
      <c r="CM1" s="128"/>
      <c r="CN1" s="128"/>
      <c r="CO1" s="128"/>
      <c r="CP1" s="128"/>
      <c r="CQ1" s="128"/>
      <c r="CR1" s="128"/>
      <c r="CS1" s="128"/>
      <c r="CT1" s="128"/>
      <c r="CU1" s="128"/>
      <c r="CV1" s="128"/>
      <c r="CW1" s="128"/>
      <c r="CX1" s="128"/>
      <c r="CY1" s="128"/>
      <c r="CZ1" s="128"/>
      <c r="DA1" s="128"/>
      <c r="DB1" s="128"/>
      <c r="DC1" s="128"/>
      <c r="DD1" s="128"/>
      <c r="DE1" s="128"/>
      <c r="DF1" s="128"/>
      <c r="DG1" s="128"/>
      <c r="DH1" s="128"/>
      <c r="DI1" s="128"/>
      <c r="DJ1" s="128"/>
      <c r="DK1" s="128"/>
      <c r="DL1" s="128"/>
      <c r="DM1" s="128"/>
      <c r="DN1" s="128"/>
      <c r="DO1" s="128"/>
      <c r="DP1" s="128"/>
      <c r="DQ1" s="128"/>
      <c r="DR1" s="128"/>
      <c r="DS1" s="128"/>
      <c r="DT1" s="128"/>
      <c r="DU1" s="128"/>
      <c r="DV1" s="128"/>
      <c r="DW1" s="128"/>
      <c r="DX1" s="128"/>
      <c r="DY1" s="128"/>
      <c r="DZ1" s="128"/>
      <c r="EA1" s="128"/>
      <c r="EB1" s="128"/>
      <c r="EC1" s="128"/>
      <c r="ED1" s="128"/>
      <c r="EE1" s="128"/>
      <c r="EF1" s="128"/>
      <c r="EG1" s="128"/>
      <c r="EH1" s="128"/>
      <c r="EI1" s="128"/>
      <c r="EJ1" s="128"/>
      <c r="EK1" s="128"/>
      <c r="EL1" s="128"/>
      <c r="EM1" s="128"/>
      <c r="EN1" s="128"/>
      <c r="EO1" s="128"/>
      <c r="EP1" s="128"/>
      <c r="EQ1" s="128"/>
      <c r="ER1" s="128"/>
      <c r="ES1" s="128"/>
      <c r="ET1" s="128"/>
      <c r="EU1" s="128"/>
      <c r="EV1" s="128"/>
      <c r="EW1" s="128"/>
      <c r="EX1" s="128"/>
      <c r="EY1" s="128"/>
      <c r="EZ1" s="128"/>
      <c r="FA1" s="128"/>
      <c r="FB1" s="128"/>
      <c r="FC1" s="128"/>
      <c r="FD1" s="128"/>
      <c r="FE1" s="128"/>
      <c r="FF1" s="128"/>
      <c r="FG1" s="128"/>
      <c r="FH1" s="128"/>
      <c r="FI1" s="128"/>
      <c r="FJ1" s="128"/>
      <c r="FK1" s="128"/>
      <c r="FL1" s="128"/>
      <c r="FM1" s="128"/>
      <c r="FN1" s="128"/>
      <c r="FO1" s="128"/>
      <c r="FP1" s="128"/>
      <c r="FQ1" s="128"/>
      <c r="FR1" s="128"/>
      <c r="FS1" s="128"/>
    </row>
    <row r="2" spans="1:275" s="14" customFormat="1" ht="30" customHeight="1" x14ac:dyDescent="0.35">
      <c r="A2" s="126"/>
      <c r="B2" s="147"/>
      <c r="C2" s="57" t="str">
        <f>IF('Data input'!C2&lt;&gt;"",'Data input'!C2,"")</f>
        <v>Reliability (%)</v>
      </c>
      <c r="D2" s="57" t="str">
        <f>IF('Data input'!D2&lt;&gt;"",'Data input'!D2,"")</f>
        <v/>
      </c>
      <c r="E2" s="57" t="str">
        <f>IF('Data input'!E2&lt;&gt;"",'Data input'!E2,"")</f>
        <v/>
      </c>
      <c r="F2" s="57" t="str">
        <f>IF('Data input'!F2&lt;&gt;"",'Data input'!F2,"")</f>
        <v/>
      </c>
      <c r="G2" s="57" t="str">
        <f>IF('Data input'!G2&lt;&gt;"",'Data input'!G2,"")</f>
        <v/>
      </c>
      <c r="H2" s="57" t="str">
        <f>IF('Data input'!H2&lt;&gt;"",'Data input'!H2,"")</f>
        <v>Maintenance costs (USD/m2)</v>
      </c>
      <c r="I2" s="57" t="str">
        <f>IF('Data input'!I2&lt;&gt;"",'Data input'!I2,"")</f>
        <v>Outdated data (%)</v>
      </c>
      <c r="J2" s="57" t="str">
        <f>IF('Data input'!J2&lt;&gt;"",'Data input'!J2,"")</f>
        <v/>
      </c>
      <c r="K2" s="57" t="str">
        <f>IF('Data input'!K2&lt;&gt;"",'Data input'!K2,"")</f>
        <v/>
      </c>
      <c r="L2" s="57" t="str">
        <f>IF('Data input'!L2&lt;&gt;"",'Data input'!L2,"")</f>
        <v/>
      </c>
      <c r="M2" s="57" t="str">
        <f>IF('Data input'!M2&lt;&gt;"",'Data input'!M2,"")</f>
        <v>Traffic</v>
      </c>
      <c r="N2" s="57" t="str">
        <f>IF('Data input'!N2&lt;&gt;"",'Data input'!N2,"")</f>
        <v/>
      </c>
      <c r="O2" s="57" t="str">
        <f>IF('Data input'!O2&lt;&gt;"",'Data input'!O2,"")</f>
        <v/>
      </c>
      <c r="P2" s="57" t="str">
        <f>IF('Data input'!P2&lt;&gt;"",'Data input'!P2,"")</f>
        <v/>
      </c>
      <c r="Q2" s="57" t="str">
        <f>IF('Data input'!Q2&lt;&gt;"",'Data input'!Q2,"")</f>
        <v/>
      </c>
      <c r="R2" s="57" t="str">
        <f>IF('Data input'!R2&lt;&gt;"",'Data input'!R2,"")</f>
        <v/>
      </c>
      <c r="S2" s="57" t="str">
        <f>IF('Data input'!S2&lt;&gt;"",'Data input'!S2,"")</f>
        <v/>
      </c>
      <c r="T2" s="57" t="str">
        <f>IF('Data input'!T2&lt;&gt;"",'Data input'!T2,"")</f>
        <v/>
      </c>
      <c r="U2" s="57" t="str">
        <f>IF('Data input'!U2&lt;&gt;"",'Data input'!U2,"")</f>
        <v/>
      </c>
      <c r="V2" s="57" t="str">
        <f>IF('Data input'!V2&lt;&gt;"",'Data input'!V2,"")</f>
        <v/>
      </c>
      <c r="W2" s="57" t="str">
        <f>IF('Data input'!W2&lt;&gt;"",'Data input'!W2,"")</f>
        <v/>
      </c>
      <c r="X2" s="57" t="str">
        <f>IF('Data input'!X2&lt;&gt;"",'Data input'!X2,"")</f>
        <v/>
      </c>
      <c r="Y2" s="57" t="str">
        <f>IF('Data input'!Y2&lt;&gt;"",'Data input'!Y2,"")</f>
        <v/>
      </c>
      <c r="Z2" s="57" t="str">
        <f>IF('Data input'!Z2&lt;&gt;"",'Data input'!Z2,"")</f>
        <v/>
      </c>
      <c r="AA2" s="58" t="str">
        <f>IF('Data input'!AA2&lt;&gt;"",'Data input'!AA2,"")</f>
        <v/>
      </c>
      <c r="AB2" s="77"/>
      <c r="AC2" s="149"/>
      <c r="AD2" s="149"/>
      <c r="AE2" s="151"/>
      <c r="AF2" s="153"/>
      <c r="AG2" s="15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55"/>
      <c r="AS2" s="157"/>
      <c r="AT2" s="157"/>
      <c r="AU2" s="157"/>
      <c r="AV2" s="157"/>
      <c r="AW2" s="157"/>
      <c r="AX2" s="157"/>
      <c r="AY2" s="157"/>
      <c r="AZ2" s="157"/>
      <c r="BA2" s="157"/>
      <c r="BB2" s="157"/>
      <c r="BC2" s="157"/>
      <c r="BD2" s="157"/>
      <c r="BE2" s="157"/>
      <c r="BF2" s="157"/>
      <c r="BG2" s="157"/>
      <c r="BH2" s="157"/>
      <c r="BI2" s="157"/>
      <c r="BJ2" s="157"/>
      <c r="BK2" s="157"/>
      <c r="BL2" s="157"/>
      <c r="BM2" s="157"/>
      <c r="BN2" s="157"/>
      <c r="BO2" s="157"/>
      <c r="BP2" s="157"/>
      <c r="BQ2" s="157"/>
      <c r="BR2" s="157"/>
      <c r="BS2" s="157"/>
      <c r="BT2" s="157"/>
      <c r="BU2" s="157"/>
      <c r="BV2" s="161"/>
      <c r="BW2" s="120" t="s">
        <v>72</v>
      </c>
      <c r="BX2" s="119" t="str">
        <f>B3</f>
        <v>Alabama</v>
      </c>
      <c r="BY2" s="119" t="str">
        <f>B4</f>
        <v>Alaska</v>
      </c>
      <c r="BZ2" s="119" t="str">
        <f>B5</f>
        <v>Arizona</v>
      </c>
      <c r="CA2" s="119" t="str">
        <f>B6</f>
        <v>Arkansas</v>
      </c>
      <c r="CB2" s="119" t="str">
        <f>B7</f>
        <v>California</v>
      </c>
      <c r="CC2" s="119" t="str">
        <f>B8</f>
        <v>Colorado</v>
      </c>
      <c r="CD2" s="119" t="str">
        <f>B9</f>
        <v>Connecticut</v>
      </c>
      <c r="CE2" s="119" t="str">
        <f>B10</f>
        <v>Delaware</v>
      </c>
      <c r="CF2" s="119" t="str">
        <f>B11</f>
        <v>District Of Columbia</v>
      </c>
      <c r="CG2" s="119" t="str">
        <f>B12</f>
        <v>Florida</v>
      </c>
      <c r="CH2" s="119" t="str">
        <f>B13</f>
        <v>Georgia</v>
      </c>
      <c r="CI2" s="119" t="str">
        <f>B14</f>
        <v>Hawaii</v>
      </c>
      <c r="CJ2" s="119" t="str">
        <f>B15</f>
        <v>Idaho</v>
      </c>
      <c r="CK2" s="119" t="str">
        <f>B16</f>
        <v>Illinois</v>
      </c>
      <c r="CL2" s="119" t="str">
        <f>B17</f>
        <v>Indiana</v>
      </c>
      <c r="CM2" s="119" t="str">
        <f>B18</f>
        <v>Iowa</v>
      </c>
      <c r="CN2" s="119" t="str">
        <f>B19</f>
        <v>Kansas</v>
      </c>
      <c r="CO2" s="119" t="str">
        <f>B20</f>
        <v>Kentucky</v>
      </c>
      <c r="CP2" s="119" t="str">
        <f>B21</f>
        <v>Louisiana</v>
      </c>
      <c r="CQ2" s="119" t="str">
        <f>B22</f>
        <v>Maine</v>
      </c>
      <c r="CR2" s="119" t="str">
        <f>B23</f>
        <v>Maryland</v>
      </c>
      <c r="CS2" s="119" t="str">
        <f>B24</f>
        <v>Massachusetts</v>
      </c>
      <c r="CT2" s="119" t="str">
        <f>B25</f>
        <v>Michigan</v>
      </c>
      <c r="CU2" s="119" t="str">
        <f>B26</f>
        <v>Minnesota</v>
      </c>
      <c r="CV2" s="119" t="str">
        <f>B27</f>
        <v>Mississippi</v>
      </c>
      <c r="CW2" s="119" t="str">
        <f>B28</f>
        <v>Missouri</v>
      </c>
      <c r="CX2" s="119" t="str">
        <f>B29</f>
        <v>Montana</v>
      </c>
      <c r="CY2" s="119" t="str">
        <f>B30</f>
        <v>Nebraska</v>
      </c>
      <c r="CZ2" s="119" t="str">
        <f>B31</f>
        <v>Nevada</v>
      </c>
      <c r="DA2" s="119" t="str">
        <f>B32</f>
        <v>New Hampshire</v>
      </c>
      <c r="DB2" s="119" t="str">
        <f>B33</f>
        <v>New Jersey</v>
      </c>
      <c r="DC2" s="119" t="str">
        <f>B34</f>
        <v>New Mexico</v>
      </c>
      <c r="DD2" s="119" t="str">
        <f>B35</f>
        <v>New York</v>
      </c>
      <c r="DE2" s="119" t="str">
        <f>B36</f>
        <v>North Carolina</v>
      </c>
      <c r="DF2" s="119" t="str">
        <f>B37</f>
        <v>North Dakota</v>
      </c>
      <c r="DG2" s="119" t="str">
        <f>B38</f>
        <v>Ohio</v>
      </c>
      <c r="DH2" s="119" t="str">
        <f>B39</f>
        <v>Oklahoma</v>
      </c>
      <c r="DI2" s="119" t="str">
        <f>B40</f>
        <v>Oregon</v>
      </c>
      <c r="DJ2" s="119" t="str">
        <f>B41</f>
        <v>Pennsylvania</v>
      </c>
      <c r="DK2" s="119" t="str">
        <f>B42</f>
        <v>South Carolina</v>
      </c>
      <c r="DL2" s="119" t="str">
        <f>B43</f>
        <v>South Dakota</v>
      </c>
      <c r="DM2" s="119" t="str">
        <f>B44</f>
        <v>Tennessee</v>
      </c>
      <c r="DN2" s="119" t="str">
        <f>B45</f>
        <v>Texas</v>
      </c>
      <c r="DO2" s="119" t="str">
        <f>B46</f>
        <v>Utah</v>
      </c>
      <c r="DP2" s="119" t="str">
        <f>B47</f>
        <v>Vermont</v>
      </c>
      <c r="DQ2" s="119" t="str">
        <f>B48</f>
        <v>Virginia</v>
      </c>
      <c r="DR2" s="119" t="str">
        <f>B49</f>
        <v>Washington</v>
      </c>
      <c r="DS2" s="119" t="str">
        <f>B50</f>
        <v>West Virginia</v>
      </c>
      <c r="DT2" s="119" t="str">
        <f>B51</f>
        <v>Wisconsin</v>
      </c>
      <c r="DU2" s="119" t="str">
        <f>B52</f>
        <v>Wyoming</v>
      </c>
      <c r="DV2" s="119" t="str">
        <f>B53</f>
        <v/>
      </c>
      <c r="DW2" s="119" t="str">
        <f>B54</f>
        <v/>
      </c>
      <c r="DX2" s="118" t="str">
        <f>B55</f>
        <v/>
      </c>
      <c r="DY2" s="118" t="str">
        <f>B56</f>
        <v/>
      </c>
      <c r="DZ2" s="118" t="str">
        <f>B57</f>
        <v/>
      </c>
      <c r="EA2" s="118" t="str">
        <f>B58</f>
        <v/>
      </c>
      <c r="EB2" s="118" t="str">
        <f>B59</f>
        <v/>
      </c>
      <c r="EC2" s="118" t="str">
        <f>B60</f>
        <v/>
      </c>
      <c r="ED2" s="118" t="str">
        <f>B61</f>
        <v/>
      </c>
      <c r="EE2" s="118" t="str">
        <f>B62</f>
        <v/>
      </c>
      <c r="EF2" s="118" t="str">
        <f>B63</f>
        <v/>
      </c>
      <c r="EG2" s="118" t="str">
        <f>B64</f>
        <v/>
      </c>
      <c r="EH2" s="118" t="str">
        <f>B65</f>
        <v/>
      </c>
      <c r="EI2" s="118" t="str">
        <f>B66</f>
        <v/>
      </c>
      <c r="EJ2" s="118" t="str">
        <f>B67</f>
        <v/>
      </c>
      <c r="EK2" s="118" t="str">
        <f>B68</f>
        <v/>
      </c>
      <c r="EL2" s="118" t="str">
        <f>B69</f>
        <v/>
      </c>
      <c r="EM2" s="118" t="str">
        <f>B70</f>
        <v/>
      </c>
      <c r="EN2" s="118" t="str">
        <f>B71</f>
        <v/>
      </c>
      <c r="EO2" s="118" t="str">
        <f>B72</f>
        <v/>
      </c>
      <c r="EP2" s="118" t="str">
        <f>B73</f>
        <v/>
      </c>
      <c r="EQ2" s="118" t="str">
        <f>B74</f>
        <v/>
      </c>
      <c r="ER2" s="118" t="str">
        <f>B75</f>
        <v/>
      </c>
      <c r="ES2" s="118" t="str">
        <f>B76</f>
        <v/>
      </c>
      <c r="ET2" s="118" t="str">
        <f>B77</f>
        <v/>
      </c>
      <c r="EU2" s="118" t="str">
        <f>B78</f>
        <v/>
      </c>
      <c r="EV2" s="118" t="str">
        <f>B78</f>
        <v/>
      </c>
      <c r="EW2" s="118" t="str">
        <f>B80</f>
        <v/>
      </c>
      <c r="EX2" s="118" t="str">
        <f>B81</f>
        <v/>
      </c>
      <c r="EY2" s="118" t="str">
        <f>B82</f>
        <v/>
      </c>
      <c r="EZ2" s="118" t="str">
        <f>B83</f>
        <v/>
      </c>
      <c r="FA2" s="118" t="str">
        <f>B84</f>
        <v/>
      </c>
      <c r="FB2" s="118" t="str">
        <f>B85</f>
        <v/>
      </c>
      <c r="FC2" s="118" t="str">
        <f>B86</f>
        <v/>
      </c>
      <c r="FD2" s="118" t="str">
        <f>B87</f>
        <v/>
      </c>
      <c r="FE2" s="118" t="str">
        <f>B88</f>
        <v/>
      </c>
      <c r="FF2" s="118" t="str">
        <f>B89</f>
        <v/>
      </c>
      <c r="FG2" s="118" t="str">
        <f>B90</f>
        <v/>
      </c>
      <c r="FH2" s="118" t="str">
        <f>B91</f>
        <v/>
      </c>
      <c r="FI2" s="118" t="str">
        <f>B92</f>
        <v/>
      </c>
      <c r="FJ2" s="118" t="str">
        <f>B93</f>
        <v/>
      </c>
      <c r="FK2" s="118" t="str">
        <f>B94</f>
        <v/>
      </c>
      <c r="FL2" s="118" t="str">
        <f>B95</f>
        <v/>
      </c>
      <c r="FM2" s="118" t="str">
        <f>B96</f>
        <v/>
      </c>
      <c r="FN2" s="118" t="str">
        <f>B97</f>
        <v/>
      </c>
      <c r="FO2" s="118" t="str">
        <f>B98</f>
        <v/>
      </c>
      <c r="FP2" s="118" t="str">
        <f>B99</f>
        <v/>
      </c>
      <c r="FQ2" s="118" t="str">
        <f>B100</f>
        <v/>
      </c>
      <c r="FR2" s="118" t="str">
        <f>B101</f>
        <v/>
      </c>
      <c r="FS2" s="118" t="str">
        <f>B102</f>
        <v/>
      </c>
      <c r="FT2" s="14">
        <v>1</v>
      </c>
      <c r="FU2" s="14">
        <v>2</v>
      </c>
      <c r="FV2" s="14">
        <v>3</v>
      </c>
      <c r="FW2" s="14">
        <v>4</v>
      </c>
      <c r="FX2" s="14">
        <v>5</v>
      </c>
      <c r="FY2" s="14">
        <v>6</v>
      </c>
      <c r="FZ2" s="14">
        <v>7</v>
      </c>
      <c r="GA2" s="14">
        <v>8</v>
      </c>
      <c r="GB2" s="14">
        <v>9</v>
      </c>
      <c r="GC2" s="14">
        <v>10</v>
      </c>
      <c r="GD2" s="14">
        <v>11</v>
      </c>
      <c r="GE2" s="14">
        <v>12</v>
      </c>
      <c r="GF2" s="14">
        <v>13</v>
      </c>
      <c r="GG2" s="14">
        <v>14</v>
      </c>
      <c r="GH2" s="14">
        <v>15</v>
      </c>
      <c r="GI2" s="14">
        <v>16</v>
      </c>
      <c r="GJ2" s="14">
        <v>17</v>
      </c>
      <c r="GK2" s="14">
        <v>18</v>
      </c>
      <c r="GL2" s="14">
        <v>19</v>
      </c>
      <c r="GM2" s="14">
        <v>20</v>
      </c>
      <c r="GN2" s="14">
        <v>21</v>
      </c>
      <c r="GO2" s="14">
        <v>22</v>
      </c>
      <c r="GP2" s="14">
        <v>23</v>
      </c>
      <c r="GQ2" s="14">
        <v>24</v>
      </c>
      <c r="GR2" s="14">
        <v>25</v>
      </c>
      <c r="GS2" s="14">
        <v>26</v>
      </c>
      <c r="GT2" s="14">
        <v>27</v>
      </c>
      <c r="GU2" s="14">
        <v>28</v>
      </c>
      <c r="GV2" s="14">
        <v>29</v>
      </c>
      <c r="GW2" s="14">
        <v>30</v>
      </c>
      <c r="GX2" s="14">
        <v>31</v>
      </c>
      <c r="GY2" s="14">
        <v>32</v>
      </c>
      <c r="GZ2" s="14">
        <v>33</v>
      </c>
      <c r="HA2" s="14">
        <v>34</v>
      </c>
      <c r="HB2" s="14">
        <v>35</v>
      </c>
      <c r="HC2" s="14">
        <v>36</v>
      </c>
      <c r="HD2" s="14">
        <v>37</v>
      </c>
      <c r="HE2" s="14">
        <v>38</v>
      </c>
      <c r="HF2" s="14">
        <v>39</v>
      </c>
      <c r="HG2" s="14">
        <v>40</v>
      </c>
      <c r="HH2" s="14">
        <v>41</v>
      </c>
      <c r="HI2" s="14">
        <v>42</v>
      </c>
      <c r="HJ2" s="14">
        <v>43</v>
      </c>
      <c r="HK2" s="14">
        <v>44</v>
      </c>
      <c r="HL2" s="14">
        <v>45</v>
      </c>
      <c r="HM2" s="14">
        <v>46</v>
      </c>
      <c r="HN2" s="14">
        <v>47</v>
      </c>
      <c r="HO2" s="14">
        <v>48</v>
      </c>
      <c r="HP2" s="14">
        <v>49</v>
      </c>
      <c r="HQ2" s="14">
        <v>50</v>
      </c>
      <c r="HR2" s="14">
        <v>51</v>
      </c>
      <c r="HS2" s="14">
        <v>52</v>
      </c>
      <c r="HT2" s="14">
        <v>53</v>
      </c>
      <c r="HU2" s="14">
        <v>54</v>
      </c>
      <c r="HV2" s="14">
        <v>55</v>
      </c>
      <c r="HW2" s="14">
        <v>56</v>
      </c>
      <c r="HX2" s="14">
        <v>57</v>
      </c>
      <c r="HY2" s="14">
        <v>58</v>
      </c>
      <c r="HZ2" s="14">
        <v>59</v>
      </c>
      <c r="IA2" s="14">
        <v>60</v>
      </c>
      <c r="IB2" s="14">
        <v>61</v>
      </c>
      <c r="IC2" s="14">
        <v>62</v>
      </c>
      <c r="ID2" s="14">
        <v>63</v>
      </c>
      <c r="IE2" s="14">
        <v>64</v>
      </c>
      <c r="IF2" s="14">
        <v>65</v>
      </c>
      <c r="IG2" s="14">
        <v>66</v>
      </c>
      <c r="IH2" s="14">
        <v>67</v>
      </c>
      <c r="II2" s="14">
        <v>68</v>
      </c>
      <c r="IJ2" s="14">
        <v>69</v>
      </c>
      <c r="IK2" s="14">
        <v>70</v>
      </c>
      <c r="IL2" s="14">
        <v>71</v>
      </c>
      <c r="IM2" s="14">
        <v>72</v>
      </c>
      <c r="IN2" s="14">
        <v>73</v>
      </c>
      <c r="IO2" s="14">
        <v>74</v>
      </c>
      <c r="IP2" s="14">
        <v>75</v>
      </c>
      <c r="IQ2" s="14">
        <v>76</v>
      </c>
      <c r="IR2" s="14">
        <v>77</v>
      </c>
      <c r="IS2" s="14">
        <v>78</v>
      </c>
      <c r="IT2" s="14">
        <v>79</v>
      </c>
      <c r="IU2" s="14">
        <v>80</v>
      </c>
      <c r="IV2" s="14">
        <v>81</v>
      </c>
      <c r="IW2" s="14">
        <v>82</v>
      </c>
      <c r="IX2" s="14">
        <v>83</v>
      </c>
      <c r="IY2" s="14">
        <v>84</v>
      </c>
      <c r="IZ2" s="14">
        <v>85</v>
      </c>
      <c r="JA2" s="14">
        <v>86</v>
      </c>
      <c r="JB2" s="14">
        <v>87</v>
      </c>
      <c r="JC2" s="14">
        <v>88</v>
      </c>
      <c r="JD2" s="14">
        <v>89</v>
      </c>
      <c r="JE2" s="14">
        <v>90</v>
      </c>
      <c r="JF2" s="14">
        <v>91</v>
      </c>
      <c r="JG2" s="14">
        <v>92</v>
      </c>
      <c r="JH2" s="14">
        <v>93</v>
      </c>
      <c r="JI2" s="14">
        <v>94</v>
      </c>
      <c r="JJ2" s="14">
        <v>95</v>
      </c>
      <c r="JK2" s="14">
        <v>96</v>
      </c>
      <c r="JL2" s="14">
        <v>97</v>
      </c>
      <c r="JM2" s="14">
        <v>98</v>
      </c>
      <c r="JN2" s="14">
        <v>99</v>
      </c>
      <c r="JO2" s="14">
        <v>100</v>
      </c>
    </row>
    <row r="3" spans="1:275" ht="14.5" x14ac:dyDescent="0.35">
      <c r="A3" s="59">
        <f>IF('Data input'!A3&lt;&gt;"",'Data input'!A3,"")</f>
        <v>1</v>
      </c>
      <c r="B3" s="60" t="str">
        <f>IF('Data input'!B3&lt;&gt;"",'Data input'!B3,"")</f>
        <v>Alabama</v>
      </c>
      <c r="C3" s="19">
        <f>IF('Data input'!C3="","",4*('Data input'!C3-'Data input'!C$108)/('Data input'!C$109-'Data input'!C$108)+1)</f>
        <v>4.9146645393590394</v>
      </c>
      <c r="D3" s="19" t="str">
        <f>IF('Data input'!D3="","",4*('Data input'!D3-'Data input'!D$108)/('Data input'!D$109-'Data input'!D$108)+1)</f>
        <v/>
      </c>
      <c r="E3" s="19" t="str">
        <f>IF('Data input'!E3="","",4*('Data input'!E3-'Data input'!E$108)/('Data input'!E$109-'Data input'!E$108)+1)</f>
        <v/>
      </c>
      <c r="F3" s="19" t="str">
        <f>IF('Data input'!F3="","",4*('Data input'!F3-'Data input'!F$108)/('Data input'!F$109-'Data input'!F$108)+1)</f>
        <v/>
      </c>
      <c r="G3" s="19" t="str">
        <f>IF('Data input'!G3="","",4*('Data input'!G3-'Data input'!G$108)/('Data input'!G$109-'Data input'!G$108)+1)</f>
        <v/>
      </c>
      <c r="H3" s="61">
        <f>IF('Data input'!H3="","",4*('Data input'!H3-'Data input'!H$108)/('Data input'!H$109-'Data input'!H$108)+1)</f>
        <v>1.0614636100783366</v>
      </c>
      <c r="I3" s="19">
        <f>IF('Data input'!I3="","",4*('Data input'!I3-'Data input'!I$108)/('Data input'!I$109-'Data input'!I$108)+1)</f>
        <v>2.9888943058158413</v>
      </c>
      <c r="J3" s="19" t="str">
        <f>IF('Data input'!J3="","",4*('Data input'!J3-'Data input'!J$108)/('Data input'!J$109-'Data input'!J$108)+1)</f>
        <v/>
      </c>
      <c r="K3" s="19" t="str">
        <f>IF('Data input'!K3="","",4*('Data input'!K3-'Data input'!K$108)/('Data input'!K$109-'Data input'!K$108)+1)</f>
        <v/>
      </c>
      <c r="L3" s="19" t="str">
        <f>IF('Data input'!L3="","",4*('Data input'!L3-'Data input'!L$108)/('Data input'!L$109-'Data input'!L$108)+1)</f>
        <v/>
      </c>
      <c r="M3" s="19">
        <f>IF('Data input'!M3="","",4*('Data input'!M3-'Data input'!M$108)/('Data input'!M$109-'Data input'!M$108)+1)</f>
        <v>1.5912944628203136</v>
      </c>
      <c r="N3" s="16" t="str">
        <f>IF('Data input'!N3="","",4*('Data input'!N3-'Data input'!N$108)/('Data input'!N$109-'Data input'!N$108)+1)</f>
        <v/>
      </c>
      <c r="O3" s="19" t="str">
        <f>IF('Data input'!O3="","",4*('Data input'!O3-'Data input'!O$108)/('Data input'!O$109-'Data input'!O$108)+1)</f>
        <v/>
      </c>
      <c r="P3" s="19" t="str">
        <f>IF('Data input'!P3="","",4*('Data input'!P3-'Data input'!P$108)/('Data input'!P$109-'Data input'!P$108)+1)</f>
        <v/>
      </c>
      <c r="Q3" s="19" t="str">
        <f>IF('Data input'!Q3="","",4*('Data input'!Q3-'Data input'!Q$108)/('Data input'!Q$109-'Data input'!Q$108)+1)</f>
        <v/>
      </c>
      <c r="R3" s="19" t="str">
        <f>IF('Data input'!R3="","",4*('Data input'!R3-'Data input'!R$108)/('Data input'!R$109-'Data input'!R$108)+1)</f>
        <v/>
      </c>
      <c r="S3" s="16" t="str">
        <f>IF('Data input'!S3="","",4*('Data input'!S3-'Data input'!S$108)/('Data input'!S$109-'Data input'!S$108)+1)</f>
        <v/>
      </c>
      <c r="T3" s="19" t="str">
        <f>IF('Data input'!T3="","",4*('Data input'!T3-'Data input'!T$108)/('Data input'!T$109-'Data input'!T$108)+1)</f>
        <v/>
      </c>
      <c r="U3" s="19" t="str">
        <f>IF('Data input'!U3="","",4*('Data input'!U3-'Data input'!U$108)/('Data input'!U$109-'Data input'!U$108)+1)</f>
        <v/>
      </c>
      <c r="V3" s="19" t="str">
        <f>IF('Data input'!V3="","",4*('Data input'!V3-'Data input'!V$108)/('Data input'!V$109-'Data input'!V$108)+1)</f>
        <v/>
      </c>
      <c r="W3" s="16" t="str">
        <f>IF('Data input'!W3="","",4*('Data input'!W3-'Data input'!W$108)/('Data input'!W$109-'Data input'!W$108)+1)</f>
        <v/>
      </c>
      <c r="X3" s="16" t="str">
        <f>IF('Data input'!X3="","",4*('Data input'!X3-'Data input'!X$108)/('Data input'!X$109-'Data input'!X$108)+1)</f>
        <v/>
      </c>
      <c r="Y3" s="16" t="str">
        <f>IF('Data input'!Y3="","",4*('Data input'!Y3-'Data input'!Y$108)/('Data input'!Y$109-'Data input'!Y$108)+1)</f>
        <v/>
      </c>
      <c r="Z3" s="16" t="str">
        <f>IF('Data input'!Z3="","",4*('Data input'!Z3-'Data input'!Z$108)/('Data input'!Z$109-'Data input'!Z$108)+1)</f>
        <v/>
      </c>
      <c r="AA3" s="62" t="str">
        <f>IF('Data input'!AA3="","",4*('Data input'!AA3-'Data input'!AA$108)/('Data input'!AA$109-'Data input'!AA$108)+1)</f>
        <v/>
      </c>
      <c r="AB3" s="78"/>
      <c r="AC3" s="79">
        <v>0</v>
      </c>
      <c r="AD3" s="80" t="e">
        <f>AC3/$AC$107</f>
        <v>#DIV/0!</v>
      </c>
      <c r="AE3" s="4"/>
      <c r="AF3" s="59">
        <f>A3</f>
        <v>1</v>
      </c>
      <c r="AG3" s="60" t="str">
        <f>B3</f>
        <v>Alabama</v>
      </c>
      <c r="AH3">
        <v>0</v>
      </c>
      <c r="AI3" t="s">
        <v>69</v>
      </c>
      <c r="AJ3" t="s">
        <v>69</v>
      </c>
      <c r="AK3" t="s">
        <v>69</v>
      </c>
      <c r="AL3" t="s">
        <v>69</v>
      </c>
      <c r="AM3">
        <v>2.2465653889199532E-2</v>
      </c>
      <c r="AN3">
        <v>0.26290900768763392</v>
      </c>
      <c r="AO3" t="s">
        <v>69</v>
      </c>
      <c r="AP3" t="s">
        <v>69</v>
      </c>
      <c r="AQ3" t="s">
        <v>69</v>
      </c>
      <c r="AR3">
        <v>0.8919946274565963</v>
      </c>
      <c r="AS3" s="71">
        <f>IF(C3&lt;&gt;"",C3+AH3,"")</f>
        <v>4.9146645393590394</v>
      </c>
      <c r="AT3" s="71" t="str">
        <f t="shared" ref="AT3:AW18" si="4">IF(D3&lt;&gt;"",D3+AI3,"")</f>
        <v/>
      </c>
      <c r="AU3" s="71" t="str">
        <f t="shared" si="4"/>
        <v/>
      </c>
      <c r="AV3" s="71" t="str">
        <f t="shared" si="4"/>
        <v/>
      </c>
      <c r="AW3" s="71" t="str">
        <f t="shared" si="4"/>
        <v/>
      </c>
      <c r="AX3" s="71">
        <f>IF(H3&lt;&gt;"",H3-AM3,"")</f>
        <v>1.0389979561891369</v>
      </c>
      <c r="AY3" s="71">
        <f t="shared" ref="AY3:BB18" si="5">IF(I3&lt;&gt;"",I3-AN3,"")</f>
        <v>2.7259852981282071</v>
      </c>
      <c r="AZ3" s="71" t="str">
        <f t="shared" si="5"/>
        <v/>
      </c>
      <c r="BA3" s="71" t="str">
        <f t="shared" si="5"/>
        <v/>
      </c>
      <c r="BB3" s="71" t="str">
        <f t="shared" si="5"/>
        <v/>
      </c>
      <c r="BC3" s="18">
        <f>IF(C3&lt;&gt;"",(('Data input'!C$109-'Data input'!C$108)*(AS3-1)/4)+'Data input'!C$108,"")</f>
        <v>0.9931943920088725</v>
      </c>
      <c r="BD3" s="18" t="str">
        <f>IF(D3&lt;&gt;"",(('Data input'!D$109-'Data input'!D$108)*(AT3-1)/4)+'Data input'!D$108,"")</f>
        <v/>
      </c>
      <c r="BE3" s="18" t="str">
        <f>IF(E3&lt;&gt;"",(('Data input'!E$109-'Data input'!E$108)*(AU3-1)/4)+'Data input'!E$108,"")</f>
        <v/>
      </c>
      <c r="BF3" s="18" t="str">
        <f>IF(F3&lt;&gt;"",(('Data input'!F$109-'Data input'!F$108)*(AV3-1)/4)+'Data input'!F$108,"")</f>
        <v/>
      </c>
      <c r="BG3" s="18" t="str">
        <f>IF(G3&lt;&gt;"",(('Data input'!G$109-'Data input'!G$108)*(AW3-1)/4)+'Data input'!G$108,"")</f>
        <v/>
      </c>
      <c r="BH3" s="19">
        <f>IF(H3&lt;&gt;"",(('Data input'!H$109-'Data input'!H$108)*(AX3-1)/4)+'Data input'!H$108,"")</f>
        <v>1.1450335782503325</v>
      </c>
      <c r="BI3" s="18">
        <f>IF(I3&lt;&gt;"",(('Data input'!I$109-'Data input'!I$108)*(AY3-1)/4)+'Data input'!I$108,"")</f>
        <v>7.5785377963576192E-2</v>
      </c>
      <c r="BJ3" s="19" t="str">
        <f>IF(J3&lt;&gt;"",(('Data input'!J$109-'Data input'!J$108)*(AZ3-1)/4)+'Data input'!J$108,"")</f>
        <v/>
      </c>
      <c r="BK3" s="19" t="str">
        <f>IF(K3&lt;&gt;"",(('Data input'!K$109-'Data input'!K$108)*(BA3-1)/4)+'Data input'!K$108,"")</f>
        <v/>
      </c>
      <c r="BL3" s="19" t="str">
        <f>IF(L3&lt;&gt;"",(('Data input'!L$109-'Data input'!L$108)*(BB3-1)/4)+'Data input'!L$108,"")</f>
        <v/>
      </c>
      <c r="BM3" s="18">
        <f>IF(C3&lt;&gt;"",BC3-'Data input'!C3,"")</f>
        <v>0</v>
      </c>
      <c r="BN3" s="18" t="str">
        <f>IF(D3&lt;&gt;"",BD3-'Data input'!D3,"")</f>
        <v/>
      </c>
      <c r="BO3" s="18" t="str">
        <f>IF(E3&lt;&gt;"",BE3-'Data input'!E3,"")</f>
        <v/>
      </c>
      <c r="BP3" s="18" t="str">
        <f>IF(F3&lt;&gt;"",BF3-'Data input'!F3,"")</f>
        <v/>
      </c>
      <c r="BQ3" s="18" t="str">
        <f>IF(G3&lt;&gt;"",BG3-'Data input'!G3,"")</f>
        <v/>
      </c>
      <c r="BR3" s="19">
        <f>IF(H3&lt;&gt;"",BH3-'Data input'!H3,"")</f>
        <v>-0.48925320963288321</v>
      </c>
      <c r="BS3" s="18">
        <f>IF(I3&lt;&gt;"",BI3-'Data input'!I3,"")</f>
        <v>-1.1543932928770581E-2</v>
      </c>
      <c r="BT3" s="18" t="str">
        <f>IF(J3&lt;&gt;"",BJ3-'Data input'!J3,"")</f>
        <v/>
      </c>
      <c r="BU3" s="18" t="str">
        <f>IF(K3&lt;&gt;"",BK3-'Data input'!K3,"")</f>
        <v/>
      </c>
      <c r="BV3" s="72" t="str">
        <f>IF(L3&lt;&gt;"",BL3-'Data input'!L3,"")</f>
        <v/>
      </c>
      <c r="BW3" s="121" t="str">
        <f>CONCATENATE(FT3,FU3,FV3,FW3,FX3,FY3,FZ3,GA3,GB3,GC3,GD3,GE3,GF3,GG3,GH3,GI3,GJ3,GK3,GL3,GM3,GN3,GO3,GP3,GQ3,GR3,GS3,GT3,GU3,GV3,GW3,GX3,GY3,GZ3,HA3,HB3,HC3,HD3,HE3,HF3,HG3,HH3,HI3,HJ3,HK3,HL3,HM3,HN3,HO3,HP3,HQ3,HR3,HS3,HT3,HU3,HV3,HW3,HX3,HY3,HZ3,IA3,IB3,IC3,ID3,IE3,IF3,IG3,IH3,II3,IJ3,IK3,IL3,IM3,IN3,IO3,IP3,IQ3,IR3,IS3,IT3,IU3,IV3,IW3,IX3,IY3,IZ3,JA3,JB3,JC3,JD3,JE3,JF3,JG3,JH3,JI3,JJ3,JK3,JL3,JM3,JN3,JO3)</f>
        <v xml:space="preserve">Texas; Utah; 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0.46671835797339678</v>
      </c>
      <c r="DO3" s="1">
        <v>0.53328164202660489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FT3" s="1" t="str">
        <f>IF(BX3&gt;0.0001,CONCATENATE(BX$2,"; "),"")</f>
        <v/>
      </c>
      <c r="FU3" s="1" t="str">
        <f t="shared" ref="FU3:GJ18" si="6">IF(BY3&gt;0.0001,CONCATENATE(BY$2,"; "),"")</f>
        <v/>
      </c>
      <c r="FV3" s="1" t="str">
        <f t="shared" si="6"/>
        <v/>
      </c>
      <c r="FW3" s="1" t="str">
        <f t="shared" si="6"/>
        <v/>
      </c>
      <c r="FX3" s="1" t="str">
        <f t="shared" si="6"/>
        <v/>
      </c>
      <c r="FY3" s="1" t="str">
        <f t="shared" si="6"/>
        <v/>
      </c>
      <c r="FZ3" s="1" t="str">
        <f t="shared" si="6"/>
        <v/>
      </c>
      <c r="GA3" s="1" t="str">
        <f t="shared" si="6"/>
        <v/>
      </c>
      <c r="GB3" s="1" t="str">
        <f t="shared" si="6"/>
        <v/>
      </c>
      <c r="GC3" s="1" t="str">
        <f t="shared" si="6"/>
        <v/>
      </c>
      <c r="GD3" s="1" t="str">
        <f t="shared" si="6"/>
        <v/>
      </c>
      <c r="GE3" s="1" t="str">
        <f t="shared" si="6"/>
        <v/>
      </c>
      <c r="GF3" s="1" t="str">
        <f t="shared" si="6"/>
        <v/>
      </c>
      <c r="GG3" s="1" t="str">
        <f t="shared" si="6"/>
        <v/>
      </c>
      <c r="GH3" s="1" t="str">
        <f t="shared" si="6"/>
        <v/>
      </c>
      <c r="GI3" s="1" t="str">
        <f t="shared" si="6"/>
        <v/>
      </c>
      <c r="GJ3" s="1" t="str">
        <f t="shared" si="6"/>
        <v/>
      </c>
      <c r="GK3" s="1" t="str">
        <f t="shared" ref="GK3:GZ18" si="7">IF(CO3&gt;0.0001,CONCATENATE(CO$2,"; "),"")</f>
        <v/>
      </c>
      <c r="GL3" s="1" t="str">
        <f t="shared" si="7"/>
        <v/>
      </c>
      <c r="GM3" s="1" t="str">
        <f t="shared" si="7"/>
        <v/>
      </c>
      <c r="GN3" s="1" t="str">
        <f t="shared" si="7"/>
        <v/>
      </c>
      <c r="GO3" s="1" t="str">
        <f t="shared" si="7"/>
        <v/>
      </c>
      <c r="GP3" s="1" t="str">
        <f t="shared" si="7"/>
        <v/>
      </c>
      <c r="GQ3" s="1" t="str">
        <f t="shared" si="7"/>
        <v/>
      </c>
      <c r="GR3" s="1" t="str">
        <f t="shared" si="7"/>
        <v/>
      </c>
      <c r="GS3" s="1" t="str">
        <f t="shared" si="7"/>
        <v/>
      </c>
      <c r="GT3" s="1" t="str">
        <f t="shared" si="7"/>
        <v/>
      </c>
      <c r="GU3" s="1" t="str">
        <f t="shared" si="7"/>
        <v/>
      </c>
      <c r="GV3" s="1" t="str">
        <f t="shared" si="7"/>
        <v/>
      </c>
      <c r="GW3" s="1" t="str">
        <f t="shared" si="7"/>
        <v/>
      </c>
      <c r="GX3" s="1" t="str">
        <f t="shared" si="7"/>
        <v/>
      </c>
      <c r="GY3" s="1" t="str">
        <f t="shared" si="7"/>
        <v/>
      </c>
      <c r="GZ3" s="1" t="str">
        <f t="shared" si="7"/>
        <v/>
      </c>
      <c r="HA3" s="1" t="str">
        <f t="shared" ref="HA3:HP18" si="8">IF(DE3&gt;0.0001,CONCATENATE(DE$2,"; "),"")</f>
        <v/>
      </c>
      <c r="HB3" s="1" t="str">
        <f t="shared" si="8"/>
        <v/>
      </c>
      <c r="HC3" s="1" t="str">
        <f t="shared" si="8"/>
        <v/>
      </c>
      <c r="HD3" s="1" t="str">
        <f t="shared" si="8"/>
        <v/>
      </c>
      <c r="HE3" s="1" t="str">
        <f t="shared" si="8"/>
        <v/>
      </c>
      <c r="HF3" s="1" t="str">
        <f t="shared" si="8"/>
        <v/>
      </c>
      <c r="HG3" s="1" t="str">
        <f t="shared" si="8"/>
        <v/>
      </c>
      <c r="HH3" s="1" t="str">
        <f t="shared" si="8"/>
        <v/>
      </c>
      <c r="HI3" s="1" t="str">
        <f t="shared" si="8"/>
        <v/>
      </c>
      <c r="HJ3" s="1" t="str">
        <f t="shared" si="8"/>
        <v xml:space="preserve">Texas; </v>
      </c>
      <c r="HK3" s="1" t="str">
        <f t="shared" si="8"/>
        <v xml:space="preserve">Utah; </v>
      </c>
      <c r="HL3" s="1" t="str">
        <f t="shared" si="8"/>
        <v/>
      </c>
      <c r="HM3" s="1" t="str">
        <f t="shared" si="8"/>
        <v/>
      </c>
      <c r="HN3" s="1" t="str">
        <f t="shared" si="8"/>
        <v/>
      </c>
      <c r="HO3" s="1" t="str">
        <f t="shared" si="8"/>
        <v/>
      </c>
      <c r="HP3" s="1" t="str">
        <f t="shared" si="8"/>
        <v/>
      </c>
      <c r="HQ3" s="1" t="str">
        <f t="shared" ref="HQ3:IF18" si="9">IF(DU3&gt;0.0001,CONCATENATE(DU$2,"; "),"")</f>
        <v/>
      </c>
      <c r="HR3" s="1" t="str">
        <f t="shared" si="9"/>
        <v/>
      </c>
      <c r="HS3" s="1" t="str">
        <f t="shared" si="9"/>
        <v/>
      </c>
      <c r="HT3" s="1" t="str">
        <f t="shared" si="9"/>
        <v/>
      </c>
      <c r="HU3" s="1" t="str">
        <f t="shared" si="9"/>
        <v/>
      </c>
      <c r="HV3" s="1" t="str">
        <f t="shared" si="9"/>
        <v/>
      </c>
      <c r="HW3" s="1" t="str">
        <f t="shared" si="9"/>
        <v/>
      </c>
      <c r="HX3" s="1" t="str">
        <f t="shared" si="9"/>
        <v/>
      </c>
      <c r="HY3" s="1" t="str">
        <f t="shared" si="9"/>
        <v/>
      </c>
      <c r="HZ3" s="1" t="str">
        <f t="shared" si="9"/>
        <v/>
      </c>
      <c r="IA3" s="1" t="str">
        <f t="shared" si="9"/>
        <v/>
      </c>
      <c r="IB3" s="1" t="str">
        <f t="shared" si="9"/>
        <v/>
      </c>
      <c r="IC3" s="1" t="str">
        <f t="shared" si="9"/>
        <v/>
      </c>
      <c r="ID3" s="1" t="str">
        <f t="shared" si="9"/>
        <v/>
      </c>
      <c r="IE3" s="1" t="str">
        <f t="shared" si="9"/>
        <v/>
      </c>
      <c r="IF3" s="1" t="str">
        <f t="shared" si="9"/>
        <v/>
      </c>
      <c r="IG3" s="1" t="str">
        <f t="shared" ref="IG3:IV18" si="10">IF(EK3&gt;0.0001,CONCATENATE(EK$2,"; "),"")</f>
        <v/>
      </c>
      <c r="IH3" s="1" t="str">
        <f t="shared" si="10"/>
        <v/>
      </c>
      <c r="II3" s="1" t="str">
        <f t="shared" si="10"/>
        <v/>
      </c>
      <c r="IJ3" s="1" t="str">
        <f t="shared" si="10"/>
        <v/>
      </c>
      <c r="IK3" s="1" t="str">
        <f t="shared" si="10"/>
        <v/>
      </c>
      <c r="IL3" s="1" t="str">
        <f t="shared" si="10"/>
        <v/>
      </c>
      <c r="IM3" s="1" t="str">
        <f t="shared" si="10"/>
        <v/>
      </c>
      <c r="IN3" s="1" t="str">
        <f t="shared" si="10"/>
        <v/>
      </c>
      <c r="IO3" s="1" t="str">
        <f t="shared" si="10"/>
        <v/>
      </c>
      <c r="IP3" s="1" t="str">
        <f t="shared" si="10"/>
        <v/>
      </c>
      <c r="IQ3" s="1" t="str">
        <f t="shared" si="10"/>
        <v/>
      </c>
      <c r="IR3" s="1" t="str">
        <f t="shared" si="10"/>
        <v/>
      </c>
      <c r="IS3" s="1" t="str">
        <f t="shared" si="10"/>
        <v/>
      </c>
      <c r="IT3" s="1" t="str">
        <f t="shared" si="10"/>
        <v/>
      </c>
      <c r="IU3" s="1" t="str">
        <f t="shared" si="10"/>
        <v/>
      </c>
      <c r="IV3" s="1" t="str">
        <f t="shared" si="10"/>
        <v/>
      </c>
      <c r="IW3" s="1" t="str">
        <f t="shared" ref="IW3:JL18" si="11">IF(FA3&gt;0.0001,CONCATENATE(FA$2,"; "),"")</f>
        <v/>
      </c>
      <c r="IX3" s="1" t="str">
        <f t="shared" si="11"/>
        <v/>
      </c>
      <c r="IY3" s="1" t="str">
        <f t="shared" si="11"/>
        <v/>
      </c>
      <c r="IZ3" s="1" t="str">
        <f t="shared" si="11"/>
        <v/>
      </c>
      <c r="JA3" s="1" t="str">
        <f t="shared" si="11"/>
        <v/>
      </c>
      <c r="JB3" s="1" t="str">
        <f t="shared" si="11"/>
        <v/>
      </c>
      <c r="JC3" s="1" t="str">
        <f t="shared" si="11"/>
        <v/>
      </c>
      <c r="JD3" s="1" t="str">
        <f t="shared" si="11"/>
        <v/>
      </c>
      <c r="JE3" s="1" t="str">
        <f t="shared" si="11"/>
        <v/>
      </c>
      <c r="JF3" s="1" t="str">
        <f t="shared" si="11"/>
        <v/>
      </c>
      <c r="JG3" s="1" t="str">
        <f t="shared" si="11"/>
        <v/>
      </c>
      <c r="JH3" s="1" t="str">
        <f t="shared" si="11"/>
        <v/>
      </c>
      <c r="JI3" s="1" t="str">
        <f t="shared" si="11"/>
        <v/>
      </c>
      <c r="JJ3" s="1" t="str">
        <f t="shared" si="11"/>
        <v/>
      </c>
      <c r="JK3" s="1" t="str">
        <f t="shared" si="11"/>
        <v/>
      </c>
      <c r="JL3" s="1" t="str">
        <f t="shared" si="11"/>
        <v/>
      </c>
      <c r="JM3" s="1" t="str">
        <f t="shared" ref="JM3:JO66" si="12">IF(FQ3&gt;0.0001,CONCATENATE(FQ$2,"; "),"")</f>
        <v/>
      </c>
      <c r="JN3" s="1" t="str">
        <f t="shared" si="12"/>
        <v/>
      </c>
      <c r="JO3" s="1" t="str">
        <f t="shared" si="12"/>
        <v/>
      </c>
    </row>
    <row r="4" spans="1:275" ht="14.5" x14ac:dyDescent="0.35">
      <c r="A4" s="59">
        <f>IF('Data input'!A4&lt;&gt;"",'Data input'!A4,"")</f>
        <v>2</v>
      </c>
      <c r="B4" s="60" t="str">
        <f>IF('Data input'!B4&lt;&gt;"",'Data input'!B4,"")</f>
        <v>Alaska</v>
      </c>
      <c r="C4" s="19">
        <f>IF('Data input'!C4="","",4*('Data input'!C4-'Data input'!C$108)/('Data input'!C$109-'Data input'!C$108)+1)</f>
        <v>3.5059936108406551</v>
      </c>
      <c r="D4" s="19" t="str">
        <f>IF('Data input'!D4="","",4*('Data input'!D4-'Data input'!D$108)/('Data input'!D$109-'Data input'!D$108)+1)</f>
        <v/>
      </c>
      <c r="E4" s="19" t="str">
        <f>IF('Data input'!E4="","",4*('Data input'!E4-'Data input'!E$108)/('Data input'!E$109-'Data input'!E$108)+1)</f>
        <v/>
      </c>
      <c r="F4" s="19" t="str">
        <f>IF('Data input'!F4="","",4*('Data input'!F4-'Data input'!F$108)/('Data input'!F$109-'Data input'!F$108)+1)</f>
        <v/>
      </c>
      <c r="G4" s="19" t="str">
        <f>IF('Data input'!G4="","",4*('Data input'!G4-'Data input'!G$108)/('Data input'!G$109-'Data input'!G$108)+1)</f>
        <v/>
      </c>
      <c r="H4" s="61">
        <f>IF('Data input'!H4="","",4*('Data input'!H4-'Data input'!H$108)/('Data input'!H$109-'Data input'!H$108)+1)</f>
        <v>5</v>
      </c>
      <c r="I4" s="19">
        <f>IF('Data input'!I4="","",4*('Data input'!I4-'Data input'!I$108)/('Data input'!I$109-'Data input'!I$108)+1)</f>
        <v>1</v>
      </c>
      <c r="J4" s="19" t="str">
        <f>IF('Data input'!J4="","",4*('Data input'!J4-'Data input'!J$108)/('Data input'!J$109-'Data input'!J$108)+1)</f>
        <v/>
      </c>
      <c r="K4" s="19" t="str">
        <f>IF('Data input'!K4="","",4*('Data input'!K4-'Data input'!K$108)/('Data input'!K$109-'Data input'!K$108)+1)</f>
        <v/>
      </c>
      <c r="L4" s="19" t="str">
        <f>IF('Data input'!L4="","",4*('Data input'!L4-'Data input'!L$108)/('Data input'!L$109-'Data input'!L$108)+1)</f>
        <v/>
      </c>
      <c r="M4" s="19">
        <f>IF('Data input'!M4="","",4*('Data input'!M4-'Data input'!M$108)/('Data input'!M$109-'Data input'!M$108)+1)</f>
        <v>1.3081226274779674</v>
      </c>
      <c r="N4" s="16" t="str">
        <f>IF('Data input'!N4="","",4*('Data input'!N4-'Data input'!N$108)/('Data input'!N$109-'Data input'!N$108)+1)</f>
        <v/>
      </c>
      <c r="O4" s="19" t="str">
        <f>IF('Data input'!O4="","",4*('Data input'!O4-'Data input'!O$108)/('Data input'!O$109-'Data input'!O$108)+1)</f>
        <v/>
      </c>
      <c r="P4" s="19" t="str">
        <f>IF('Data input'!P4="","",4*('Data input'!P4-'Data input'!P$108)/('Data input'!P$109-'Data input'!P$108)+1)</f>
        <v/>
      </c>
      <c r="Q4" s="19" t="str">
        <f>IF('Data input'!Q4="","",4*('Data input'!Q4-'Data input'!Q$108)/('Data input'!Q$109-'Data input'!Q$108)+1)</f>
        <v/>
      </c>
      <c r="R4" s="19" t="str">
        <f>IF('Data input'!R4="","",4*('Data input'!R4-'Data input'!R$108)/('Data input'!R$109-'Data input'!R$108)+1)</f>
        <v/>
      </c>
      <c r="S4" s="16" t="str">
        <f>IF('Data input'!S4="","",4*('Data input'!S4-'Data input'!S$108)/('Data input'!S$109-'Data input'!S$108)+1)</f>
        <v/>
      </c>
      <c r="T4" s="19" t="str">
        <f>IF('Data input'!T4="","",4*('Data input'!T4-'Data input'!T$108)/('Data input'!T$109-'Data input'!T$108)+1)</f>
        <v/>
      </c>
      <c r="U4" s="19" t="str">
        <f>IF('Data input'!U4="","",4*('Data input'!U4-'Data input'!U$108)/('Data input'!U$109-'Data input'!U$108)+1)</f>
        <v/>
      </c>
      <c r="V4" s="19" t="str">
        <f>IF('Data input'!V4="","",4*('Data input'!V4-'Data input'!V$108)/('Data input'!V$109-'Data input'!V$108)+1)</f>
        <v/>
      </c>
      <c r="W4" s="16" t="str">
        <f>IF('Data input'!W4="","",4*('Data input'!W4-'Data input'!W$108)/('Data input'!W$109-'Data input'!W$108)+1)</f>
        <v/>
      </c>
      <c r="X4" s="16" t="str">
        <f>IF('Data input'!X4="","",4*('Data input'!X4-'Data input'!X$108)/('Data input'!X$109-'Data input'!X$108)+1)</f>
        <v/>
      </c>
      <c r="Y4" s="16" t="str">
        <f>IF('Data input'!Y4="","",4*('Data input'!Y4-'Data input'!Y$108)/('Data input'!Y$109-'Data input'!Y$108)+1)</f>
        <v/>
      </c>
      <c r="Z4" s="16" t="str">
        <f>IF('Data input'!Z4="","",4*('Data input'!Z4-'Data input'!Z$108)/('Data input'!Z$109-'Data input'!Z$108)+1)</f>
        <v/>
      </c>
      <c r="AA4" s="62" t="str">
        <f>IF('Data input'!AA4="","",4*('Data input'!AA4-'Data input'!AA$108)/('Data input'!AA$109-'Data input'!AA$108)+1)</f>
        <v/>
      </c>
      <c r="AB4" s="78"/>
      <c r="AC4" s="79">
        <v>0</v>
      </c>
      <c r="AD4" s="80" t="e">
        <f t="shared" ref="AD4:AD67" si="13">AC4/$AC$107</f>
        <v>#DIV/0!</v>
      </c>
      <c r="AE4" s="4"/>
      <c r="AF4" s="59">
        <f t="shared" ref="AF4:AG55" si="14">A4</f>
        <v>2</v>
      </c>
      <c r="AG4" s="60" t="str">
        <f t="shared" si="14"/>
        <v>Alaska</v>
      </c>
      <c r="AH4">
        <v>1.2573303710319217</v>
      </c>
      <c r="AI4" t="s">
        <v>69</v>
      </c>
      <c r="AJ4" t="s">
        <v>69</v>
      </c>
      <c r="AK4" t="s">
        <v>69</v>
      </c>
      <c r="AL4" t="s">
        <v>69</v>
      </c>
      <c r="AM4">
        <v>3.999999999999992</v>
      </c>
      <c r="AN4">
        <v>0</v>
      </c>
      <c r="AO4" t="s">
        <v>69</v>
      </c>
      <c r="AP4" t="s">
        <v>69</v>
      </c>
      <c r="AQ4" t="s">
        <v>69</v>
      </c>
      <c r="AR4">
        <v>0.43952199655651064</v>
      </c>
      <c r="AS4" s="71">
        <f t="shared" ref="AS4:AW66" si="15">IF(C4&lt;&gt;"",C4+AH4,"")</f>
        <v>4.7633239818725768</v>
      </c>
      <c r="AT4" s="71" t="str">
        <f t="shared" si="4"/>
        <v/>
      </c>
      <c r="AU4" s="71" t="str">
        <f t="shared" si="4"/>
        <v/>
      </c>
      <c r="AV4" s="71" t="str">
        <f t="shared" si="4"/>
        <v/>
      </c>
      <c r="AW4" s="71" t="str">
        <f t="shared" si="4"/>
        <v/>
      </c>
      <c r="AX4" s="71">
        <f t="shared" ref="AX4:BB66" si="16">IF(H4&lt;&gt;"",H4-AM4,"")</f>
        <v>1.000000000000008</v>
      </c>
      <c r="AY4" s="71">
        <f t="shared" si="5"/>
        <v>1</v>
      </c>
      <c r="AZ4" s="71" t="str">
        <f t="shared" si="5"/>
        <v/>
      </c>
      <c r="BA4" s="71" t="str">
        <f t="shared" si="5"/>
        <v/>
      </c>
      <c r="BB4" s="71" t="str">
        <f t="shared" si="5"/>
        <v/>
      </c>
      <c r="BC4" s="18">
        <f>IF(C4&lt;&gt;"",(('Data input'!C$109-'Data input'!C$108)*(AS4-1)/4)+'Data input'!C$108,"")</f>
        <v>0.98769964482058537</v>
      </c>
      <c r="BD4" s="18" t="str">
        <f>IF(D4&lt;&gt;"",(('Data input'!D$109-'Data input'!D$108)*(AT4-1)/4)+'Data input'!D$108,"")</f>
        <v/>
      </c>
      <c r="BE4" s="18" t="str">
        <f>IF(E4&lt;&gt;"",(('Data input'!E$109-'Data input'!E$108)*(AU4-1)/4)+'Data input'!E$108,"")</f>
        <v/>
      </c>
      <c r="BF4" s="18" t="str">
        <f>IF(F4&lt;&gt;"",(('Data input'!F$109-'Data input'!F$108)*(AV4-1)/4)+'Data input'!F$108,"")</f>
        <v/>
      </c>
      <c r="BG4" s="18" t="str">
        <f>IF(G4&lt;&gt;"",(('Data input'!G$109-'Data input'!G$108)*(AW4-1)/4)+'Data input'!G$108,"")</f>
        <v/>
      </c>
      <c r="BH4" s="19">
        <f>IF(H4&lt;&gt;"",(('Data input'!H$109-'Data input'!H$108)*(AX4-1)/4)+'Data input'!H$108,"")</f>
        <v>0.29574268608420123</v>
      </c>
      <c r="BI4" s="18">
        <f>IF(I4&lt;&gt;"",(('Data input'!I$109-'Data input'!I$108)*(AY4-1)/4)+'Data input'!I$108,"")</f>
        <v>0</v>
      </c>
      <c r="BJ4" s="19" t="str">
        <f>IF(J4&lt;&gt;"",(('Data input'!J$109-'Data input'!J$108)*(AZ4-1)/4)+'Data input'!J$108,"")</f>
        <v/>
      </c>
      <c r="BK4" s="19" t="str">
        <f>IF(K4&lt;&gt;"",(('Data input'!K$109-'Data input'!K$108)*(BA4-1)/4)+'Data input'!K$108,"")</f>
        <v/>
      </c>
      <c r="BL4" s="19" t="str">
        <f>IF(L4&lt;&gt;"",(('Data input'!L$109-'Data input'!L$108)*(BB4-1)/4)+'Data input'!L$108,"")</f>
        <v/>
      </c>
      <c r="BM4" s="18">
        <f>IF(C4&lt;&gt;"",BC4-'Data input'!C4,"")</f>
        <v>4.5650106195714191E-2</v>
      </c>
      <c r="BN4" s="18" t="str">
        <f>IF(D4&lt;&gt;"",BD4-'Data input'!D4,"")</f>
        <v/>
      </c>
      <c r="BO4" s="18" t="str">
        <f>IF(E4&lt;&gt;"",BE4-'Data input'!E4,"")</f>
        <v/>
      </c>
      <c r="BP4" s="18" t="str">
        <f>IF(F4&lt;&gt;"",BF4-'Data input'!F4,"")</f>
        <v/>
      </c>
      <c r="BQ4" s="18" t="str">
        <f>IF(G4&lt;&gt;"",BG4-'Data input'!G4,"")</f>
        <v/>
      </c>
      <c r="BR4" s="19">
        <f>IF(H4&lt;&gt;"",BH4-'Data input'!H4,"")</f>
        <v>-87.1113232752313</v>
      </c>
      <c r="BS4" s="18">
        <f>IF(I4&lt;&gt;"",BI4-'Data input'!I4,"")</f>
        <v>0</v>
      </c>
      <c r="BT4" s="18" t="str">
        <f>IF(J4&lt;&gt;"",BJ4-'Data input'!J4,"")</f>
        <v/>
      </c>
      <c r="BU4" s="18" t="str">
        <f>IF(K4&lt;&gt;"",BK4-'Data input'!K4,"")</f>
        <v/>
      </c>
      <c r="BV4" s="72" t="str">
        <f>IF(L4&lt;&gt;"",BL4-'Data input'!L4,"")</f>
        <v/>
      </c>
      <c r="BW4" s="121" t="str">
        <f t="shared" ref="BW4:BW67" si="17">CONCATENATE(FT4,FU4,FV4,FW4,FX4,FY4,FZ4,GA4,GB4,GC4,GD4,GE4,GF4,GG4,GH4,GI4,GJ4,GK4,GL4,GM4,GN4,GO4,GP4,GQ4,GR4,GS4,GT4,GU4,GV4,GW4,GX4,GY4,GZ4,HA4,HB4,HC4,HD4,HE4,HF4,HG4,HH4,HI4,HJ4,HK4,HL4,HM4,HN4,HO4,HP4,HQ4,HR4,HS4,HT4,HU4,HV4,HW4,HX4,HY4,HZ4,IA4,IB4,IC4,ID4,IE4,IF4,IG4,IH4,II4,IJ4,IK4,IL4,IM4,IN4,IO4,IP4,IQ4,IR4,IS4,IT4,IU4,IV4,IW4,IX4,IY4,IZ4,JA4,JB4,JC4,JD4,JE4,JF4,JG4,JH4,JI4,JJ4,JK4,JL4,JM4,JN4,JO4)</f>
        <v xml:space="preserve">Nevada; Texas; 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1.4170902543590998E-2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0.98120421289926851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FT4" s="1" t="str">
        <f t="shared" ref="FT4:GI33" si="18">IF(BX4&gt;0.0001,CONCATENATE(BX$2,"; "),"")</f>
        <v/>
      </c>
      <c r="FU4" s="1" t="str">
        <f t="shared" si="6"/>
        <v/>
      </c>
      <c r="FV4" s="1" t="str">
        <f t="shared" si="6"/>
        <v/>
      </c>
      <c r="FW4" s="1" t="str">
        <f t="shared" si="6"/>
        <v/>
      </c>
      <c r="FX4" s="1" t="str">
        <f t="shared" si="6"/>
        <v/>
      </c>
      <c r="FY4" s="1" t="str">
        <f t="shared" si="6"/>
        <v/>
      </c>
      <c r="FZ4" s="1" t="str">
        <f t="shared" si="6"/>
        <v/>
      </c>
      <c r="GA4" s="1" t="str">
        <f t="shared" si="6"/>
        <v/>
      </c>
      <c r="GB4" s="1" t="str">
        <f t="shared" si="6"/>
        <v/>
      </c>
      <c r="GC4" s="1" t="str">
        <f t="shared" si="6"/>
        <v/>
      </c>
      <c r="GD4" s="1" t="str">
        <f t="shared" si="6"/>
        <v/>
      </c>
      <c r="GE4" s="1" t="str">
        <f t="shared" si="6"/>
        <v/>
      </c>
      <c r="GF4" s="1" t="str">
        <f t="shared" si="6"/>
        <v/>
      </c>
      <c r="GG4" s="1" t="str">
        <f t="shared" si="6"/>
        <v/>
      </c>
      <c r="GH4" s="1" t="str">
        <f t="shared" si="6"/>
        <v/>
      </c>
      <c r="GI4" s="1" t="str">
        <f t="shared" si="6"/>
        <v/>
      </c>
      <c r="GJ4" s="1" t="str">
        <f t="shared" si="6"/>
        <v/>
      </c>
      <c r="GK4" s="1" t="str">
        <f t="shared" si="7"/>
        <v/>
      </c>
      <c r="GL4" s="1" t="str">
        <f t="shared" si="7"/>
        <v/>
      </c>
      <c r="GM4" s="1" t="str">
        <f t="shared" si="7"/>
        <v/>
      </c>
      <c r="GN4" s="1" t="str">
        <f t="shared" si="7"/>
        <v/>
      </c>
      <c r="GO4" s="1" t="str">
        <f t="shared" si="7"/>
        <v/>
      </c>
      <c r="GP4" s="1" t="str">
        <f t="shared" si="7"/>
        <v/>
      </c>
      <c r="GQ4" s="1" t="str">
        <f t="shared" si="7"/>
        <v/>
      </c>
      <c r="GR4" s="1" t="str">
        <f t="shared" si="7"/>
        <v/>
      </c>
      <c r="GS4" s="1" t="str">
        <f t="shared" si="7"/>
        <v/>
      </c>
      <c r="GT4" s="1" t="str">
        <f t="shared" si="7"/>
        <v/>
      </c>
      <c r="GU4" s="1" t="str">
        <f t="shared" si="7"/>
        <v/>
      </c>
      <c r="GV4" s="1" t="str">
        <f t="shared" si="7"/>
        <v xml:space="preserve">Nevada; </v>
      </c>
      <c r="GW4" s="1" t="str">
        <f t="shared" si="7"/>
        <v/>
      </c>
      <c r="GX4" s="1" t="str">
        <f t="shared" si="7"/>
        <v/>
      </c>
      <c r="GY4" s="1" t="str">
        <f t="shared" si="7"/>
        <v/>
      </c>
      <c r="GZ4" s="1" t="str">
        <f t="shared" si="7"/>
        <v/>
      </c>
      <c r="HA4" s="1" t="str">
        <f t="shared" si="8"/>
        <v/>
      </c>
      <c r="HB4" s="1" t="str">
        <f t="shared" si="8"/>
        <v/>
      </c>
      <c r="HC4" s="1" t="str">
        <f t="shared" si="8"/>
        <v/>
      </c>
      <c r="HD4" s="1" t="str">
        <f t="shared" si="8"/>
        <v/>
      </c>
      <c r="HE4" s="1" t="str">
        <f t="shared" si="8"/>
        <v/>
      </c>
      <c r="HF4" s="1" t="str">
        <f t="shared" si="8"/>
        <v/>
      </c>
      <c r="HG4" s="1" t="str">
        <f t="shared" si="8"/>
        <v/>
      </c>
      <c r="HH4" s="1" t="str">
        <f t="shared" si="8"/>
        <v/>
      </c>
      <c r="HI4" s="1" t="str">
        <f t="shared" si="8"/>
        <v/>
      </c>
      <c r="HJ4" s="1" t="str">
        <f t="shared" si="8"/>
        <v xml:space="preserve">Texas; </v>
      </c>
      <c r="HK4" s="1" t="str">
        <f t="shared" si="8"/>
        <v/>
      </c>
      <c r="HL4" s="1" t="str">
        <f t="shared" si="8"/>
        <v/>
      </c>
      <c r="HM4" s="1" t="str">
        <f t="shared" si="8"/>
        <v/>
      </c>
      <c r="HN4" s="1" t="str">
        <f t="shared" si="8"/>
        <v/>
      </c>
      <c r="HO4" s="1" t="str">
        <f t="shared" si="8"/>
        <v/>
      </c>
      <c r="HP4" s="1" t="str">
        <f t="shared" si="8"/>
        <v/>
      </c>
      <c r="HQ4" s="1" t="str">
        <f t="shared" si="9"/>
        <v/>
      </c>
      <c r="HR4" s="1" t="str">
        <f t="shared" si="9"/>
        <v/>
      </c>
      <c r="HS4" s="1" t="str">
        <f t="shared" si="9"/>
        <v/>
      </c>
      <c r="HT4" s="1" t="str">
        <f t="shared" si="9"/>
        <v/>
      </c>
      <c r="HU4" s="1" t="str">
        <f t="shared" si="9"/>
        <v/>
      </c>
      <c r="HV4" s="1" t="str">
        <f t="shared" si="9"/>
        <v/>
      </c>
      <c r="HW4" s="1" t="str">
        <f t="shared" si="9"/>
        <v/>
      </c>
      <c r="HX4" s="1" t="str">
        <f t="shared" si="9"/>
        <v/>
      </c>
      <c r="HY4" s="1" t="str">
        <f t="shared" si="9"/>
        <v/>
      </c>
      <c r="HZ4" s="1" t="str">
        <f t="shared" si="9"/>
        <v/>
      </c>
      <c r="IA4" s="1" t="str">
        <f t="shared" si="9"/>
        <v/>
      </c>
      <c r="IB4" s="1" t="str">
        <f t="shared" si="9"/>
        <v/>
      </c>
      <c r="IC4" s="1" t="str">
        <f t="shared" si="9"/>
        <v/>
      </c>
      <c r="ID4" s="1" t="str">
        <f t="shared" si="9"/>
        <v/>
      </c>
      <c r="IE4" s="1" t="str">
        <f t="shared" si="9"/>
        <v/>
      </c>
      <c r="IF4" s="1" t="str">
        <f t="shared" si="9"/>
        <v/>
      </c>
      <c r="IG4" s="1" t="str">
        <f t="shared" si="10"/>
        <v/>
      </c>
      <c r="IH4" s="1" t="str">
        <f t="shared" si="10"/>
        <v/>
      </c>
      <c r="II4" s="1" t="str">
        <f t="shared" si="10"/>
        <v/>
      </c>
      <c r="IJ4" s="1" t="str">
        <f t="shared" si="10"/>
        <v/>
      </c>
      <c r="IK4" s="1" t="str">
        <f t="shared" si="10"/>
        <v/>
      </c>
      <c r="IL4" s="1" t="str">
        <f t="shared" si="10"/>
        <v/>
      </c>
      <c r="IM4" s="1" t="str">
        <f t="shared" si="10"/>
        <v/>
      </c>
      <c r="IN4" s="1" t="str">
        <f t="shared" si="10"/>
        <v/>
      </c>
      <c r="IO4" s="1" t="str">
        <f t="shared" si="10"/>
        <v/>
      </c>
      <c r="IP4" s="1" t="str">
        <f t="shared" si="10"/>
        <v/>
      </c>
      <c r="IQ4" s="1" t="str">
        <f t="shared" si="10"/>
        <v/>
      </c>
      <c r="IR4" s="1" t="str">
        <f t="shared" si="10"/>
        <v/>
      </c>
      <c r="IS4" s="1" t="str">
        <f t="shared" si="10"/>
        <v/>
      </c>
      <c r="IT4" s="1" t="str">
        <f t="shared" si="10"/>
        <v/>
      </c>
      <c r="IU4" s="1" t="str">
        <f t="shared" si="10"/>
        <v/>
      </c>
      <c r="IV4" s="1" t="str">
        <f t="shared" si="10"/>
        <v/>
      </c>
      <c r="IW4" s="1" t="str">
        <f t="shared" si="11"/>
        <v/>
      </c>
      <c r="IX4" s="1" t="str">
        <f t="shared" si="11"/>
        <v/>
      </c>
      <c r="IY4" s="1" t="str">
        <f t="shared" si="11"/>
        <v/>
      </c>
      <c r="IZ4" s="1" t="str">
        <f t="shared" si="11"/>
        <v/>
      </c>
      <c r="JA4" s="1" t="str">
        <f t="shared" si="11"/>
        <v/>
      </c>
      <c r="JB4" s="1" t="str">
        <f t="shared" si="11"/>
        <v/>
      </c>
      <c r="JC4" s="1" t="str">
        <f t="shared" si="11"/>
        <v/>
      </c>
      <c r="JD4" s="1" t="str">
        <f t="shared" si="11"/>
        <v/>
      </c>
      <c r="JE4" s="1" t="str">
        <f t="shared" si="11"/>
        <v/>
      </c>
      <c r="JF4" s="1" t="str">
        <f t="shared" si="11"/>
        <v/>
      </c>
      <c r="JG4" s="1" t="str">
        <f t="shared" si="11"/>
        <v/>
      </c>
      <c r="JH4" s="1" t="str">
        <f t="shared" si="11"/>
        <v/>
      </c>
      <c r="JI4" s="1" t="str">
        <f t="shared" si="11"/>
        <v/>
      </c>
      <c r="JJ4" s="1" t="str">
        <f t="shared" si="11"/>
        <v/>
      </c>
      <c r="JK4" s="1" t="str">
        <f t="shared" si="11"/>
        <v/>
      </c>
      <c r="JL4" s="1" t="str">
        <f t="shared" si="11"/>
        <v/>
      </c>
      <c r="JM4" s="1" t="str">
        <f t="shared" si="12"/>
        <v/>
      </c>
      <c r="JN4" s="1" t="str">
        <f t="shared" si="12"/>
        <v/>
      </c>
      <c r="JO4" s="1" t="str">
        <f t="shared" si="12"/>
        <v/>
      </c>
    </row>
    <row r="5" spans="1:275" ht="14.5" x14ac:dyDescent="0.35">
      <c r="A5" s="59">
        <f>IF('Data input'!A5&lt;&gt;"",'Data input'!A5,"")</f>
        <v>3</v>
      </c>
      <c r="B5" s="60" t="str">
        <f>IF('Data input'!B5&lt;&gt;"",'Data input'!B5,"")</f>
        <v>Arizona</v>
      </c>
      <c r="C5" s="19">
        <f>IF('Data input'!C5="","",4*('Data input'!C5-'Data input'!C$108)/('Data input'!C$109-'Data input'!C$108)+1)</f>
        <v>4.819185868255027</v>
      </c>
      <c r="D5" s="19" t="str">
        <f>IF('Data input'!D5="","",4*('Data input'!D5-'Data input'!D$108)/('Data input'!D$109-'Data input'!D$108)+1)</f>
        <v/>
      </c>
      <c r="E5" s="19" t="str">
        <f>IF('Data input'!E5="","",4*('Data input'!E5-'Data input'!E$108)/('Data input'!E$109-'Data input'!E$108)+1)</f>
        <v/>
      </c>
      <c r="F5" s="19" t="str">
        <f>IF('Data input'!F5="","",4*('Data input'!F5-'Data input'!F$108)/('Data input'!F$109-'Data input'!F$108)+1)</f>
        <v/>
      </c>
      <c r="G5" s="19" t="str">
        <f>IF('Data input'!G5="","",4*('Data input'!G5-'Data input'!G$108)/('Data input'!G$109-'Data input'!G$108)+1)</f>
        <v/>
      </c>
      <c r="H5" s="61">
        <f>IF('Data input'!H5="","",4*('Data input'!H5-'Data input'!H$108)/('Data input'!H$109-'Data input'!H$108)+1)</f>
        <v>1.1061075103456683</v>
      </c>
      <c r="I5" s="19">
        <f>IF('Data input'!I5="","",4*('Data input'!I5-'Data input'!I$108)/('Data input'!I$109-'Data input'!I$108)+1)</f>
        <v>2.5637764883310754</v>
      </c>
      <c r="J5" s="19" t="str">
        <f>IF('Data input'!J5="","",4*('Data input'!J5-'Data input'!J$108)/('Data input'!J$109-'Data input'!J$108)+1)</f>
        <v/>
      </c>
      <c r="K5" s="19" t="str">
        <f>IF('Data input'!K5="","",4*('Data input'!K5-'Data input'!K$108)/('Data input'!K$109-'Data input'!K$108)+1)</f>
        <v/>
      </c>
      <c r="L5" s="19" t="str">
        <f>IF('Data input'!L5="","",4*('Data input'!L5-'Data input'!L$108)/('Data input'!L$109-'Data input'!L$108)+1)</f>
        <v/>
      </c>
      <c r="M5" s="19">
        <f>IF('Data input'!M5="","",4*('Data input'!M5-'Data input'!M$108)/('Data input'!M$109-'Data input'!M$108)+1)</f>
        <v>2.8724286115982567</v>
      </c>
      <c r="N5" s="16" t="str">
        <f>IF('Data input'!N5="","",4*('Data input'!N5-'Data input'!N$108)/('Data input'!N$109-'Data input'!N$108)+1)</f>
        <v/>
      </c>
      <c r="O5" s="19" t="str">
        <f>IF('Data input'!O5="","",4*('Data input'!O5-'Data input'!O$108)/('Data input'!O$109-'Data input'!O$108)+1)</f>
        <v/>
      </c>
      <c r="P5" s="19" t="str">
        <f>IF('Data input'!P5="","",4*('Data input'!P5-'Data input'!P$108)/('Data input'!P$109-'Data input'!P$108)+1)</f>
        <v/>
      </c>
      <c r="Q5" s="19" t="str">
        <f>IF('Data input'!Q5="","",4*('Data input'!Q5-'Data input'!Q$108)/('Data input'!Q$109-'Data input'!Q$108)+1)</f>
        <v/>
      </c>
      <c r="R5" s="19" t="str">
        <f>IF('Data input'!R5="","",4*('Data input'!R5-'Data input'!R$108)/('Data input'!R$109-'Data input'!R$108)+1)</f>
        <v/>
      </c>
      <c r="S5" s="16" t="str">
        <f>IF('Data input'!S5="","",4*('Data input'!S5-'Data input'!S$108)/('Data input'!S$109-'Data input'!S$108)+1)</f>
        <v/>
      </c>
      <c r="T5" s="19" t="str">
        <f>IF('Data input'!T5="","",4*('Data input'!T5-'Data input'!T$108)/('Data input'!T$109-'Data input'!T$108)+1)</f>
        <v/>
      </c>
      <c r="U5" s="19" t="str">
        <f>IF('Data input'!U5="","",4*('Data input'!U5-'Data input'!U$108)/('Data input'!U$109-'Data input'!U$108)+1)</f>
        <v/>
      </c>
      <c r="V5" s="19" t="str">
        <f>IF('Data input'!V5="","",4*('Data input'!V5-'Data input'!V$108)/('Data input'!V$109-'Data input'!V$108)+1)</f>
        <v/>
      </c>
      <c r="W5" s="16" t="str">
        <f>IF('Data input'!W5="","",4*('Data input'!W5-'Data input'!W$108)/('Data input'!W$109-'Data input'!W$108)+1)</f>
        <v/>
      </c>
      <c r="X5" s="16" t="str">
        <f>IF('Data input'!X5="","",4*('Data input'!X5-'Data input'!X$108)/('Data input'!X$109-'Data input'!X$108)+1)</f>
        <v/>
      </c>
      <c r="Y5" s="16" t="str">
        <f>IF('Data input'!Y5="","",4*('Data input'!Y5-'Data input'!Y$108)/('Data input'!Y$109-'Data input'!Y$108)+1)</f>
        <v/>
      </c>
      <c r="Z5" s="16" t="str">
        <f>IF('Data input'!Z5="","",4*('Data input'!Z5-'Data input'!Z$108)/('Data input'!Z$109-'Data input'!Z$108)+1)</f>
        <v/>
      </c>
      <c r="AA5" s="62" t="str">
        <f>IF('Data input'!AA5="","",4*('Data input'!AA5-'Data input'!AA$108)/('Data input'!AA$109-'Data input'!AA$108)+1)</f>
        <v/>
      </c>
      <c r="AB5" s="78"/>
      <c r="AC5" s="79">
        <v>0</v>
      </c>
      <c r="AD5" s="80" t="e">
        <f t="shared" si="13"/>
        <v>#DIV/0!</v>
      </c>
      <c r="AE5" s="4"/>
      <c r="AF5" s="59">
        <f t="shared" si="14"/>
        <v>3</v>
      </c>
      <c r="AG5" s="60" t="str">
        <f t="shared" si="14"/>
        <v>Arizona</v>
      </c>
      <c r="AH5">
        <v>0</v>
      </c>
      <c r="AI5" t="s">
        <v>69</v>
      </c>
      <c r="AJ5" t="s">
        <v>69</v>
      </c>
      <c r="AK5" t="s">
        <v>69</v>
      </c>
      <c r="AL5" t="s">
        <v>69</v>
      </c>
      <c r="AM5">
        <v>0.10529667591398958</v>
      </c>
      <c r="AN5">
        <v>0.26835673099915552</v>
      </c>
      <c r="AO5" t="s">
        <v>69</v>
      </c>
      <c r="AP5" t="s">
        <v>69</v>
      </c>
      <c r="AQ5" t="s">
        <v>69</v>
      </c>
      <c r="AR5">
        <v>0.84713549812730937</v>
      </c>
      <c r="AS5" s="71">
        <f t="shared" si="15"/>
        <v>4.819185868255027</v>
      </c>
      <c r="AT5" s="71" t="str">
        <f t="shared" si="4"/>
        <v/>
      </c>
      <c r="AU5" s="71" t="str">
        <f t="shared" si="4"/>
        <v/>
      </c>
      <c r="AV5" s="71" t="str">
        <f t="shared" si="4"/>
        <v/>
      </c>
      <c r="AW5" s="71" t="str">
        <f t="shared" si="4"/>
        <v/>
      </c>
      <c r="AX5" s="71">
        <f t="shared" si="16"/>
        <v>1.0008108344316788</v>
      </c>
      <c r="AY5" s="71">
        <f t="shared" si="5"/>
        <v>2.2954197573319197</v>
      </c>
      <c r="AZ5" s="71" t="str">
        <f t="shared" si="5"/>
        <v/>
      </c>
      <c r="BA5" s="71" t="str">
        <f t="shared" si="5"/>
        <v/>
      </c>
      <c r="BB5" s="71" t="str">
        <f t="shared" si="5"/>
        <v/>
      </c>
      <c r="BC5" s="18">
        <f>IF(C5&lt;&gt;"",(('Data input'!C$109-'Data input'!C$108)*(AS5-1)/4)+'Data input'!C$108,"")</f>
        <v>0.98972783176683632</v>
      </c>
      <c r="BD5" s="18" t="str">
        <f>IF(D5&lt;&gt;"",(('Data input'!D$109-'Data input'!D$108)*(AT5-1)/4)+'Data input'!D$108,"")</f>
        <v/>
      </c>
      <c r="BE5" s="18" t="str">
        <f>IF(E5&lt;&gt;"",(('Data input'!E$109-'Data input'!E$108)*(AU5-1)/4)+'Data input'!E$108,"")</f>
        <v/>
      </c>
      <c r="BF5" s="18" t="str">
        <f>IF(F5&lt;&gt;"",(('Data input'!F$109-'Data input'!F$108)*(AV5-1)/4)+'Data input'!F$108,"")</f>
        <v/>
      </c>
      <c r="BG5" s="18" t="str">
        <f>IF(G5&lt;&gt;"",(('Data input'!G$109-'Data input'!G$108)*(AW5-1)/4)+'Data input'!G$108,"")</f>
        <v/>
      </c>
      <c r="BH5" s="19">
        <f>IF(H5&lt;&gt;"",(('Data input'!H$109-'Data input'!H$108)*(AX5-1)/4)+'Data input'!H$108,"")</f>
        <v>0.31340090115919317</v>
      </c>
      <c r="BI5" s="18">
        <f>IF(I5&lt;&gt;"",(('Data input'!I$109-'Data input'!I$108)*(AY5-1)/4)+'Data input'!I$108,"")</f>
        <v>5.68799027647287E-2</v>
      </c>
      <c r="BJ5" s="19" t="str">
        <f>IF(J5&lt;&gt;"",(('Data input'!J$109-'Data input'!J$108)*(AZ5-1)/4)+'Data input'!J$108,"")</f>
        <v/>
      </c>
      <c r="BK5" s="19" t="str">
        <f>IF(K5&lt;&gt;"",(('Data input'!K$109-'Data input'!K$108)*(BA5-1)/4)+'Data input'!K$108,"")</f>
        <v/>
      </c>
      <c r="BL5" s="19" t="str">
        <f>IF(L5&lt;&gt;"",(('Data input'!L$109-'Data input'!L$108)*(BB5-1)/4)+'Data input'!L$108,"")</f>
        <v/>
      </c>
      <c r="BM5" s="18">
        <f>IF(C5&lt;&gt;"",BC5-'Data input'!C5,"")</f>
        <v>0</v>
      </c>
      <c r="BN5" s="18" t="str">
        <f>IF(D5&lt;&gt;"",BD5-'Data input'!D5,"")</f>
        <v/>
      </c>
      <c r="BO5" s="18" t="str">
        <f>IF(E5&lt;&gt;"",BE5-'Data input'!E5,"")</f>
        <v/>
      </c>
      <c r="BP5" s="18" t="str">
        <f>IF(F5&lt;&gt;"",BF5-'Data input'!F5,"")</f>
        <v/>
      </c>
      <c r="BQ5" s="18" t="str">
        <f>IF(G5&lt;&gt;"",BG5-'Data input'!G5,"")</f>
        <v/>
      </c>
      <c r="BR5" s="19">
        <f>IF(H5&lt;&gt;"",BH5-'Data input'!H5,"")</f>
        <v>-2.2931331938377042</v>
      </c>
      <c r="BS5" s="18">
        <f>IF(I5&lt;&gt;"",BI5-'Data input'!I5,"")</f>
        <v>-1.1783134137872638E-2</v>
      </c>
      <c r="BT5" s="18" t="str">
        <f>IF(J5&lt;&gt;"",BJ5-'Data input'!J5,"")</f>
        <v/>
      </c>
      <c r="BU5" s="18" t="str">
        <f>IF(K5&lt;&gt;"",BK5-'Data input'!K5,"")</f>
        <v/>
      </c>
      <c r="BV5" s="72" t="str">
        <f>IF(L5&lt;&gt;"",BL5-'Data input'!L5,"")</f>
        <v/>
      </c>
      <c r="BW5" s="121" t="str">
        <f t="shared" si="17"/>
        <v xml:space="preserve">Texas; Utah; 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0.98891215952346423</v>
      </c>
      <c r="DO5" s="1">
        <v>1.1087840476535977E-2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FT5" s="1" t="str">
        <f t="shared" si="18"/>
        <v/>
      </c>
      <c r="FU5" s="1" t="str">
        <f t="shared" si="6"/>
        <v/>
      </c>
      <c r="FV5" s="1" t="str">
        <f t="shared" si="6"/>
        <v/>
      </c>
      <c r="FW5" s="1" t="str">
        <f t="shared" si="6"/>
        <v/>
      </c>
      <c r="FX5" s="1" t="str">
        <f t="shared" si="6"/>
        <v/>
      </c>
      <c r="FY5" s="1" t="str">
        <f t="shared" si="6"/>
        <v/>
      </c>
      <c r="FZ5" s="1" t="str">
        <f t="shared" si="6"/>
        <v/>
      </c>
      <c r="GA5" s="1" t="str">
        <f t="shared" si="6"/>
        <v/>
      </c>
      <c r="GB5" s="1" t="str">
        <f t="shared" si="6"/>
        <v/>
      </c>
      <c r="GC5" s="1" t="str">
        <f t="shared" si="6"/>
        <v/>
      </c>
      <c r="GD5" s="1" t="str">
        <f t="shared" si="6"/>
        <v/>
      </c>
      <c r="GE5" s="1" t="str">
        <f t="shared" si="6"/>
        <v/>
      </c>
      <c r="GF5" s="1" t="str">
        <f t="shared" si="6"/>
        <v/>
      </c>
      <c r="GG5" s="1" t="str">
        <f t="shared" si="6"/>
        <v/>
      </c>
      <c r="GH5" s="1" t="str">
        <f t="shared" si="6"/>
        <v/>
      </c>
      <c r="GI5" s="1" t="str">
        <f t="shared" si="6"/>
        <v/>
      </c>
      <c r="GJ5" s="1" t="str">
        <f t="shared" si="6"/>
        <v/>
      </c>
      <c r="GK5" s="1" t="str">
        <f t="shared" si="7"/>
        <v/>
      </c>
      <c r="GL5" s="1" t="str">
        <f t="shared" si="7"/>
        <v/>
      </c>
      <c r="GM5" s="1" t="str">
        <f t="shared" si="7"/>
        <v/>
      </c>
      <c r="GN5" s="1" t="str">
        <f t="shared" si="7"/>
        <v/>
      </c>
      <c r="GO5" s="1" t="str">
        <f t="shared" si="7"/>
        <v/>
      </c>
      <c r="GP5" s="1" t="str">
        <f t="shared" si="7"/>
        <v/>
      </c>
      <c r="GQ5" s="1" t="str">
        <f t="shared" si="7"/>
        <v/>
      </c>
      <c r="GR5" s="1" t="str">
        <f t="shared" si="7"/>
        <v/>
      </c>
      <c r="GS5" s="1" t="str">
        <f t="shared" si="7"/>
        <v/>
      </c>
      <c r="GT5" s="1" t="str">
        <f t="shared" si="7"/>
        <v/>
      </c>
      <c r="GU5" s="1" t="str">
        <f t="shared" si="7"/>
        <v/>
      </c>
      <c r="GV5" s="1" t="str">
        <f t="shared" si="7"/>
        <v/>
      </c>
      <c r="GW5" s="1" t="str">
        <f t="shared" si="7"/>
        <v/>
      </c>
      <c r="GX5" s="1" t="str">
        <f t="shared" si="7"/>
        <v/>
      </c>
      <c r="GY5" s="1" t="str">
        <f t="shared" si="7"/>
        <v/>
      </c>
      <c r="GZ5" s="1" t="str">
        <f t="shared" si="7"/>
        <v/>
      </c>
      <c r="HA5" s="1" t="str">
        <f t="shared" si="8"/>
        <v/>
      </c>
      <c r="HB5" s="1" t="str">
        <f t="shared" si="8"/>
        <v/>
      </c>
      <c r="HC5" s="1" t="str">
        <f t="shared" si="8"/>
        <v/>
      </c>
      <c r="HD5" s="1" t="str">
        <f t="shared" si="8"/>
        <v/>
      </c>
      <c r="HE5" s="1" t="str">
        <f t="shared" si="8"/>
        <v/>
      </c>
      <c r="HF5" s="1" t="str">
        <f t="shared" si="8"/>
        <v/>
      </c>
      <c r="HG5" s="1" t="str">
        <f t="shared" si="8"/>
        <v/>
      </c>
      <c r="HH5" s="1" t="str">
        <f t="shared" si="8"/>
        <v/>
      </c>
      <c r="HI5" s="1" t="str">
        <f t="shared" si="8"/>
        <v/>
      </c>
      <c r="HJ5" s="1" t="str">
        <f t="shared" si="8"/>
        <v xml:space="preserve">Texas; </v>
      </c>
      <c r="HK5" s="1" t="str">
        <f t="shared" si="8"/>
        <v xml:space="preserve">Utah; </v>
      </c>
      <c r="HL5" s="1" t="str">
        <f t="shared" si="8"/>
        <v/>
      </c>
      <c r="HM5" s="1" t="str">
        <f t="shared" si="8"/>
        <v/>
      </c>
      <c r="HN5" s="1" t="str">
        <f t="shared" si="8"/>
        <v/>
      </c>
      <c r="HO5" s="1" t="str">
        <f t="shared" si="8"/>
        <v/>
      </c>
      <c r="HP5" s="1" t="str">
        <f t="shared" si="8"/>
        <v/>
      </c>
      <c r="HQ5" s="1" t="str">
        <f t="shared" si="9"/>
        <v/>
      </c>
      <c r="HR5" s="1" t="str">
        <f t="shared" si="9"/>
        <v/>
      </c>
      <c r="HS5" s="1" t="str">
        <f t="shared" si="9"/>
        <v/>
      </c>
      <c r="HT5" s="1" t="str">
        <f t="shared" si="9"/>
        <v/>
      </c>
      <c r="HU5" s="1" t="str">
        <f t="shared" si="9"/>
        <v/>
      </c>
      <c r="HV5" s="1" t="str">
        <f t="shared" si="9"/>
        <v/>
      </c>
      <c r="HW5" s="1" t="str">
        <f t="shared" si="9"/>
        <v/>
      </c>
      <c r="HX5" s="1" t="str">
        <f t="shared" si="9"/>
        <v/>
      </c>
      <c r="HY5" s="1" t="str">
        <f t="shared" si="9"/>
        <v/>
      </c>
      <c r="HZ5" s="1" t="str">
        <f t="shared" si="9"/>
        <v/>
      </c>
      <c r="IA5" s="1" t="str">
        <f t="shared" si="9"/>
        <v/>
      </c>
      <c r="IB5" s="1" t="str">
        <f t="shared" si="9"/>
        <v/>
      </c>
      <c r="IC5" s="1" t="str">
        <f t="shared" si="9"/>
        <v/>
      </c>
      <c r="ID5" s="1" t="str">
        <f t="shared" si="9"/>
        <v/>
      </c>
      <c r="IE5" s="1" t="str">
        <f t="shared" si="9"/>
        <v/>
      </c>
      <c r="IF5" s="1" t="str">
        <f t="shared" si="9"/>
        <v/>
      </c>
      <c r="IG5" s="1" t="str">
        <f t="shared" si="10"/>
        <v/>
      </c>
      <c r="IH5" s="1" t="str">
        <f t="shared" si="10"/>
        <v/>
      </c>
      <c r="II5" s="1" t="str">
        <f t="shared" si="10"/>
        <v/>
      </c>
      <c r="IJ5" s="1" t="str">
        <f t="shared" si="10"/>
        <v/>
      </c>
      <c r="IK5" s="1" t="str">
        <f t="shared" si="10"/>
        <v/>
      </c>
      <c r="IL5" s="1" t="str">
        <f t="shared" si="10"/>
        <v/>
      </c>
      <c r="IM5" s="1" t="str">
        <f t="shared" si="10"/>
        <v/>
      </c>
      <c r="IN5" s="1" t="str">
        <f t="shared" si="10"/>
        <v/>
      </c>
      <c r="IO5" s="1" t="str">
        <f t="shared" si="10"/>
        <v/>
      </c>
      <c r="IP5" s="1" t="str">
        <f t="shared" si="10"/>
        <v/>
      </c>
      <c r="IQ5" s="1" t="str">
        <f t="shared" si="10"/>
        <v/>
      </c>
      <c r="IR5" s="1" t="str">
        <f t="shared" si="10"/>
        <v/>
      </c>
      <c r="IS5" s="1" t="str">
        <f t="shared" si="10"/>
        <v/>
      </c>
      <c r="IT5" s="1" t="str">
        <f t="shared" si="10"/>
        <v/>
      </c>
      <c r="IU5" s="1" t="str">
        <f t="shared" si="10"/>
        <v/>
      </c>
      <c r="IV5" s="1" t="str">
        <f t="shared" si="10"/>
        <v/>
      </c>
      <c r="IW5" s="1" t="str">
        <f t="shared" si="11"/>
        <v/>
      </c>
      <c r="IX5" s="1" t="str">
        <f t="shared" si="11"/>
        <v/>
      </c>
      <c r="IY5" s="1" t="str">
        <f t="shared" si="11"/>
        <v/>
      </c>
      <c r="IZ5" s="1" t="str">
        <f t="shared" si="11"/>
        <v/>
      </c>
      <c r="JA5" s="1" t="str">
        <f t="shared" si="11"/>
        <v/>
      </c>
      <c r="JB5" s="1" t="str">
        <f t="shared" si="11"/>
        <v/>
      </c>
      <c r="JC5" s="1" t="str">
        <f t="shared" si="11"/>
        <v/>
      </c>
      <c r="JD5" s="1" t="str">
        <f t="shared" si="11"/>
        <v/>
      </c>
      <c r="JE5" s="1" t="str">
        <f t="shared" si="11"/>
        <v/>
      </c>
      <c r="JF5" s="1" t="str">
        <f t="shared" si="11"/>
        <v/>
      </c>
      <c r="JG5" s="1" t="str">
        <f t="shared" si="11"/>
        <v/>
      </c>
      <c r="JH5" s="1" t="str">
        <f t="shared" si="11"/>
        <v/>
      </c>
      <c r="JI5" s="1" t="str">
        <f t="shared" si="11"/>
        <v/>
      </c>
      <c r="JJ5" s="1" t="str">
        <f t="shared" si="11"/>
        <v/>
      </c>
      <c r="JK5" s="1" t="str">
        <f t="shared" si="11"/>
        <v/>
      </c>
      <c r="JL5" s="1" t="str">
        <f t="shared" si="11"/>
        <v/>
      </c>
      <c r="JM5" s="1" t="str">
        <f t="shared" si="12"/>
        <v/>
      </c>
      <c r="JN5" s="1" t="str">
        <f t="shared" si="12"/>
        <v/>
      </c>
      <c r="JO5" s="1" t="str">
        <f t="shared" si="12"/>
        <v/>
      </c>
    </row>
    <row r="6" spans="1:275" ht="14.5" x14ac:dyDescent="0.35">
      <c r="A6" s="59">
        <f>IF('Data input'!A6&lt;&gt;"",'Data input'!A6,"")</f>
        <v>4</v>
      </c>
      <c r="B6" s="60" t="str">
        <f>IF('Data input'!B6&lt;&gt;"",'Data input'!B6,"")</f>
        <v>Arkansas</v>
      </c>
      <c r="C6" s="19">
        <f>IF('Data input'!C6="","",4*('Data input'!C6-'Data input'!C$108)/('Data input'!C$109-'Data input'!C$108)+1)</f>
        <v>4.1829003096333714</v>
      </c>
      <c r="D6" s="19" t="str">
        <f>IF('Data input'!D6="","",4*('Data input'!D6-'Data input'!D$108)/('Data input'!D$109-'Data input'!D$108)+1)</f>
        <v/>
      </c>
      <c r="E6" s="19" t="str">
        <f>IF('Data input'!E6="","",4*('Data input'!E6-'Data input'!E$108)/('Data input'!E$109-'Data input'!E$108)+1)</f>
        <v/>
      </c>
      <c r="F6" s="19" t="str">
        <f>IF('Data input'!F6="","",4*('Data input'!F6-'Data input'!F$108)/('Data input'!F$109-'Data input'!F$108)+1)</f>
        <v/>
      </c>
      <c r="G6" s="19" t="str">
        <f>IF('Data input'!G6="","",4*('Data input'!G6-'Data input'!G$108)/('Data input'!G$109-'Data input'!G$108)+1)</f>
        <v/>
      </c>
      <c r="H6" s="61">
        <f>IF('Data input'!H6="","",4*('Data input'!H6-'Data input'!H$108)/('Data input'!H$109-'Data input'!H$108)+1)</f>
        <v>1.1016430551244414</v>
      </c>
      <c r="I6" s="19">
        <f>IF('Data input'!I6="","",4*('Data input'!I6-'Data input'!I$108)/('Data input'!I$109-'Data input'!I$108)+1)</f>
        <v>2.2471124006096552</v>
      </c>
      <c r="J6" s="19" t="str">
        <f>IF('Data input'!J6="","",4*('Data input'!J6-'Data input'!J$108)/('Data input'!J$109-'Data input'!J$108)+1)</f>
        <v/>
      </c>
      <c r="K6" s="19" t="str">
        <f>IF('Data input'!K6="","",4*('Data input'!K6-'Data input'!K$108)/('Data input'!K$109-'Data input'!K$108)+1)</f>
        <v/>
      </c>
      <c r="L6" s="19" t="str">
        <f>IF('Data input'!L6="","",4*('Data input'!L6-'Data input'!L$108)/('Data input'!L$109-'Data input'!L$108)+1)</f>
        <v/>
      </c>
      <c r="M6" s="19">
        <f>IF('Data input'!M6="","",4*('Data input'!M6-'Data input'!M$108)/('Data input'!M$109-'Data input'!M$108)+1)</f>
        <v>1.4639950126164525</v>
      </c>
      <c r="N6" s="16" t="str">
        <f>IF('Data input'!N6="","",4*('Data input'!N6-'Data input'!N$108)/('Data input'!N$109-'Data input'!N$108)+1)</f>
        <v/>
      </c>
      <c r="O6" s="19" t="str">
        <f>IF('Data input'!O6="","",4*('Data input'!O6-'Data input'!O$108)/('Data input'!O$109-'Data input'!O$108)+1)</f>
        <v/>
      </c>
      <c r="P6" s="19" t="str">
        <f>IF('Data input'!P6="","",4*('Data input'!P6-'Data input'!P$108)/('Data input'!P$109-'Data input'!P$108)+1)</f>
        <v/>
      </c>
      <c r="Q6" s="19" t="str">
        <f>IF('Data input'!Q6="","",4*('Data input'!Q6-'Data input'!Q$108)/('Data input'!Q$109-'Data input'!Q$108)+1)</f>
        <v/>
      </c>
      <c r="R6" s="19" t="str">
        <f>IF('Data input'!R6="","",4*('Data input'!R6-'Data input'!R$108)/('Data input'!R$109-'Data input'!R$108)+1)</f>
        <v/>
      </c>
      <c r="S6" s="16" t="str">
        <f>IF('Data input'!S6="","",4*('Data input'!S6-'Data input'!S$108)/('Data input'!S$109-'Data input'!S$108)+1)</f>
        <v/>
      </c>
      <c r="T6" s="19" t="str">
        <f>IF('Data input'!T6="","",4*('Data input'!T6-'Data input'!T$108)/('Data input'!T$109-'Data input'!T$108)+1)</f>
        <v/>
      </c>
      <c r="U6" s="19" t="str">
        <f>IF('Data input'!U6="","",4*('Data input'!U6-'Data input'!U$108)/('Data input'!U$109-'Data input'!U$108)+1)</f>
        <v/>
      </c>
      <c r="V6" s="19" t="str">
        <f>IF('Data input'!V6="","",4*('Data input'!V6-'Data input'!V$108)/('Data input'!V$109-'Data input'!V$108)+1)</f>
        <v/>
      </c>
      <c r="W6" s="16" t="str">
        <f>IF('Data input'!W6="","",4*('Data input'!W6-'Data input'!W$108)/('Data input'!W$109-'Data input'!W$108)+1)</f>
        <v/>
      </c>
      <c r="X6" s="16" t="str">
        <f>IF('Data input'!X6="","",4*('Data input'!X6-'Data input'!X$108)/('Data input'!X$109-'Data input'!X$108)+1)</f>
        <v/>
      </c>
      <c r="Y6" s="16" t="str">
        <f>IF('Data input'!Y6="","",4*('Data input'!Y6-'Data input'!Y$108)/('Data input'!Y$109-'Data input'!Y$108)+1)</f>
        <v/>
      </c>
      <c r="Z6" s="16" t="str">
        <f>IF('Data input'!Z6="","",4*('Data input'!Z6-'Data input'!Z$108)/('Data input'!Z$109-'Data input'!Z$108)+1)</f>
        <v/>
      </c>
      <c r="AA6" s="62" t="str">
        <f>IF('Data input'!AA6="","",4*('Data input'!AA6-'Data input'!AA$108)/('Data input'!AA$109-'Data input'!AA$108)+1)</f>
        <v/>
      </c>
      <c r="AB6" s="78"/>
      <c r="AC6" s="79">
        <v>0</v>
      </c>
      <c r="AD6" s="80" t="e">
        <f t="shared" si="13"/>
        <v>#DIV/0!</v>
      </c>
      <c r="AE6" s="4"/>
      <c r="AF6" s="59">
        <f t="shared" si="14"/>
        <v>4</v>
      </c>
      <c r="AG6" s="60" t="str">
        <f t="shared" si="14"/>
        <v>Arkansas</v>
      </c>
      <c r="AH6">
        <v>0.6184702676676177</v>
      </c>
      <c r="AI6" t="s">
        <v>69</v>
      </c>
      <c r="AJ6" t="s">
        <v>69</v>
      </c>
      <c r="AK6" t="s">
        <v>69</v>
      </c>
      <c r="AL6" t="s">
        <v>69</v>
      </c>
      <c r="AM6">
        <v>0.10164305512444137</v>
      </c>
      <c r="AN6">
        <v>0.21444083622944332</v>
      </c>
      <c r="AO6" t="s">
        <v>69</v>
      </c>
      <c r="AP6" t="s">
        <v>69</v>
      </c>
      <c r="AQ6" t="s">
        <v>69</v>
      </c>
      <c r="AR6">
        <v>0.75250174604310616</v>
      </c>
      <c r="AS6" s="71">
        <f t="shared" si="15"/>
        <v>4.8013705773009896</v>
      </c>
      <c r="AT6" s="71" t="str">
        <f t="shared" si="4"/>
        <v/>
      </c>
      <c r="AU6" s="71" t="str">
        <f t="shared" si="4"/>
        <v/>
      </c>
      <c r="AV6" s="71" t="str">
        <f t="shared" si="4"/>
        <v/>
      </c>
      <c r="AW6" s="71" t="str">
        <f t="shared" si="4"/>
        <v/>
      </c>
      <c r="AX6" s="71">
        <f t="shared" si="16"/>
        <v>1</v>
      </c>
      <c r="AY6" s="71">
        <f t="shared" si="5"/>
        <v>2.032671564380212</v>
      </c>
      <c r="AZ6" s="71" t="str">
        <f t="shared" si="5"/>
        <v/>
      </c>
      <c r="BA6" s="71" t="str">
        <f t="shared" si="5"/>
        <v/>
      </c>
      <c r="BB6" s="71" t="str">
        <f t="shared" si="5"/>
        <v/>
      </c>
      <c r="BC6" s="18">
        <f>IF(C6&lt;&gt;"",(('Data input'!C$109-'Data input'!C$108)*(AS6-1)/4)+'Data input'!C$108,"")</f>
        <v>0.98908100898843487</v>
      </c>
      <c r="BD6" s="18" t="str">
        <f>IF(D6&lt;&gt;"",(('Data input'!D$109-'Data input'!D$108)*(AT6-1)/4)+'Data input'!D$108,"")</f>
        <v/>
      </c>
      <c r="BE6" s="18" t="str">
        <f>IF(E6&lt;&gt;"",(('Data input'!E$109-'Data input'!E$108)*(AU6-1)/4)+'Data input'!E$108,"")</f>
        <v/>
      </c>
      <c r="BF6" s="18" t="str">
        <f>IF(F6&lt;&gt;"",(('Data input'!F$109-'Data input'!F$108)*(AV6-1)/4)+'Data input'!F$108,"")</f>
        <v/>
      </c>
      <c r="BG6" s="18" t="str">
        <f>IF(G6&lt;&gt;"",(('Data input'!G$109-'Data input'!G$108)*(AW6-1)/4)+'Data input'!G$108,"")</f>
        <v/>
      </c>
      <c r="BH6" s="19">
        <f>IF(H6&lt;&gt;"",(('Data input'!H$109-'Data input'!H$108)*(AX6-1)/4)+'Data input'!H$108,"")</f>
        <v>0.29574268608402715</v>
      </c>
      <c r="BI6" s="18">
        <f>IF(I6&lt;&gt;"",(('Data input'!I$109-'Data input'!I$108)*(AY6-1)/4)+'Data input'!I$108,"")</f>
        <v>4.5343030965364906E-2</v>
      </c>
      <c r="BJ6" s="19" t="str">
        <f>IF(J6&lt;&gt;"",(('Data input'!J$109-'Data input'!J$108)*(AZ6-1)/4)+'Data input'!J$108,"")</f>
        <v/>
      </c>
      <c r="BK6" s="19" t="str">
        <f>IF(K6&lt;&gt;"",(('Data input'!K$109-'Data input'!K$108)*(BA6-1)/4)+'Data input'!K$108,"")</f>
        <v/>
      </c>
      <c r="BL6" s="19" t="str">
        <f>IF(L6&lt;&gt;"",(('Data input'!L$109-'Data input'!L$108)*(BB6-1)/4)+'Data input'!L$108,"")</f>
        <v/>
      </c>
      <c r="BM6" s="18">
        <f>IF(C6&lt;&gt;"",BC6-'Data input'!C6,"")</f>
        <v>2.2454904493197647E-2</v>
      </c>
      <c r="BN6" s="18" t="str">
        <f>IF(D6&lt;&gt;"",BD6-'Data input'!D6,"")</f>
        <v/>
      </c>
      <c r="BO6" s="18" t="str">
        <f>IF(E6&lt;&gt;"",BE6-'Data input'!E6,"")</f>
        <v/>
      </c>
      <c r="BP6" s="18" t="str">
        <f>IF(F6&lt;&gt;"",BF6-'Data input'!F6,"")</f>
        <v/>
      </c>
      <c r="BQ6" s="18" t="str">
        <f>IF(G6&lt;&gt;"",BG6-'Data input'!G6,"")</f>
        <v/>
      </c>
      <c r="BR6" s="19">
        <f>IF(H6&lt;&gt;"",BH6-'Data input'!H6,"")</f>
        <v>-2.2135652584068479</v>
      </c>
      <c r="BS6" s="18">
        <f>IF(I6&lt;&gt;"",BI6-'Data input'!I6,"")</f>
        <v>-9.4157695561474797E-3</v>
      </c>
      <c r="BT6" s="18" t="str">
        <f>IF(J6&lt;&gt;"",BJ6-'Data input'!J6,"")</f>
        <v/>
      </c>
      <c r="BU6" s="18" t="str">
        <f>IF(K6&lt;&gt;"",BK6-'Data input'!K6,"")</f>
        <v/>
      </c>
      <c r="BV6" s="72" t="str">
        <f>IF(L6&lt;&gt;"",BL6-'Data input'!L6,"")</f>
        <v/>
      </c>
      <c r="BW6" s="121" t="str">
        <f t="shared" si="17"/>
        <v xml:space="preserve">Texas; 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1.0000000000000011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FT6" s="1" t="str">
        <f t="shared" si="18"/>
        <v/>
      </c>
      <c r="FU6" s="1" t="str">
        <f t="shared" si="6"/>
        <v/>
      </c>
      <c r="FV6" s="1" t="str">
        <f t="shared" si="6"/>
        <v/>
      </c>
      <c r="FW6" s="1" t="str">
        <f t="shared" si="6"/>
        <v/>
      </c>
      <c r="FX6" s="1" t="str">
        <f t="shared" si="6"/>
        <v/>
      </c>
      <c r="FY6" s="1" t="str">
        <f t="shared" si="6"/>
        <v/>
      </c>
      <c r="FZ6" s="1" t="str">
        <f t="shared" si="6"/>
        <v/>
      </c>
      <c r="GA6" s="1" t="str">
        <f t="shared" si="6"/>
        <v/>
      </c>
      <c r="GB6" s="1" t="str">
        <f t="shared" si="6"/>
        <v/>
      </c>
      <c r="GC6" s="1" t="str">
        <f t="shared" si="6"/>
        <v/>
      </c>
      <c r="GD6" s="1" t="str">
        <f t="shared" si="6"/>
        <v/>
      </c>
      <c r="GE6" s="1" t="str">
        <f t="shared" si="6"/>
        <v/>
      </c>
      <c r="GF6" s="1" t="str">
        <f t="shared" si="6"/>
        <v/>
      </c>
      <c r="GG6" s="1" t="str">
        <f t="shared" si="6"/>
        <v/>
      </c>
      <c r="GH6" s="1" t="str">
        <f t="shared" si="6"/>
        <v/>
      </c>
      <c r="GI6" s="1" t="str">
        <f t="shared" si="6"/>
        <v/>
      </c>
      <c r="GJ6" s="1" t="str">
        <f t="shared" si="6"/>
        <v/>
      </c>
      <c r="GK6" s="1" t="str">
        <f t="shared" si="7"/>
        <v/>
      </c>
      <c r="GL6" s="1" t="str">
        <f t="shared" si="7"/>
        <v/>
      </c>
      <c r="GM6" s="1" t="str">
        <f t="shared" si="7"/>
        <v/>
      </c>
      <c r="GN6" s="1" t="str">
        <f t="shared" si="7"/>
        <v/>
      </c>
      <c r="GO6" s="1" t="str">
        <f t="shared" si="7"/>
        <v/>
      </c>
      <c r="GP6" s="1" t="str">
        <f t="shared" si="7"/>
        <v/>
      </c>
      <c r="GQ6" s="1" t="str">
        <f t="shared" si="7"/>
        <v/>
      </c>
      <c r="GR6" s="1" t="str">
        <f t="shared" si="7"/>
        <v/>
      </c>
      <c r="GS6" s="1" t="str">
        <f t="shared" si="7"/>
        <v/>
      </c>
      <c r="GT6" s="1" t="str">
        <f t="shared" si="7"/>
        <v/>
      </c>
      <c r="GU6" s="1" t="str">
        <f t="shared" si="7"/>
        <v/>
      </c>
      <c r="GV6" s="1" t="str">
        <f t="shared" si="7"/>
        <v/>
      </c>
      <c r="GW6" s="1" t="str">
        <f t="shared" si="7"/>
        <v/>
      </c>
      <c r="GX6" s="1" t="str">
        <f t="shared" si="7"/>
        <v/>
      </c>
      <c r="GY6" s="1" t="str">
        <f t="shared" si="7"/>
        <v/>
      </c>
      <c r="GZ6" s="1" t="str">
        <f t="shared" si="7"/>
        <v/>
      </c>
      <c r="HA6" s="1" t="str">
        <f t="shared" si="8"/>
        <v/>
      </c>
      <c r="HB6" s="1" t="str">
        <f t="shared" si="8"/>
        <v/>
      </c>
      <c r="HC6" s="1" t="str">
        <f t="shared" si="8"/>
        <v/>
      </c>
      <c r="HD6" s="1" t="str">
        <f t="shared" si="8"/>
        <v/>
      </c>
      <c r="HE6" s="1" t="str">
        <f t="shared" si="8"/>
        <v/>
      </c>
      <c r="HF6" s="1" t="str">
        <f t="shared" si="8"/>
        <v/>
      </c>
      <c r="HG6" s="1" t="str">
        <f t="shared" si="8"/>
        <v/>
      </c>
      <c r="HH6" s="1" t="str">
        <f t="shared" si="8"/>
        <v/>
      </c>
      <c r="HI6" s="1" t="str">
        <f t="shared" si="8"/>
        <v/>
      </c>
      <c r="HJ6" s="1" t="str">
        <f t="shared" si="8"/>
        <v xml:space="preserve">Texas; </v>
      </c>
      <c r="HK6" s="1" t="str">
        <f t="shared" si="8"/>
        <v/>
      </c>
      <c r="HL6" s="1" t="str">
        <f t="shared" si="8"/>
        <v/>
      </c>
      <c r="HM6" s="1" t="str">
        <f t="shared" si="8"/>
        <v/>
      </c>
      <c r="HN6" s="1" t="str">
        <f t="shared" si="8"/>
        <v/>
      </c>
      <c r="HO6" s="1" t="str">
        <f t="shared" si="8"/>
        <v/>
      </c>
      <c r="HP6" s="1" t="str">
        <f t="shared" si="8"/>
        <v/>
      </c>
      <c r="HQ6" s="1" t="str">
        <f t="shared" si="9"/>
        <v/>
      </c>
      <c r="HR6" s="1" t="str">
        <f t="shared" si="9"/>
        <v/>
      </c>
      <c r="HS6" s="1" t="str">
        <f t="shared" si="9"/>
        <v/>
      </c>
      <c r="HT6" s="1" t="str">
        <f t="shared" si="9"/>
        <v/>
      </c>
      <c r="HU6" s="1" t="str">
        <f t="shared" si="9"/>
        <v/>
      </c>
      <c r="HV6" s="1" t="str">
        <f t="shared" si="9"/>
        <v/>
      </c>
      <c r="HW6" s="1" t="str">
        <f t="shared" si="9"/>
        <v/>
      </c>
      <c r="HX6" s="1" t="str">
        <f t="shared" si="9"/>
        <v/>
      </c>
      <c r="HY6" s="1" t="str">
        <f t="shared" si="9"/>
        <v/>
      </c>
      <c r="HZ6" s="1" t="str">
        <f t="shared" si="9"/>
        <v/>
      </c>
      <c r="IA6" s="1" t="str">
        <f t="shared" si="9"/>
        <v/>
      </c>
      <c r="IB6" s="1" t="str">
        <f t="shared" si="9"/>
        <v/>
      </c>
      <c r="IC6" s="1" t="str">
        <f t="shared" si="9"/>
        <v/>
      </c>
      <c r="ID6" s="1" t="str">
        <f t="shared" si="9"/>
        <v/>
      </c>
      <c r="IE6" s="1" t="str">
        <f t="shared" si="9"/>
        <v/>
      </c>
      <c r="IF6" s="1" t="str">
        <f t="shared" si="9"/>
        <v/>
      </c>
      <c r="IG6" s="1" t="str">
        <f t="shared" si="10"/>
        <v/>
      </c>
      <c r="IH6" s="1" t="str">
        <f t="shared" si="10"/>
        <v/>
      </c>
      <c r="II6" s="1" t="str">
        <f t="shared" si="10"/>
        <v/>
      </c>
      <c r="IJ6" s="1" t="str">
        <f t="shared" si="10"/>
        <v/>
      </c>
      <c r="IK6" s="1" t="str">
        <f t="shared" si="10"/>
        <v/>
      </c>
      <c r="IL6" s="1" t="str">
        <f t="shared" si="10"/>
        <v/>
      </c>
      <c r="IM6" s="1" t="str">
        <f t="shared" si="10"/>
        <v/>
      </c>
      <c r="IN6" s="1" t="str">
        <f t="shared" si="10"/>
        <v/>
      </c>
      <c r="IO6" s="1" t="str">
        <f t="shared" si="10"/>
        <v/>
      </c>
      <c r="IP6" s="1" t="str">
        <f t="shared" si="10"/>
        <v/>
      </c>
      <c r="IQ6" s="1" t="str">
        <f t="shared" si="10"/>
        <v/>
      </c>
      <c r="IR6" s="1" t="str">
        <f t="shared" si="10"/>
        <v/>
      </c>
      <c r="IS6" s="1" t="str">
        <f t="shared" si="10"/>
        <v/>
      </c>
      <c r="IT6" s="1" t="str">
        <f t="shared" si="10"/>
        <v/>
      </c>
      <c r="IU6" s="1" t="str">
        <f t="shared" si="10"/>
        <v/>
      </c>
      <c r="IV6" s="1" t="str">
        <f t="shared" si="10"/>
        <v/>
      </c>
      <c r="IW6" s="1" t="str">
        <f t="shared" si="11"/>
        <v/>
      </c>
      <c r="IX6" s="1" t="str">
        <f t="shared" si="11"/>
        <v/>
      </c>
      <c r="IY6" s="1" t="str">
        <f t="shared" si="11"/>
        <v/>
      </c>
      <c r="IZ6" s="1" t="str">
        <f t="shared" si="11"/>
        <v/>
      </c>
      <c r="JA6" s="1" t="str">
        <f t="shared" si="11"/>
        <v/>
      </c>
      <c r="JB6" s="1" t="str">
        <f t="shared" si="11"/>
        <v/>
      </c>
      <c r="JC6" s="1" t="str">
        <f t="shared" si="11"/>
        <v/>
      </c>
      <c r="JD6" s="1" t="str">
        <f t="shared" si="11"/>
        <v/>
      </c>
      <c r="JE6" s="1" t="str">
        <f t="shared" si="11"/>
        <v/>
      </c>
      <c r="JF6" s="1" t="str">
        <f t="shared" si="11"/>
        <v/>
      </c>
      <c r="JG6" s="1" t="str">
        <f t="shared" si="11"/>
        <v/>
      </c>
      <c r="JH6" s="1" t="str">
        <f t="shared" si="11"/>
        <v/>
      </c>
      <c r="JI6" s="1" t="str">
        <f t="shared" si="11"/>
        <v/>
      </c>
      <c r="JJ6" s="1" t="str">
        <f t="shared" si="11"/>
        <v/>
      </c>
      <c r="JK6" s="1" t="str">
        <f t="shared" si="11"/>
        <v/>
      </c>
      <c r="JL6" s="1" t="str">
        <f t="shared" si="11"/>
        <v/>
      </c>
      <c r="JM6" s="1" t="str">
        <f t="shared" si="12"/>
        <v/>
      </c>
      <c r="JN6" s="1" t="str">
        <f t="shared" si="12"/>
        <v/>
      </c>
      <c r="JO6" s="1" t="str">
        <f t="shared" si="12"/>
        <v/>
      </c>
    </row>
    <row r="7" spans="1:275" ht="14.5" x14ac:dyDescent="0.35">
      <c r="A7" s="59">
        <f>IF('Data input'!A7&lt;&gt;"",'Data input'!A7,"")</f>
        <v>5</v>
      </c>
      <c r="B7" s="60" t="str">
        <f>IF('Data input'!B7&lt;&gt;"",'Data input'!B7,"")</f>
        <v>California</v>
      </c>
      <c r="C7" s="19">
        <f>IF('Data input'!C7="","",4*('Data input'!C7-'Data input'!C$108)/('Data input'!C$109-'Data input'!C$108)+1)</f>
        <v>3.7988984154989511</v>
      </c>
      <c r="D7" s="19" t="str">
        <f>IF('Data input'!D7="","",4*('Data input'!D7-'Data input'!D$108)/('Data input'!D$109-'Data input'!D$108)+1)</f>
        <v/>
      </c>
      <c r="E7" s="19" t="str">
        <f>IF('Data input'!E7="","",4*('Data input'!E7-'Data input'!E$108)/('Data input'!E$109-'Data input'!E$108)+1)</f>
        <v/>
      </c>
      <c r="F7" s="19" t="str">
        <f>IF('Data input'!F7="","",4*('Data input'!F7-'Data input'!F$108)/('Data input'!F$109-'Data input'!F$108)+1)</f>
        <v/>
      </c>
      <c r="G7" s="19" t="str">
        <f>IF('Data input'!G7="","",4*('Data input'!G7-'Data input'!G$108)/('Data input'!G$109-'Data input'!G$108)+1)</f>
        <v/>
      </c>
      <c r="H7" s="61">
        <f>IF('Data input'!H7="","",4*('Data input'!H7-'Data input'!H$108)/('Data input'!H$109-'Data input'!H$108)+1)</f>
        <v>1.0516179121481777</v>
      </c>
      <c r="I7" s="19">
        <f>IF('Data input'!I7="","",4*('Data input'!I7-'Data input'!I$108)/('Data input'!I$109-'Data input'!I$108)+1)</f>
        <v>3.3641282501950709</v>
      </c>
      <c r="J7" s="19" t="str">
        <f>IF('Data input'!J7="","",4*('Data input'!J7-'Data input'!J$108)/('Data input'!J$109-'Data input'!J$108)+1)</f>
        <v/>
      </c>
      <c r="K7" s="19" t="str">
        <f>IF('Data input'!K7="","",4*('Data input'!K7-'Data input'!K$108)/('Data input'!K$109-'Data input'!K$108)+1)</f>
        <v/>
      </c>
      <c r="L7" s="19" t="str">
        <f>IF('Data input'!L7="","",4*('Data input'!L7-'Data input'!L$108)/('Data input'!L$109-'Data input'!L$108)+1)</f>
        <v/>
      </c>
      <c r="M7" s="19">
        <f>IF('Data input'!M7="","",4*('Data input'!M7-'Data input'!M$108)/('Data input'!M$109-'Data input'!M$108)+1)</f>
        <v>3.3357724524755628</v>
      </c>
      <c r="N7" s="16" t="str">
        <f>IF('Data input'!N7="","",4*('Data input'!N7-'Data input'!N$108)/('Data input'!N$109-'Data input'!N$108)+1)</f>
        <v/>
      </c>
      <c r="O7" s="19" t="str">
        <f>IF('Data input'!O7="","",4*('Data input'!O7-'Data input'!O$108)/('Data input'!O$109-'Data input'!O$108)+1)</f>
        <v/>
      </c>
      <c r="P7" s="19" t="str">
        <f>IF('Data input'!P7="","",4*('Data input'!P7-'Data input'!P$108)/('Data input'!P$109-'Data input'!P$108)+1)</f>
        <v/>
      </c>
      <c r="Q7" s="19" t="str">
        <f>IF('Data input'!Q7="","",4*('Data input'!Q7-'Data input'!Q$108)/('Data input'!Q$109-'Data input'!Q$108)+1)</f>
        <v/>
      </c>
      <c r="R7" s="19" t="str">
        <f>IF('Data input'!R7="","",4*('Data input'!R7-'Data input'!R$108)/('Data input'!R$109-'Data input'!R$108)+1)</f>
        <v/>
      </c>
      <c r="S7" s="16" t="str">
        <f>IF('Data input'!S7="","",4*('Data input'!S7-'Data input'!S$108)/('Data input'!S$109-'Data input'!S$108)+1)</f>
        <v/>
      </c>
      <c r="T7" s="19" t="str">
        <f>IF('Data input'!T7="","",4*('Data input'!T7-'Data input'!T$108)/('Data input'!T$109-'Data input'!T$108)+1)</f>
        <v/>
      </c>
      <c r="U7" s="19" t="str">
        <f>IF('Data input'!U7="","",4*('Data input'!U7-'Data input'!U$108)/('Data input'!U$109-'Data input'!U$108)+1)</f>
        <v/>
      </c>
      <c r="V7" s="19" t="str">
        <f>IF('Data input'!V7="","",4*('Data input'!V7-'Data input'!V$108)/('Data input'!V$109-'Data input'!V$108)+1)</f>
        <v/>
      </c>
      <c r="W7" s="16" t="str">
        <f>IF('Data input'!W7="","",4*('Data input'!W7-'Data input'!W$108)/('Data input'!W$109-'Data input'!W$108)+1)</f>
        <v/>
      </c>
      <c r="X7" s="16" t="str">
        <f>IF('Data input'!X7="","",4*('Data input'!X7-'Data input'!X$108)/('Data input'!X$109-'Data input'!X$108)+1)</f>
        <v/>
      </c>
      <c r="Y7" s="16" t="str">
        <f>IF('Data input'!Y7="","",4*('Data input'!Y7-'Data input'!Y$108)/('Data input'!Y$109-'Data input'!Y$108)+1)</f>
        <v/>
      </c>
      <c r="Z7" s="16" t="str">
        <f>IF('Data input'!Z7="","",4*('Data input'!Z7-'Data input'!Z$108)/('Data input'!Z$109-'Data input'!Z$108)+1)</f>
        <v/>
      </c>
      <c r="AA7" s="62" t="str">
        <f>IF('Data input'!AA7="","",4*('Data input'!AA7-'Data input'!AA$108)/('Data input'!AA$109-'Data input'!AA$108)+1)</f>
        <v/>
      </c>
      <c r="AB7" s="78"/>
      <c r="AC7" s="79">
        <v>0</v>
      </c>
      <c r="AD7" s="80" t="e">
        <f t="shared" si="13"/>
        <v>#DIV/0!</v>
      </c>
      <c r="AE7" s="4"/>
      <c r="AF7" s="59">
        <f t="shared" si="14"/>
        <v>5</v>
      </c>
      <c r="AG7" s="60" t="str">
        <f t="shared" si="14"/>
        <v>California</v>
      </c>
      <c r="AH7">
        <v>0.99291357576457229</v>
      </c>
      <c r="AI7" t="s">
        <v>69</v>
      </c>
      <c r="AJ7" t="s">
        <v>69</v>
      </c>
      <c r="AK7" t="s">
        <v>69</v>
      </c>
      <c r="AL7" t="s">
        <v>69</v>
      </c>
      <c r="AM7">
        <v>5.1617912148177701E-2</v>
      </c>
      <c r="AN7">
        <v>0.41062667499398864</v>
      </c>
      <c r="AO7" t="s">
        <v>69</v>
      </c>
      <c r="AP7" t="s">
        <v>69</v>
      </c>
      <c r="AQ7" t="s">
        <v>69</v>
      </c>
      <c r="AR7">
        <v>0.65578013716521466</v>
      </c>
      <c r="AS7" s="71">
        <f t="shared" si="15"/>
        <v>4.7918119912635238</v>
      </c>
      <c r="AT7" s="71" t="str">
        <f t="shared" si="4"/>
        <v/>
      </c>
      <c r="AU7" s="71" t="str">
        <f t="shared" si="4"/>
        <v/>
      </c>
      <c r="AV7" s="71" t="str">
        <f t="shared" si="4"/>
        <v/>
      </c>
      <c r="AW7" s="71" t="str">
        <f t="shared" si="4"/>
        <v/>
      </c>
      <c r="AX7" s="71">
        <f t="shared" si="16"/>
        <v>1</v>
      </c>
      <c r="AY7" s="71">
        <f t="shared" si="5"/>
        <v>2.9535015752010825</v>
      </c>
      <c r="AZ7" s="71" t="str">
        <f t="shared" si="5"/>
        <v/>
      </c>
      <c r="BA7" s="71" t="str">
        <f t="shared" si="5"/>
        <v/>
      </c>
      <c r="BB7" s="71" t="str">
        <f t="shared" si="5"/>
        <v/>
      </c>
      <c r="BC7" s="18">
        <f>IF(C7&lt;&gt;"",(('Data input'!C$109-'Data input'!C$108)*(AS7-1)/4)+'Data input'!C$108,"")</f>
        <v>0.98873396379033551</v>
      </c>
      <c r="BD7" s="18" t="str">
        <f>IF(D7&lt;&gt;"",(('Data input'!D$109-'Data input'!D$108)*(AT7-1)/4)+'Data input'!D$108,"")</f>
        <v/>
      </c>
      <c r="BE7" s="18" t="str">
        <f>IF(E7&lt;&gt;"",(('Data input'!E$109-'Data input'!E$108)*(AU7-1)/4)+'Data input'!E$108,"")</f>
        <v/>
      </c>
      <c r="BF7" s="18" t="str">
        <f>IF(F7&lt;&gt;"",(('Data input'!F$109-'Data input'!F$108)*(AV7-1)/4)+'Data input'!F$108,"")</f>
        <v/>
      </c>
      <c r="BG7" s="18" t="str">
        <f>IF(G7&lt;&gt;"",(('Data input'!G$109-'Data input'!G$108)*(AW7-1)/4)+'Data input'!G$108,"")</f>
        <v/>
      </c>
      <c r="BH7" s="19">
        <f>IF(H7&lt;&gt;"",(('Data input'!H$109-'Data input'!H$108)*(AX7-1)/4)+'Data input'!H$108,"")</f>
        <v>0.29574268608402715</v>
      </c>
      <c r="BI7" s="18">
        <f>IF(I7&lt;&gt;"",(('Data input'!I$109-'Data input'!I$108)*(AY7-1)/4)+'Data input'!I$108,"")</f>
        <v>8.5775270154160088E-2</v>
      </c>
      <c r="BJ7" s="19" t="str">
        <f>IF(J7&lt;&gt;"",(('Data input'!J$109-'Data input'!J$108)*(AZ7-1)/4)+'Data input'!J$108,"")</f>
        <v/>
      </c>
      <c r="BK7" s="19" t="str">
        <f>IF(K7&lt;&gt;"",(('Data input'!K$109-'Data input'!K$108)*(BA7-1)/4)+'Data input'!K$108,"")</f>
        <v/>
      </c>
      <c r="BL7" s="19" t="str">
        <f>IF(L7&lt;&gt;"",(('Data input'!L$109-'Data input'!L$108)*(BB7-1)/4)+'Data input'!L$108,"")</f>
        <v/>
      </c>
      <c r="BM7" s="18">
        <f>IF(C7&lt;&gt;"",BC7-'Data input'!C7,"")</f>
        <v>3.6049880939103107E-2</v>
      </c>
      <c r="BN7" s="18" t="str">
        <f>IF(D7&lt;&gt;"",BD7-'Data input'!D7,"")</f>
        <v/>
      </c>
      <c r="BO7" s="18" t="str">
        <f>IF(E7&lt;&gt;"",BE7-'Data input'!E7,"")</f>
        <v/>
      </c>
      <c r="BP7" s="18" t="str">
        <f>IF(F7&lt;&gt;"",BF7-'Data input'!F7,"")</f>
        <v/>
      </c>
      <c r="BQ7" s="18" t="str">
        <f>IF(G7&lt;&gt;"",BG7-'Data input'!G7,"")</f>
        <v/>
      </c>
      <c r="BR7" s="19">
        <f>IF(H7&lt;&gt;"",BH7-'Data input'!H7,"")</f>
        <v>-1.1241261579831017</v>
      </c>
      <c r="BS7" s="18">
        <f>IF(I7&lt;&gt;"",BI7-'Data input'!I7,"")</f>
        <v>-1.8029990058486808E-2</v>
      </c>
      <c r="BT7" s="18" t="str">
        <f>IF(J7&lt;&gt;"",BJ7-'Data input'!J7,"")</f>
        <v/>
      </c>
      <c r="BU7" s="18" t="str">
        <f>IF(K7&lt;&gt;"",BK7-'Data input'!K7,"")</f>
        <v/>
      </c>
      <c r="BV7" s="72" t="str">
        <f>IF(L7&lt;&gt;"",BL7-'Data input'!L7,"")</f>
        <v/>
      </c>
      <c r="BW7" s="121" t="str">
        <f t="shared" si="17"/>
        <v xml:space="preserve">Texas; 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0.99999999999999623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FT7" s="1" t="str">
        <f t="shared" si="18"/>
        <v/>
      </c>
      <c r="FU7" s="1" t="str">
        <f t="shared" si="6"/>
        <v/>
      </c>
      <c r="FV7" s="1" t="str">
        <f t="shared" si="6"/>
        <v/>
      </c>
      <c r="FW7" s="1" t="str">
        <f t="shared" si="6"/>
        <v/>
      </c>
      <c r="FX7" s="1" t="str">
        <f t="shared" si="6"/>
        <v/>
      </c>
      <c r="FY7" s="1" t="str">
        <f t="shared" si="6"/>
        <v/>
      </c>
      <c r="FZ7" s="1" t="str">
        <f t="shared" si="6"/>
        <v/>
      </c>
      <c r="GA7" s="1" t="str">
        <f t="shared" si="6"/>
        <v/>
      </c>
      <c r="GB7" s="1" t="str">
        <f t="shared" si="6"/>
        <v/>
      </c>
      <c r="GC7" s="1" t="str">
        <f t="shared" si="6"/>
        <v/>
      </c>
      <c r="GD7" s="1" t="str">
        <f t="shared" si="6"/>
        <v/>
      </c>
      <c r="GE7" s="1" t="str">
        <f t="shared" si="6"/>
        <v/>
      </c>
      <c r="GF7" s="1" t="str">
        <f t="shared" si="6"/>
        <v/>
      </c>
      <c r="GG7" s="1" t="str">
        <f t="shared" si="6"/>
        <v/>
      </c>
      <c r="GH7" s="1" t="str">
        <f t="shared" si="6"/>
        <v/>
      </c>
      <c r="GI7" s="1" t="str">
        <f t="shared" si="6"/>
        <v/>
      </c>
      <c r="GJ7" s="1" t="str">
        <f t="shared" si="6"/>
        <v/>
      </c>
      <c r="GK7" s="1" t="str">
        <f t="shared" si="7"/>
        <v/>
      </c>
      <c r="GL7" s="1" t="str">
        <f t="shared" si="7"/>
        <v/>
      </c>
      <c r="GM7" s="1" t="str">
        <f t="shared" si="7"/>
        <v/>
      </c>
      <c r="GN7" s="1" t="str">
        <f t="shared" si="7"/>
        <v/>
      </c>
      <c r="GO7" s="1" t="str">
        <f t="shared" si="7"/>
        <v/>
      </c>
      <c r="GP7" s="1" t="str">
        <f t="shared" si="7"/>
        <v/>
      </c>
      <c r="GQ7" s="1" t="str">
        <f t="shared" si="7"/>
        <v/>
      </c>
      <c r="GR7" s="1" t="str">
        <f t="shared" si="7"/>
        <v/>
      </c>
      <c r="GS7" s="1" t="str">
        <f t="shared" si="7"/>
        <v/>
      </c>
      <c r="GT7" s="1" t="str">
        <f t="shared" si="7"/>
        <v/>
      </c>
      <c r="GU7" s="1" t="str">
        <f t="shared" si="7"/>
        <v/>
      </c>
      <c r="GV7" s="1" t="str">
        <f t="shared" si="7"/>
        <v/>
      </c>
      <c r="GW7" s="1" t="str">
        <f t="shared" si="7"/>
        <v/>
      </c>
      <c r="GX7" s="1" t="str">
        <f t="shared" si="7"/>
        <v/>
      </c>
      <c r="GY7" s="1" t="str">
        <f t="shared" si="7"/>
        <v/>
      </c>
      <c r="GZ7" s="1" t="str">
        <f t="shared" si="7"/>
        <v/>
      </c>
      <c r="HA7" s="1" t="str">
        <f t="shared" si="8"/>
        <v/>
      </c>
      <c r="HB7" s="1" t="str">
        <f t="shared" si="8"/>
        <v/>
      </c>
      <c r="HC7" s="1" t="str">
        <f t="shared" si="8"/>
        <v/>
      </c>
      <c r="HD7" s="1" t="str">
        <f t="shared" si="8"/>
        <v/>
      </c>
      <c r="HE7" s="1" t="str">
        <f t="shared" si="8"/>
        <v/>
      </c>
      <c r="HF7" s="1" t="str">
        <f t="shared" si="8"/>
        <v/>
      </c>
      <c r="HG7" s="1" t="str">
        <f t="shared" si="8"/>
        <v/>
      </c>
      <c r="HH7" s="1" t="str">
        <f t="shared" si="8"/>
        <v/>
      </c>
      <c r="HI7" s="1" t="str">
        <f t="shared" si="8"/>
        <v/>
      </c>
      <c r="HJ7" s="1" t="str">
        <f t="shared" si="8"/>
        <v xml:space="preserve">Texas; </v>
      </c>
      <c r="HK7" s="1" t="str">
        <f t="shared" si="8"/>
        <v/>
      </c>
      <c r="HL7" s="1" t="str">
        <f t="shared" si="8"/>
        <v/>
      </c>
      <c r="HM7" s="1" t="str">
        <f t="shared" si="8"/>
        <v/>
      </c>
      <c r="HN7" s="1" t="str">
        <f t="shared" si="8"/>
        <v/>
      </c>
      <c r="HO7" s="1" t="str">
        <f t="shared" si="8"/>
        <v/>
      </c>
      <c r="HP7" s="1" t="str">
        <f t="shared" si="8"/>
        <v/>
      </c>
      <c r="HQ7" s="1" t="str">
        <f t="shared" si="9"/>
        <v/>
      </c>
      <c r="HR7" s="1" t="str">
        <f t="shared" si="9"/>
        <v/>
      </c>
      <c r="HS7" s="1" t="str">
        <f t="shared" si="9"/>
        <v/>
      </c>
      <c r="HT7" s="1" t="str">
        <f t="shared" si="9"/>
        <v/>
      </c>
      <c r="HU7" s="1" t="str">
        <f t="shared" si="9"/>
        <v/>
      </c>
      <c r="HV7" s="1" t="str">
        <f t="shared" si="9"/>
        <v/>
      </c>
      <c r="HW7" s="1" t="str">
        <f t="shared" si="9"/>
        <v/>
      </c>
      <c r="HX7" s="1" t="str">
        <f t="shared" si="9"/>
        <v/>
      </c>
      <c r="HY7" s="1" t="str">
        <f t="shared" si="9"/>
        <v/>
      </c>
      <c r="HZ7" s="1" t="str">
        <f t="shared" si="9"/>
        <v/>
      </c>
      <c r="IA7" s="1" t="str">
        <f t="shared" si="9"/>
        <v/>
      </c>
      <c r="IB7" s="1" t="str">
        <f t="shared" si="9"/>
        <v/>
      </c>
      <c r="IC7" s="1" t="str">
        <f t="shared" si="9"/>
        <v/>
      </c>
      <c r="ID7" s="1" t="str">
        <f t="shared" si="9"/>
        <v/>
      </c>
      <c r="IE7" s="1" t="str">
        <f t="shared" si="9"/>
        <v/>
      </c>
      <c r="IF7" s="1" t="str">
        <f t="shared" si="9"/>
        <v/>
      </c>
      <c r="IG7" s="1" t="str">
        <f t="shared" si="10"/>
        <v/>
      </c>
      <c r="IH7" s="1" t="str">
        <f t="shared" si="10"/>
        <v/>
      </c>
      <c r="II7" s="1" t="str">
        <f t="shared" si="10"/>
        <v/>
      </c>
      <c r="IJ7" s="1" t="str">
        <f t="shared" si="10"/>
        <v/>
      </c>
      <c r="IK7" s="1" t="str">
        <f t="shared" si="10"/>
        <v/>
      </c>
      <c r="IL7" s="1" t="str">
        <f t="shared" si="10"/>
        <v/>
      </c>
      <c r="IM7" s="1" t="str">
        <f t="shared" si="10"/>
        <v/>
      </c>
      <c r="IN7" s="1" t="str">
        <f t="shared" si="10"/>
        <v/>
      </c>
      <c r="IO7" s="1" t="str">
        <f t="shared" si="10"/>
        <v/>
      </c>
      <c r="IP7" s="1" t="str">
        <f t="shared" si="10"/>
        <v/>
      </c>
      <c r="IQ7" s="1" t="str">
        <f t="shared" si="10"/>
        <v/>
      </c>
      <c r="IR7" s="1" t="str">
        <f t="shared" si="10"/>
        <v/>
      </c>
      <c r="IS7" s="1" t="str">
        <f t="shared" si="10"/>
        <v/>
      </c>
      <c r="IT7" s="1" t="str">
        <f t="shared" si="10"/>
        <v/>
      </c>
      <c r="IU7" s="1" t="str">
        <f t="shared" si="10"/>
        <v/>
      </c>
      <c r="IV7" s="1" t="str">
        <f t="shared" si="10"/>
        <v/>
      </c>
      <c r="IW7" s="1" t="str">
        <f t="shared" si="11"/>
        <v/>
      </c>
      <c r="IX7" s="1" t="str">
        <f t="shared" si="11"/>
        <v/>
      </c>
      <c r="IY7" s="1" t="str">
        <f t="shared" si="11"/>
        <v/>
      </c>
      <c r="IZ7" s="1" t="str">
        <f t="shared" si="11"/>
        <v/>
      </c>
      <c r="JA7" s="1" t="str">
        <f t="shared" si="11"/>
        <v/>
      </c>
      <c r="JB7" s="1" t="str">
        <f t="shared" si="11"/>
        <v/>
      </c>
      <c r="JC7" s="1" t="str">
        <f t="shared" si="11"/>
        <v/>
      </c>
      <c r="JD7" s="1" t="str">
        <f t="shared" si="11"/>
        <v/>
      </c>
      <c r="JE7" s="1" t="str">
        <f t="shared" si="11"/>
        <v/>
      </c>
      <c r="JF7" s="1" t="str">
        <f t="shared" si="11"/>
        <v/>
      </c>
      <c r="JG7" s="1" t="str">
        <f t="shared" si="11"/>
        <v/>
      </c>
      <c r="JH7" s="1" t="str">
        <f t="shared" si="11"/>
        <v/>
      </c>
      <c r="JI7" s="1" t="str">
        <f t="shared" si="11"/>
        <v/>
      </c>
      <c r="JJ7" s="1" t="str">
        <f t="shared" si="11"/>
        <v/>
      </c>
      <c r="JK7" s="1" t="str">
        <f t="shared" si="11"/>
        <v/>
      </c>
      <c r="JL7" s="1" t="str">
        <f t="shared" si="11"/>
        <v/>
      </c>
      <c r="JM7" s="1" t="str">
        <f t="shared" si="12"/>
        <v/>
      </c>
      <c r="JN7" s="1" t="str">
        <f t="shared" si="12"/>
        <v/>
      </c>
      <c r="JO7" s="1" t="str">
        <f t="shared" si="12"/>
        <v/>
      </c>
    </row>
    <row r="8" spans="1:275" ht="14.5" x14ac:dyDescent="0.35">
      <c r="A8" s="59">
        <f>IF('Data input'!A8&lt;&gt;"",'Data input'!A8,"")</f>
        <v>6</v>
      </c>
      <c r="B8" s="60" t="str">
        <f>IF('Data input'!B8&lt;&gt;"",'Data input'!B8,"")</f>
        <v>Colorado</v>
      </c>
      <c r="C8" s="19">
        <f>IF('Data input'!C8="","",4*('Data input'!C8-'Data input'!C$108)/('Data input'!C$109-'Data input'!C$108)+1)</f>
        <v>3.5018753066740449</v>
      </c>
      <c r="D8" s="19" t="str">
        <f>IF('Data input'!D8="","",4*('Data input'!D8-'Data input'!D$108)/('Data input'!D$109-'Data input'!D$108)+1)</f>
        <v/>
      </c>
      <c r="E8" s="19" t="str">
        <f>IF('Data input'!E8="","",4*('Data input'!E8-'Data input'!E$108)/('Data input'!E$109-'Data input'!E$108)+1)</f>
        <v/>
      </c>
      <c r="F8" s="19" t="str">
        <f>IF('Data input'!F8="","",4*('Data input'!F8-'Data input'!F$108)/('Data input'!F$109-'Data input'!F$108)+1)</f>
        <v/>
      </c>
      <c r="G8" s="19" t="str">
        <f>IF('Data input'!G8="","",4*('Data input'!G8-'Data input'!G$108)/('Data input'!G$109-'Data input'!G$108)+1)</f>
        <v/>
      </c>
      <c r="H8" s="61">
        <f>IF('Data input'!H8="","",4*('Data input'!H8-'Data input'!H$108)/('Data input'!H$109-'Data input'!H$108)+1)</f>
        <v>1.1231233463491117</v>
      </c>
      <c r="I8" s="19">
        <f>IF('Data input'!I8="","",4*('Data input'!I8-'Data input'!I$108)/('Data input'!I$109-'Data input'!I$108)+1)</f>
        <v>3.3058578140547095</v>
      </c>
      <c r="J8" s="19" t="str">
        <f>IF('Data input'!J8="","",4*('Data input'!J8-'Data input'!J$108)/('Data input'!J$109-'Data input'!J$108)+1)</f>
        <v/>
      </c>
      <c r="K8" s="19" t="str">
        <f>IF('Data input'!K8="","",4*('Data input'!K8-'Data input'!K$108)/('Data input'!K$109-'Data input'!K$108)+1)</f>
        <v/>
      </c>
      <c r="L8" s="19" t="str">
        <f>IF('Data input'!L8="","",4*('Data input'!L8-'Data input'!L$108)/('Data input'!L$109-'Data input'!L$108)+1)</f>
        <v/>
      </c>
      <c r="M8" s="19">
        <f>IF('Data input'!M8="","",4*('Data input'!M8-'Data input'!M$108)/('Data input'!M$109-'Data input'!M$108)+1)</f>
        <v>3.0942043865296247</v>
      </c>
      <c r="N8" s="16" t="str">
        <f>IF('Data input'!N8="","",4*('Data input'!N8-'Data input'!N$108)/('Data input'!N$109-'Data input'!N$108)+1)</f>
        <v/>
      </c>
      <c r="O8" s="19" t="str">
        <f>IF('Data input'!O8="","",4*('Data input'!O8-'Data input'!O$108)/('Data input'!O$109-'Data input'!O$108)+1)</f>
        <v/>
      </c>
      <c r="P8" s="19" t="str">
        <f>IF('Data input'!P8="","",4*('Data input'!P8-'Data input'!P$108)/('Data input'!P$109-'Data input'!P$108)+1)</f>
        <v/>
      </c>
      <c r="Q8" s="19" t="str">
        <f>IF('Data input'!Q8="","",4*('Data input'!Q8-'Data input'!Q$108)/('Data input'!Q$109-'Data input'!Q$108)+1)</f>
        <v/>
      </c>
      <c r="R8" s="19" t="str">
        <f>IF('Data input'!R8="","",4*('Data input'!R8-'Data input'!R$108)/('Data input'!R$109-'Data input'!R$108)+1)</f>
        <v/>
      </c>
      <c r="S8" s="16" t="str">
        <f>IF('Data input'!S8="","",4*('Data input'!S8-'Data input'!S$108)/('Data input'!S$109-'Data input'!S$108)+1)</f>
        <v/>
      </c>
      <c r="T8" s="19" t="str">
        <f>IF('Data input'!T8="","",4*('Data input'!T8-'Data input'!T$108)/('Data input'!T$109-'Data input'!T$108)+1)</f>
        <v/>
      </c>
      <c r="U8" s="19" t="str">
        <f>IF('Data input'!U8="","",4*('Data input'!U8-'Data input'!U$108)/('Data input'!U$109-'Data input'!U$108)+1)</f>
        <v/>
      </c>
      <c r="V8" s="19" t="str">
        <f>IF('Data input'!V8="","",4*('Data input'!V8-'Data input'!V$108)/('Data input'!V$109-'Data input'!V$108)+1)</f>
        <v/>
      </c>
      <c r="W8" s="16" t="str">
        <f>IF('Data input'!W8="","",4*('Data input'!W8-'Data input'!W$108)/('Data input'!W$109-'Data input'!W$108)+1)</f>
        <v/>
      </c>
      <c r="X8" s="16" t="str">
        <f>IF('Data input'!X8="","",4*('Data input'!X8-'Data input'!X$108)/('Data input'!X$109-'Data input'!X$108)+1)</f>
        <v/>
      </c>
      <c r="Y8" s="16" t="str">
        <f>IF('Data input'!Y8="","",4*('Data input'!Y8-'Data input'!Y$108)/('Data input'!Y$109-'Data input'!Y$108)+1)</f>
        <v/>
      </c>
      <c r="Z8" s="16" t="str">
        <f>IF('Data input'!Z8="","",4*('Data input'!Z8-'Data input'!Z$108)/('Data input'!Z$109-'Data input'!Z$108)+1)</f>
        <v/>
      </c>
      <c r="AA8" s="62" t="str">
        <f>IF('Data input'!AA8="","",4*('Data input'!AA8-'Data input'!AA$108)/('Data input'!AA$109-'Data input'!AA$108)+1)</f>
        <v/>
      </c>
      <c r="AB8" s="78"/>
      <c r="AC8" s="79">
        <v>0</v>
      </c>
      <c r="AD8" s="80" t="e">
        <f t="shared" si="13"/>
        <v>#DIV/0!</v>
      </c>
      <c r="AE8" s="4"/>
      <c r="AF8" s="59">
        <f t="shared" si="14"/>
        <v>6</v>
      </c>
      <c r="AG8" s="60" t="str">
        <f t="shared" si="14"/>
        <v>Colorado</v>
      </c>
      <c r="AH8">
        <v>1.282543176942343</v>
      </c>
      <c r="AI8" t="s">
        <v>69</v>
      </c>
      <c r="AJ8" t="s">
        <v>69</v>
      </c>
      <c r="AK8" t="s">
        <v>69</v>
      </c>
      <c r="AL8" t="s">
        <v>69</v>
      </c>
      <c r="AM8">
        <v>0.12312334634911254</v>
      </c>
      <c r="AN8">
        <v>0.4003924116273368</v>
      </c>
      <c r="AO8" t="s">
        <v>69</v>
      </c>
      <c r="AP8" t="s">
        <v>69</v>
      </c>
      <c r="AQ8" t="s">
        <v>69</v>
      </c>
      <c r="AR8">
        <v>0.58468312592357052</v>
      </c>
      <c r="AS8" s="71">
        <f t="shared" si="15"/>
        <v>4.7844184836163883</v>
      </c>
      <c r="AT8" s="71" t="str">
        <f t="shared" si="4"/>
        <v/>
      </c>
      <c r="AU8" s="71" t="str">
        <f t="shared" si="4"/>
        <v/>
      </c>
      <c r="AV8" s="71" t="str">
        <f t="shared" si="4"/>
        <v/>
      </c>
      <c r="AW8" s="71" t="str">
        <f t="shared" si="4"/>
        <v/>
      </c>
      <c r="AX8" s="71">
        <f t="shared" si="16"/>
        <v>0.99999999999999911</v>
      </c>
      <c r="AY8" s="71">
        <f t="shared" si="5"/>
        <v>2.9054654024273727</v>
      </c>
      <c r="AZ8" s="71" t="str">
        <f t="shared" si="5"/>
        <v/>
      </c>
      <c r="BA8" s="71" t="str">
        <f t="shared" si="5"/>
        <v/>
      </c>
      <c r="BB8" s="71" t="str">
        <f t="shared" si="5"/>
        <v/>
      </c>
      <c r="BC8" s="18">
        <f>IF(C8&lt;&gt;"",(('Data input'!C$109-'Data input'!C$108)*(AS8-1)/4)+'Data input'!C$108,"")</f>
        <v>0.98846552645912433</v>
      </c>
      <c r="BD8" s="18" t="str">
        <f>IF(D8&lt;&gt;"",(('Data input'!D$109-'Data input'!D$108)*(AT8-1)/4)+'Data input'!D$108,"")</f>
        <v/>
      </c>
      <c r="BE8" s="18" t="str">
        <f>IF(E8&lt;&gt;"",(('Data input'!E$109-'Data input'!E$108)*(AU8-1)/4)+'Data input'!E$108,"")</f>
        <v/>
      </c>
      <c r="BF8" s="18" t="str">
        <f>IF(F8&lt;&gt;"",(('Data input'!F$109-'Data input'!F$108)*(AV8-1)/4)+'Data input'!F$108,"")</f>
        <v/>
      </c>
      <c r="BG8" s="18" t="str">
        <f>IF(G8&lt;&gt;"",(('Data input'!G$109-'Data input'!G$108)*(AW8-1)/4)+'Data input'!G$108,"")</f>
        <v/>
      </c>
      <c r="BH8" s="19">
        <f>IF(H8&lt;&gt;"",(('Data input'!H$109-'Data input'!H$108)*(AX8-1)/4)+'Data input'!H$108,"")</f>
        <v>0.29574268608400783</v>
      </c>
      <c r="BI8" s="18">
        <f>IF(I8&lt;&gt;"",(('Data input'!I$109-'Data input'!I$108)*(AY8-1)/4)+'Data input'!I$108,"")</f>
        <v>8.3666075183885885E-2</v>
      </c>
      <c r="BJ8" s="19" t="str">
        <f>IF(J8&lt;&gt;"",(('Data input'!J$109-'Data input'!J$108)*(AZ8-1)/4)+'Data input'!J$108,"")</f>
        <v/>
      </c>
      <c r="BK8" s="19" t="str">
        <f>IF(K8&lt;&gt;"",(('Data input'!K$109-'Data input'!K$108)*(BA8-1)/4)+'Data input'!K$108,"")</f>
        <v/>
      </c>
      <c r="BL8" s="19" t="str">
        <f>IF(L8&lt;&gt;"",(('Data input'!L$109-'Data input'!L$108)*(BB8-1)/4)+'Data input'!L$108,"")</f>
        <v/>
      </c>
      <c r="BM8" s="18">
        <f>IF(C8&lt;&gt;"",BC8-'Data input'!C8,"")</f>
        <v>4.6565511799380732E-2</v>
      </c>
      <c r="BN8" s="18" t="str">
        <f>IF(D8&lt;&gt;"",BD8-'Data input'!D8,"")</f>
        <v/>
      </c>
      <c r="BO8" s="18" t="str">
        <f>IF(E8&lt;&gt;"",BE8-'Data input'!E8,"")</f>
        <v/>
      </c>
      <c r="BP8" s="18" t="str">
        <f>IF(F8&lt;&gt;"",BF8-'Data input'!F8,"")</f>
        <v/>
      </c>
      <c r="BQ8" s="18" t="str">
        <f>IF(G8&lt;&gt;"",BG8-'Data input'!G8,"")</f>
        <v/>
      </c>
      <c r="BR8" s="19">
        <f>IF(H8&lt;&gt;"",BH8-'Data input'!H8,"")</f>
        <v>-2.6813594066364574</v>
      </c>
      <c r="BS8" s="18">
        <f>IF(I8&lt;&gt;"",BI8-'Data input'!I8,"")</f>
        <v>-1.7580619187100133E-2</v>
      </c>
      <c r="BT8" s="18" t="str">
        <f>IF(J8&lt;&gt;"",BJ8-'Data input'!J8,"")</f>
        <v/>
      </c>
      <c r="BU8" s="18" t="str">
        <f>IF(K8&lt;&gt;"",BK8-'Data input'!K8,"")</f>
        <v/>
      </c>
      <c r="BV8" s="72" t="str">
        <f>IF(L8&lt;&gt;"",BL8-'Data input'!L8,"")</f>
        <v/>
      </c>
      <c r="BW8" s="121" t="str">
        <f t="shared" si="17"/>
        <v xml:space="preserve">Texas; 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1.8371141558047949E-14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0.99999999999998246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FT8" s="1" t="str">
        <f t="shared" si="18"/>
        <v/>
      </c>
      <c r="FU8" s="1" t="str">
        <f t="shared" si="6"/>
        <v/>
      </c>
      <c r="FV8" s="1" t="str">
        <f t="shared" si="6"/>
        <v/>
      </c>
      <c r="FW8" s="1" t="str">
        <f t="shared" si="6"/>
        <v/>
      </c>
      <c r="FX8" s="1" t="str">
        <f t="shared" si="6"/>
        <v/>
      </c>
      <c r="FY8" s="1" t="str">
        <f t="shared" si="6"/>
        <v/>
      </c>
      <c r="FZ8" s="1" t="str">
        <f t="shared" si="6"/>
        <v/>
      </c>
      <c r="GA8" s="1" t="str">
        <f t="shared" si="6"/>
        <v/>
      </c>
      <c r="GB8" s="1" t="str">
        <f t="shared" si="6"/>
        <v/>
      </c>
      <c r="GC8" s="1" t="str">
        <f t="shared" si="6"/>
        <v/>
      </c>
      <c r="GD8" s="1" t="str">
        <f t="shared" si="6"/>
        <v/>
      </c>
      <c r="GE8" s="1" t="str">
        <f t="shared" si="6"/>
        <v/>
      </c>
      <c r="GF8" s="1" t="str">
        <f t="shared" si="6"/>
        <v/>
      </c>
      <c r="GG8" s="1" t="str">
        <f t="shared" si="6"/>
        <v/>
      </c>
      <c r="GH8" s="1" t="str">
        <f t="shared" si="6"/>
        <v/>
      </c>
      <c r="GI8" s="1" t="str">
        <f t="shared" si="6"/>
        <v/>
      </c>
      <c r="GJ8" s="1" t="str">
        <f t="shared" si="6"/>
        <v/>
      </c>
      <c r="GK8" s="1" t="str">
        <f t="shared" si="7"/>
        <v/>
      </c>
      <c r="GL8" s="1" t="str">
        <f t="shared" si="7"/>
        <v/>
      </c>
      <c r="GM8" s="1" t="str">
        <f t="shared" si="7"/>
        <v/>
      </c>
      <c r="GN8" s="1" t="str">
        <f t="shared" si="7"/>
        <v/>
      </c>
      <c r="GO8" s="1" t="str">
        <f t="shared" si="7"/>
        <v/>
      </c>
      <c r="GP8" s="1" t="str">
        <f t="shared" si="7"/>
        <v/>
      </c>
      <c r="GQ8" s="1" t="str">
        <f t="shared" si="7"/>
        <v/>
      </c>
      <c r="GR8" s="1" t="str">
        <f t="shared" si="7"/>
        <v/>
      </c>
      <c r="GS8" s="1" t="str">
        <f t="shared" si="7"/>
        <v/>
      </c>
      <c r="GT8" s="1" t="str">
        <f t="shared" si="7"/>
        <v/>
      </c>
      <c r="GU8" s="1" t="str">
        <f t="shared" si="7"/>
        <v/>
      </c>
      <c r="GV8" s="1" t="str">
        <f t="shared" si="7"/>
        <v/>
      </c>
      <c r="GW8" s="1" t="str">
        <f t="shared" si="7"/>
        <v/>
      </c>
      <c r="GX8" s="1" t="str">
        <f t="shared" si="7"/>
        <v/>
      </c>
      <c r="GY8" s="1" t="str">
        <f t="shared" si="7"/>
        <v/>
      </c>
      <c r="GZ8" s="1" t="str">
        <f t="shared" si="7"/>
        <v/>
      </c>
      <c r="HA8" s="1" t="str">
        <f t="shared" si="8"/>
        <v/>
      </c>
      <c r="HB8" s="1" t="str">
        <f t="shared" si="8"/>
        <v/>
      </c>
      <c r="HC8" s="1" t="str">
        <f t="shared" si="8"/>
        <v/>
      </c>
      <c r="HD8" s="1" t="str">
        <f t="shared" si="8"/>
        <v/>
      </c>
      <c r="HE8" s="1" t="str">
        <f t="shared" si="8"/>
        <v/>
      </c>
      <c r="HF8" s="1" t="str">
        <f t="shared" si="8"/>
        <v/>
      </c>
      <c r="HG8" s="1" t="str">
        <f t="shared" si="8"/>
        <v/>
      </c>
      <c r="HH8" s="1" t="str">
        <f t="shared" si="8"/>
        <v/>
      </c>
      <c r="HI8" s="1" t="str">
        <f t="shared" si="8"/>
        <v/>
      </c>
      <c r="HJ8" s="1" t="str">
        <f t="shared" si="8"/>
        <v xml:space="preserve">Texas; </v>
      </c>
      <c r="HK8" s="1" t="str">
        <f t="shared" si="8"/>
        <v/>
      </c>
      <c r="HL8" s="1" t="str">
        <f t="shared" si="8"/>
        <v/>
      </c>
      <c r="HM8" s="1" t="str">
        <f t="shared" si="8"/>
        <v/>
      </c>
      <c r="HN8" s="1" t="str">
        <f t="shared" si="8"/>
        <v/>
      </c>
      <c r="HO8" s="1" t="str">
        <f t="shared" si="8"/>
        <v/>
      </c>
      <c r="HP8" s="1" t="str">
        <f t="shared" si="8"/>
        <v/>
      </c>
      <c r="HQ8" s="1" t="str">
        <f t="shared" si="9"/>
        <v/>
      </c>
      <c r="HR8" s="1" t="str">
        <f t="shared" si="9"/>
        <v/>
      </c>
      <c r="HS8" s="1" t="str">
        <f t="shared" si="9"/>
        <v/>
      </c>
      <c r="HT8" s="1" t="str">
        <f t="shared" si="9"/>
        <v/>
      </c>
      <c r="HU8" s="1" t="str">
        <f t="shared" si="9"/>
        <v/>
      </c>
      <c r="HV8" s="1" t="str">
        <f t="shared" si="9"/>
        <v/>
      </c>
      <c r="HW8" s="1" t="str">
        <f t="shared" si="9"/>
        <v/>
      </c>
      <c r="HX8" s="1" t="str">
        <f t="shared" si="9"/>
        <v/>
      </c>
      <c r="HY8" s="1" t="str">
        <f t="shared" si="9"/>
        <v/>
      </c>
      <c r="HZ8" s="1" t="str">
        <f t="shared" si="9"/>
        <v/>
      </c>
      <c r="IA8" s="1" t="str">
        <f t="shared" si="9"/>
        <v/>
      </c>
      <c r="IB8" s="1" t="str">
        <f t="shared" si="9"/>
        <v/>
      </c>
      <c r="IC8" s="1" t="str">
        <f t="shared" si="9"/>
        <v/>
      </c>
      <c r="ID8" s="1" t="str">
        <f t="shared" si="9"/>
        <v/>
      </c>
      <c r="IE8" s="1" t="str">
        <f t="shared" si="9"/>
        <v/>
      </c>
      <c r="IF8" s="1" t="str">
        <f t="shared" si="9"/>
        <v/>
      </c>
      <c r="IG8" s="1" t="str">
        <f t="shared" si="10"/>
        <v/>
      </c>
      <c r="IH8" s="1" t="str">
        <f t="shared" si="10"/>
        <v/>
      </c>
      <c r="II8" s="1" t="str">
        <f t="shared" si="10"/>
        <v/>
      </c>
      <c r="IJ8" s="1" t="str">
        <f t="shared" si="10"/>
        <v/>
      </c>
      <c r="IK8" s="1" t="str">
        <f t="shared" si="10"/>
        <v/>
      </c>
      <c r="IL8" s="1" t="str">
        <f t="shared" si="10"/>
        <v/>
      </c>
      <c r="IM8" s="1" t="str">
        <f t="shared" si="10"/>
        <v/>
      </c>
      <c r="IN8" s="1" t="str">
        <f t="shared" si="10"/>
        <v/>
      </c>
      <c r="IO8" s="1" t="str">
        <f t="shared" si="10"/>
        <v/>
      </c>
      <c r="IP8" s="1" t="str">
        <f t="shared" si="10"/>
        <v/>
      </c>
      <c r="IQ8" s="1" t="str">
        <f t="shared" si="10"/>
        <v/>
      </c>
      <c r="IR8" s="1" t="str">
        <f t="shared" si="10"/>
        <v/>
      </c>
      <c r="IS8" s="1" t="str">
        <f t="shared" si="10"/>
        <v/>
      </c>
      <c r="IT8" s="1" t="str">
        <f t="shared" si="10"/>
        <v/>
      </c>
      <c r="IU8" s="1" t="str">
        <f t="shared" si="10"/>
        <v/>
      </c>
      <c r="IV8" s="1" t="str">
        <f t="shared" si="10"/>
        <v/>
      </c>
      <c r="IW8" s="1" t="str">
        <f t="shared" si="11"/>
        <v/>
      </c>
      <c r="IX8" s="1" t="str">
        <f t="shared" si="11"/>
        <v/>
      </c>
      <c r="IY8" s="1" t="str">
        <f t="shared" si="11"/>
        <v/>
      </c>
      <c r="IZ8" s="1" t="str">
        <f t="shared" si="11"/>
        <v/>
      </c>
      <c r="JA8" s="1" t="str">
        <f t="shared" si="11"/>
        <v/>
      </c>
      <c r="JB8" s="1" t="str">
        <f t="shared" si="11"/>
        <v/>
      </c>
      <c r="JC8" s="1" t="str">
        <f t="shared" si="11"/>
        <v/>
      </c>
      <c r="JD8" s="1" t="str">
        <f t="shared" si="11"/>
        <v/>
      </c>
      <c r="JE8" s="1" t="str">
        <f t="shared" si="11"/>
        <v/>
      </c>
      <c r="JF8" s="1" t="str">
        <f t="shared" si="11"/>
        <v/>
      </c>
      <c r="JG8" s="1" t="str">
        <f t="shared" si="11"/>
        <v/>
      </c>
      <c r="JH8" s="1" t="str">
        <f t="shared" si="11"/>
        <v/>
      </c>
      <c r="JI8" s="1" t="str">
        <f t="shared" si="11"/>
        <v/>
      </c>
      <c r="JJ8" s="1" t="str">
        <f t="shared" si="11"/>
        <v/>
      </c>
      <c r="JK8" s="1" t="str">
        <f t="shared" si="11"/>
        <v/>
      </c>
      <c r="JL8" s="1" t="str">
        <f t="shared" si="11"/>
        <v/>
      </c>
      <c r="JM8" s="1" t="str">
        <f t="shared" si="12"/>
        <v/>
      </c>
      <c r="JN8" s="1" t="str">
        <f t="shared" si="12"/>
        <v/>
      </c>
      <c r="JO8" s="1" t="str">
        <f t="shared" si="12"/>
        <v/>
      </c>
    </row>
    <row r="9" spans="1:275" ht="14.5" x14ac:dyDescent="0.35">
      <c r="A9" s="59">
        <f>IF('Data input'!A9&lt;&gt;"",'Data input'!A9,"")</f>
        <v>7</v>
      </c>
      <c r="B9" s="60" t="str">
        <f>IF('Data input'!B9&lt;&gt;"",'Data input'!B9,"")</f>
        <v>Connecticut</v>
      </c>
      <c r="C9" s="19">
        <f>IF('Data input'!C9="","",4*('Data input'!C9-'Data input'!C$108)/('Data input'!C$109-'Data input'!C$108)+1)</f>
        <v>2.8518667275457994</v>
      </c>
      <c r="D9" s="19" t="str">
        <f>IF('Data input'!D9="","",4*('Data input'!D9-'Data input'!D$108)/('Data input'!D$109-'Data input'!D$108)+1)</f>
        <v/>
      </c>
      <c r="E9" s="19" t="str">
        <f>IF('Data input'!E9="","",4*('Data input'!E9-'Data input'!E$108)/('Data input'!E$109-'Data input'!E$108)+1)</f>
        <v/>
      </c>
      <c r="F9" s="19" t="str">
        <f>IF('Data input'!F9="","",4*('Data input'!F9-'Data input'!F$108)/('Data input'!F$109-'Data input'!F$108)+1)</f>
        <v/>
      </c>
      <c r="G9" s="19" t="str">
        <f>IF('Data input'!G9="","",4*('Data input'!G9-'Data input'!G$108)/('Data input'!G$109-'Data input'!G$108)+1)</f>
        <v/>
      </c>
      <c r="H9" s="61">
        <f>IF('Data input'!H9="","",4*('Data input'!H9-'Data input'!H$108)/('Data input'!H$109-'Data input'!H$108)+1)</f>
        <v>1.9151118853608993</v>
      </c>
      <c r="I9" s="19">
        <f>IF('Data input'!I9="","",4*('Data input'!I9-'Data input'!I$108)/('Data input'!I$109-'Data input'!I$108)+1)</f>
        <v>1.5371968508803784</v>
      </c>
      <c r="J9" s="19" t="str">
        <f>IF('Data input'!J9="","",4*('Data input'!J9-'Data input'!J$108)/('Data input'!J$109-'Data input'!J$108)+1)</f>
        <v/>
      </c>
      <c r="K9" s="19" t="str">
        <f>IF('Data input'!K9="","",4*('Data input'!K9-'Data input'!K$108)/('Data input'!K$109-'Data input'!K$108)+1)</f>
        <v/>
      </c>
      <c r="L9" s="19" t="str">
        <f>IF('Data input'!L9="","",4*('Data input'!L9-'Data input'!L$108)/('Data input'!L$109-'Data input'!L$108)+1)</f>
        <v/>
      </c>
      <c r="M9" s="19">
        <f>IF('Data input'!M9="","",4*('Data input'!M9-'Data input'!M$108)/('Data input'!M$109-'Data input'!M$108)+1)</f>
        <v>3.1617181314330955</v>
      </c>
      <c r="N9" s="16" t="str">
        <f>IF('Data input'!N9="","",4*('Data input'!N9-'Data input'!N$108)/('Data input'!N$109-'Data input'!N$108)+1)</f>
        <v/>
      </c>
      <c r="O9" s="19" t="str">
        <f>IF('Data input'!O9="","",4*('Data input'!O9-'Data input'!O$108)/('Data input'!O$109-'Data input'!O$108)+1)</f>
        <v/>
      </c>
      <c r="P9" s="19" t="str">
        <f>IF('Data input'!P9="","",4*('Data input'!P9-'Data input'!P$108)/('Data input'!P$109-'Data input'!P$108)+1)</f>
        <v/>
      </c>
      <c r="Q9" s="19" t="str">
        <f>IF('Data input'!Q9="","",4*('Data input'!Q9-'Data input'!Q$108)/('Data input'!Q$109-'Data input'!Q$108)+1)</f>
        <v/>
      </c>
      <c r="R9" s="19" t="str">
        <f>IF('Data input'!R9="","",4*('Data input'!R9-'Data input'!R$108)/('Data input'!R$109-'Data input'!R$108)+1)</f>
        <v/>
      </c>
      <c r="S9" s="16" t="str">
        <f>IF('Data input'!S9="","",4*('Data input'!S9-'Data input'!S$108)/('Data input'!S$109-'Data input'!S$108)+1)</f>
        <v/>
      </c>
      <c r="T9" s="19" t="str">
        <f>IF('Data input'!T9="","",4*('Data input'!T9-'Data input'!T$108)/('Data input'!T$109-'Data input'!T$108)+1)</f>
        <v/>
      </c>
      <c r="U9" s="19" t="str">
        <f>IF('Data input'!U9="","",4*('Data input'!U9-'Data input'!U$108)/('Data input'!U$109-'Data input'!U$108)+1)</f>
        <v/>
      </c>
      <c r="V9" s="19" t="str">
        <f>IF('Data input'!V9="","",4*('Data input'!V9-'Data input'!V$108)/('Data input'!V$109-'Data input'!V$108)+1)</f>
        <v/>
      </c>
      <c r="W9" s="16" t="str">
        <f>IF('Data input'!W9="","",4*('Data input'!W9-'Data input'!W$108)/('Data input'!W$109-'Data input'!W$108)+1)</f>
        <v/>
      </c>
      <c r="X9" s="16" t="str">
        <f>IF('Data input'!X9="","",4*('Data input'!X9-'Data input'!X$108)/('Data input'!X$109-'Data input'!X$108)+1)</f>
        <v/>
      </c>
      <c r="Y9" s="16" t="str">
        <f>IF('Data input'!Y9="","",4*('Data input'!Y9-'Data input'!Y$108)/('Data input'!Y$109-'Data input'!Y$108)+1)</f>
        <v/>
      </c>
      <c r="Z9" s="16" t="str">
        <f>IF('Data input'!Z9="","",4*('Data input'!Z9-'Data input'!Z$108)/('Data input'!Z$109-'Data input'!Z$108)+1)</f>
        <v/>
      </c>
      <c r="AA9" s="62" t="str">
        <f>IF('Data input'!AA9="","",4*('Data input'!AA9-'Data input'!AA$108)/('Data input'!AA$109-'Data input'!AA$108)+1)</f>
        <v/>
      </c>
      <c r="AB9" s="78"/>
      <c r="AC9" s="79">
        <v>0</v>
      </c>
      <c r="AD9" s="80" t="e">
        <f t="shared" si="13"/>
        <v>#DIV/0!</v>
      </c>
      <c r="AE9" s="4"/>
      <c r="AF9" s="59">
        <f t="shared" si="14"/>
        <v>7</v>
      </c>
      <c r="AG9" s="60" t="str">
        <f t="shared" si="14"/>
        <v>Connecticut</v>
      </c>
      <c r="AH9">
        <v>1.9163717240874421</v>
      </c>
      <c r="AI9" t="s">
        <v>69</v>
      </c>
      <c r="AJ9" t="s">
        <v>69</v>
      </c>
      <c r="AK9" t="s">
        <v>69</v>
      </c>
      <c r="AL9" t="s">
        <v>69</v>
      </c>
      <c r="AM9">
        <v>0.91511188536089916</v>
      </c>
      <c r="AN9">
        <v>8.975560671606804E-2</v>
      </c>
      <c r="AO9" t="s">
        <v>69</v>
      </c>
      <c r="AP9" t="s">
        <v>69</v>
      </c>
      <c r="AQ9" t="s">
        <v>69</v>
      </c>
      <c r="AR9">
        <v>0.42784789933931194</v>
      </c>
      <c r="AS9" s="71">
        <f t="shared" si="15"/>
        <v>4.7682384516332412</v>
      </c>
      <c r="AT9" s="71" t="str">
        <f t="shared" si="4"/>
        <v/>
      </c>
      <c r="AU9" s="71" t="str">
        <f t="shared" si="4"/>
        <v/>
      </c>
      <c r="AV9" s="71" t="str">
        <f t="shared" si="4"/>
        <v/>
      </c>
      <c r="AW9" s="71" t="str">
        <f t="shared" si="4"/>
        <v/>
      </c>
      <c r="AX9" s="71">
        <f t="shared" si="16"/>
        <v>1</v>
      </c>
      <c r="AY9" s="71">
        <f t="shared" si="5"/>
        <v>1.4474412441643103</v>
      </c>
      <c r="AZ9" s="71" t="str">
        <f t="shared" si="5"/>
        <v/>
      </c>
      <c r="BA9" s="71" t="str">
        <f t="shared" si="5"/>
        <v/>
      </c>
      <c r="BB9" s="71" t="str">
        <f t="shared" si="5"/>
        <v/>
      </c>
      <c r="BC9" s="18">
        <f>IF(C9&lt;&gt;"",(('Data input'!C$109-'Data input'!C$108)*(AS9-1)/4)+'Data input'!C$108,"")</f>
        <v>0.98787807530444127</v>
      </c>
      <c r="BD9" s="18" t="str">
        <f>IF(D9&lt;&gt;"",(('Data input'!D$109-'Data input'!D$108)*(AT9-1)/4)+'Data input'!D$108,"")</f>
        <v/>
      </c>
      <c r="BE9" s="18" t="str">
        <f>IF(E9&lt;&gt;"",(('Data input'!E$109-'Data input'!E$108)*(AU9-1)/4)+'Data input'!E$108,"")</f>
        <v/>
      </c>
      <c r="BF9" s="18" t="str">
        <f>IF(F9&lt;&gt;"",(('Data input'!F$109-'Data input'!F$108)*(AV9-1)/4)+'Data input'!F$108,"")</f>
        <v/>
      </c>
      <c r="BG9" s="18" t="str">
        <f>IF(G9&lt;&gt;"",(('Data input'!G$109-'Data input'!G$108)*(AW9-1)/4)+'Data input'!G$108,"")</f>
        <v/>
      </c>
      <c r="BH9" s="19">
        <f>IF(H9&lt;&gt;"",(('Data input'!H$109-'Data input'!H$108)*(AX9-1)/4)+'Data input'!H$108,"")</f>
        <v>0.29574268608402715</v>
      </c>
      <c r="BI9" s="18">
        <f>IF(I9&lt;&gt;"",(('Data input'!I$109-'Data input'!I$108)*(AY9-1)/4)+'Data input'!I$108,"")</f>
        <v>1.9646461555761306E-2</v>
      </c>
      <c r="BJ9" s="19" t="str">
        <f>IF(J9&lt;&gt;"",(('Data input'!J$109-'Data input'!J$108)*(AZ9-1)/4)+'Data input'!J$108,"")</f>
        <v/>
      </c>
      <c r="BK9" s="19" t="str">
        <f>IF(K9&lt;&gt;"",(('Data input'!K$109-'Data input'!K$108)*(BA9-1)/4)+'Data input'!K$108,"")</f>
        <v/>
      </c>
      <c r="BL9" s="19" t="str">
        <f>IF(L9&lt;&gt;"",(('Data input'!L$109-'Data input'!L$108)*(BB9-1)/4)+'Data input'!L$108,"")</f>
        <v/>
      </c>
      <c r="BM9" s="18">
        <f>IF(C9&lt;&gt;"",BC9-'Data input'!C9,"")</f>
        <v>6.9578031940210394E-2</v>
      </c>
      <c r="BN9" s="18" t="str">
        <f>IF(D9&lt;&gt;"",BD9-'Data input'!D9,"")</f>
        <v/>
      </c>
      <c r="BO9" s="18" t="str">
        <f>IF(E9&lt;&gt;"",BE9-'Data input'!E9,"")</f>
        <v/>
      </c>
      <c r="BP9" s="18" t="str">
        <f>IF(F9&lt;&gt;"",BF9-'Data input'!F9,"")</f>
        <v/>
      </c>
      <c r="BQ9" s="18" t="str">
        <f>IF(G9&lt;&gt;"",BG9-'Data input'!G9,"")</f>
        <v/>
      </c>
      <c r="BR9" s="19">
        <f>IF(H9&lt;&gt;"",BH9-'Data input'!H9,"")</f>
        <v>-19.929151819669965</v>
      </c>
      <c r="BS9" s="18">
        <f>IF(I9&lt;&gt;"",BI9-'Data input'!I9,"")</f>
        <v>-3.9410315874092924E-3</v>
      </c>
      <c r="BT9" s="18" t="str">
        <f>IF(J9&lt;&gt;"",BJ9-'Data input'!J9,"")</f>
        <v/>
      </c>
      <c r="BU9" s="18" t="str">
        <f>IF(K9&lt;&gt;"",BK9-'Data input'!K9,"")</f>
        <v/>
      </c>
      <c r="BV9" s="72" t="str">
        <f>IF(L9&lt;&gt;"",BL9-'Data input'!L9,"")</f>
        <v/>
      </c>
      <c r="BW9" s="121" t="str">
        <f t="shared" si="17"/>
        <v xml:space="preserve">Texas; 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6.1433514553485719E-16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0.99999999999997979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FT9" s="1" t="str">
        <f t="shared" si="18"/>
        <v/>
      </c>
      <c r="FU9" s="1" t="str">
        <f t="shared" si="6"/>
        <v/>
      </c>
      <c r="FV9" s="1" t="str">
        <f t="shared" si="6"/>
        <v/>
      </c>
      <c r="FW9" s="1" t="str">
        <f t="shared" si="6"/>
        <v/>
      </c>
      <c r="FX9" s="1" t="str">
        <f t="shared" si="6"/>
        <v/>
      </c>
      <c r="FY9" s="1" t="str">
        <f t="shared" si="6"/>
        <v/>
      </c>
      <c r="FZ9" s="1" t="str">
        <f t="shared" si="6"/>
        <v/>
      </c>
      <c r="GA9" s="1" t="str">
        <f t="shared" si="6"/>
        <v/>
      </c>
      <c r="GB9" s="1" t="str">
        <f t="shared" si="6"/>
        <v/>
      </c>
      <c r="GC9" s="1" t="str">
        <f t="shared" si="6"/>
        <v/>
      </c>
      <c r="GD9" s="1" t="str">
        <f t="shared" si="6"/>
        <v/>
      </c>
      <c r="GE9" s="1" t="str">
        <f t="shared" si="6"/>
        <v/>
      </c>
      <c r="GF9" s="1" t="str">
        <f t="shared" si="6"/>
        <v/>
      </c>
      <c r="GG9" s="1" t="str">
        <f t="shared" si="6"/>
        <v/>
      </c>
      <c r="GH9" s="1" t="str">
        <f t="shared" si="6"/>
        <v/>
      </c>
      <c r="GI9" s="1" t="str">
        <f t="shared" si="6"/>
        <v/>
      </c>
      <c r="GJ9" s="1" t="str">
        <f t="shared" si="6"/>
        <v/>
      </c>
      <c r="GK9" s="1" t="str">
        <f t="shared" si="7"/>
        <v/>
      </c>
      <c r="GL9" s="1" t="str">
        <f t="shared" si="7"/>
        <v/>
      </c>
      <c r="GM9" s="1" t="str">
        <f t="shared" si="7"/>
        <v/>
      </c>
      <c r="GN9" s="1" t="str">
        <f t="shared" si="7"/>
        <v/>
      </c>
      <c r="GO9" s="1" t="str">
        <f t="shared" si="7"/>
        <v/>
      </c>
      <c r="GP9" s="1" t="str">
        <f t="shared" si="7"/>
        <v/>
      </c>
      <c r="GQ9" s="1" t="str">
        <f t="shared" si="7"/>
        <v/>
      </c>
      <c r="GR9" s="1" t="str">
        <f t="shared" si="7"/>
        <v/>
      </c>
      <c r="GS9" s="1" t="str">
        <f t="shared" si="7"/>
        <v/>
      </c>
      <c r="GT9" s="1" t="str">
        <f t="shared" si="7"/>
        <v/>
      </c>
      <c r="GU9" s="1" t="str">
        <f t="shared" si="7"/>
        <v/>
      </c>
      <c r="GV9" s="1" t="str">
        <f t="shared" si="7"/>
        <v/>
      </c>
      <c r="GW9" s="1" t="str">
        <f t="shared" si="7"/>
        <v/>
      </c>
      <c r="GX9" s="1" t="str">
        <f t="shared" si="7"/>
        <v/>
      </c>
      <c r="GY9" s="1" t="str">
        <f t="shared" si="7"/>
        <v/>
      </c>
      <c r="GZ9" s="1" t="str">
        <f t="shared" si="7"/>
        <v/>
      </c>
      <c r="HA9" s="1" t="str">
        <f t="shared" si="8"/>
        <v/>
      </c>
      <c r="HB9" s="1" t="str">
        <f t="shared" si="8"/>
        <v/>
      </c>
      <c r="HC9" s="1" t="str">
        <f t="shared" si="8"/>
        <v/>
      </c>
      <c r="HD9" s="1" t="str">
        <f t="shared" si="8"/>
        <v/>
      </c>
      <c r="HE9" s="1" t="str">
        <f t="shared" si="8"/>
        <v/>
      </c>
      <c r="HF9" s="1" t="str">
        <f t="shared" si="8"/>
        <v/>
      </c>
      <c r="HG9" s="1" t="str">
        <f t="shared" si="8"/>
        <v/>
      </c>
      <c r="HH9" s="1" t="str">
        <f t="shared" si="8"/>
        <v/>
      </c>
      <c r="HI9" s="1" t="str">
        <f t="shared" si="8"/>
        <v/>
      </c>
      <c r="HJ9" s="1" t="str">
        <f t="shared" si="8"/>
        <v xml:space="preserve">Texas; </v>
      </c>
      <c r="HK9" s="1" t="str">
        <f t="shared" si="8"/>
        <v/>
      </c>
      <c r="HL9" s="1" t="str">
        <f t="shared" si="8"/>
        <v/>
      </c>
      <c r="HM9" s="1" t="str">
        <f t="shared" si="8"/>
        <v/>
      </c>
      <c r="HN9" s="1" t="str">
        <f t="shared" si="8"/>
        <v/>
      </c>
      <c r="HO9" s="1" t="str">
        <f t="shared" si="8"/>
        <v/>
      </c>
      <c r="HP9" s="1" t="str">
        <f t="shared" si="8"/>
        <v/>
      </c>
      <c r="HQ9" s="1" t="str">
        <f t="shared" si="9"/>
        <v/>
      </c>
      <c r="HR9" s="1" t="str">
        <f t="shared" si="9"/>
        <v/>
      </c>
      <c r="HS9" s="1" t="str">
        <f t="shared" si="9"/>
        <v/>
      </c>
      <c r="HT9" s="1" t="str">
        <f t="shared" si="9"/>
        <v/>
      </c>
      <c r="HU9" s="1" t="str">
        <f t="shared" si="9"/>
        <v/>
      </c>
      <c r="HV9" s="1" t="str">
        <f t="shared" si="9"/>
        <v/>
      </c>
      <c r="HW9" s="1" t="str">
        <f t="shared" si="9"/>
        <v/>
      </c>
      <c r="HX9" s="1" t="str">
        <f t="shared" si="9"/>
        <v/>
      </c>
      <c r="HY9" s="1" t="str">
        <f t="shared" si="9"/>
        <v/>
      </c>
      <c r="HZ9" s="1" t="str">
        <f t="shared" si="9"/>
        <v/>
      </c>
      <c r="IA9" s="1" t="str">
        <f t="shared" si="9"/>
        <v/>
      </c>
      <c r="IB9" s="1" t="str">
        <f t="shared" si="9"/>
        <v/>
      </c>
      <c r="IC9" s="1" t="str">
        <f t="shared" si="9"/>
        <v/>
      </c>
      <c r="ID9" s="1" t="str">
        <f t="shared" si="9"/>
        <v/>
      </c>
      <c r="IE9" s="1" t="str">
        <f t="shared" si="9"/>
        <v/>
      </c>
      <c r="IF9" s="1" t="str">
        <f t="shared" si="9"/>
        <v/>
      </c>
      <c r="IG9" s="1" t="str">
        <f t="shared" si="10"/>
        <v/>
      </c>
      <c r="IH9" s="1" t="str">
        <f t="shared" si="10"/>
        <v/>
      </c>
      <c r="II9" s="1" t="str">
        <f t="shared" si="10"/>
        <v/>
      </c>
      <c r="IJ9" s="1" t="str">
        <f t="shared" si="10"/>
        <v/>
      </c>
      <c r="IK9" s="1" t="str">
        <f t="shared" si="10"/>
        <v/>
      </c>
      <c r="IL9" s="1" t="str">
        <f t="shared" si="10"/>
        <v/>
      </c>
      <c r="IM9" s="1" t="str">
        <f t="shared" si="10"/>
        <v/>
      </c>
      <c r="IN9" s="1" t="str">
        <f t="shared" si="10"/>
        <v/>
      </c>
      <c r="IO9" s="1" t="str">
        <f t="shared" si="10"/>
        <v/>
      </c>
      <c r="IP9" s="1" t="str">
        <f t="shared" si="10"/>
        <v/>
      </c>
      <c r="IQ9" s="1" t="str">
        <f t="shared" si="10"/>
        <v/>
      </c>
      <c r="IR9" s="1" t="str">
        <f t="shared" si="10"/>
        <v/>
      </c>
      <c r="IS9" s="1" t="str">
        <f t="shared" si="10"/>
        <v/>
      </c>
      <c r="IT9" s="1" t="str">
        <f t="shared" si="10"/>
        <v/>
      </c>
      <c r="IU9" s="1" t="str">
        <f t="shared" si="10"/>
        <v/>
      </c>
      <c r="IV9" s="1" t="str">
        <f t="shared" si="10"/>
        <v/>
      </c>
      <c r="IW9" s="1" t="str">
        <f t="shared" si="11"/>
        <v/>
      </c>
      <c r="IX9" s="1" t="str">
        <f t="shared" si="11"/>
        <v/>
      </c>
      <c r="IY9" s="1" t="str">
        <f t="shared" si="11"/>
        <v/>
      </c>
      <c r="IZ9" s="1" t="str">
        <f t="shared" si="11"/>
        <v/>
      </c>
      <c r="JA9" s="1" t="str">
        <f t="shared" si="11"/>
        <v/>
      </c>
      <c r="JB9" s="1" t="str">
        <f t="shared" si="11"/>
        <v/>
      </c>
      <c r="JC9" s="1" t="str">
        <f t="shared" si="11"/>
        <v/>
      </c>
      <c r="JD9" s="1" t="str">
        <f t="shared" si="11"/>
        <v/>
      </c>
      <c r="JE9" s="1" t="str">
        <f t="shared" si="11"/>
        <v/>
      </c>
      <c r="JF9" s="1" t="str">
        <f t="shared" si="11"/>
        <v/>
      </c>
      <c r="JG9" s="1" t="str">
        <f t="shared" si="11"/>
        <v/>
      </c>
      <c r="JH9" s="1" t="str">
        <f t="shared" si="11"/>
        <v/>
      </c>
      <c r="JI9" s="1" t="str">
        <f t="shared" si="11"/>
        <v/>
      </c>
      <c r="JJ9" s="1" t="str">
        <f t="shared" si="11"/>
        <v/>
      </c>
      <c r="JK9" s="1" t="str">
        <f t="shared" si="11"/>
        <v/>
      </c>
      <c r="JL9" s="1" t="str">
        <f t="shared" si="11"/>
        <v/>
      </c>
      <c r="JM9" s="1" t="str">
        <f t="shared" si="12"/>
        <v/>
      </c>
      <c r="JN9" s="1" t="str">
        <f t="shared" si="12"/>
        <v/>
      </c>
      <c r="JO9" s="1" t="str">
        <f t="shared" si="12"/>
        <v/>
      </c>
    </row>
    <row r="10" spans="1:275" ht="14.5" x14ac:dyDescent="0.35">
      <c r="A10" s="59">
        <f>IF('Data input'!A10&lt;&gt;"",'Data input'!A10,"")</f>
        <v>8</v>
      </c>
      <c r="B10" s="60" t="str">
        <f>IF('Data input'!B10&lt;&gt;"",'Data input'!B10,"")</f>
        <v>Delaware</v>
      </c>
      <c r="C10" s="19">
        <f>IF('Data input'!C10="","",4*('Data input'!C10-'Data input'!C$108)/('Data input'!C$109-'Data input'!C$108)+1)</f>
        <v>3.9192672575677636</v>
      </c>
      <c r="D10" s="19" t="str">
        <f>IF('Data input'!D10="","",4*('Data input'!D10-'Data input'!D$108)/('Data input'!D$109-'Data input'!D$108)+1)</f>
        <v/>
      </c>
      <c r="E10" s="19" t="str">
        <f>IF('Data input'!E10="","",4*('Data input'!E10-'Data input'!E$108)/('Data input'!E$109-'Data input'!E$108)+1)</f>
        <v/>
      </c>
      <c r="F10" s="19" t="str">
        <f>IF('Data input'!F10="","",4*('Data input'!F10-'Data input'!F$108)/('Data input'!F$109-'Data input'!F$108)+1)</f>
        <v/>
      </c>
      <c r="G10" s="19" t="str">
        <f>IF('Data input'!G10="","",4*('Data input'!G10-'Data input'!G$108)/('Data input'!G$109-'Data input'!G$108)+1)</f>
        <v/>
      </c>
      <c r="H10" s="61">
        <f>IF('Data input'!H10="","",4*('Data input'!H10-'Data input'!H$108)/('Data input'!H$109-'Data input'!H$108)+1)</f>
        <v>3.3141611703667095</v>
      </c>
      <c r="I10" s="19">
        <f>IF('Data input'!I10="","",4*('Data input'!I10-'Data input'!I$108)/('Data input'!I$109-'Data input'!I$108)+1)</f>
        <v>1.0910985915492957</v>
      </c>
      <c r="J10" s="19" t="str">
        <f>IF('Data input'!J10="","",4*('Data input'!J10-'Data input'!J$108)/('Data input'!J$109-'Data input'!J$108)+1)</f>
        <v/>
      </c>
      <c r="K10" s="19" t="str">
        <f>IF('Data input'!K10="","",4*('Data input'!K10-'Data input'!K$108)/('Data input'!K$109-'Data input'!K$108)+1)</f>
        <v/>
      </c>
      <c r="L10" s="19" t="str">
        <f>IF('Data input'!L10="","",4*('Data input'!L10-'Data input'!L$108)/('Data input'!L$109-'Data input'!L$108)+1)</f>
        <v/>
      </c>
      <c r="M10" s="19">
        <f>IF('Data input'!M10="","",4*('Data input'!M10-'Data input'!M$108)/('Data input'!M$109-'Data input'!M$108)+1)</f>
        <v>2.08056030368282</v>
      </c>
      <c r="N10" s="16" t="str">
        <f>IF('Data input'!N10="","",4*('Data input'!N10-'Data input'!N$108)/('Data input'!N$109-'Data input'!N$108)+1)</f>
        <v/>
      </c>
      <c r="O10" s="19" t="str">
        <f>IF('Data input'!O10="","",4*('Data input'!O10-'Data input'!O$108)/('Data input'!O$109-'Data input'!O$108)+1)</f>
        <v/>
      </c>
      <c r="P10" s="19" t="str">
        <f>IF('Data input'!P10="","",4*('Data input'!P10-'Data input'!P$108)/('Data input'!P$109-'Data input'!P$108)+1)</f>
        <v/>
      </c>
      <c r="Q10" s="19" t="str">
        <f>IF('Data input'!Q10="","",4*('Data input'!Q10-'Data input'!Q$108)/('Data input'!Q$109-'Data input'!Q$108)+1)</f>
        <v/>
      </c>
      <c r="R10" s="19" t="str">
        <f>IF('Data input'!R10="","",4*('Data input'!R10-'Data input'!R$108)/('Data input'!R$109-'Data input'!R$108)+1)</f>
        <v/>
      </c>
      <c r="S10" s="16" t="str">
        <f>IF('Data input'!S10="","",4*('Data input'!S10-'Data input'!S$108)/('Data input'!S$109-'Data input'!S$108)+1)</f>
        <v/>
      </c>
      <c r="T10" s="19" t="str">
        <f>IF('Data input'!T10="","",4*('Data input'!T10-'Data input'!T$108)/('Data input'!T$109-'Data input'!T$108)+1)</f>
        <v/>
      </c>
      <c r="U10" s="19" t="str">
        <f>IF('Data input'!U10="","",4*('Data input'!U10-'Data input'!U$108)/('Data input'!U$109-'Data input'!U$108)+1)</f>
        <v/>
      </c>
      <c r="V10" s="19" t="str">
        <f>IF('Data input'!V10="","",4*('Data input'!V10-'Data input'!V$108)/('Data input'!V$109-'Data input'!V$108)+1)</f>
        <v/>
      </c>
      <c r="W10" s="16" t="str">
        <f>IF('Data input'!W10="","",4*('Data input'!W10-'Data input'!W$108)/('Data input'!W$109-'Data input'!W$108)+1)</f>
        <v/>
      </c>
      <c r="X10" s="16" t="str">
        <f>IF('Data input'!X10="","",4*('Data input'!X10-'Data input'!X$108)/('Data input'!X$109-'Data input'!X$108)+1)</f>
        <v/>
      </c>
      <c r="Y10" s="16" t="str">
        <f>IF('Data input'!Y10="","",4*('Data input'!Y10-'Data input'!Y$108)/('Data input'!Y$109-'Data input'!Y$108)+1)</f>
        <v/>
      </c>
      <c r="Z10" s="16" t="str">
        <f>IF('Data input'!Z10="","",4*('Data input'!Z10-'Data input'!Z$108)/('Data input'!Z$109-'Data input'!Z$108)+1)</f>
        <v/>
      </c>
      <c r="AA10" s="62" t="str">
        <f>IF('Data input'!AA10="","",4*('Data input'!AA10-'Data input'!AA$108)/('Data input'!AA$109-'Data input'!AA$108)+1)</f>
        <v/>
      </c>
      <c r="AB10" s="78"/>
      <c r="AC10" s="79">
        <v>0</v>
      </c>
      <c r="AD10" s="80" t="e">
        <f t="shared" si="13"/>
        <v>#DIV/0!</v>
      </c>
      <c r="AE10" s="4"/>
      <c r="AF10" s="59">
        <f t="shared" si="14"/>
        <v>8</v>
      </c>
      <c r="AG10" s="60" t="str">
        <f t="shared" si="14"/>
        <v>Delaware</v>
      </c>
      <c r="AH10">
        <v>0.87554095832570167</v>
      </c>
      <c r="AI10" t="s">
        <v>69</v>
      </c>
      <c r="AJ10" t="s">
        <v>69</v>
      </c>
      <c r="AK10" t="s">
        <v>69</v>
      </c>
      <c r="AL10" t="s">
        <v>69</v>
      </c>
      <c r="AM10">
        <v>2.3141611703667091</v>
      </c>
      <c r="AN10">
        <v>1.1405634143393619E-2</v>
      </c>
      <c r="AO10" t="s">
        <v>69</v>
      </c>
      <c r="AP10" t="s">
        <v>69</v>
      </c>
      <c r="AQ10" t="s">
        <v>69</v>
      </c>
      <c r="AR10">
        <v>0.52561686666548479</v>
      </c>
      <c r="AS10" s="71">
        <f t="shared" si="15"/>
        <v>4.7948082158934655</v>
      </c>
      <c r="AT10" s="71" t="str">
        <f t="shared" si="4"/>
        <v/>
      </c>
      <c r="AU10" s="71" t="str">
        <f t="shared" si="4"/>
        <v/>
      </c>
      <c r="AV10" s="71" t="str">
        <f t="shared" si="4"/>
        <v/>
      </c>
      <c r="AW10" s="71" t="str">
        <f t="shared" si="4"/>
        <v/>
      </c>
      <c r="AX10" s="71">
        <f t="shared" si="16"/>
        <v>1.0000000000000004</v>
      </c>
      <c r="AY10" s="71">
        <f t="shared" si="5"/>
        <v>1.079692957405902</v>
      </c>
      <c r="AZ10" s="71" t="str">
        <f t="shared" si="5"/>
        <v/>
      </c>
      <c r="BA10" s="71" t="str">
        <f t="shared" si="5"/>
        <v/>
      </c>
      <c r="BB10" s="71" t="str">
        <f t="shared" si="5"/>
        <v/>
      </c>
      <c r="BC10" s="18">
        <f>IF(C10&lt;&gt;"",(('Data input'!C$109-'Data input'!C$108)*(AS10-1)/4)+'Data input'!C$108,"")</f>
        <v>0.98884274822415996</v>
      </c>
      <c r="BD10" s="18" t="str">
        <f>IF(D10&lt;&gt;"",(('Data input'!D$109-'Data input'!D$108)*(AT10-1)/4)+'Data input'!D$108,"")</f>
        <v/>
      </c>
      <c r="BE10" s="18" t="str">
        <f>IF(E10&lt;&gt;"",(('Data input'!E$109-'Data input'!E$108)*(AU10-1)/4)+'Data input'!E$108,"")</f>
        <v/>
      </c>
      <c r="BF10" s="18" t="str">
        <f>IF(F10&lt;&gt;"",(('Data input'!F$109-'Data input'!F$108)*(AV10-1)/4)+'Data input'!F$108,"")</f>
        <v/>
      </c>
      <c r="BG10" s="18" t="str">
        <f>IF(G10&lt;&gt;"",(('Data input'!G$109-'Data input'!G$108)*(AW10-1)/4)+'Data input'!G$108,"")</f>
        <v/>
      </c>
      <c r="BH10" s="19">
        <f>IF(H10&lt;&gt;"",(('Data input'!H$109-'Data input'!H$108)*(AX10-1)/4)+'Data input'!H$108,"")</f>
        <v>0.29574268608403681</v>
      </c>
      <c r="BI10" s="18">
        <f>IF(I10&lt;&gt;"",(('Data input'!I$109-'Data input'!I$108)*(AY10-1)/4)+'Data input'!I$108,"")</f>
        <v>3.4991960270989741E-3</v>
      </c>
      <c r="BJ10" s="19" t="str">
        <f>IF(J10&lt;&gt;"",(('Data input'!J$109-'Data input'!J$108)*(AZ10-1)/4)+'Data input'!J$108,"")</f>
        <v/>
      </c>
      <c r="BK10" s="19" t="str">
        <f>IF(K10&lt;&gt;"",(('Data input'!K$109-'Data input'!K$108)*(BA10-1)/4)+'Data input'!K$108,"")</f>
        <v/>
      </c>
      <c r="BL10" s="19" t="str">
        <f>IF(L10&lt;&gt;"",(('Data input'!L$109-'Data input'!L$108)*(BB10-1)/4)+'Data input'!L$108,"")</f>
        <v/>
      </c>
      <c r="BM10" s="18">
        <f>IF(C10&lt;&gt;"",BC10-'Data input'!C10,"")</f>
        <v>3.1788413488701872E-2</v>
      </c>
      <c r="BN10" s="18" t="str">
        <f>IF(D10&lt;&gt;"",BD10-'Data input'!D10,"")</f>
        <v/>
      </c>
      <c r="BO10" s="18" t="str">
        <f>IF(E10&lt;&gt;"",BE10-'Data input'!E10,"")</f>
        <v/>
      </c>
      <c r="BP10" s="18" t="str">
        <f>IF(F10&lt;&gt;"",BF10-'Data input'!F10,"")</f>
        <v/>
      </c>
      <c r="BQ10" s="18" t="str">
        <f>IF(G10&lt;&gt;"",BG10-'Data input'!G10,"")</f>
        <v/>
      </c>
      <c r="BR10" s="19">
        <f>IF(H10&lt;&gt;"",BH10-'Data input'!H10,"")</f>
        <v>-50.397410455700594</v>
      </c>
      <c r="BS10" s="18">
        <f>IF(I10&lt;&gt;"",BI10-'Data input'!I10,"")</f>
        <v>-5.0080397290102599E-4</v>
      </c>
      <c r="BT10" s="18" t="str">
        <f>IF(J10&lt;&gt;"",BJ10-'Data input'!J10,"")</f>
        <v/>
      </c>
      <c r="BU10" s="18" t="str">
        <f>IF(K10&lt;&gt;"",BK10-'Data input'!K10,"")</f>
        <v/>
      </c>
      <c r="BV10" s="72" t="str">
        <f>IF(L10&lt;&gt;"",BL10-'Data input'!L10,"")</f>
        <v/>
      </c>
      <c r="BW10" s="121" t="str">
        <f t="shared" si="17"/>
        <v xml:space="preserve">Texas; 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2.3169102261944487E-14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0.99999999999997702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FT10" s="1" t="str">
        <f t="shared" si="18"/>
        <v/>
      </c>
      <c r="FU10" s="1" t="str">
        <f t="shared" si="6"/>
        <v/>
      </c>
      <c r="FV10" s="1" t="str">
        <f t="shared" si="6"/>
        <v/>
      </c>
      <c r="FW10" s="1" t="str">
        <f t="shared" si="6"/>
        <v/>
      </c>
      <c r="FX10" s="1" t="str">
        <f t="shared" si="6"/>
        <v/>
      </c>
      <c r="FY10" s="1" t="str">
        <f t="shared" si="6"/>
        <v/>
      </c>
      <c r="FZ10" s="1" t="str">
        <f t="shared" si="6"/>
        <v/>
      </c>
      <c r="GA10" s="1" t="str">
        <f t="shared" si="6"/>
        <v/>
      </c>
      <c r="GB10" s="1" t="str">
        <f t="shared" si="6"/>
        <v/>
      </c>
      <c r="GC10" s="1" t="str">
        <f t="shared" si="6"/>
        <v/>
      </c>
      <c r="GD10" s="1" t="str">
        <f t="shared" si="6"/>
        <v/>
      </c>
      <c r="GE10" s="1" t="str">
        <f t="shared" si="6"/>
        <v/>
      </c>
      <c r="GF10" s="1" t="str">
        <f t="shared" si="6"/>
        <v/>
      </c>
      <c r="GG10" s="1" t="str">
        <f t="shared" si="6"/>
        <v/>
      </c>
      <c r="GH10" s="1" t="str">
        <f t="shared" si="6"/>
        <v/>
      </c>
      <c r="GI10" s="1" t="str">
        <f t="shared" si="6"/>
        <v/>
      </c>
      <c r="GJ10" s="1" t="str">
        <f t="shared" si="6"/>
        <v/>
      </c>
      <c r="GK10" s="1" t="str">
        <f t="shared" si="7"/>
        <v/>
      </c>
      <c r="GL10" s="1" t="str">
        <f t="shared" si="7"/>
        <v/>
      </c>
      <c r="GM10" s="1" t="str">
        <f t="shared" si="7"/>
        <v/>
      </c>
      <c r="GN10" s="1" t="str">
        <f t="shared" si="7"/>
        <v/>
      </c>
      <c r="GO10" s="1" t="str">
        <f t="shared" si="7"/>
        <v/>
      </c>
      <c r="GP10" s="1" t="str">
        <f t="shared" si="7"/>
        <v/>
      </c>
      <c r="GQ10" s="1" t="str">
        <f t="shared" si="7"/>
        <v/>
      </c>
      <c r="GR10" s="1" t="str">
        <f t="shared" si="7"/>
        <v/>
      </c>
      <c r="GS10" s="1" t="str">
        <f t="shared" si="7"/>
        <v/>
      </c>
      <c r="GT10" s="1" t="str">
        <f t="shared" si="7"/>
        <v/>
      </c>
      <c r="GU10" s="1" t="str">
        <f t="shared" si="7"/>
        <v/>
      </c>
      <c r="GV10" s="1" t="str">
        <f t="shared" si="7"/>
        <v/>
      </c>
      <c r="GW10" s="1" t="str">
        <f t="shared" si="7"/>
        <v/>
      </c>
      <c r="GX10" s="1" t="str">
        <f t="shared" si="7"/>
        <v/>
      </c>
      <c r="GY10" s="1" t="str">
        <f t="shared" si="7"/>
        <v/>
      </c>
      <c r="GZ10" s="1" t="str">
        <f t="shared" si="7"/>
        <v/>
      </c>
      <c r="HA10" s="1" t="str">
        <f t="shared" si="8"/>
        <v/>
      </c>
      <c r="HB10" s="1" t="str">
        <f t="shared" si="8"/>
        <v/>
      </c>
      <c r="HC10" s="1" t="str">
        <f t="shared" si="8"/>
        <v/>
      </c>
      <c r="HD10" s="1" t="str">
        <f t="shared" si="8"/>
        <v/>
      </c>
      <c r="HE10" s="1" t="str">
        <f t="shared" si="8"/>
        <v/>
      </c>
      <c r="HF10" s="1" t="str">
        <f t="shared" si="8"/>
        <v/>
      </c>
      <c r="HG10" s="1" t="str">
        <f t="shared" si="8"/>
        <v/>
      </c>
      <c r="HH10" s="1" t="str">
        <f t="shared" si="8"/>
        <v/>
      </c>
      <c r="HI10" s="1" t="str">
        <f t="shared" si="8"/>
        <v/>
      </c>
      <c r="HJ10" s="1" t="str">
        <f t="shared" si="8"/>
        <v xml:space="preserve">Texas; </v>
      </c>
      <c r="HK10" s="1" t="str">
        <f t="shared" si="8"/>
        <v/>
      </c>
      <c r="HL10" s="1" t="str">
        <f t="shared" si="8"/>
        <v/>
      </c>
      <c r="HM10" s="1" t="str">
        <f t="shared" si="8"/>
        <v/>
      </c>
      <c r="HN10" s="1" t="str">
        <f t="shared" si="8"/>
        <v/>
      </c>
      <c r="HO10" s="1" t="str">
        <f t="shared" si="8"/>
        <v/>
      </c>
      <c r="HP10" s="1" t="str">
        <f t="shared" si="8"/>
        <v/>
      </c>
      <c r="HQ10" s="1" t="str">
        <f t="shared" si="9"/>
        <v/>
      </c>
      <c r="HR10" s="1" t="str">
        <f t="shared" si="9"/>
        <v/>
      </c>
      <c r="HS10" s="1" t="str">
        <f t="shared" si="9"/>
        <v/>
      </c>
      <c r="HT10" s="1" t="str">
        <f t="shared" si="9"/>
        <v/>
      </c>
      <c r="HU10" s="1" t="str">
        <f t="shared" si="9"/>
        <v/>
      </c>
      <c r="HV10" s="1" t="str">
        <f t="shared" si="9"/>
        <v/>
      </c>
      <c r="HW10" s="1" t="str">
        <f t="shared" si="9"/>
        <v/>
      </c>
      <c r="HX10" s="1" t="str">
        <f t="shared" si="9"/>
        <v/>
      </c>
      <c r="HY10" s="1" t="str">
        <f t="shared" si="9"/>
        <v/>
      </c>
      <c r="HZ10" s="1" t="str">
        <f t="shared" si="9"/>
        <v/>
      </c>
      <c r="IA10" s="1" t="str">
        <f t="shared" si="9"/>
        <v/>
      </c>
      <c r="IB10" s="1" t="str">
        <f t="shared" si="9"/>
        <v/>
      </c>
      <c r="IC10" s="1" t="str">
        <f t="shared" si="9"/>
        <v/>
      </c>
      <c r="ID10" s="1" t="str">
        <f t="shared" si="9"/>
        <v/>
      </c>
      <c r="IE10" s="1" t="str">
        <f t="shared" si="9"/>
        <v/>
      </c>
      <c r="IF10" s="1" t="str">
        <f t="shared" si="9"/>
        <v/>
      </c>
      <c r="IG10" s="1" t="str">
        <f t="shared" si="10"/>
        <v/>
      </c>
      <c r="IH10" s="1" t="str">
        <f t="shared" si="10"/>
        <v/>
      </c>
      <c r="II10" s="1" t="str">
        <f t="shared" si="10"/>
        <v/>
      </c>
      <c r="IJ10" s="1" t="str">
        <f t="shared" si="10"/>
        <v/>
      </c>
      <c r="IK10" s="1" t="str">
        <f t="shared" si="10"/>
        <v/>
      </c>
      <c r="IL10" s="1" t="str">
        <f t="shared" si="10"/>
        <v/>
      </c>
      <c r="IM10" s="1" t="str">
        <f t="shared" si="10"/>
        <v/>
      </c>
      <c r="IN10" s="1" t="str">
        <f t="shared" si="10"/>
        <v/>
      </c>
      <c r="IO10" s="1" t="str">
        <f t="shared" si="10"/>
        <v/>
      </c>
      <c r="IP10" s="1" t="str">
        <f t="shared" si="10"/>
        <v/>
      </c>
      <c r="IQ10" s="1" t="str">
        <f t="shared" si="10"/>
        <v/>
      </c>
      <c r="IR10" s="1" t="str">
        <f t="shared" si="10"/>
        <v/>
      </c>
      <c r="IS10" s="1" t="str">
        <f t="shared" si="10"/>
        <v/>
      </c>
      <c r="IT10" s="1" t="str">
        <f t="shared" si="10"/>
        <v/>
      </c>
      <c r="IU10" s="1" t="str">
        <f t="shared" si="10"/>
        <v/>
      </c>
      <c r="IV10" s="1" t="str">
        <f t="shared" si="10"/>
        <v/>
      </c>
      <c r="IW10" s="1" t="str">
        <f t="shared" si="11"/>
        <v/>
      </c>
      <c r="IX10" s="1" t="str">
        <f t="shared" si="11"/>
        <v/>
      </c>
      <c r="IY10" s="1" t="str">
        <f t="shared" si="11"/>
        <v/>
      </c>
      <c r="IZ10" s="1" t="str">
        <f t="shared" si="11"/>
        <v/>
      </c>
      <c r="JA10" s="1" t="str">
        <f t="shared" si="11"/>
        <v/>
      </c>
      <c r="JB10" s="1" t="str">
        <f t="shared" si="11"/>
        <v/>
      </c>
      <c r="JC10" s="1" t="str">
        <f t="shared" si="11"/>
        <v/>
      </c>
      <c r="JD10" s="1" t="str">
        <f t="shared" si="11"/>
        <v/>
      </c>
      <c r="JE10" s="1" t="str">
        <f t="shared" si="11"/>
        <v/>
      </c>
      <c r="JF10" s="1" t="str">
        <f t="shared" si="11"/>
        <v/>
      </c>
      <c r="JG10" s="1" t="str">
        <f t="shared" si="11"/>
        <v/>
      </c>
      <c r="JH10" s="1" t="str">
        <f t="shared" si="11"/>
        <v/>
      </c>
      <c r="JI10" s="1" t="str">
        <f t="shared" si="11"/>
        <v/>
      </c>
      <c r="JJ10" s="1" t="str">
        <f t="shared" si="11"/>
        <v/>
      </c>
      <c r="JK10" s="1" t="str">
        <f t="shared" si="11"/>
        <v/>
      </c>
      <c r="JL10" s="1" t="str">
        <f t="shared" si="11"/>
        <v/>
      </c>
      <c r="JM10" s="1" t="str">
        <f t="shared" si="12"/>
        <v/>
      </c>
      <c r="JN10" s="1" t="str">
        <f t="shared" si="12"/>
        <v/>
      </c>
      <c r="JO10" s="1" t="str">
        <f t="shared" si="12"/>
        <v/>
      </c>
    </row>
    <row r="11" spans="1:275" ht="14.5" x14ac:dyDescent="0.35">
      <c r="A11" s="59">
        <f>IF('Data input'!A11&lt;&gt;"",'Data input'!A11,"")</f>
        <v>9</v>
      </c>
      <c r="B11" s="60" t="str">
        <f>IF('Data input'!B11&lt;&gt;"",'Data input'!B11,"")</f>
        <v>District Of Columbia</v>
      </c>
      <c r="C11" s="19">
        <f>IF('Data input'!C11="","",4*('Data input'!C11-'Data input'!C$108)/('Data input'!C$109-'Data input'!C$108)+1)</f>
        <v>2.9992256030233326</v>
      </c>
      <c r="D11" s="19" t="str">
        <f>IF('Data input'!D11="","",4*('Data input'!D11-'Data input'!D$108)/('Data input'!D$109-'Data input'!D$108)+1)</f>
        <v/>
      </c>
      <c r="E11" s="19" t="str">
        <f>IF('Data input'!E11="","",4*('Data input'!E11-'Data input'!E$108)/('Data input'!E$109-'Data input'!E$108)+1)</f>
        <v/>
      </c>
      <c r="F11" s="19" t="str">
        <f>IF('Data input'!F11="","",4*('Data input'!F11-'Data input'!F$108)/('Data input'!F$109-'Data input'!F$108)+1)</f>
        <v/>
      </c>
      <c r="G11" s="19" t="str">
        <f>IF('Data input'!G11="","",4*('Data input'!G11-'Data input'!G$108)/('Data input'!G$109-'Data input'!G$108)+1)</f>
        <v/>
      </c>
      <c r="H11" s="61">
        <f>IF('Data input'!H11="","",4*('Data input'!H11-'Data input'!H$108)/('Data input'!H$109-'Data input'!H$108)+1)</f>
        <v>1.8395082606333266</v>
      </c>
      <c r="I11" s="19">
        <f>IF('Data input'!I11="","",4*('Data input'!I11-'Data input'!I$108)/('Data input'!I$109-'Data input'!I$108)+1)</f>
        <v>2.7277319086935403</v>
      </c>
      <c r="J11" s="19" t="str">
        <f>IF('Data input'!J11="","",4*('Data input'!J11-'Data input'!J$108)/('Data input'!J$109-'Data input'!J$108)+1)</f>
        <v/>
      </c>
      <c r="K11" s="19" t="str">
        <f>IF('Data input'!K11="","",4*('Data input'!K11-'Data input'!K$108)/('Data input'!K$109-'Data input'!K$108)+1)</f>
        <v/>
      </c>
      <c r="L11" s="19" t="str">
        <f>IF('Data input'!L11="","",4*('Data input'!L11-'Data input'!L$108)/('Data input'!L$109-'Data input'!L$108)+1)</f>
        <v/>
      </c>
      <c r="M11" s="19">
        <f>IF('Data input'!M11="","",4*('Data input'!M11-'Data input'!M$108)/('Data input'!M$109-'Data input'!M$108)+1)</f>
        <v>1.8682801666407678</v>
      </c>
      <c r="N11" s="16" t="str">
        <f>IF('Data input'!N11="","",4*('Data input'!N11-'Data input'!N$108)/('Data input'!N$109-'Data input'!N$108)+1)</f>
        <v/>
      </c>
      <c r="O11" s="19" t="str">
        <f>IF('Data input'!O11="","",4*('Data input'!O11-'Data input'!O$108)/('Data input'!O$109-'Data input'!O$108)+1)</f>
        <v/>
      </c>
      <c r="P11" s="19" t="str">
        <f>IF('Data input'!P11="","",4*('Data input'!P11-'Data input'!P$108)/('Data input'!P$109-'Data input'!P$108)+1)</f>
        <v/>
      </c>
      <c r="Q11" s="19" t="str">
        <f>IF('Data input'!Q11="","",4*('Data input'!Q11-'Data input'!Q$108)/('Data input'!Q$109-'Data input'!Q$108)+1)</f>
        <v/>
      </c>
      <c r="R11" s="19" t="str">
        <f>IF('Data input'!R11="","",4*('Data input'!R11-'Data input'!R$108)/('Data input'!R$109-'Data input'!R$108)+1)</f>
        <v/>
      </c>
      <c r="S11" s="16" t="str">
        <f>IF('Data input'!S11="","",4*('Data input'!S11-'Data input'!S$108)/('Data input'!S$109-'Data input'!S$108)+1)</f>
        <v/>
      </c>
      <c r="T11" s="19" t="str">
        <f>IF('Data input'!T11="","",4*('Data input'!T11-'Data input'!T$108)/('Data input'!T$109-'Data input'!T$108)+1)</f>
        <v/>
      </c>
      <c r="U11" s="19" t="str">
        <f>IF('Data input'!U11="","",4*('Data input'!U11-'Data input'!U$108)/('Data input'!U$109-'Data input'!U$108)+1)</f>
        <v/>
      </c>
      <c r="V11" s="19" t="str">
        <f>IF('Data input'!V11="","",4*('Data input'!V11-'Data input'!V$108)/('Data input'!V$109-'Data input'!V$108)+1)</f>
        <v/>
      </c>
      <c r="W11" s="16" t="str">
        <f>IF('Data input'!W11="","",4*('Data input'!W11-'Data input'!W$108)/('Data input'!W$109-'Data input'!W$108)+1)</f>
        <v/>
      </c>
      <c r="X11" s="16" t="str">
        <f>IF('Data input'!X11="","",4*('Data input'!X11-'Data input'!X$108)/('Data input'!X$109-'Data input'!X$108)+1)</f>
        <v/>
      </c>
      <c r="Y11" s="16" t="str">
        <f>IF('Data input'!Y11="","",4*('Data input'!Y11-'Data input'!Y$108)/('Data input'!Y$109-'Data input'!Y$108)+1)</f>
        <v/>
      </c>
      <c r="Z11" s="16" t="str">
        <f>IF('Data input'!Z11="","",4*('Data input'!Z11-'Data input'!Z$108)/('Data input'!Z$109-'Data input'!Z$108)+1)</f>
        <v/>
      </c>
      <c r="AA11" s="62" t="str">
        <f>IF('Data input'!AA11="","",4*('Data input'!AA11-'Data input'!AA$108)/('Data input'!AA$109-'Data input'!AA$108)+1)</f>
        <v/>
      </c>
      <c r="AB11" s="78"/>
      <c r="AC11" s="79">
        <v>0</v>
      </c>
      <c r="AD11" s="80" t="e">
        <f t="shared" si="13"/>
        <v>#DIV/0!</v>
      </c>
      <c r="AE11" s="4"/>
      <c r="AF11" s="59">
        <f t="shared" si="14"/>
        <v>9</v>
      </c>
      <c r="AG11" s="60" t="str">
        <f t="shared" si="14"/>
        <v>District Of Columbia</v>
      </c>
      <c r="AH11">
        <v>1.772680909916772</v>
      </c>
      <c r="AI11" t="s">
        <v>69</v>
      </c>
      <c r="AJ11" t="s">
        <v>69</v>
      </c>
      <c r="AK11" t="s">
        <v>69</v>
      </c>
      <c r="AL11" t="s">
        <v>69</v>
      </c>
      <c r="AM11">
        <v>0.83950826063332296</v>
      </c>
      <c r="AN11">
        <v>0.29885391000546241</v>
      </c>
      <c r="AO11" t="s">
        <v>69</v>
      </c>
      <c r="AP11" t="s">
        <v>69</v>
      </c>
      <c r="AQ11" t="s">
        <v>69</v>
      </c>
      <c r="AR11">
        <v>0.41047120336821674</v>
      </c>
      <c r="AS11" s="71">
        <f t="shared" si="15"/>
        <v>4.7719065129401042</v>
      </c>
      <c r="AT11" s="71" t="str">
        <f t="shared" si="4"/>
        <v/>
      </c>
      <c r="AU11" s="71" t="str">
        <f t="shared" si="4"/>
        <v/>
      </c>
      <c r="AV11" s="71" t="str">
        <f t="shared" si="4"/>
        <v/>
      </c>
      <c r="AW11" s="71" t="str">
        <f t="shared" si="4"/>
        <v/>
      </c>
      <c r="AX11" s="71">
        <f t="shared" si="16"/>
        <v>1.0000000000000036</v>
      </c>
      <c r="AY11" s="71">
        <f t="shared" si="5"/>
        <v>2.428877998688078</v>
      </c>
      <c r="AZ11" s="71" t="str">
        <f t="shared" si="5"/>
        <v/>
      </c>
      <c r="BA11" s="71" t="str">
        <f t="shared" si="5"/>
        <v/>
      </c>
      <c r="BB11" s="71" t="str">
        <f t="shared" si="5"/>
        <v/>
      </c>
      <c r="BC11" s="18">
        <f>IF(C11&lt;&gt;"",(('Data input'!C$109-'Data input'!C$108)*(AS11-1)/4)+'Data input'!C$108,"")</f>
        <v>0.98801125222599551</v>
      </c>
      <c r="BD11" s="18" t="str">
        <f>IF(D11&lt;&gt;"",(('Data input'!D$109-'Data input'!D$108)*(AT11-1)/4)+'Data input'!D$108,"")</f>
        <v/>
      </c>
      <c r="BE11" s="18" t="str">
        <f>IF(E11&lt;&gt;"",(('Data input'!E$109-'Data input'!E$108)*(AU11-1)/4)+'Data input'!E$108,"")</f>
        <v/>
      </c>
      <c r="BF11" s="18" t="str">
        <f>IF(F11&lt;&gt;"",(('Data input'!F$109-'Data input'!F$108)*(AV11-1)/4)+'Data input'!F$108,"")</f>
        <v/>
      </c>
      <c r="BG11" s="18" t="str">
        <f>IF(G11&lt;&gt;"",(('Data input'!G$109-'Data input'!G$108)*(AW11-1)/4)+'Data input'!G$108,"")</f>
        <v/>
      </c>
      <c r="BH11" s="19">
        <f>IF(H11&lt;&gt;"",(('Data input'!H$109-'Data input'!H$108)*(AX11-1)/4)+'Data input'!H$108,"")</f>
        <v>0.29574268608410453</v>
      </c>
      <c r="BI11" s="18">
        <f>IF(I11&lt;&gt;"",(('Data input'!I$109-'Data input'!I$108)*(AY11-1)/4)+'Data input'!I$108,"")</f>
        <v>6.2739850282531567E-2</v>
      </c>
      <c r="BJ11" s="19" t="str">
        <f>IF(J11&lt;&gt;"",(('Data input'!J$109-'Data input'!J$108)*(AZ11-1)/4)+'Data input'!J$108,"")</f>
        <v/>
      </c>
      <c r="BK11" s="19" t="str">
        <f>IF(K11&lt;&gt;"",(('Data input'!K$109-'Data input'!K$108)*(BA11-1)/4)+'Data input'!K$108,"")</f>
        <v/>
      </c>
      <c r="BL11" s="19" t="str">
        <f>IF(L11&lt;&gt;"",(('Data input'!L$109-'Data input'!L$108)*(BB11-1)/4)+'Data input'!L$108,"")</f>
        <v/>
      </c>
      <c r="BM11" s="18">
        <f>IF(C11&lt;&gt;"",BC11-'Data input'!C11,"")</f>
        <v>6.4361025274845107E-2</v>
      </c>
      <c r="BN11" s="18" t="str">
        <f>IF(D11&lt;&gt;"",BD11-'Data input'!D11,"")</f>
        <v/>
      </c>
      <c r="BO11" s="18" t="str">
        <f>IF(E11&lt;&gt;"",BE11-'Data input'!E11,"")</f>
        <v/>
      </c>
      <c r="BP11" s="18" t="str">
        <f>IF(F11&lt;&gt;"",BF11-'Data input'!F11,"")</f>
        <v/>
      </c>
      <c r="BQ11" s="18" t="str">
        <f>IF(G11&lt;&gt;"",BG11-'Data input'!G11,"")</f>
        <v/>
      </c>
      <c r="BR11" s="19">
        <f>IF(H11&lt;&gt;"",BH11-'Data input'!H11,"")</f>
        <v>-18.282668871064171</v>
      </c>
      <c r="BS11" s="18">
        <f>IF(I11&lt;&gt;"",BI11-'Data input'!I11,"")</f>
        <v>-1.3122218682985673E-2</v>
      </c>
      <c r="BT11" s="18" t="str">
        <f>IF(J11&lt;&gt;"",BJ11-'Data input'!J11,"")</f>
        <v/>
      </c>
      <c r="BU11" s="18" t="str">
        <f>IF(K11&lt;&gt;"",BK11-'Data input'!K11,"")</f>
        <v/>
      </c>
      <c r="BV11" s="72" t="str">
        <f>IF(L11&lt;&gt;"",BL11-'Data input'!L11,"")</f>
        <v/>
      </c>
      <c r="BW11" s="121" t="str">
        <f t="shared" si="17"/>
        <v xml:space="preserve">Texas; 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0.99999999999999978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FT11" s="1" t="str">
        <f t="shared" si="18"/>
        <v/>
      </c>
      <c r="FU11" s="1" t="str">
        <f t="shared" si="6"/>
        <v/>
      </c>
      <c r="FV11" s="1" t="str">
        <f t="shared" si="6"/>
        <v/>
      </c>
      <c r="FW11" s="1" t="str">
        <f t="shared" si="6"/>
        <v/>
      </c>
      <c r="FX11" s="1" t="str">
        <f t="shared" si="6"/>
        <v/>
      </c>
      <c r="FY11" s="1" t="str">
        <f t="shared" si="6"/>
        <v/>
      </c>
      <c r="FZ11" s="1" t="str">
        <f t="shared" si="6"/>
        <v/>
      </c>
      <c r="GA11" s="1" t="str">
        <f t="shared" si="6"/>
        <v/>
      </c>
      <c r="GB11" s="1" t="str">
        <f t="shared" si="6"/>
        <v/>
      </c>
      <c r="GC11" s="1" t="str">
        <f t="shared" si="6"/>
        <v/>
      </c>
      <c r="GD11" s="1" t="str">
        <f t="shared" si="6"/>
        <v/>
      </c>
      <c r="GE11" s="1" t="str">
        <f t="shared" si="6"/>
        <v/>
      </c>
      <c r="GF11" s="1" t="str">
        <f t="shared" si="6"/>
        <v/>
      </c>
      <c r="GG11" s="1" t="str">
        <f t="shared" si="6"/>
        <v/>
      </c>
      <c r="GH11" s="1" t="str">
        <f t="shared" si="6"/>
        <v/>
      </c>
      <c r="GI11" s="1" t="str">
        <f t="shared" si="6"/>
        <v/>
      </c>
      <c r="GJ11" s="1" t="str">
        <f t="shared" si="6"/>
        <v/>
      </c>
      <c r="GK11" s="1" t="str">
        <f t="shared" si="7"/>
        <v/>
      </c>
      <c r="GL11" s="1" t="str">
        <f t="shared" si="7"/>
        <v/>
      </c>
      <c r="GM11" s="1" t="str">
        <f t="shared" si="7"/>
        <v/>
      </c>
      <c r="GN11" s="1" t="str">
        <f t="shared" si="7"/>
        <v/>
      </c>
      <c r="GO11" s="1" t="str">
        <f t="shared" si="7"/>
        <v/>
      </c>
      <c r="GP11" s="1" t="str">
        <f t="shared" si="7"/>
        <v/>
      </c>
      <c r="GQ11" s="1" t="str">
        <f t="shared" si="7"/>
        <v/>
      </c>
      <c r="GR11" s="1" t="str">
        <f t="shared" si="7"/>
        <v/>
      </c>
      <c r="GS11" s="1" t="str">
        <f t="shared" si="7"/>
        <v/>
      </c>
      <c r="GT11" s="1" t="str">
        <f t="shared" si="7"/>
        <v/>
      </c>
      <c r="GU11" s="1" t="str">
        <f t="shared" si="7"/>
        <v/>
      </c>
      <c r="GV11" s="1" t="str">
        <f t="shared" si="7"/>
        <v/>
      </c>
      <c r="GW11" s="1" t="str">
        <f t="shared" si="7"/>
        <v/>
      </c>
      <c r="GX11" s="1" t="str">
        <f t="shared" si="7"/>
        <v/>
      </c>
      <c r="GY11" s="1" t="str">
        <f t="shared" si="7"/>
        <v/>
      </c>
      <c r="GZ11" s="1" t="str">
        <f t="shared" si="7"/>
        <v/>
      </c>
      <c r="HA11" s="1" t="str">
        <f t="shared" si="8"/>
        <v/>
      </c>
      <c r="HB11" s="1" t="str">
        <f t="shared" si="8"/>
        <v/>
      </c>
      <c r="HC11" s="1" t="str">
        <f t="shared" si="8"/>
        <v/>
      </c>
      <c r="HD11" s="1" t="str">
        <f t="shared" si="8"/>
        <v/>
      </c>
      <c r="HE11" s="1" t="str">
        <f t="shared" si="8"/>
        <v/>
      </c>
      <c r="HF11" s="1" t="str">
        <f t="shared" si="8"/>
        <v/>
      </c>
      <c r="HG11" s="1" t="str">
        <f t="shared" si="8"/>
        <v/>
      </c>
      <c r="HH11" s="1" t="str">
        <f t="shared" si="8"/>
        <v/>
      </c>
      <c r="HI11" s="1" t="str">
        <f t="shared" si="8"/>
        <v/>
      </c>
      <c r="HJ11" s="1" t="str">
        <f t="shared" si="8"/>
        <v xml:space="preserve">Texas; </v>
      </c>
      <c r="HK11" s="1" t="str">
        <f t="shared" si="8"/>
        <v/>
      </c>
      <c r="HL11" s="1" t="str">
        <f t="shared" si="8"/>
        <v/>
      </c>
      <c r="HM11" s="1" t="str">
        <f t="shared" si="8"/>
        <v/>
      </c>
      <c r="HN11" s="1" t="str">
        <f t="shared" si="8"/>
        <v/>
      </c>
      <c r="HO11" s="1" t="str">
        <f t="shared" si="8"/>
        <v/>
      </c>
      <c r="HP11" s="1" t="str">
        <f t="shared" si="8"/>
        <v/>
      </c>
      <c r="HQ11" s="1" t="str">
        <f t="shared" si="9"/>
        <v/>
      </c>
      <c r="HR11" s="1" t="str">
        <f t="shared" si="9"/>
        <v/>
      </c>
      <c r="HS11" s="1" t="str">
        <f t="shared" si="9"/>
        <v/>
      </c>
      <c r="HT11" s="1" t="str">
        <f t="shared" si="9"/>
        <v/>
      </c>
      <c r="HU11" s="1" t="str">
        <f t="shared" si="9"/>
        <v/>
      </c>
      <c r="HV11" s="1" t="str">
        <f t="shared" si="9"/>
        <v/>
      </c>
      <c r="HW11" s="1" t="str">
        <f t="shared" si="9"/>
        <v/>
      </c>
      <c r="HX11" s="1" t="str">
        <f t="shared" si="9"/>
        <v/>
      </c>
      <c r="HY11" s="1" t="str">
        <f t="shared" si="9"/>
        <v/>
      </c>
      <c r="HZ11" s="1" t="str">
        <f t="shared" si="9"/>
        <v/>
      </c>
      <c r="IA11" s="1" t="str">
        <f t="shared" si="9"/>
        <v/>
      </c>
      <c r="IB11" s="1" t="str">
        <f t="shared" si="9"/>
        <v/>
      </c>
      <c r="IC11" s="1" t="str">
        <f t="shared" si="9"/>
        <v/>
      </c>
      <c r="ID11" s="1" t="str">
        <f t="shared" si="9"/>
        <v/>
      </c>
      <c r="IE11" s="1" t="str">
        <f t="shared" si="9"/>
        <v/>
      </c>
      <c r="IF11" s="1" t="str">
        <f t="shared" si="9"/>
        <v/>
      </c>
      <c r="IG11" s="1" t="str">
        <f t="shared" si="10"/>
        <v/>
      </c>
      <c r="IH11" s="1" t="str">
        <f t="shared" si="10"/>
        <v/>
      </c>
      <c r="II11" s="1" t="str">
        <f t="shared" si="10"/>
        <v/>
      </c>
      <c r="IJ11" s="1" t="str">
        <f t="shared" si="10"/>
        <v/>
      </c>
      <c r="IK11" s="1" t="str">
        <f t="shared" si="10"/>
        <v/>
      </c>
      <c r="IL11" s="1" t="str">
        <f t="shared" si="10"/>
        <v/>
      </c>
      <c r="IM11" s="1" t="str">
        <f t="shared" si="10"/>
        <v/>
      </c>
      <c r="IN11" s="1" t="str">
        <f t="shared" si="10"/>
        <v/>
      </c>
      <c r="IO11" s="1" t="str">
        <f t="shared" si="10"/>
        <v/>
      </c>
      <c r="IP11" s="1" t="str">
        <f t="shared" si="10"/>
        <v/>
      </c>
      <c r="IQ11" s="1" t="str">
        <f t="shared" si="10"/>
        <v/>
      </c>
      <c r="IR11" s="1" t="str">
        <f t="shared" si="10"/>
        <v/>
      </c>
      <c r="IS11" s="1" t="str">
        <f t="shared" si="10"/>
        <v/>
      </c>
      <c r="IT11" s="1" t="str">
        <f t="shared" si="10"/>
        <v/>
      </c>
      <c r="IU11" s="1" t="str">
        <f t="shared" si="10"/>
        <v/>
      </c>
      <c r="IV11" s="1" t="str">
        <f t="shared" si="10"/>
        <v/>
      </c>
      <c r="IW11" s="1" t="str">
        <f t="shared" si="11"/>
        <v/>
      </c>
      <c r="IX11" s="1" t="str">
        <f t="shared" si="11"/>
        <v/>
      </c>
      <c r="IY11" s="1" t="str">
        <f t="shared" si="11"/>
        <v/>
      </c>
      <c r="IZ11" s="1" t="str">
        <f t="shared" si="11"/>
        <v/>
      </c>
      <c r="JA11" s="1" t="str">
        <f t="shared" si="11"/>
        <v/>
      </c>
      <c r="JB11" s="1" t="str">
        <f t="shared" si="11"/>
        <v/>
      </c>
      <c r="JC11" s="1" t="str">
        <f t="shared" si="11"/>
        <v/>
      </c>
      <c r="JD11" s="1" t="str">
        <f t="shared" si="11"/>
        <v/>
      </c>
      <c r="JE11" s="1" t="str">
        <f t="shared" si="11"/>
        <v/>
      </c>
      <c r="JF11" s="1" t="str">
        <f t="shared" si="11"/>
        <v/>
      </c>
      <c r="JG11" s="1" t="str">
        <f t="shared" si="11"/>
        <v/>
      </c>
      <c r="JH11" s="1" t="str">
        <f t="shared" si="11"/>
        <v/>
      </c>
      <c r="JI11" s="1" t="str">
        <f t="shared" si="11"/>
        <v/>
      </c>
      <c r="JJ11" s="1" t="str">
        <f t="shared" si="11"/>
        <v/>
      </c>
      <c r="JK11" s="1" t="str">
        <f t="shared" si="11"/>
        <v/>
      </c>
      <c r="JL11" s="1" t="str">
        <f t="shared" si="11"/>
        <v/>
      </c>
      <c r="JM11" s="1" t="str">
        <f t="shared" si="12"/>
        <v/>
      </c>
      <c r="JN11" s="1" t="str">
        <f t="shared" si="12"/>
        <v/>
      </c>
      <c r="JO11" s="1" t="str">
        <f t="shared" si="12"/>
        <v/>
      </c>
    </row>
    <row r="12" spans="1:275" ht="14.5" x14ac:dyDescent="0.35">
      <c r="A12" s="59">
        <f>IF('Data input'!A12&lt;&gt;"",'Data input'!A12,"")</f>
        <v>10</v>
      </c>
      <c r="B12" s="60" t="str">
        <f>IF('Data input'!B12&lt;&gt;"",'Data input'!B12,"")</f>
        <v>Florida</v>
      </c>
      <c r="C12" s="19">
        <f>IF('Data input'!C12="","",4*('Data input'!C12-'Data input'!C$108)/('Data input'!C$109-'Data input'!C$108)+1)</f>
        <v>4.6152181450335998</v>
      </c>
      <c r="D12" s="19" t="str">
        <f>IF('Data input'!D12="","",4*('Data input'!D12-'Data input'!D$108)/('Data input'!D$109-'Data input'!D$108)+1)</f>
        <v/>
      </c>
      <c r="E12" s="19" t="str">
        <f>IF('Data input'!E12="","",4*('Data input'!E12-'Data input'!E$108)/('Data input'!E$109-'Data input'!E$108)+1)</f>
        <v/>
      </c>
      <c r="F12" s="19" t="str">
        <f>IF('Data input'!F12="","",4*('Data input'!F12-'Data input'!F$108)/('Data input'!F$109-'Data input'!F$108)+1)</f>
        <v/>
      </c>
      <c r="G12" s="19" t="str">
        <f>IF('Data input'!G12="","",4*('Data input'!G12-'Data input'!G$108)/('Data input'!G$109-'Data input'!G$108)+1)</f>
        <v/>
      </c>
      <c r="H12" s="61">
        <f>IF('Data input'!H12="","",4*('Data input'!H12-'Data input'!H$108)/('Data input'!H$109-'Data input'!H$108)+1)</f>
        <v>1.026933359673768</v>
      </c>
      <c r="I12" s="19">
        <f>IF('Data input'!I12="","",4*('Data input'!I12-'Data input'!I$108)/('Data input'!I$109-'Data input'!I$108)+1)</f>
        <v>2.3297131006555736</v>
      </c>
      <c r="J12" s="19" t="str">
        <f>IF('Data input'!J12="","",4*('Data input'!J12-'Data input'!J$108)/('Data input'!J$109-'Data input'!J$108)+1)</f>
        <v/>
      </c>
      <c r="K12" s="19" t="str">
        <f>IF('Data input'!K12="","",4*('Data input'!K12-'Data input'!K$108)/('Data input'!K$109-'Data input'!K$108)+1)</f>
        <v/>
      </c>
      <c r="L12" s="19" t="str">
        <f>IF('Data input'!L12="","",4*('Data input'!L12-'Data input'!L$108)/('Data input'!L$109-'Data input'!L$108)+1)</f>
        <v/>
      </c>
      <c r="M12" s="19">
        <f>IF('Data input'!M12="","",4*('Data input'!M12-'Data input'!M$108)/('Data input'!M$109-'Data input'!M$108)+1)</f>
        <v>1.9667458432304037</v>
      </c>
      <c r="N12" s="16" t="str">
        <f>IF('Data input'!N12="","",4*('Data input'!N12-'Data input'!N$108)/('Data input'!N$109-'Data input'!N$108)+1)</f>
        <v/>
      </c>
      <c r="O12" s="19" t="str">
        <f>IF('Data input'!O12="","",4*('Data input'!O12-'Data input'!O$108)/('Data input'!O$109-'Data input'!O$108)+1)</f>
        <v/>
      </c>
      <c r="P12" s="19" t="str">
        <f>IF('Data input'!P12="","",4*('Data input'!P12-'Data input'!P$108)/('Data input'!P$109-'Data input'!P$108)+1)</f>
        <v/>
      </c>
      <c r="Q12" s="19" t="str">
        <f>IF('Data input'!Q12="","",4*('Data input'!Q12-'Data input'!Q$108)/('Data input'!Q$109-'Data input'!Q$108)+1)</f>
        <v/>
      </c>
      <c r="R12" s="19" t="str">
        <f>IF('Data input'!R12="","",4*('Data input'!R12-'Data input'!R$108)/('Data input'!R$109-'Data input'!R$108)+1)</f>
        <v/>
      </c>
      <c r="S12" s="16" t="str">
        <f>IF('Data input'!S12="","",4*('Data input'!S12-'Data input'!S$108)/('Data input'!S$109-'Data input'!S$108)+1)</f>
        <v/>
      </c>
      <c r="T12" s="19" t="str">
        <f>IF('Data input'!T12="","",4*('Data input'!T12-'Data input'!T$108)/('Data input'!T$109-'Data input'!T$108)+1)</f>
        <v/>
      </c>
      <c r="U12" s="19" t="str">
        <f>IF('Data input'!U12="","",4*('Data input'!U12-'Data input'!U$108)/('Data input'!U$109-'Data input'!U$108)+1)</f>
        <v/>
      </c>
      <c r="V12" s="19" t="str">
        <f>IF('Data input'!V12="","",4*('Data input'!V12-'Data input'!V$108)/('Data input'!V$109-'Data input'!V$108)+1)</f>
        <v/>
      </c>
      <c r="W12" s="16" t="str">
        <f>IF('Data input'!W12="","",4*('Data input'!W12-'Data input'!W$108)/('Data input'!W$109-'Data input'!W$108)+1)</f>
        <v/>
      </c>
      <c r="X12" s="16" t="str">
        <f>IF('Data input'!X12="","",4*('Data input'!X12-'Data input'!X$108)/('Data input'!X$109-'Data input'!X$108)+1)</f>
        <v/>
      </c>
      <c r="Y12" s="16" t="str">
        <f>IF('Data input'!Y12="","",4*('Data input'!Y12-'Data input'!Y$108)/('Data input'!Y$109-'Data input'!Y$108)+1)</f>
        <v/>
      </c>
      <c r="Z12" s="16" t="str">
        <f>IF('Data input'!Z12="","",4*('Data input'!Z12-'Data input'!Z$108)/('Data input'!Z$109-'Data input'!Z$108)+1)</f>
        <v/>
      </c>
      <c r="AA12" s="62" t="str">
        <f>IF('Data input'!AA12="","",4*('Data input'!AA12-'Data input'!AA$108)/('Data input'!AA$109-'Data input'!AA$108)+1)</f>
        <v/>
      </c>
      <c r="AB12" s="78"/>
      <c r="AC12" s="79">
        <v>0</v>
      </c>
      <c r="AD12" s="80" t="e">
        <f t="shared" si="13"/>
        <v>#DIV/0!</v>
      </c>
      <c r="AE12" s="4"/>
      <c r="AF12" s="59">
        <f t="shared" si="14"/>
        <v>10</v>
      </c>
      <c r="AG12" s="60" t="str">
        <f t="shared" si="14"/>
        <v>Florida</v>
      </c>
      <c r="AH12">
        <v>0.19691370008482278</v>
      </c>
      <c r="AI12" t="s">
        <v>69</v>
      </c>
      <c r="AJ12" t="s">
        <v>69</v>
      </c>
      <c r="AK12" t="s">
        <v>69</v>
      </c>
      <c r="AL12" t="s">
        <v>69</v>
      </c>
      <c r="AM12">
        <v>2.6933359673767979E-2</v>
      </c>
      <c r="AN12">
        <v>0.22894831848859643</v>
      </c>
      <c r="AO12" t="s">
        <v>69</v>
      </c>
      <c r="AP12" t="s">
        <v>69</v>
      </c>
      <c r="AQ12" t="s">
        <v>69</v>
      </c>
      <c r="AR12">
        <v>0.85680194302542745</v>
      </c>
      <c r="AS12" s="71">
        <f t="shared" si="15"/>
        <v>4.8121318451184223</v>
      </c>
      <c r="AT12" s="71" t="str">
        <f t="shared" si="4"/>
        <v/>
      </c>
      <c r="AU12" s="71" t="str">
        <f t="shared" si="4"/>
        <v/>
      </c>
      <c r="AV12" s="71" t="str">
        <f t="shared" si="4"/>
        <v/>
      </c>
      <c r="AW12" s="71" t="str">
        <f t="shared" si="4"/>
        <v/>
      </c>
      <c r="AX12" s="71">
        <f t="shared" si="16"/>
        <v>1</v>
      </c>
      <c r="AY12" s="71">
        <f t="shared" si="5"/>
        <v>2.1007647821669773</v>
      </c>
      <c r="AZ12" s="71" t="str">
        <f t="shared" si="5"/>
        <v/>
      </c>
      <c r="BA12" s="71" t="str">
        <f t="shared" si="5"/>
        <v/>
      </c>
      <c r="BB12" s="71" t="str">
        <f t="shared" si="5"/>
        <v/>
      </c>
      <c r="BC12" s="18">
        <f>IF(C12&lt;&gt;"",(('Data input'!C$109-'Data input'!C$108)*(AS12-1)/4)+'Data input'!C$108,"")</f>
        <v>0.98947172015710183</v>
      </c>
      <c r="BD12" s="18" t="str">
        <f>IF(D12&lt;&gt;"",(('Data input'!D$109-'Data input'!D$108)*(AT12-1)/4)+'Data input'!D$108,"")</f>
        <v/>
      </c>
      <c r="BE12" s="18" t="str">
        <f>IF(E12&lt;&gt;"",(('Data input'!E$109-'Data input'!E$108)*(AU12-1)/4)+'Data input'!E$108,"")</f>
        <v/>
      </c>
      <c r="BF12" s="18" t="str">
        <f>IF(F12&lt;&gt;"",(('Data input'!F$109-'Data input'!F$108)*(AV12-1)/4)+'Data input'!F$108,"")</f>
        <v/>
      </c>
      <c r="BG12" s="18" t="str">
        <f>IF(G12&lt;&gt;"",(('Data input'!G$109-'Data input'!G$108)*(AW12-1)/4)+'Data input'!G$108,"")</f>
        <v/>
      </c>
      <c r="BH12" s="19">
        <f>IF(H12&lt;&gt;"",(('Data input'!H$109-'Data input'!H$108)*(AX12-1)/4)+'Data input'!H$108,"")</f>
        <v>0.29574268608402715</v>
      </c>
      <c r="BI12" s="18">
        <f>IF(I12&lt;&gt;"",(('Data input'!I$109-'Data input'!I$108)*(AY12-1)/4)+'Data input'!I$108,"")</f>
        <v>4.8332900144622999E-2</v>
      </c>
      <c r="BJ12" s="19" t="str">
        <f>IF(J12&lt;&gt;"",(('Data input'!J$109-'Data input'!J$108)*(AZ12-1)/4)+'Data input'!J$108,"")</f>
        <v/>
      </c>
      <c r="BK12" s="19" t="str">
        <f>IF(K12&lt;&gt;"",(('Data input'!K$109-'Data input'!K$108)*(BA12-1)/4)+'Data input'!K$108,"")</f>
        <v/>
      </c>
      <c r="BL12" s="19" t="str">
        <f>IF(L12&lt;&gt;"",(('Data input'!L$109-'Data input'!L$108)*(BB12-1)/4)+'Data input'!L$108,"")</f>
        <v/>
      </c>
      <c r="BM12" s="18">
        <f>IF(C12&lt;&gt;"",BC12-'Data input'!C12,"")</f>
        <v>7.1493789757782755E-3</v>
      </c>
      <c r="BN12" s="18" t="str">
        <f>IF(D12&lt;&gt;"",BD12-'Data input'!D12,"")</f>
        <v/>
      </c>
      <c r="BO12" s="18" t="str">
        <f>IF(E12&lt;&gt;"",BE12-'Data input'!E12,"")</f>
        <v/>
      </c>
      <c r="BP12" s="18" t="str">
        <f>IF(F12&lt;&gt;"",BF12-'Data input'!F12,"")</f>
        <v/>
      </c>
      <c r="BQ12" s="18" t="str">
        <f>IF(G12&lt;&gt;"",BG12-'Data input'!G12,"")</f>
        <v/>
      </c>
      <c r="BR12" s="19">
        <f>IF(H12&lt;&gt;"",BH12-'Data input'!H12,"")</f>
        <v>-0.58655015035741997</v>
      </c>
      <c r="BS12" s="18">
        <f>IF(I12&lt;&gt;"",BI12-'Data input'!I12,"")</f>
        <v>-1.0052770941676142E-2</v>
      </c>
      <c r="BT12" s="18" t="str">
        <f>IF(J12&lt;&gt;"",BJ12-'Data input'!J12,"")</f>
        <v/>
      </c>
      <c r="BU12" s="18" t="str">
        <f>IF(K12&lt;&gt;"",BK12-'Data input'!K12,"")</f>
        <v/>
      </c>
      <c r="BV12" s="72" t="str">
        <f>IF(L12&lt;&gt;"",BL12-'Data input'!L12,"")</f>
        <v/>
      </c>
      <c r="BW12" s="121" t="str">
        <f t="shared" si="17"/>
        <v xml:space="preserve">Texas; 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0.99999999999999423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FT12" s="1" t="str">
        <f t="shared" si="18"/>
        <v/>
      </c>
      <c r="FU12" s="1" t="str">
        <f t="shared" si="6"/>
        <v/>
      </c>
      <c r="FV12" s="1" t="str">
        <f t="shared" si="6"/>
        <v/>
      </c>
      <c r="FW12" s="1" t="str">
        <f t="shared" si="6"/>
        <v/>
      </c>
      <c r="FX12" s="1" t="str">
        <f t="shared" si="6"/>
        <v/>
      </c>
      <c r="FY12" s="1" t="str">
        <f t="shared" si="6"/>
        <v/>
      </c>
      <c r="FZ12" s="1" t="str">
        <f t="shared" si="6"/>
        <v/>
      </c>
      <c r="GA12" s="1" t="str">
        <f t="shared" si="6"/>
        <v/>
      </c>
      <c r="GB12" s="1" t="str">
        <f t="shared" si="6"/>
        <v/>
      </c>
      <c r="GC12" s="1" t="str">
        <f t="shared" si="6"/>
        <v/>
      </c>
      <c r="GD12" s="1" t="str">
        <f t="shared" si="6"/>
        <v/>
      </c>
      <c r="GE12" s="1" t="str">
        <f t="shared" si="6"/>
        <v/>
      </c>
      <c r="GF12" s="1" t="str">
        <f t="shared" si="6"/>
        <v/>
      </c>
      <c r="GG12" s="1" t="str">
        <f t="shared" si="6"/>
        <v/>
      </c>
      <c r="GH12" s="1" t="str">
        <f t="shared" si="6"/>
        <v/>
      </c>
      <c r="GI12" s="1" t="str">
        <f t="shared" si="6"/>
        <v/>
      </c>
      <c r="GJ12" s="1" t="str">
        <f t="shared" si="6"/>
        <v/>
      </c>
      <c r="GK12" s="1" t="str">
        <f t="shared" si="7"/>
        <v/>
      </c>
      <c r="GL12" s="1" t="str">
        <f t="shared" si="7"/>
        <v/>
      </c>
      <c r="GM12" s="1" t="str">
        <f t="shared" si="7"/>
        <v/>
      </c>
      <c r="GN12" s="1" t="str">
        <f t="shared" si="7"/>
        <v/>
      </c>
      <c r="GO12" s="1" t="str">
        <f t="shared" si="7"/>
        <v/>
      </c>
      <c r="GP12" s="1" t="str">
        <f t="shared" si="7"/>
        <v/>
      </c>
      <c r="GQ12" s="1" t="str">
        <f t="shared" si="7"/>
        <v/>
      </c>
      <c r="GR12" s="1" t="str">
        <f t="shared" si="7"/>
        <v/>
      </c>
      <c r="GS12" s="1" t="str">
        <f t="shared" si="7"/>
        <v/>
      </c>
      <c r="GT12" s="1" t="str">
        <f t="shared" si="7"/>
        <v/>
      </c>
      <c r="GU12" s="1" t="str">
        <f t="shared" si="7"/>
        <v/>
      </c>
      <c r="GV12" s="1" t="str">
        <f t="shared" si="7"/>
        <v/>
      </c>
      <c r="GW12" s="1" t="str">
        <f t="shared" si="7"/>
        <v/>
      </c>
      <c r="GX12" s="1" t="str">
        <f t="shared" si="7"/>
        <v/>
      </c>
      <c r="GY12" s="1" t="str">
        <f t="shared" si="7"/>
        <v/>
      </c>
      <c r="GZ12" s="1" t="str">
        <f t="shared" si="7"/>
        <v/>
      </c>
      <c r="HA12" s="1" t="str">
        <f t="shared" si="8"/>
        <v/>
      </c>
      <c r="HB12" s="1" t="str">
        <f t="shared" si="8"/>
        <v/>
      </c>
      <c r="HC12" s="1" t="str">
        <f t="shared" si="8"/>
        <v/>
      </c>
      <c r="HD12" s="1" t="str">
        <f t="shared" si="8"/>
        <v/>
      </c>
      <c r="HE12" s="1" t="str">
        <f t="shared" si="8"/>
        <v/>
      </c>
      <c r="HF12" s="1" t="str">
        <f t="shared" si="8"/>
        <v/>
      </c>
      <c r="HG12" s="1" t="str">
        <f t="shared" si="8"/>
        <v/>
      </c>
      <c r="HH12" s="1" t="str">
        <f t="shared" si="8"/>
        <v/>
      </c>
      <c r="HI12" s="1" t="str">
        <f t="shared" si="8"/>
        <v/>
      </c>
      <c r="HJ12" s="1" t="str">
        <f t="shared" si="8"/>
        <v xml:space="preserve">Texas; </v>
      </c>
      <c r="HK12" s="1" t="str">
        <f t="shared" si="8"/>
        <v/>
      </c>
      <c r="HL12" s="1" t="str">
        <f t="shared" si="8"/>
        <v/>
      </c>
      <c r="HM12" s="1" t="str">
        <f t="shared" si="8"/>
        <v/>
      </c>
      <c r="HN12" s="1" t="str">
        <f t="shared" si="8"/>
        <v/>
      </c>
      <c r="HO12" s="1" t="str">
        <f t="shared" si="8"/>
        <v/>
      </c>
      <c r="HP12" s="1" t="str">
        <f t="shared" si="8"/>
        <v/>
      </c>
      <c r="HQ12" s="1" t="str">
        <f t="shared" si="9"/>
        <v/>
      </c>
      <c r="HR12" s="1" t="str">
        <f t="shared" si="9"/>
        <v/>
      </c>
      <c r="HS12" s="1" t="str">
        <f t="shared" si="9"/>
        <v/>
      </c>
      <c r="HT12" s="1" t="str">
        <f t="shared" si="9"/>
        <v/>
      </c>
      <c r="HU12" s="1" t="str">
        <f t="shared" si="9"/>
        <v/>
      </c>
      <c r="HV12" s="1" t="str">
        <f t="shared" si="9"/>
        <v/>
      </c>
      <c r="HW12" s="1" t="str">
        <f t="shared" si="9"/>
        <v/>
      </c>
      <c r="HX12" s="1" t="str">
        <f t="shared" si="9"/>
        <v/>
      </c>
      <c r="HY12" s="1" t="str">
        <f t="shared" si="9"/>
        <v/>
      </c>
      <c r="HZ12" s="1" t="str">
        <f t="shared" si="9"/>
        <v/>
      </c>
      <c r="IA12" s="1" t="str">
        <f t="shared" si="9"/>
        <v/>
      </c>
      <c r="IB12" s="1" t="str">
        <f t="shared" si="9"/>
        <v/>
      </c>
      <c r="IC12" s="1" t="str">
        <f t="shared" si="9"/>
        <v/>
      </c>
      <c r="ID12" s="1" t="str">
        <f t="shared" si="9"/>
        <v/>
      </c>
      <c r="IE12" s="1" t="str">
        <f t="shared" si="9"/>
        <v/>
      </c>
      <c r="IF12" s="1" t="str">
        <f t="shared" si="9"/>
        <v/>
      </c>
      <c r="IG12" s="1" t="str">
        <f t="shared" si="10"/>
        <v/>
      </c>
      <c r="IH12" s="1" t="str">
        <f t="shared" si="10"/>
        <v/>
      </c>
      <c r="II12" s="1" t="str">
        <f t="shared" si="10"/>
        <v/>
      </c>
      <c r="IJ12" s="1" t="str">
        <f t="shared" si="10"/>
        <v/>
      </c>
      <c r="IK12" s="1" t="str">
        <f t="shared" si="10"/>
        <v/>
      </c>
      <c r="IL12" s="1" t="str">
        <f t="shared" si="10"/>
        <v/>
      </c>
      <c r="IM12" s="1" t="str">
        <f t="shared" si="10"/>
        <v/>
      </c>
      <c r="IN12" s="1" t="str">
        <f t="shared" si="10"/>
        <v/>
      </c>
      <c r="IO12" s="1" t="str">
        <f t="shared" si="10"/>
        <v/>
      </c>
      <c r="IP12" s="1" t="str">
        <f t="shared" si="10"/>
        <v/>
      </c>
      <c r="IQ12" s="1" t="str">
        <f t="shared" si="10"/>
        <v/>
      </c>
      <c r="IR12" s="1" t="str">
        <f t="shared" si="10"/>
        <v/>
      </c>
      <c r="IS12" s="1" t="str">
        <f t="shared" si="10"/>
        <v/>
      </c>
      <c r="IT12" s="1" t="str">
        <f t="shared" si="10"/>
        <v/>
      </c>
      <c r="IU12" s="1" t="str">
        <f t="shared" si="10"/>
        <v/>
      </c>
      <c r="IV12" s="1" t="str">
        <f t="shared" si="10"/>
        <v/>
      </c>
      <c r="IW12" s="1" t="str">
        <f t="shared" si="11"/>
        <v/>
      </c>
      <c r="IX12" s="1" t="str">
        <f t="shared" si="11"/>
        <v/>
      </c>
      <c r="IY12" s="1" t="str">
        <f t="shared" si="11"/>
        <v/>
      </c>
      <c r="IZ12" s="1" t="str">
        <f t="shared" si="11"/>
        <v/>
      </c>
      <c r="JA12" s="1" t="str">
        <f t="shared" si="11"/>
        <v/>
      </c>
      <c r="JB12" s="1" t="str">
        <f t="shared" si="11"/>
        <v/>
      </c>
      <c r="JC12" s="1" t="str">
        <f t="shared" si="11"/>
        <v/>
      </c>
      <c r="JD12" s="1" t="str">
        <f t="shared" si="11"/>
        <v/>
      </c>
      <c r="JE12" s="1" t="str">
        <f t="shared" si="11"/>
        <v/>
      </c>
      <c r="JF12" s="1" t="str">
        <f t="shared" si="11"/>
        <v/>
      </c>
      <c r="JG12" s="1" t="str">
        <f t="shared" si="11"/>
        <v/>
      </c>
      <c r="JH12" s="1" t="str">
        <f t="shared" si="11"/>
        <v/>
      </c>
      <c r="JI12" s="1" t="str">
        <f t="shared" si="11"/>
        <v/>
      </c>
      <c r="JJ12" s="1" t="str">
        <f t="shared" si="11"/>
        <v/>
      </c>
      <c r="JK12" s="1" t="str">
        <f t="shared" si="11"/>
        <v/>
      </c>
      <c r="JL12" s="1" t="str">
        <f t="shared" si="11"/>
        <v/>
      </c>
      <c r="JM12" s="1" t="str">
        <f t="shared" si="12"/>
        <v/>
      </c>
      <c r="JN12" s="1" t="str">
        <f t="shared" si="12"/>
        <v/>
      </c>
      <c r="JO12" s="1" t="str">
        <f t="shared" si="12"/>
        <v/>
      </c>
    </row>
    <row r="13" spans="1:275" ht="14.5" x14ac:dyDescent="0.35">
      <c r="A13" s="59">
        <f>IF('Data input'!A13&lt;&gt;"",'Data input'!A13,"")</f>
        <v>11</v>
      </c>
      <c r="B13" s="60" t="str">
        <f>IF('Data input'!B13&lt;&gt;"",'Data input'!B13,"")</f>
        <v>Georgia</v>
      </c>
      <c r="C13" s="19">
        <f>IF('Data input'!C13="","",4*('Data input'!C13-'Data input'!C$108)/('Data input'!C$109-'Data input'!C$108)+1)</f>
        <v>4.9419842989735852</v>
      </c>
      <c r="D13" s="19" t="str">
        <f>IF('Data input'!D13="","",4*('Data input'!D13-'Data input'!D$108)/('Data input'!D$109-'Data input'!D$108)+1)</f>
        <v/>
      </c>
      <c r="E13" s="19" t="str">
        <f>IF('Data input'!E13="","",4*('Data input'!E13-'Data input'!E$108)/('Data input'!E$109-'Data input'!E$108)+1)</f>
        <v/>
      </c>
      <c r="F13" s="19" t="str">
        <f>IF('Data input'!F13="","",4*('Data input'!F13-'Data input'!F$108)/('Data input'!F$109-'Data input'!F$108)+1)</f>
        <v/>
      </c>
      <c r="G13" s="19" t="str">
        <f>IF('Data input'!G13="","",4*('Data input'!G13-'Data input'!G$108)/('Data input'!G$109-'Data input'!G$108)+1)</f>
        <v/>
      </c>
      <c r="H13" s="61">
        <f>IF('Data input'!H13="","",4*('Data input'!H13-'Data input'!H$108)/('Data input'!H$109-'Data input'!H$108)+1)</f>
        <v>1.0499246162978573</v>
      </c>
      <c r="I13" s="19">
        <f>IF('Data input'!I13="","",4*('Data input'!I13-'Data input'!I$108)/('Data input'!I$109-'Data input'!I$108)+1)</f>
        <v>2.1013646646719697</v>
      </c>
      <c r="J13" s="19" t="str">
        <f>IF('Data input'!J13="","",4*('Data input'!J13-'Data input'!J$108)/('Data input'!J$109-'Data input'!J$108)+1)</f>
        <v/>
      </c>
      <c r="K13" s="19" t="str">
        <f>IF('Data input'!K13="","",4*('Data input'!K13-'Data input'!K$108)/('Data input'!K$109-'Data input'!K$108)+1)</f>
        <v/>
      </c>
      <c r="L13" s="19" t="str">
        <f>IF('Data input'!L13="","",4*('Data input'!L13-'Data input'!L$108)/('Data input'!L$109-'Data input'!L$108)+1)</f>
        <v/>
      </c>
      <c r="M13" s="19">
        <f>IF('Data input'!M13="","",4*('Data input'!M13-'Data input'!M$108)/('Data input'!M$109-'Data input'!M$108)+1)</f>
        <v>2.1983844651142137</v>
      </c>
      <c r="N13" s="16" t="str">
        <f>IF('Data input'!N13="","",4*('Data input'!N13-'Data input'!N$108)/('Data input'!N$109-'Data input'!N$108)+1)</f>
        <v/>
      </c>
      <c r="O13" s="19" t="str">
        <f>IF('Data input'!O13="","",4*('Data input'!O13-'Data input'!O$108)/('Data input'!O$109-'Data input'!O$108)+1)</f>
        <v/>
      </c>
      <c r="P13" s="19" t="str">
        <f>IF('Data input'!P13="","",4*('Data input'!P13-'Data input'!P$108)/('Data input'!P$109-'Data input'!P$108)+1)</f>
        <v/>
      </c>
      <c r="Q13" s="19" t="str">
        <f>IF('Data input'!Q13="","",4*('Data input'!Q13-'Data input'!Q$108)/('Data input'!Q$109-'Data input'!Q$108)+1)</f>
        <v/>
      </c>
      <c r="R13" s="19" t="str">
        <f>IF('Data input'!R13="","",4*('Data input'!R13-'Data input'!R$108)/('Data input'!R$109-'Data input'!R$108)+1)</f>
        <v/>
      </c>
      <c r="S13" s="16" t="str">
        <f>IF('Data input'!S13="","",4*('Data input'!S13-'Data input'!S$108)/('Data input'!S$109-'Data input'!S$108)+1)</f>
        <v/>
      </c>
      <c r="T13" s="19" t="str">
        <f>IF('Data input'!T13="","",4*('Data input'!T13-'Data input'!T$108)/('Data input'!T$109-'Data input'!T$108)+1)</f>
        <v/>
      </c>
      <c r="U13" s="19" t="str">
        <f>IF('Data input'!U13="","",4*('Data input'!U13-'Data input'!U$108)/('Data input'!U$109-'Data input'!U$108)+1)</f>
        <v/>
      </c>
      <c r="V13" s="19" t="str">
        <f>IF('Data input'!V13="","",4*('Data input'!V13-'Data input'!V$108)/('Data input'!V$109-'Data input'!V$108)+1)</f>
        <v/>
      </c>
      <c r="W13" s="16" t="str">
        <f>IF('Data input'!W13="","",4*('Data input'!W13-'Data input'!W$108)/('Data input'!W$109-'Data input'!W$108)+1)</f>
        <v/>
      </c>
      <c r="X13" s="16" t="str">
        <f>IF('Data input'!X13="","",4*('Data input'!X13-'Data input'!X$108)/('Data input'!X$109-'Data input'!X$108)+1)</f>
        <v/>
      </c>
      <c r="Y13" s="16" t="str">
        <f>IF('Data input'!Y13="","",4*('Data input'!Y13-'Data input'!Y$108)/('Data input'!Y$109-'Data input'!Y$108)+1)</f>
        <v/>
      </c>
      <c r="Z13" s="16" t="str">
        <f>IF('Data input'!Z13="","",4*('Data input'!Z13-'Data input'!Z$108)/('Data input'!Z$109-'Data input'!Z$108)+1)</f>
        <v/>
      </c>
      <c r="AA13" s="62" t="str">
        <f>IF('Data input'!AA13="","",4*('Data input'!AA13-'Data input'!AA$108)/('Data input'!AA$109-'Data input'!AA$108)+1)</f>
        <v/>
      </c>
      <c r="AB13" s="78"/>
      <c r="AC13" s="79">
        <v>0</v>
      </c>
      <c r="AD13" s="80" t="e">
        <f t="shared" si="13"/>
        <v>#DIV/0!</v>
      </c>
      <c r="AE13" s="4"/>
      <c r="AF13" s="59">
        <f t="shared" si="14"/>
        <v>11</v>
      </c>
      <c r="AG13" s="60" t="str">
        <f t="shared" si="14"/>
        <v>Georgia</v>
      </c>
      <c r="AH13">
        <v>0</v>
      </c>
      <c r="AI13" t="s">
        <v>69</v>
      </c>
      <c r="AJ13" t="s">
        <v>69</v>
      </c>
      <c r="AK13" t="s">
        <v>69</v>
      </c>
      <c r="AL13" t="s">
        <v>69</v>
      </c>
      <c r="AM13">
        <v>-4.863961886332128E-15</v>
      </c>
      <c r="AN13">
        <v>8.410566797571363E-2</v>
      </c>
      <c r="AO13" t="s">
        <v>69</v>
      </c>
      <c r="AP13" t="s">
        <v>69</v>
      </c>
      <c r="AQ13" t="s">
        <v>69</v>
      </c>
      <c r="AR13">
        <v>0.96476325487848413</v>
      </c>
      <c r="AS13" s="71">
        <f t="shared" si="15"/>
        <v>4.9419842989735852</v>
      </c>
      <c r="AT13" s="71" t="str">
        <f t="shared" si="4"/>
        <v/>
      </c>
      <c r="AU13" s="71" t="str">
        <f t="shared" si="4"/>
        <v/>
      </c>
      <c r="AV13" s="71" t="str">
        <f t="shared" si="4"/>
        <v/>
      </c>
      <c r="AW13" s="71" t="str">
        <f t="shared" si="4"/>
        <v/>
      </c>
      <c r="AX13" s="71">
        <f t="shared" si="16"/>
        <v>1.0499246162978622</v>
      </c>
      <c r="AY13" s="71">
        <f t="shared" si="5"/>
        <v>2.0172589966962562</v>
      </c>
      <c r="AZ13" s="71" t="str">
        <f t="shared" si="5"/>
        <v/>
      </c>
      <c r="BA13" s="71" t="str">
        <f t="shared" si="5"/>
        <v/>
      </c>
      <c r="BB13" s="71" t="str">
        <f t="shared" si="5"/>
        <v/>
      </c>
      <c r="BC13" s="18">
        <f>IF(C13&lt;&gt;"",(('Data input'!C$109-'Data input'!C$108)*(AS13-1)/4)+'Data input'!C$108,"")</f>
        <v>0.99418629513662549</v>
      </c>
      <c r="BD13" s="18" t="str">
        <f>IF(D13&lt;&gt;"",(('Data input'!D$109-'Data input'!D$108)*(AT13-1)/4)+'Data input'!D$108,"")</f>
        <v/>
      </c>
      <c r="BE13" s="18" t="str">
        <f>IF(E13&lt;&gt;"",(('Data input'!E$109-'Data input'!E$108)*(AU13-1)/4)+'Data input'!E$108,"")</f>
        <v/>
      </c>
      <c r="BF13" s="18" t="str">
        <f>IF(F13&lt;&gt;"",(('Data input'!F$109-'Data input'!F$108)*(AV13-1)/4)+'Data input'!F$108,"")</f>
        <v/>
      </c>
      <c r="BG13" s="18" t="str">
        <f>IF(G13&lt;&gt;"",(('Data input'!G$109-'Data input'!G$108)*(AW13-1)/4)+'Data input'!G$108,"")</f>
        <v/>
      </c>
      <c r="BH13" s="19">
        <f>IF(H13&lt;&gt;"",(('Data input'!H$109-'Data input'!H$108)*(AX13-1)/4)+'Data input'!H$108,"")</f>
        <v>1.3829925335127671</v>
      </c>
      <c r="BI13" s="18">
        <f>IF(I13&lt;&gt;"",(('Data input'!I$109-'Data input'!I$108)*(AY13-1)/4)+'Data input'!I$108,"")</f>
        <v>4.4666288661369319E-2</v>
      </c>
      <c r="BJ13" s="19" t="str">
        <f>IF(J13&lt;&gt;"",(('Data input'!J$109-'Data input'!J$108)*(AZ13-1)/4)+'Data input'!J$108,"")</f>
        <v/>
      </c>
      <c r="BK13" s="19" t="str">
        <f>IF(K13&lt;&gt;"",(('Data input'!K$109-'Data input'!K$108)*(BA13-1)/4)+'Data input'!K$108,"")</f>
        <v/>
      </c>
      <c r="BL13" s="19" t="str">
        <f>IF(L13&lt;&gt;"",(('Data input'!L$109-'Data input'!L$108)*(BB13-1)/4)+'Data input'!L$108,"")</f>
        <v/>
      </c>
      <c r="BM13" s="18">
        <f>IF(C13&lt;&gt;"",BC13-'Data input'!C13,"")</f>
        <v>0</v>
      </c>
      <c r="BN13" s="18" t="str">
        <f>IF(D13&lt;&gt;"",BD13-'Data input'!D13,"")</f>
        <v/>
      </c>
      <c r="BO13" s="18" t="str">
        <f>IF(E13&lt;&gt;"",BE13-'Data input'!E13,"")</f>
        <v/>
      </c>
      <c r="BP13" s="18" t="str">
        <f>IF(F13&lt;&gt;"",BF13-'Data input'!F13,"")</f>
        <v/>
      </c>
      <c r="BQ13" s="18" t="str">
        <f>IF(G13&lt;&gt;"",BG13-'Data input'!G13,"")</f>
        <v/>
      </c>
      <c r="BR13" s="19">
        <f>IF(H13&lt;&gt;"",BH13-'Data input'!H13,"")</f>
        <v>1.0480505352461478E-13</v>
      </c>
      <c r="BS13" s="18">
        <f>IF(I13&lt;&gt;"",BI13-'Data input'!I13,"")</f>
        <v>-3.6929514077153128E-3</v>
      </c>
      <c r="BT13" s="18" t="str">
        <f>IF(J13&lt;&gt;"",BJ13-'Data input'!J13,"")</f>
        <v/>
      </c>
      <c r="BU13" s="18" t="str">
        <f>IF(K13&lt;&gt;"",BK13-'Data input'!K13,"")</f>
        <v/>
      </c>
      <c r="BV13" s="72" t="str">
        <f>IF(L13&lt;&gt;"",BL13-'Data input'!L13,"")</f>
        <v/>
      </c>
      <c r="BW13" s="121" t="str">
        <f t="shared" si="17"/>
        <v xml:space="preserve">Texas; Utah; 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0.31730059832498769</v>
      </c>
      <c r="DO13" s="1">
        <v>0.6826994016750122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FT13" s="1" t="str">
        <f t="shared" si="18"/>
        <v/>
      </c>
      <c r="FU13" s="1" t="str">
        <f t="shared" si="6"/>
        <v/>
      </c>
      <c r="FV13" s="1" t="str">
        <f t="shared" si="6"/>
        <v/>
      </c>
      <c r="FW13" s="1" t="str">
        <f t="shared" si="6"/>
        <v/>
      </c>
      <c r="FX13" s="1" t="str">
        <f t="shared" si="6"/>
        <v/>
      </c>
      <c r="FY13" s="1" t="str">
        <f t="shared" si="6"/>
        <v/>
      </c>
      <c r="FZ13" s="1" t="str">
        <f t="shared" si="6"/>
        <v/>
      </c>
      <c r="GA13" s="1" t="str">
        <f t="shared" si="6"/>
        <v/>
      </c>
      <c r="GB13" s="1" t="str">
        <f t="shared" si="6"/>
        <v/>
      </c>
      <c r="GC13" s="1" t="str">
        <f t="shared" si="6"/>
        <v/>
      </c>
      <c r="GD13" s="1" t="str">
        <f t="shared" si="6"/>
        <v/>
      </c>
      <c r="GE13" s="1" t="str">
        <f t="shared" si="6"/>
        <v/>
      </c>
      <c r="GF13" s="1" t="str">
        <f t="shared" si="6"/>
        <v/>
      </c>
      <c r="GG13" s="1" t="str">
        <f t="shared" si="6"/>
        <v/>
      </c>
      <c r="GH13" s="1" t="str">
        <f t="shared" si="6"/>
        <v/>
      </c>
      <c r="GI13" s="1" t="str">
        <f t="shared" si="6"/>
        <v/>
      </c>
      <c r="GJ13" s="1" t="str">
        <f t="shared" si="6"/>
        <v/>
      </c>
      <c r="GK13" s="1" t="str">
        <f t="shared" si="7"/>
        <v/>
      </c>
      <c r="GL13" s="1" t="str">
        <f t="shared" si="7"/>
        <v/>
      </c>
      <c r="GM13" s="1" t="str">
        <f t="shared" si="7"/>
        <v/>
      </c>
      <c r="GN13" s="1" t="str">
        <f t="shared" si="7"/>
        <v/>
      </c>
      <c r="GO13" s="1" t="str">
        <f t="shared" si="7"/>
        <v/>
      </c>
      <c r="GP13" s="1" t="str">
        <f t="shared" si="7"/>
        <v/>
      </c>
      <c r="GQ13" s="1" t="str">
        <f t="shared" si="7"/>
        <v/>
      </c>
      <c r="GR13" s="1" t="str">
        <f t="shared" si="7"/>
        <v/>
      </c>
      <c r="GS13" s="1" t="str">
        <f t="shared" si="7"/>
        <v/>
      </c>
      <c r="GT13" s="1" t="str">
        <f t="shared" si="7"/>
        <v/>
      </c>
      <c r="GU13" s="1" t="str">
        <f t="shared" si="7"/>
        <v/>
      </c>
      <c r="GV13" s="1" t="str">
        <f t="shared" si="7"/>
        <v/>
      </c>
      <c r="GW13" s="1" t="str">
        <f t="shared" si="7"/>
        <v/>
      </c>
      <c r="GX13" s="1" t="str">
        <f t="shared" si="7"/>
        <v/>
      </c>
      <c r="GY13" s="1" t="str">
        <f t="shared" si="7"/>
        <v/>
      </c>
      <c r="GZ13" s="1" t="str">
        <f t="shared" si="7"/>
        <v/>
      </c>
      <c r="HA13" s="1" t="str">
        <f t="shared" si="8"/>
        <v/>
      </c>
      <c r="HB13" s="1" t="str">
        <f t="shared" si="8"/>
        <v/>
      </c>
      <c r="HC13" s="1" t="str">
        <f t="shared" si="8"/>
        <v/>
      </c>
      <c r="HD13" s="1" t="str">
        <f t="shared" si="8"/>
        <v/>
      </c>
      <c r="HE13" s="1" t="str">
        <f t="shared" si="8"/>
        <v/>
      </c>
      <c r="HF13" s="1" t="str">
        <f t="shared" si="8"/>
        <v/>
      </c>
      <c r="HG13" s="1" t="str">
        <f t="shared" si="8"/>
        <v/>
      </c>
      <c r="HH13" s="1" t="str">
        <f t="shared" si="8"/>
        <v/>
      </c>
      <c r="HI13" s="1" t="str">
        <f t="shared" si="8"/>
        <v/>
      </c>
      <c r="HJ13" s="1" t="str">
        <f t="shared" si="8"/>
        <v xml:space="preserve">Texas; </v>
      </c>
      <c r="HK13" s="1" t="str">
        <f t="shared" si="8"/>
        <v xml:space="preserve">Utah; </v>
      </c>
      <c r="HL13" s="1" t="str">
        <f t="shared" si="8"/>
        <v/>
      </c>
      <c r="HM13" s="1" t="str">
        <f t="shared" si="8"/>
        <v/>
      </c>
      <c r="HN13" s="1" t="str">
        <f t="shared" si="8"/>
        <v/>
      </c>
      <c r="HO13" s="1" t="str">
        <f t="shared" si="8"/>
        <v/>
      </c>
      <c r="HP13" s="1" t="str">
        <f t="shared" si="8"/>
        <v/>
      </c>
      <c r="HQ13" s="1" t="str">
        <f t="shared" si="9"/>
        <v/>
      </c>
      <c r="HR13" s="1" t="str">
        <f t="shared" si="9"/>
        <v/>
      </c>
      <c r="HS13" s="1" t="str">
        <f t="shared" si="9"/>
        <v/>
      </c>
      <c r="HT13" s="1" t="str">
        <f t="shared" si="9"/>
        <v/>
      </c>
      <c r="HU13" s="1" t="str">
        <f t="shared" si="9"/>
        <v/>
      </c>
      <c r="HV13" s="1" t="str">
        <f t="shared" si="9"/>
        <v/>
      </c>
      <c r="HW13" s="1" t="str">
        <f t="shared" si="9"/>
        <v/>
      </c>
      <c r="HX13" s="1" t="str">
        <f t="shared" si="9"/>
        <v/>
      </c>
      <c r="HY13" s="1" t="str">
        <f t="shared" si="9"/>
        <v/>
      </c>
      <c r="HZ13" s="1" t="str">
        <f t="shared" si="9"/>
        <v/>
      </c>
      <c r="IA13" s="1" t="str">
        <f t="shared" si="9"/>
        <v/>
      </c>
      <c r="IB13" s="1" t="str">
        <f t="shared" si="9"/>
        <v/>
      </c>
      <c r="IC13" s="1" t="str">
        <f t="shared" si="9"/>
        <v/>
      </c>
      <c r="ID13" s="1" t="str">
        <f t="shared" si="9"/>
        <v/>
      </c>
      <c r="IE13" s="1" t="str">
        <f t="shared" si="9"/>
        <v/>
      </c>
      <c r="IF13" s="1" t="str">
        <f t="shared" si="9"/>
        <v/>
      </c>
      <c r="IG13" s="1" t="str">
        <f t="shared" si="10"/>
        <v/>
      </c>
      <c r="IH13" s="1" t="str">
        <f t="shared" si="10"/>
        <v/>
      </c>
      <c r="II13" s="1" t="str">
        <f t="shared" si="10"/>
        <v/>
      </c>
      <c r="IJ13" s="1" t="str">
        <f t="shared" si="10"/>
        <v/>
      </c>
      <c r="IK13" s="1" t="str">
        <f t="shared" si="10"/>
        <v/>
      </c>
      <c r="IL13" s="1" t="str">
        <f t="shared" si="10"/>
        <v/>
      </c>
      <c r="IM13" s="1" t="str">
        <f t="shared" si="10"/>
        <v/>
      </c>
      <c r="IN13" s="1" t="str">
        <f t="shared" si="10"/>
        <v/>
      </c>
      <c r="IO13" s="1" t="str">
        <f t="shared" si="10"/>
        <v/>
      </c>
      <c r="IP13" s="1" t="str">
        <f t="shared" si="10"/>
        <v/>
      </c>
      <c r="IQ13" s="1" t="str">
        <f t="shared" si="10"/>
        <v/>
      </c>
      <c r="IR13" s="1" t="str">
        <f t="shared" si="10"/>
        <v/>
      </c>
      <c r="IS13" s="1" t="str">
        <f t="shared" si="10"/>
        <v/>
      </c>
      <c r="IT13" s="1" t="str">
        <f t="shared" si="10"/>
        <v/>
      </c>
      <c r="IU13" s="1" t="str">
        <f t="shared" si="10"/>
        <v/>
      </c>
      <c r="IV13" s="1" t="str">
        <f t="shared" si="10"/>
        <v/>
      </c>
      <c r="IW13" s="1" t="str">
        <f t="shared" si="11"/>
        <v/>
      </c>
      <c r="IX13" s="1" t="str">
        <f t="shared" si="11"/>
        <v/>
      </c>
      <c r="IY13" s="1" t="str">
        <f t="shared" si="11"/>
        <v/>
      </c>
      <c r="IZ13" s="1" t="str">
        <f t="shared" si="11"/>
        <v/>
      </c>
      <c r="JA13" s="1" t="str">
        <f t="shared" si="11"/>
        <v/>
      </c>
      <c r="JB13" s="1" t="str">
        <f t="shared" si="11"/>
        <v/>
      </c>
      <c r="JC13" s="1" t="str">
        <f t="shared" si="11"/>
        <v/>
      </c>
      <c r="JD13" s="1" t="str">
        <f t="shared" si="11"/>
        <v/>
      </c>
      <c r="JE13" s="1" t="str">
        <f t="shared" si="11"/>
        <v/>
      </c>
      <c r="JF13" s="1" t="str">
        <f t="shared" si="11"/>
        <v/>
      </c>
      <c r="JG13" s="1" t="str">
        <f t="shared" si="11"/>
        <v/>
      </c>
      <c r="JH13" s="1" t="str">
        <f t="shared" si="11"/>
        <v/>
      </c>
      <c r="JI13" s="1" t="str">
        <f t="shared" si="11"/>
        <v/>
      </c>
      <c r="JJ13" s="1" t="str">
        <f t="shared" si="11"/>
        <v/>
      </c>
      <c r="JK13" s="1" t="str">
        <f t="shared" si="11"/>
        <v/>
      </c>
      <c r="JL13" s="1" t="str">
        <f t="shared" si="11"/>
        <v/>
      </c>
      <c r="JM13" s="1" t="str">
        <f t="shared" si="12"/>
        <v/>
      </c>
      <c r="JN13" s="1" t="str">
        <f t="shared" si="12"/>
        <v/>
      </c>
      <c r="JO13" s="1" t="str">
        <f t="shared" si="12"/>
        <v/>
      </c>
    </row>
    <row r="14" spans="1:275" ht="14.5" x14ac:dyDescent="0.35">
      <c r="A14" s="59">
        <f>IF('Data input'!A14&lt;&gt;"",'Data input'!A14,"")</f>
        <v>12</v>
      </c>
      <c r="B14" s="60" t="str">
        <f>IF('Data input'!B14&lt;&gt;"",'Data input'!B14,"")</f>
        <v>Hawaii</v>
      </c>
      <c r="C14" s="19">
        <f>IF('Data input'!C14="","",4*('Data input'!C14-'Data input'!C$108)/('Data input'!C$109-'Data input'!C$108)+1)</f>
        <v>4.4766986984894128</v>
      </c>
      <c r="D14" s="19" t="str">
        <f>IF('Data input'!D14="","",4*('Data input'!D14-'Data input'!D$108)/('Data input'!D$109-'Data input'!D$108)+1)</f>
        <v/>
      </c>
      <c r="E14" s="19" t="str">
        <f>IF('Data input'!E14="","",4*('Data input'!E14-'Data input'!E$108)/('Data input'!E$109-'Data input'!E$108)+1)</f>
        <v/>
      </c>
      <c r="F14" s="19" t="str">
        <f>IF('Data input'!F14="","",4*('Data input'!F14-'Data input'!F$108)/('Data input'!F$109-'Data input'!F$108)+1)</f>
        <v/>
      </c>
      <c r="G14" s="19" t="str">
        <f>IF('Data input'!G14="","",4*('Data input'!G14-'Data input'!G$108)/('Data input'!G$109-'Data input'!G$108)+1)</f>
        <v/>
      </c>
      <c r="H14" s="61">
        <f>IF('Data input'!H14="","",4*('Data input'!H14-'Data input'!H$108)/('Data input'!H$109-'Data input'!H$108)+1)</f>
        <v>1.3340970950036934</v>
      </c>
      <c r="I14" s="19">
        <f>IF('Data input'!I14="","",4*('Data input'!I14-'Data input'!I$108)/('Data input'!I$109-'Data input'!I$108)+1)</f>
        <v>2.6076222038111019</v>
      </c>
      <c r="J14" s="19" t="str">
        <f>IF('Data input'!J14="","",4*('Data input'!J14-'Data input'!J$108)/('Data input'!J$109-'Data input'!J$108)+1)</f>
        <v/>
      </c>
      <c r="K14" s="19" t="str">
        <f>IF('Data input'!K14="","",4*('Data input'!K14-'Data input'!K$108)/('Data input'!K$109-'Data input'!K$108)+1)</f>
        <v/>
      </c>
      <c r="L14" s="19" t="str">
        <f>IF('Data input'!L14="","",4*('Data input'!L14-'Data input'!L$108)/('Data input'!L$109-'Data input'!L$108)+1)</f>
        <v/>
      </c>
      <c r="M14" s="19">
        <f>IF('Data input'!M14="","",4*('Data input'!M14-'Data input'!M$108)/('Data input'!M$109-'Data input'!M$108)+1)</f>
        <v>2.4569181447525179</v>
      </c>
      <c r="N14" s="16" t="str">
        <f>IF('Data input'!N14="","",4*('Data input'!N14-'Data input'!N$108)/('Data input'!N$109-'Data input'!N$108)+1)</f>
        <v/>
      </c>
      <c r="O14" s="19" t="str">
        <f>IF('Data input'!O14="","",4*('Data input'!O14-'Data input'!O$108)/('Data input'!O$109-'Data input'!O$108)+1)</f>
        <v/>
      </c>
      <c r="P14" s="19" t="str">
        <f>IF('Data input'!P14="","",4*('Data input'!P14-'Data input'!P$108)/('Data input'!P$109-'Data input'!P$108)+1)</f>
        <v/>
      </c>
      <c r="Q14" s="19" t="str">
        <f>IF('Data input'!Q14="","",4*('Data input'!Q14-'Data input'!Q$108)/('Data input'!Q$109-'Data input'!Q$108)+1)</f>
        <v/>
      </c>
      <c r="R14" s="19" t="str">
        <f>IF('Data input'!R14="","",4*('Data input'!R14-'Data input'!R$108)/('Data input'!R$109-'Data input'!R$108)+1)</f>
        <v/>
      </c>
      <c r="S14" s="16" t="str">
        <f>IF('Data input'!S14="","",4*('Data input'!S14-'Data input'!S$108)/('Data input'!S$109-'Data input'!S$108)+1)</f>
        <v/>
      </c>
      <c r="T14" s="19" t="str">
        <f>IF('Data input'!T14="","",4*('Data input'!T14-'Data input'!T$108)/('Data input'!T$109-'Data input'!T$108)+1)</f>
        <v/>
      </c>
      <c r="U14" s="19" t="str">
        <f>IF('Data input'!U14="","",4*('Data input'!U14-'Data input'!U$108)/('Data input'!U$109-'Data input'!U$108)+1)</f>
        <v/>
      </c>
      <c r="V14" s="19" t="str">
        <f>IF('Data input'!V14="","",4*('Data input'!V14-'Data input'!V$108)/('Data input'!V$109-'Data input'!V$108)+1)</f>
        <v/>
      </c>
      <c r="W14" s="16" t="str">
        <f>IF('Data input'!W14="","",4*('Data input'!W14-'Data input'!W$108)/('Data input'!W$109-'Data input'!W$108)+1)</f>
        <v/>
      </c>
      <c r="X14" s="16" t="str">
        <f>IF('Data input'!X14="","",4*('Data input'!X14-'Data input'!X$108)/('Data input'!X$109-'Data input'!X$108)+1)</f>
        <v/>
      </c>
      <c r="Y14" s="16" t="str">
        <f>IF('Data input'!Y14="","",4*('Data input'!Y14-'Data input'!Y$108)/('Data input'!Y$109-'Data input'!Y$108)+1)</f>
        <v/>
      </c>
      <c r="Z14" s="16" t="str">
        <f>IF('Data input'!Z14="","",4*('Data input'!Z14-'Data input'!Z$108)/('Data input'!Z$109-'Data input'!Z$108)+1)</f>
        <v/>
      </c>
      <c r="AA14" s="62" t="str">
        <f>IF('Data input'!AA14="","",4*('Data input'!AA14-'Data input'!AA$108)/('Data input'!AA$109-'Data input'!AA$108)+1)</f>
        <v/>
      </c>
      <c r="AB14" s="78"/>
      <c r="AC14" s="79">
        <v>0</v>
      </c>
      <c r="AD14" s="80" t="e">
        <f t="shared" si="13"/>
        <v>#DIV/0!</v>
      </c>
      <c r="AE14" s="4"/>
      <c r="AF14" s="59">
        <f t="shared" si="14"/>
        <v>12</v>
      </c>
      <c r="AG14" s="60" t="str">
        <f t="shared" si="14"/>
        <v>Hawaii</v>
      </c>
      <c r="AH14">
        <v>0.33198511663783919</v>
      </c>
      <c r="AI14" t="s">
        <v>69</v>
      </c>
      <c r="AJ14" t="s">
        <v>69</v>
      </c>
      <c r="AK14" t="s">
        <v>69</v>
      </c>
      <c r="AL14" t="s">
        <v>69</v>
      </c>
      <c r="AM14">
        <v>0.33409709500369345</v>
      </c>
      <c r="AN14">
        <v>0.27775857531986559</v>
      </c>
      <c r="AO14" t="s">
        <v>69</v>
      </c>
      <c r="AP14" t="s">
        <v>69</v>
      </c>
      <c r="AQ14" t="s">
        <v>69</v>
      </c>
      <c r="AR14">
        <v>0.71259804942330285</v>
      </c>
      <c r="AS14" s="71">
        <f t="shared" si="15"/>
        <v>4.8086838151272522</v>
      </c>
      <c r="AT14" s="71" t="str">
        <f t="shared" si="4"/>
        <v/>
      </c>
      <c r="AU14" s="71" t="str">
        <f t="shared" si="4"/>
        <v/>
      </c>
      <c r="AV14" s="71" t="str">
        <f t="shared" si="4"/>
        <v/>
      </c>
      <c r="AW14" s="71" t="str">
        <f t="shared" si="4"/>
        <v/>
      </c>
      <c r="AX14" s="71">
        <f t="shared" si="16"/>
        <v>1</v>
      </c>
      <c r="AY14" s="71">
        <f t="shared" si="5"/>
        <v>2.3298636284912364</v>
      </c>
      <c r="AZ14" s="71" t="str">
        <f t="shared" si="5"/>
        <v/>
      </c>
      <c r="BA14" s="71" t="str">
        <f t="shared" si="5"/>
        <v/>
      </c>
      <c r="BB14" s="71" t="str">
        <f t="shared" si="5"/>
        <v/>
      </c>
      <c r="BC14" s="18">
        <f>IF(C14&lt;&gt;"",(('Data input'!C$109-'Data input'!C$108)*(AS14-1)/4)+'Data input'!C$108,"")</f>
        <v>0.98934653194969879</v>
      </c>
      <c r="BD14" s="18" t="str">
        <f>IF(D14&lt;&gt;"",(('Data input'!D$109-'Data input'!D$108)*(AT14-1)/4)+'Data input'!D$108,"")</f>
        <v/>
      </c>
      <c r="BE14" s="18" t="str">
        <f>IF(E14&lt;&gt;"",(('Data input'!E$109-'Data input'!E$108)*(AU14-1)/4)+'Data input'!E$108,"")</f>
        <v/>
      </c>
      <c r="BF14" s="18" t="str">
        <f>IF(F14&lt;&gt;"",(('Data input'!F$109-'Data input'!F$108)*(AV14-1)/4)+'Data input'!F$108,"")</f>
        <v/>
      </c>
      <c r="BG14" s="18" t="str">
        <f>IF(G14&lt;&gt;"",(('Data input'!G$109-'Data input'!G$108)*(AW14-1)/4)+'Data input'!G$108,"")</f>
        <v/>
      </c>
      <c r="BH14" s="19">
        <f>IF(H14&lt;&gt;"",(('Data input'!H$109-'Data input'!H$108)*(AX14-1)/4)+'Data input'!H$108,"")</f>
        <v>0.29574268608402715</v>
      </c>
      <c r="BI14" s="18">
        <f>IF(I14&lt;&gt;"",(('Data input'!I$109-'Data input'!I$108)*(AY14-1)/4)+'Data input'!I$108,"")</f>
        <v>5.8392280533628813E-2</v>
      </c>
      <c r="BJ14" s="19" t="str">
        <f>IF(J14&lt;&gt;"",(('Data input'!J$109-'Data input'!J$108)*(AZ14-1)/4)+'Data input'!J$108,"")</f>
        <v/>
      </c>
      <c r="BK14" s="19" t="str">
        <f>IF(K14&lt;&gt;"",(('Data input'!K$109-'Data input'!K$108)*(BA14-1)/4)+'Data input'!K$108,"")</f>
        <v/>
      </c>
      <c r="BL14" s="19" t="str">
        <f>IF(L14&lt;&gt;"",(('Data input'!L$109-'Data input'!L$108)*(BB14-1)/4)+'Data input'!L$108,"")</f>
        <v/>
      </c>
      <c r="BM14" s="18">
        <f>IF(C14&lt;&gt;"",BC14-'Data input'!C14,"")</f>
        <v>1.2053439715669745E-2</v>
      </c>
      <c r="BN14" s="18" t="str">
        <f>IF(D14&lt;&gt;"",BD14-'Data input'!D14,"")</f>
        <v/>
      </c>
      <c r="BO14" s="18" t="str">
        <f>IF(E14&lt;&gt;"",BE14-'Data input'!E14,"")</f>
        <v/>
      </c>
      <c r="BP14" s="18" t="str">
        <f>IF(F14&lt;&gt;"",BF14-'Data input'!F14,"")</f>
        <v/>
      </c>
      <c r="BQ14" s="18" t="str">
        <f>IF(G14&lt;&gt;"",BG14-'Data input'!G14,"")</f>
        <v/>
      </c>
      <c r="BR14" s="19">
        <f>IF(H14&lt;&gt;"",BH14-'Data input'!H14,"")</f>
        <v>-7.2759100120456157</v>
      </c>
      <c r="BS14" s="18">
        <f>IF(I14&lt;&gt;"",BI14-'Data input'!I14,"")</f>
        <v>-1.2195954760488834E-2</v>
      </c>
      <c r="BT14" s="18" t="str">
        <f>IF(J14&lt;&gt;"",BJ14-'Data input'!J14,"")</f>
        <v/>
      </c>
      <c r="BU14" s="18" t="str">
        <f>IF(K14&lt;&gt;"",BK14-'Data input'!K14,"")</f>
        <v/>
      </c>
      <c r="BV14" s="72" t="str">
        <f>IF(L14&lt;&gt;"",BL14-'Data input'!L14,"")</f>
        <v/>
      </c>
      <c r="BW14" s="121" t="str">
        <f t="shared" si="17"/>
        <v xml:space="preserve">Texas; 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1.7747395899622904E-14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0.9999999999999839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FT14" s="1" t="str">
        <f t="shared" si="18"/>
        <v/>
      </c>
      <c r="FU14" s="1" t="str">
        <f t="shared" si="6"/>
        <v/>
      </c>
      <c r="FV14" s="1" t="str">
        <f t="shared" si="6"/>
        <v/>
      </c>
      <c r="FW14" s="1" t="str">
        <f t="shared" si="6"/>
        <v/>
      </c>
      <c r="FX14" s="1" t="str">
        <f t="shared" si="6"/>
        <v/>
      </c>
      <c r="FY14" s="1" t="str">
        <f t="shared" si="6"/>
        <v/>
      </c>
      <c r="FZ14" s="1" t="str">
        <f t="shared" si="6"/>
        <v/>
      </c>
      <c r="GA14" s="1" t="str">
        <f t="shared" si="6"/>
        <v/>
      </c>
      <c r="GB14" s="1" t="str">
        <f t="shared" si="6"/>
        <v/>
      </c>
      <c r="GC14" s="1" t="str">
        <f t="shared" si="6"/>
        <v/>
      </c>
      <c r="GD14" s="1" t="str">
        <f t="shared" si="6"/>
        <v/>
      </c>
      <c r="GE14" s="1" t="str">
        <f t="shared" si="6"/>
        <v/>
      </c>
      <c r="GF14" s="1" t="str">
        <f t="shared" si="6"/>
        <v/>
      </c>
      <c r="GG14" s="1" t="str">
        <f t="shared" si="6"/>
        <v/>
      </c>
      <c r="GH14" s="1" t="str">
        <f t="shared" si="6"/>
        <v/>
      </c>
      <c r="GI14" s="1" t="str">
        <f t="shared" si="6"/>
        <v/>
      </c>
      <c r="GJ14" s="1" t="str">
        <f t="shared" si="6"/>
        <v/>
      </c>
      <c r="GK14" s="1" t="str">
        <f t="shared" si="7"/>
        <v/>
      </c>
      <c r="GL14" s="1" t="str">
        <f t="shared" si="7"/>
        <v/>
      </c>
      <c r="GM14" s="1" t="str">
        <f t="shared" si="7"/>
        <v/>
      </c>
      <c r="GN14" s="1" t="str">
        <f t="shared" si="7"/>
        <v/>
      </c>
      <c r="GO14" s="1" t="str">
        <f t="shared" si="7"/>
        <v/>
      </c>
      <c r="GP14" s="1" t="str">
        <f t="shared" si="7"/>
        <v/>
      </c>
      <c r="GQ14" s="1" t="str">
        <f t="shared" si="7"/>
        <v/>
      </c>
      <c r="GR14" s="1" t="str">
        <f t="shared" si="7"/>
        <v/>
      </c>
      <c r="GS14" s="1" t="str">
        <f t="shared" si="7"/>
        <v/>
      </c>
      <c r="GT14" s="1" t="str">
        <f t="shared" si="7"/>
        <v/>
      </c>
      <c r="GU14" s="1" t="str">
        <f t="shared" si="7"/>
        <v/>
      </c>
      <c r="GV14" s="1" t="str">
        <f t="shared" si="7"/>
        <v/>
      </c>
      <c r="GW14" s="1" t="str">
        <f t="shared" si="7"/>
        <v/>
      </c>
      <c r="GX14" s="1" t="str">
        <f t="shared" si="7"/>
        <v/>
      </c>
      <c r="GY14" s="1" t="str">
        <f t="shared" si="7"/>
        <v/>
      </c>
      <c r="GZ14" s="1" t="str">
        <f t="shared" si="7"/>
        <v/>
      </c>
      <c r="HA14" s="1" t="str">
        <f t="shared" si="8"/>
        <v/>
      </c>
      <c r="HB14" s="1" t="str">
        <f t="shared" si="8"/>
        <v/>
      </c>
      <c r="HC14" s="1" t="str">
        <f t="shared" si="8"/>
        <v/>
      </c>
      <c r="HD14" s="1" t="str">
        <f t="shared" si="8"/>
        <v/>
      </c>
      <c r="HE14" s="1" t="str">
        <f t="shared" si="8"/>
        <v/>
      </c>
      <c r="HF14" s="1" t="str">
        <f t="shared" si="8"/>
        <v/>
      </c>
      <c r="HG14" s="1" t="str">
        <f t="shared" si="8"/>
        <v/>
      </c>
      <c r="HH14" s="1" t="str">
        <f t="shared" si="8"/>
        <v/>
      </c>
      <c r="HI14" s="1" t="str">
        <f t="shared" si="8"/>
        <v/>
      </c>
      <c r="HJ14" s="1" t="str">
        <f t="shared" si="8"/>
        <v xml:space="preserve">Texas; </v>
      </c>
      <c r="HK14" s="1" t="str">
        <f t="shared" si="8"/>
        <v/>
      </c>
      <c r="HL14" s="1" t="str">
        <f t="shared" si="8"/>
        <v/>
      </c>
      <c r="HM14" s="1" t="str">
        <f t="shared" si="8"/>
        <v/>
      </c>
      <c r="HN14" s="1" t="str">
        <f t="shared" si="8"/>
        <v/>
      </c>
      <c r="HO14" s="1" t="str">
        <f t="shared" si="8"/>
        <v/>
      </c>
      <c r="HP14" s="1" t="str">
        <f t="shared" si="8"/>
        <v/>
      </c>
      <c r="HQ14" s="1" t="str">
        <f t="shared" si="9"/>
        <v/>
      </c>
      <c r="HR14" s="1" t="str">
        <f t="shared" si="9"/>
        <v/>
      </c>
      <c r="HS14" s="1" t="str">
        <f t="shared" si="9"/>
        <v/>
      </c>
      <c r="HT14" s="1" t="str">
        <f t="shared" si="9"/>
        <v/>
      </c>
      <c r="HU14" s="1" t="str">
        <f t="shared" si="9"/>
        <v/>
      </c>
      <c r="HV14" s="1" t="str">
        <f t="shared" si="9"/>
        <v/>
      </c>
      <c r="HW14" s="1" t="str">
        <f t="shared" si="9"/>
        <v/>
      </c>
      <c r="HX14" s="1" t="str">
        <f t="shared" si="9"/>
        <v/>
      </c>
      <c r="HY14" s="1" t="str">
        <f t="shared" si="9"/>
        <v/>
      </c>
      <c r="HZ14" s="1" t="str">
        <f t="shared" si="9"/>
        <v/>
      </c>
      <c r="IA14" s="1" t="str">
        <f t="shared" si="9"/>
        <v/>
      </c>
      <c r="IB14" s="1" t="str">
        <f t="shared" si="9"/>
        <v/>
      </c>
      <c r="IC14" s="1" t="str">
        <f t="shared" si="9"/>
        <v/>
      </c>
      <c r="ID14" s="1" t="str">
        <f t="shared" si="9"/>
        <v/>
      </c>
      <c r="IE14" s="1" t="str">
        <f t="shared" si="9"/>
        <v/>
      </c>
      <c r="IF14" s="1" t="str">
        <f t="shared" si="9"/>
        <v/>
      </c>
      <c r="IG14" s="1" t="str">
        <f t="shared" si="10"/>
        <v/>
      </c>
      <c r="IH14" s="1" t="str">
        <f t="shared" si="10"/>
        <v/>
      </c>
      <c r="II14" s="1" t="str">
        <f t="shared" si="10"/>
        <v/>
      </c>
      <c r="IJ14" s="1" t="str">
        <f t="shared" si="10"/>
        <v/>
      </c>
      <c r="IK14" s="1" t="str">
        <f t="shared" si="10"/>
        <v/>
      </c>
      <c r="IL14" s="1" t="str">
        <f t="shared" si="10"/>
        <v/>
      </c>
      <c r="IM14" s="1" t="str">
        <f t="shared" si="10"/>
        <v/>
      </c>
      <c r="IN14" s="1" t="str">
        <f t="shared" si="10"/>
        <v/>
      </c>
      <c r="IO14" s="1" t="str">
        <f t="shared" si="10"/>
        <v/>
      </c>
      <c r="IP14" s="1" t="str">
        <f t="shared" si="10"/>
        <v/>
      </c>
      <c r="IQ14" s="1" t="str">
        <f t="shared" si="10"/>
        <v/>
      </c>
      <c r="IR14" s="1" t="str">
        <f t="shared" si="10"/>
        <v/>
      </c>
      <c r="IS14" s="1" t="str">
        <f t="shared" si="10"/>
        <v/>
      </c>
      <c r="IT14" s="1" t="str">
        <f t="shared" si="10"/>
        <v/>
      </c>
      <c r="IU14" s="1" t="str">
        <f t="shared" si="10"/>
        <v/>
      </c>
      <c r="IV14" s="1" t="str">
        <f t="shared" si="10"/>
        <v/>
      </c>
      <c r="IW14" s="1" t="str">
        <f t="shared" si="11"/>
        <v/>
      </c>
      <c r="IX14" s="1" t="str">
        <f t="shared" si="11"/>
        <v/>
      </c>
      <c r="IY14" s="1" t="str">
        <f t="shared" si="11"/>
        <v/>
      </c>
      <c r="IZ14" s="1" t="str">
        <f t="shared" si="11"/>
        <v/>
      </c>
      <c r="JA14" s="1" t="str">
        <f t="shared" si="11"/>
        <v/>
      </c>
      <c r="JB14" s="1" t="str">
        <f t="shared" si="11"/>
        <v/>
      </c>
      <c r="JC14" s="1" t="str">
        <f t="shared" si="11"/>
        <v/>
      </c>
      <c r="JD14" s="1" t="str">
        <f t="shared" si="11"/>
        <v/>
      </c>
      <c r="JE14" s="1" t="str">
        <f t="shared" si="11"/>
        <v/>
      </c>
      <c r="JF14" s="1" t="str">
        <f t="shared" si="11"/>
        <v/>
      </c>
      <c r="JG14" s="1" t="str">
        <f t="shared" si="11"/>
        <v/>
      </c>
      <c r="JH14" s="1" t="str">
        <f t="shared" si="11"/>
        <v/>
      </c>
      <c r="JI14" s="1" t="str">
        <f t="shared" si="11"/>
        <v/>
      </c>
      <c r="JJ14" s="1" t="str">
        <f t="shared" si="11"/>
        <v/>
      </c>
      <c r="JK14" s="1" t="str">
        <f t="shared" si="11"/>
        <v/>
      </c>
      <c r="JL14" s="1" t="str">
        <f t="shared" si="11"/>
        <v/>
      </c>
      <c r="JM14" s="1" t="str">
        <f t="shared" si="12"/>
        <v/>
      </c>
      <c r="JN14" s="1" t="str">
        <f t="shared" si="12"/>
        <v/>
      </c>
      <c r="JO14" s="1" t="str">
        <f t="shared" si="12"/>
        <v/>
      </c>
    </row>
    <row r="15" spans="1:275" ht="14.5" x14ac:dyDescent="0.35">
      <c r="A15" s="59">
        <f>IF('Data input'!A15&lt;&gt;"",'Data input'!A15,"")</f>
        <v>13</v>
      </c>
      <c r="B15" s="60" t="str">
        <f>IF('Data input'!B15&lt;&gt;"",'Data input'!B15,"")</f>
        <v>Idaho</v>
      </c>
      <c r="C15" s="19">
        <f>IF('Data input'!C15="","",4*('Data input'!C15-'Data input'!C$108)/('Data input'!C$109-'Data input'!C$108)+1)</f>
        <v>4.4320769937331592</v>
      </c>
      <c r="D15" s="19" t="str">
        <f>IF('Data input'!D15="","",4*('Data input'!D15-'Data input'!D$108)/('Data input'!D$109-'Data input'!D$108)+1)</f>
        <v/>
      </c>
      <c r="E15" s="19" t="str">
        <f>IF('Data input'!E15="","",4*('Data input'!E15-'Data input'!E$108)/('Data input'!E$109-'Data input'!E$108)+1)</f>
        <v/>
      </c>
      <c r="F15" s="19" t="str">
        <f>IF('Data input'!F15="","",4*('Data input'!F15-'Data input'!F$108)/('Data input'!F$109-'Data input'!F$108)+1)</f>
        <v/>
      </c>
      <c r="G15" s="19" t="str">
        <f>IF('Data input'!G15="","",4*('Data input'!G15-'Data input'!G$108)/('Data input'!G$109-'Data input'!G$108)+1)</f>
        <v/>
      </c>
      <c r="H15" s="61">
        <f>IF('Data input'!H15="","",4*('Data input'!H15-'Data input'!H$108)/('Data input'!H$109-'Data input'!H$108)+1)</f>
        <v>1.4879116861040735</v>
      </c>
      <c r="I15" s="19">
        <f>IF('Data input'!I15="","",4*('Data input'!I15-'Data input'!I$108)/('Data input'!I$109-'Data input'!I$108)+1)</f>
        <v>1.9902020820575625</v>
      </c>
      <c r="J15" s="19" t="str">
        <f>IF('Data input'!J15="","",4*('Data input'!J15-'Data input'!J$108)/('Data input'!J$109-'Data input'!J$108)+1)</f>
        <v/>
      </c>
      <c r="K15" s="19" t="str">
        <f>IF('Data input'!K15="","",4*('Data input'!K15-'Data input'!K$108)/('Data input'!K$109-'Data input'!K$108)+1)</f>
        <v/>
      </c>
      <c r="L15" s="19" t="str">
        <f>IF('Data input'!L15="","",4*('Data input'!L15-'Data input'!L$108)/('Data input'!L$109-'Data input'!L$108)+1)</f>
        <v/>
      </c>
      <c r="M15" s="19">
        <f>IF('Data input'!M15="","",4*('Data input'!M15-'Data input'!M$108)/('Data input'!M$109-'Data input'!M$108)+1)</f>
        <v>1.6006874301655307</v>
      </c>
      <c r="N15" s="16" t="str">
        <f>IF('Data input'!N15="","",4*('Data input'!N15-'Data input'!N$108)/('Data input'!N$109-'Data input'!N$108)+1)</f>
        <v/>
      </c>
      <c r="O15" s="19" t="str">
        <f>IF('Data input'!O15="","",4*('Data input'!O15-'Data input'!O$108)/('Data input'!O$109-'Data input'!O$108)+1)</f>
        <v/>
      </c>
      <c r="P15" s="19" t="str">
        <f>IF('Data input'!P15="","",4*('Data input'!P15-'Data input'!P$108)/('Data input'!P$109-'Data input'!P$108)+1)</f>
        <v/>
      </c>
      <c r="Q15" s="19" t="str">
        <f>IF('Data input'!Q15="","",4*('Data input'!Q15-'Data input'!Q$108)/('Data input'!Q$109-'Data input'!Q$108)+1)</f>
        <v/>
      </c>
      <c r="R15" s="19" t="str">
        <f>IF('Data input'!R15="","",4*('Data input'!R15-'Data input'!R$108)/('Data input'!R$109-'Data input'!R$108)+1)</f>
        <v/>
      </c>
      <c r="S15" s="16" t="str">
        <f>IF('Data input'!S15="","",4*('Data input'!S15-'Data input'!S$108)/('Data input'!S$109-'Data input'!S$108)+1)</f>
        <v/>
      </c>
      <c r="T15" s="19" t="str">
        <f>IF('Data input'!T15="","",4*('Data input'!T15-'Data input'!T$108)/('Data input'!T$109-'Data input'!T$108)+1)</f>
        <v/>
      </c>
      <c r="U15" s="19" t="str">
        <f>IF('Data input'!U15="","",4*('Data input'!U15-'Data input'!U$108)/('Data input'!U$109-'Data input'!U$108)+1)</f>
        <v/>
      </c>
      <c r="V15" s="19" t="str">
        <f>IF('Data input'!V15="","",4*('Data input'!V15-'Data input'!V$108)/('Data input'!V$109-'Data input'!V$108)+1)</f>
        <v/>
      </c>
      <c r="W15" s="16" t="str">
        <f>IF('Data input'!W15="","",4*('Data input'!W15-'Data input'!W$108)/('Data input'!W$109-'Data input'!W$108)+1)</f>
        <v/>
      </c>
      <c r="X15" s="16" t="str">
        <f>IF('Data input'!X15="","",4*('Data input'!X15-'Data input'!X$108)/('Data input'!X$109-'Data input'!X$108)+1)</f>
        <v/>
      </c>
      <c r="Y15" s="16" t="str">
        <f>IF('Data input'!Y15="","",4*('Data input'!Y15-'Data input'!Y$108)/('Data input'!Y$109-'Data input'!Y$108)+1)</f>
        <v/>
      </c>
      <c r="Z15" s="16" t="str">
        <f>IF('Data input'!Z15="","",4*('Data input'!Z15-'Data input'!Z$108)/('Data input'!Z$109-'Data input'!Z$108)+1)</f>
        <v/>
      </c>
      <c r="AA15" s="62" t="str">
        <f>IF('Data input'!AA15="","",4*('Data input'!AA15-'Data input'!AA$108)/('Data input'!AA$109-'Data input'!AA$108)+1)</f>
        <v/>
      </c>
      <c r="AB15" s="78"/>
      <c r="AC15" s="79">
        <v>0</v>
      </c>
      <c r="AD15" s="80" t="e">
        <f t="shared" si="13"/>
        <v>#DIV/0!</v>
      </c>
      <c r="AE15" s="4"/>
      <c r="AF15" s="59">
        <f t="shared" si="14"/>
        <v>13</v>
      </c>
      <c r="AG15" s="60" t="str">
        <f t="shared" si="14"/>
        <v>Idaho</v>
      </c>
      <c r="AH15">
        <v>0.37549609665400158</v>
      </c>
      <c r="AI15" t="s">
        <v>69</v>
      </c>
      <c r="AJ15" t="s">
        <v>69</v>
      </c>
      <c r="AK15" t="s">
        <v>69</v>
      </c>
      <c r="AL15" t="s">
        <v>69</v>
      </c>
      <c r="AM15">
        <v>0.48791168610407348</v>
      </c>
      <c r="AN15">
        <v>0.16931867762165706</v>
      </c>
      <c r="AO15" t="s">
        <v>69</v>
      </c>
      <c r="AP15" t="s">
        <v>69</v>
      </c>
      <c r="AQ15" t="s">
        <v>69</v>
      </c>
      <c r="AR15">
        <v>0.70317837347895873</v>
      </c>
      <c r="AS15" s="71">
        <f t="shared" si="15"/>
        <v>4.8075730903871605</v>
      </c>
      <c r="AT15" s="71" t="str">
        <f t="shared" si="4"/>
        <v/>
      </c>
      <c r="AU15" s="71" t="str">
        <f t="shared" si="4"/>
        <v/>
      </c>
      <c r="AV15" s="71" t="str">
        <f t="shared" si="4"/>
        <v/>
      </c>
      <c r="AW15" s="71" t="str">
        <f t="shared" si="4"/>
        <v/>
      </c>
      <c r="AX15" s="71">
        <f t="shared" si="16"/>
        <v>1</v>
      </c>
      <c r="AY15" s="71">
        <f t="shared" si="5"/>
        <v>1.8208834044359055</v>
      </c>
      <c r="AZ15" s="71" t="str">
        <f t="shared" si="5"/>
        <v/>
      </c>
      <c r="BA15" s="71" t="str">
        <f t="shared" si="5"/>
        <v/>
      </c>
      <c r="BB15" s="71" t="str">
        <f t="shared" si="5"/>
        <v/>
      </c>
      <c r="BC15" s="18">
        <f>IF(C15&lt;&gt;"",(('Data input'!C$109-'Data input'!C$108)*(AS15-1)/4)+'Data input'!C$108,"")</f>
        <v>0.98930620467891328</v>
      </c>
      <c r="BD15" s="18" t="str">
        <f>IF(D15&lt;&gt;"",(('Data input'!D$109-'Data input'!D$108)*(AT15-1)/4)+'Data input'!D$108,"")</f>
        <v/>
      </c>
      <c r="BE15" s="18" t="str">
        <f>IF(E15&lt;&gt;"",(('Data input'!E$109-'Data input'!E$108)*(AU15-1)/4)+'Data input'!E$108,"")</f>
        <v/>
      </c>
      <c r="BF15" s="18" t="str">
        <f>IF(F15&lt;&gt;"",(('Data input'!F$109-'Data input'!F$108)*(AV15-1)/4)+'Data input'!F$108,"")</f>
        <v/>
      </c>
      <c r="BG15" s="18" t="str">
        <f>IF(G15&lt;&gt;"",(('Data input'!G$109-'Data input'!G$108)*(AW15-1)/4)+'Data input'!G$108,"")</f>
        <v/>
      </c>
      <c r="BH15" s="19">
        <f>IF(H15&lt;&gt;"",(('Data input'!H$109-'Data input'!H$108)*(AX15-1)/4)+'Data input'!H$108,"")</f>
        <v>0.29574268608402715</v>
      </c>
      <c r="BI15" s="18">
        <f>IF(I15&lt;&gt;"",(('Data input'!I$109-'Data input'!I$108)*(AY15-1)/4)+'Data input'!I$108,"")</f>
        <v>3.6043736372881441E-2</v>
      </c>
      <c r="BJ15" s="19" t="str">
        <f>IF(J15&lt;&gt;"",(('Data input'!J$109-'Data input'!J$108)*(AZ15-1)/4)+'Data input'!J$108,"")</f>
        <v/>
      </c>
      <c r="BK15" s="19" t="str">
        <f>IF(K15&lt;&gt;"",(('Data input'!K$109-'Data input'!K$108)*(BA15-1)/4)+'Data input'!K$108,"")</f>
        <v/>
      </c>
      <c r="BL15" s="19" t="str">
        <f>IF(L15&lt;&gt;"",(('Data input'!L$109-'Data input'!L$108)*(BB15-1)/4)+'Data input'!L$108,"")</f>
        <v/>
      </c>
      <c r="BM15" s="18">
        <f>IF(C15&lt;&gt;"",BC15-'Data input'!C15,"")</f>
        <v>1.3633200217905261E-2</v>
      </c>
      <c r="BN15" s="18" t="str">
        <f>IF(D15&lt;&gt;"",BD15-'Data input'!D15,"")</f>
        <v/>
      </c>
      <c r="BO15" s="18" t="str">
        <f>IF(E15&lt;&gt;"",BE15-'Data input'!E15,"")</f>
        <v/>
      </c>
      <c r="BP15" s="18" t="str">
        <f>IF(F15&lt;&gt;"",BF15-'Data input'!F15,"")</f>
        <v/>
      </c>
      <c r="BQ15" s="18" t="str">
        <f>IF(G15&lt;&gt;"",BG15-'Data input'!G15,"")</f>
        <v/>
      </c>
      <c r="BR15" s="19">
        <f>IF(H15&lt;&gt;"",BH15-'Data input'!H15,"")</f>
        <v>-10.625658154493804</v>
      </c>
      <c r="BS15" s="18">
        <f>IF(I15&lt;&gt;"",BI15-'Data input'!I15,"")</f>
        <v>-7.4345244966837754E-3</v>
      </c>
      <c r="BT15" s="18" t="str">
        <f>IF(J15&lt;&gt;"",BJ15-'Data input'!J15,"")</f>
        <v/>
      </c>
      <c r="BU15" s="18" t="str">
        <f>IF(K15&lt;&gt;"",BK15-'Data input'!K15,"")</f>
        <v/>
      </c>
      <c r="BV15" s="72" t="str">
        <f>IF(L15&lt;&gt;"",BL15-'Data input'!L15,"")</f>
        <v/>
      </c>
      <c r="BW15" s="121" t="str">
        <f t="shared" si="17"/>
        <v xml:space="preserve">Texas; 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0.99999999999999634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FT15" s="1" t="str">
        <f t="shared" si="18"/>
        <v/>
      </c>
      <c r="FU15" s="1" t="str">
        <f t="shared" si="6"/>
        <v/>
      </c>
      <c r="FV15" s="1" t="str">
        <f t="shared" si="6"/>
        <v/>
      </c>
      <c r="FW15" s="1" t="str">
        <f t="shared" si="6"/>
        <v/>
      </c>
      <c r="FX15" s="1" t="str">
        <f t="shared" si="6"/>
        <v/>
      </c>
      <c r="FY15" s="1" t="str">
        <f t="shared" si="6"/>
        <v/>
      </c>
      <c r="FZ15" s="1" t="str">
        <f t="shared" si="6"/>
        <v/>
      </c>
      <c r="GA15" s="1" t="str">
        <f t="shared" si="6"/>
        <v/>
      </c>
      <c r="GB15" s="1" t="str">
        <f t="shared" si="6"/>
        <v/>
      </c>
      <c r="GC15" s="1" t="str">
        <f t="shared" si="6"/>
        <v/>
      </c>
      <c r="GD15" s="1" t="str">
        <f t="shared" si="6"/>
        <v/>
      </c>
      <c r="GE15" s="1" t="str">
        <f t="shared" si="6"/>
        <v/>
      </c>
      <c r="GF15" s="1" t="str">
        <f t="shared" si="6"/>
        <v/>
      </c>
      <c r="GG15" s="1" t="str">
        <f t="shared" si="6"/>
        <v/>
      </c>
      <c r="GH15" s="1" t="str">
        <f t="shared" si="6"/>
        <v/>
      </c>
      <c r="GI15" s="1" t="str">
        <f t="shared" si="6"/>
        <v/>
      </c>
      <c r="GJ15" s="1" t="str">
        <f t="shared" si="6"/>
        <v/>
      </c>
      <c r="GK15" s="1" t="str">
        <f t="shared" si="7"/>
        <v/>
      </c>
      <c r="GL15" s="1" t="str">
        <f t="shared" si="7"/>
        <v/>
      </c>
      <c r="GM15" s="1" t="str">
        <f t="shared" si="7"/>
        <v/>
      </c>
      <c r="GN15" s="1" t="str">
        <f t="shared" si="7"/>
        <v/>
      </c>
      <c r="GO15" s="1" t="str">
        <f t="shared" si="7"/>
        <v/>
      </c>
      <c r="GP15" s="1" t="str">
        <f t="shared" si="7"/>
        <v/>
      </c>
      <c r="GQ15" s="1" t="str">
        <f t="shared" si="7"/>
        <v/>
      </c>
      <c r="GR15" s="1" t="str">
        <f t="shared" si="7"/>
        <v/>
      </c>
      <c r="GS15" s="1" t="str">
        <f t="shared" si="7"/>
        <v/>
      </c>
      <c r="GT15" s="1" t="str">
        <f t="shared" si="7"/>
        <v/>
      </c>
      <c r="GU15" s="1" t="str">
        <f t="shared" si="7"/>
        <v/>
      </c>
      <c r="GV15" s="1" t="str">
        <f t="shared" si="7"/>
        <v/>
      </c>
      <c r="GW15" s="1" t="str">
        <f t="shared" si="7"/>
        <v/>
      </c>
      <c r="GX15" s="1" t="str">
        <f t="shared" si="7"/>
        <v/>
      </c>
      <c r="GY15" s="1" t="str">
        <f t="shared" si="7"/>
        <v/>
      </c>
      <c r="GZ15" s="1" t="str">
        <f t="shared" si="7"/>
        <v/>
      </c>
      <c r="HA15" s="1" t="str">
        <f t="shared" si="8"/>
        <v/>
      </c>
      <c r="HB15" s="1" t="str">
        <f t="shared" si="8"/>
        <v/>
      </c>
      <c r="HC15" s="1" t="str">
        <f t="shared" si="8"/>
        <v/>
      </c>
      <c r="HD15" s="1" t="str">
        <f t="shared" si="8"/>
        <v/>
      </c>
      <c r="HE15" s="1" t="str">
        <f t="shared" si="8"/>
        <v/>
      </c>
      <c r="HF15" s="1" t="str">
        <f t="shared" si="8"/>
        <v/>
      </c>
      <c r="HG15" s="1" t="str">
        <f t="shared" si="8"/>
        <v/>
      </c>
      <c r="HH15" s="1" t="str">
        <f t="shared" si="8"/>
        <v/>
      </c>
      <c r="HI15" s="1" t="str">
        <f t="shared" si="8"/>
        <v/>
      </c>
      <c r="HJ15" s="1" t="str">
        <f t="shared" si="8"/>
        <v xml:space="preserve">Texas; </v>
      </c>
      <c r="HK15" s="1" t="str">
        <f t="shared" si="8"/>
        <v/>
      </c>
      <c r="HL15" s="1" t="str">
        <f t="shared" si="8"/>
        <v/>
      </c>
      <c r="HM15" s="1" t="str">
        <f t="shared" si="8"/>
        <v/>
      </c>
      <c r="HN15" s="1" t="str">
        <f t="shared" si="8"/>
        <v/>
      </c>
      <c r="HO15" s="1" t="str">
        <f t="shared" si="8"/>
        <v/>
      </c>
      <c r="HP15" s="1" t="str">
        <f t="shared" si="8"/>
        <v/>
      </c>
      <c r="HQ15" s="1" t="str">
        <f t="shared" si="9"/>
        <v/>
      </c>
      <c r="HR15" s="1" t="str">
        <f t="shared" si="9"/>
        <v/>
      </c>
      <c r="HS15" s="1" t="str">
        <f t="shared" si="9"/>
        <v/>
      </c>
      <c r="HT15" s="1" t="str">
        <f t="shared" si="9"/>
        <v/>
      </c>
      <c r="HU15" s="1" t="str">
        <f t="shared" si="9"/>
        <v/>
      </c>
      <c r="HV15" s="1" t="str">
        <f t="shared" si="9"/>
        <v/>
      </c>
      <c r="HW15" s="1" t="str">
        <f t="shared" si="9"/>
        <v/>
      </c>
      <c r="HX15" s="1" t="str">
        <f t="shared" si="9"/>
        <v/>
      </c>
      <c r="HY15" s="1" t="str">
        <f t="shared" si="9"/>
        <v/>
      </c>
      <c r="HZ15" s="1" t="str">
        <f t="shared" si="9"/>
        <v/>
      </c>
      <c r="IA15" s="1" t="str">
        <f t="shared" si="9"/>
        <v/>
      </c>
      <c r="IB15" s="1" t="str">
        <f t="shared" si="9"/>
        <v/>
      </c>
      <c r="IC15" s="1" t="str">
        <f t="shared" si="9"/>
        <v/>
      </c>
      <c r="ID15" s="1" t="str">
        <f t="shared" si="9"/>
        <v/>
      </c>
      <c r="IE15" s="1" t="str">
        <f t="shared" si="9"/>
        <v/>
      </c>
      <c r="IF15" s="1" t="str">
        <f t="shared" si="9"/>
        <v/>
      </c>
      <c r="IG15" s="1" t="str">
        <f t="shared" si="10"/>
        <v/>
      </c>
      <c r="IH15" s="1" t="str">
        <f t="shared" si="10"/>
        <v/>
      </c>
      <c r="II15" s="1" t="str">
        <f t="shared" si="10"/>
        <v/>
      </c>
      <c r="IJ15" s="1" t="str">
        <f t="shared" si="10"/>
        <v/>
      </c>
      <c r="IK15" s="1" t="str">
        <f t="shared" si="10"/>
        <v/>
      </c>
      <c r="IL15" s="1" t="str">
        <f t="shared" si="10"/>
        <v/>
      </c>
      <c r="IM15" s="1" t="str">
        <f t="shared" si="10"/>
        <v/>
      </c>
      <c r="IN15" s="1" t="str">
        <f t="shared" si="10"/>
        <v/>
      </c>
      <c r="IO15" s="1" t="str">
        <f t="shared" si="10"/>
        <v/>
      </c>
      <c r="IP15" s="1" t="str">
        <f t="shared" si="10"/>
        <v/>
      </c>
      <c r="IQ15" s="1" t="str">
        <f t="shared" si="10"/>
        <v/>
      </c>
      <c r="IR15" s="1" t="str">
        <f t="shared" si="10"/>
        <v/>
      </c>
      <c r="IS15" s="1" t="str">
        <f t="shared" si="10"/>
        <v/>
      </c>
      <c r="IT15" s="1" t="str">
        <f t="shared" si="10"/>
        <v/>
      </c>
      <c r="IU15" s="1" t="str">
        <f t="shared" si="10"/>
        <v/>
      </c>
      <c r="IV15" s="1" t="str">
        <f t="shared" si="10"/>
        <v/>
      </c>
      <c r="IW15" s="1" t="str">
        <f t="shared" si="11"/>
        <v/>
      </c>
      <c r="IX15" s="1" t="str">
        <f t="shared" si="11"/>
        <v/>
      </c>
      <c r="IY15" s="1" t="str">
        <f t="shared" si="11"/>
        <v/>
      </c>
      <c r="IZ15" s="1" t="str">
        <f t="shared" si="11"/>
        <v/>
      </c>
      <c r="JA15" s="1" t="str">
        <f t="shared" si="11"/>
        <v/>
      </c>
      <c r="JB15" s="1" t="str">
        <f t="shared" si="11"/>
        <v/>
      </c>
      <c r="JC15" s="1" t="str">
        <f t="shared" si="11"/>
        <v/>
      </c>
      <c r="JD15" s="1" t="str">
        <f t="shared" si="11"/>
        <v/>
      </c>
      <c r="JE15" s="1" t="str">
        <f t="shared" si="11"/>
        <v/>
      </c>
      <c r="JF15" s="1" t="str">
        <f t="shared" si="11"/>
        <v/>
      </c>
      <c r="JG15" s="1" t="str">
        <f t="shared" si="11"/>
        <v/>
      </c>
      <c r="JH15" s="1" t="str">
        <f t="shared" si="11"/>
        <v/>
      </c>
      <c r="JI15" s="1" t="str">
        <f t="shared" si="11"/>
        <v/>
      </c>
      <c r="JJ15" s="1" t="str">
        <f t="shared" si="11"/>
        <v/>
      </c>
      <c r="JK15" s="1" t="str">
        <f t="shared" si="11"/>
        <v/>
      </c>
      <c r="JL15" s="1" t="str">
        <f t="shared" si="11"/>
        <v/>
      </c>
      <c r="JM15" s="1" t="str">
        <f t="shared" si="12"/>
        <v/>
      </c>
      <c r="JN15" s="1" t="str">
        <f t="shared" si="12"/>
        <v/>
      </c>
      <c r="JO15" s="1" t="str">
        <f t="shared" si="12"/>
        <v/>
      </c>
    </row>
    <row r="16" spans="1:275" ht="14.5" x14ac:dyDescent="0.35">
      <c r="A16" s="59">
        <f>IF('Data input'!A16&lt;&gt;"",'Data input'!A16,"")</f>
        <v>14</v>
      </c>
      <c r="B16" s="60" t="str">
        <f>IF('Data input'!B16&lt;&gt;"",'Data input'!B16,"")</f>
        <v>Illinois</v>
      </c>
      <c r="C16" s="19">
        <f>IF('Data input'!C16="","",4*('Data input'!C16-'Data input'!C$108)/('Data input'!C$109-'Data input'!C$108)+1)</f>
        <v>1</v>
      </c>
      <c r="D16" s="19" t="str">
        <f>IF('Data input'!D16="","",4*('Data input'!D16-'Data input'!D$108)/('Data input'!D$109-'Data input'!D$108)+1)</f>
        <v/>
      </c>
      <c r="E16" s="19" t="str">
        <f>IF('Data input'!E16="","",4*('Data input'!E16-'Data input'!E$108)/('Data input'!E$109-'Data input'!E$108)+1)</f>
        <v/>
      </c>
      <c r="F16" s="19" t="str">
        <f>IF('Data input'!F16="","",4*('Data input'!F16-'Data input'!F$108)/('Data input'!F$109-'Data input'!F$108)+1)</f>
        <v/>
      </c>
      <c r="G16" s="19" t="str">
        <f>IF('Data input'!G16="","",4*('Data input'!G16-'Data input'!G$108)/('Data input'!G$109-'Data input'!G$108)+1)</f>
        <v/>
      </c>
      <c r="H16" s="61">
        <f>IF('Data input'!H16="","",4*('Data input'!H16-'Data input'!H$108)/('Data input'!H$109-'Data input'!H$108)+1)</f>
        <v>1.3408510130276674</v>
      </c>
      <c r="I16" s="19">
        <f>IF('Data input'!I16="","",4*('Data input'!I16-'Data input'!I$108)/('Data input'!I$109-'Data input'!I$108)+1)</f>
        <v>2.6136626522419539</v>
      </c>
      <c r="J16" s="19" t="str">
        <f>IF('Data input'!J16="","",4*('Data input'!J16-'Data input'!J$108)/('Data input'!J$109-'Data input'!J$108)+1)</f>
        <v/>
      </c>
      <c r="K16" s="19" t="str">
        <f>IF('Data input'!K16="","",4*('Data input'!K16-'Data input'!K$108)/('Data input'!K$109-'Data input'!K$108)+1)</f>
        <v/>
      </c>
      <c r="L16" s="19" t="str">
        <f>IF('Data input'!L16="","",4*('Data input'!L16-'Data input'!L$108)/('Data input'!L$109-'Data input'!L$108)+1)</f>
        <v/>
      </c>
      <c r="M16" s="19">
        <f>IF('Data input'!M16="","",4*('Data input'!M16-'Data input'!M$108)/('Data input'!M$109-'Data input'!M$108)+1)</f>
        <v>1.764535744148704</v>
      </c>
      <c r="N16" s="16" t="str">
        <f>IF('Data input'!N16="","",4*('Data input'!N16-'Data input'!N$108)/('Data input'!N$109-'Data input'!N$108)+1)</f>
        <v/>
      </c>
      <c r="O16" s="19" t="str">
        <f>IF('Data input'!O16="","",4*('Data input'!O16-'Data input'!O$108)/('Data input'!O$109-'Data input'!O$108)+1)</f>
        <v/>
      </c>
      <c r="P16" s="19" t="str">
        <f>IF('Data input'!P16="","",4*('Data input'!P16-'Data input'!P$108)/('Data input'!P$109-'Data input'!P$108)+1)</f>
        <v/>
      </c>
      <c r="Q16" s="19" t="str">
        <f>IF('Data input'!Q16="","",4*('Data input'!Q16-'Data input'!Q$108)/('Data input'!Q$109-'Data input'!Q$108)+1)</f>
        <v/>
      </c>
      <c r="R16" s="19" t="str">
        <f>IF('Data input'!R16="","",4*('Data input'!R16-'Data input'!R$108)/('Data input'!R$109-'Data input'!R$108)+1)</f>
        <v/>
      </c>
      <c r="S16" s="16" t="str">
        <f>IF('Data input'!S16="","",4*('Data input'!S16-'Data input'!S$108)/('Data input'!S$109-'Data input'!S$108)+1)</f>
        <v/>
      </c>
      <c r="T16" s="19" t="str">
        <f>IF('Data input'!T16="","",4*('Data input'!T16-'Data input'!T$108)/('Data input'!T$109-'Data input'!T$108)+1)</f>
        <v/>
      </c>
      <c r="U16" s="19" t="str">
        <f>IF('Data input'!U16="","",4*('Data input'!U16-'Data input'!U$108)/('Data input'!U$109-'Data input'!U$108)+1)</f>
        <v/>
      </c>
      <c r="V16" s="19" t="str">
        <f>IF('Data input'!V16="","",4*('Data input'!V16-'Data input'!V$108)/('Data input'!V$109-'Data input'!V$108)+1)</f>
        <v/>
      </c>
      <c r="W16" s="16" t="str">
        <f>IF('Data input'!W16="","",4*('Data input'!W16-'Data input'!W$108)/('Data input'!W$109-'Data input'!W$108)+1)</f>
        <v/>
      </c>
      <c r="X16" s="16" t="str">
        <f>IF('Data input'!X16="","",4*('Data input'!X16-'Data input'!X$108)/('Data input'!X$109-'Data input'!X$108)+1)</f>
        <v/>
      </c>
      <c r="Y16" s="16" t="str">
        <f>IF('Data input'!Y16="","",4*('Data input'!Y16-'Data input'!Y$108)/('Data input'!Y$109-'Data input'!Y$108)+1)</f>
        <v/>
      </c>
      <c r="Z16" s="16" t="str">
        <f>IF('Data input'!Z16="","",4*('Data input'!Z16-'Data input'!Z$108)/('Data input'!Z$109-'Data input'!Z$108)+1)</f>
        <v/>
      </c>
      <c r="AA16" s="62" t="str">
        <f>IF('Data input'!AA16="","",4*('Data input'!AA16-'Data input'!AA$108)/('Data input'!AA$109-'Data input'!AA$108)+1)</f>
        <v/>
      </c>
      <c r="AB16" s="78"/>
      <c r="AC16" s="79">
        <v>0</v>
      </c>
      <c r="AD16" s="80" t="e">
        <f t="shared" si="13"/>
        <v>#DIV/0!</v>
      </c>
      <c r="AE16" s="4"/>
      <c r="AF16" s="59">
        <f t="shared" si="14"/>
        <v>14</v>
      </c>
      <c r="AG16" s="60" t="str">
        <f t="shared" si="14"/>
        <v>Illinois</v>
      </c>
      <c r="AH16">
        <v>3.7221417325401758</v>
      </c>
      <c r="AI16" t="s">
        <v>69</v>
      </c>
      <c r="AJ16" t="s">
        <v>69</v>
      </c>
      <c r="AK16" t="s">
        <v>69</v>
      </c>
      <c r="AL16" t="s">
        <v>69</v>
      </c>
      <c r="AM16">
        <v>0.34085101302766735</v>
      </c>
      <c r="AN16">
        <v>0.27881948277460039</v>
      </c>
      <c r="AO16" t="s">
        <v>69</v>
      </c>
      <c r="AP16" t="s">
        <v>69</v>
      </c>
      <c r="AQ16" t="s">
        <v>69</v>
      </c>
      <c r="AR16">
        <v>0.16184888085803173</v>
      </c>
      <c r="AS16" s="71">
        <f t="shared" si="15"/>
        <v>4.7221417325401758</v>
      </c>
      <c r="AT16" s="71" t="str">
        <f t="shared" si="4"/>
        <v/>
      </c>
      <c r="AU16" s="71" t="str">
        <f t="shared" si="4"/>
        <v/>
      </c>
      <c r="AV16" s="71" t="str">
        <f t="shared" si="4"/>
        <v/>
      </c>
      <c r="AW16" s="71" t="str">
        <f t="shared" si="4"/>
        <v/>
      </c>
      <c r="AX16" s="71">
        <f t="shared" si="16"/>
        <v>1</v>
      </c>
      <c r="AY16" s="71">
        <f t="shared" si="5"/>
        <v>2.3348431694673537</v>
      </c>
      <c r="AZ16" s="71" t="str">
        <f t="shared" si="5"/>
        <v/>
      </c>
      <c r="BA16" s="71" t="str">
        <f t="shared" si="5"/>
        <v/>
      </c>
      <c r="BB16" s="71" t="str">
        <f t="shared" si="5"/>
        <v/>
      </c>
      <c r="BC16" s="18">
        <f>IF(C16&lt;&gt;"",(('Data input'!C$109-'Data input'!C$108)*(AS16-1)/4)+'Data input'!C$108,"")</f>
        <v>0.98620443393670332</v>
      </c>
      <c r="BD16" s="18" t="str">
        <f>IF(D16&lt;&gt;"",(('Data input'!D$109-'Data input'!D$108)*(AT16-1)/4)+'Data input'!D$108,"")</f>
        <v/>
      </c>
      <c r="BE16" s="18" t="str">
        <f>IF(E16&lt;&gt;"",(('Data input'!E$109-'Data input'!E$108)*(AU16-1)/4)+'Data input'!E$108,"")</f>
        <v/>
      </c>
      <c r="BF16" s="18" t="str">
        <f>IF(F16&lt;&gt;"",(('Data input'!F$109-'Data input'!F$108)*(AV16-1)/4)+'Data input'!F$108,"")</f>
        <v/>
      </c>
      <c r="BG16" s="18" t="str">
        <f>IF(G16&lt;&gt;"",(('Data input'!G$109-'Data input'!G$108)*(AW16-1)/4)+'Data input'!G$108,"")</f>
        <v/>
      </c>
      <c r="BH16" s="19">
        <f>IF(H16&lt;&gt;"",(('Data input'!H$109-'Data input'!H$108)*(AX16-1)/4)+'Data input'!H$108,"")</f>
        <v>0.29574268608402715</v>
      </c>
      <c r="BI16" s="18">
        <f>IF(I16&lt;&gt;"",(('Data input'!I$109-'Data input'!I$108)*(AY16-1)/4)+'Data input'!I$108,"")</f>
        <v>5.8610924571541198E-2</v>
      </c>
      <c r="BJ16" s="19" t="str">
        <f>IF(J16&lt;&gt;"",(('Data input'!J$109-'Data input'!J$108)*(AZ16-1)/4)+'Data input'!J$108,"")</f>
        <v/>
      </c>
      <c r="BK16" s="19" t="str">
        <f>IF(K16&lt;&gt;"",(('Data input'!K$109-'Data input'!K$108)*(BA16-1)/4)+'Data input'!K$108,"")</f>
        <v/>
      </c>
      <c r="BL16" s="19" t="str">
        <f>IF(L16&lt;&gt;"",(('Data input'!L$109-'Data input'!L$108)*(BB16-1)/4)+'Data input'!L$108,"")</f>
        <v/>
      </c>
      <c r="BM16" s="18">
        <f>IF(C16&lt;&gt;"",BC16-'Data input'!C16,"")</f>
        <v>0.13514042870570642</v>
      </c>
      <c r="BN16" s="18" t="str">
        <f>IF(D16&lt;&gt;"",BD16-'Data input'!D16,"")</f>
        <v/>
      </c>
      <c r="BO16" s="18" t="str">
        <f>IF(E16&lt;&gt;"",BE16-'Data input'!E16,"")</f>
        <v/>
      </c>
      <c r="BP16" s="18" t="str">
        <f>IF(F16&lt;&gt;"",BF16-'Data input'!F16,"")</f>
        <v/>
      </c>
      <c r="BQ16" s="18" t="str">
        <f>IF(G16&lt;&gt;"",BG16-'Data input'!G16,"")</f>
        <v/>
      </c>
      <c r="BR16" s="19">
        <f>IF(H16&lt;&gt;"",BH16-'Data input'!H16,"")</f>
        <v>-7.4229956961358186</v>
      </c>
      <c r="BS16" s="18">
        <f>IF(I16&lt;&gt;"",BI16-'Data input'!I16,"")</f>
        <v>-1.2242537586268781E-2</v>
      </c>
      <c r="BT16" s="18" t="str">
        <f>IF(J16&lt;&gt;"",BJ16-'Data input'!J16,"")</f>
        <v/>
      </c>
      <c r="BU16" s="18" t="str">
        <f>IF(K16&lt;&gt;"",BK16-'Data input'!K16,"")</f>
        <v/>
      </c>
      <c r="BV16" s="72" t="str">
        <f>IF(L16&lt;&gt;"",BL16-'Data input'!L16,"")</f>
        <v/>
      </c>
      <c r="BW16" s="121" t="str">
        <f t="shared" si="17"/>
        <v xml:space="preserve">Texas; 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1.6171968082827552E-15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0.99999999999989464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FT16" s="1" t="str">
        <f t="shared" si="18"/>
        <v/>
      </c>
      <c r="FU16" s="1" t="str">
        <f t="shared" si="6"/>
        <v/>
      </c>
      <c r="FV16" s="1" t="str">
        <f t="shared" si="6"/>
        <v/>
      </c>
      <c r="FW16" s="1" t="str">
        <f t="shared" si="6"/>
        <v/>
      </c>
      <c r="FX16" s="1" t="str">
        <f t="shared" si="6"/>
        <v/>
      </c>
      <c r="FY16" s="1" t="str">
        <f t="shared" si="6"/>
        <v/>
      </c>
      <c r="FZ16" s="1" t="str">
        <f t="shared" si="6"/>
        <v/>
      </c>
      <c r="GA16" s="1" t="str">
        <f t="shared" si="6"/>
        <v/>
      </c>
      <c r="GB16" s="1" t="str">
        <f t="shared" si="6"/>
        <v/>
      </c>
      <c r="GC16" s="1" t="str">
        <f t="shared" si="6"/>
        <v/>
      </c>
      <c r="GD16" s="1" t="str">
        <f t="shared" si="6"/>
        <v/>
      </c>
      <c r="GE16" s="1" t="str">
        <f t="shared" si="6"/>
        <v/>
      </c>
      <c r="GF16" s="1" t="str">
        <f t="shared" si="6"/>
        <v/>
      </c>
      <c r="GG16" s="1" t="str">
        <f t="shared" si="6"/>
        <v/>
      </c>
      <c r="GH16" s="1" t="str">
        <f t="shared" si="6"/>
        <v/>
      </c>
      <c r="GI16" s="1" t="str">
        <f t="shared" si="6"/>
        <v/>
      </c>
      <c r="GJ16" s="1" t="str">
        <f t="shared" si="6"/>
        <v/>
      </c>
      <c r="GK16" s="1" t="str">
        <f t="shared" si="7"/>
        <v/>
      </c>
      <c r="GL16" s="1" t="str">
        <f t="shared" si="7"/>
        <v/>
      </c>
      <c r="GM16" s="1" t="str">
        <f t="shared" si="7"/>
        <v/>
      </c>
      <c r="GN16" s="1" t="str">
        <f t="shared" si="7"/>
        <v/>
      </c>
      <c r="GO16" s="1" t="str">
        <f t="shared" si="7"/>
        <v/>
      </c>
      <c r="GP16" s="1" t="str">
        <f t="shared" si="7"/>
        <v/>
      </c>
      <c r="GQ16" s="1" t="str">
        <f t="shared" si="7"/>
        <v/>
      </c>
      <c r="GR16" s="1" t="str">
        <f t="shared" si="7"/>
        <v/>
      </c>
      <c r="GS16" s="1" t="str">
        <f t="shared" si="7"/>
        <v/>
      </c>
      <c r="GT16" s="1" t="str">
        <f t="shared" si="7"/>
        <v/>
      </c>
      <c r="GU16" s="1" t="str">
        <f t="shared" si="7"/>
        <v/>
      </c>
      <c r="GV16" s="1" t="str">
        <f t="shared" si="7"/>
        <v/>
      </c>
      <c r="GW16" s="1" t="str">
        <f t="shared" si="7"/>
        <v/>
      </c>
      <c r="GX16" s="1" t="str">
        <f t="shared" si="7"/>
        <v/>
      </c>
      <c r="GY16" s="1" t="str">
        <f t="shared" si="7"/>
        <v/>
      </c>
      <c r="GZ16" s="1" t="str">
        <f t="shared" si="7"/>
        <v/>
      </c>
      <c r="HA16" s="1" t="str">
        <f t="shared" si="8"/>
        <v/>
      </c>
      <c r="HB16" s="1" t="str">
        <f t="shared" si="8"/>
        <v/>
      </c>
      <c r="HC16" s="1" t="str">
        <f t="shared" si="8"/>
        <v/>
      </c>
      <c r="HD16" s="1" t="str">
        <f t="shared" si="8"/>
        <v/>
      </c>
      <c r="HE16" s="1" t="str">
        <f t="shared" si="8"/>
        <v/>
      </c>
      <c r="HF16" s="1" t="str">
        <f t="shared" si="8"/>
        <v/>
      </c>
      <c r="HG16" s="1" t="str">
        <f t="shared" si="8"/>
        <v/>
      </c>
      <c r="HH16" s="1" t="str">
        <f t="shared" si="8"/>
        <v/>
      </c>
      <c r="HI16" s="1" t="str">
        <f t="shared" si="8"/>
        <v/>
      </c>
      <c r="HJ16" s="1" t="str">
        <f t="shared" si="8"/>
        <v xml:space="preserve">Texas; </v>
      </c>
      <c r="HK16" s="1" t="str">
        <f t="shared" si="8"/>
        <v/>
      </c>
      <c r="HL16" s="1" t="str">
        <f t="shared" si="8"/>
        <v/>
      </c>
      <c r="HM16" s="1" t="str">
        <f t="shared" si="8"/>
        <v/>
      </c>
      <c r="HN16" s="1" t="str">
        <f t="shared" si="8"/>
        <v/>
      </c>
      <c r="HO16" s="1" t="str">
        <f t="shared" si="8"/>
        <v/>
      </c>
      <c r="HP16" s="1" t="str">
        <f t="shared" si="8"/>
        <v/>
      </c>
      <c r="HQ16" s="1" t="str">
        <f t="shared" si="9"/>
        <v/>
      </c>
      <c r="HR16" s="1" t="str">
        <f t="shared" si="9"/>
        <v/>
      </c>
      <c r="HS16" s="1" t="str">
        <f t="shared" si="9"/>
        <v/>
      </c>
      <c r="HT16" s="1" t="str">
        <f t="shared" si="9"/>
        <v/>
      </c>
      <c r="HU16" s="1" t="str">
        <f t="shared" si="9"/>
        <v/>
      </c>
      <c r="HV16" s="1" t="str">
        <f t="shared" si="9"/>
        <v/>
      </c>
      <c r="HW16" s="1" t="str">
        <f t="shared" si="9"/>
        <v/>
      </c>
      <c r="HX16" s="1" t="str">
        <f t="shared" si="9"/>
        <v/>
      </c>
      <c r="HY16" s="1" t="str">
        <f t="shared" si="9"/>
        <v/>
      </c>
      <c r="HZ16" s="1" t="str">
        <f t="shared" si="9"/>
        <v/>
      </c>
      <c r="IA16" s="1" t="str">
        <f t="shared" si="9"/>
        <v/>
      </c>
      <c r="IB16" s="1" t="str">
        <f t="shared" si="9"/>
        <v/>
      </c>
      <c r="IC16" s="1" t="str">
        <f t="shared" si="9"/>
        <v/>
      </c>
      <c r="ID16" s="1" t="str">
        <f t="shared" si="9"/>
        <v/>
      </c>
      <c r="IE16" s="1" t="str">
        <f t="shared" si="9"/>
        <v/>
      </c>
      <c r="IF16" s="1" t="str">
        <f t="shared" si="9"/>
        <v/>
      </c>
      <c r="IG16" s="1" t="str">
        <f t="shared" si="10"/>
        <v/>
      </c>
      <c r="IH16" s="1" t="str">
        <f t="shared" si="10"/>
        <v/>
      </c>
      <c r="II16" s="1" t="str">
        <f t="shared" si="10"/>
        <v/>
      </c>
      <c r="IJ16" s="1" t="str">
        <f t="shared" si="10"/>
        <v/>
      </c>
      <c r="IK16" s="1" t="str">
        <f t="shared" si="10"/>
        <v/>
      </c>
      <c r="IL16" s="1" t="str">
        <f t="shared" si="10"/>
        <v/>
      </c>
      <c r="IM16" s="1" t="str">
        <f t="shared" si="10"/>
        <v/>
      </c>
      <c r="IN16" s="1" t="str">
        <f t="shared" si="10"/>
        <v/>
      </c>
      <c r="IO16" s="1" t="str">
        <f t="shared" si="10"/>
        <v/>
      </c>
      <c r="IP16" s="1" t="str">
        <f t="shared" si="10"/>
        <v/>
      </c>
      <c r="IQ16" s="1" t="str">
        <f t="shared" si="10"/>
        <v/>
      </c>
      <c r="IR16" s="1" t="str">
        <f t="shared" si="10"/>
        <v/>
      </c>
      <c r="IS16" s="1" t="str">
        <f t="shared" si="10"/>
        <v/>
      </c>
      <c r="IT16" s="1" t="str">
        <f t="shared" si="10"/>
        <v/>
      </c>
      <c r="IU16" s="1" t="str">
        <f t="shared" si="10"/>
        <v/>
      </c>
      <c r="IV16" s="1" t="str">
        <f t="shared" si="10"/>
        <v/>
      </c>
      <c r="IW16" s="1" t="str">
        <f t="shared" si="11"/>
        <v/>
      </c>
      <c r="IX16" s="1" t="str">
        <f t="shared" si="11"/>
        <v/>
      </c>
      <c r="IY16" s="1" t="str">
        <f t="shared" si="11"/>
        <v/>
      </c>
      <c r="IZ16" s="1" t="str">
        <f t="shared" si="11"/>
        <v/>
      </c>
      <c r="JA16" s="1" t="str">
        <f t="shared" si="11"/>
        <v/>
      </c>
      <c r="JB16" s="1" t="str">
        <f t="shared" si="11"/>
        <v/>
      </c>
      <c r="JC16" s="1" t="str">
        <f t="shared" si="11"/>
        <v/>
      </c>
      <c r="JD16" s="1" t="str">
        <f t="shared" si="11"/>
        <v/>
      </c>
      <c r="JE16" s="1" t="str">
        <f t="shared" si="11"/>
        <v/>
      </c>
      <c r="JF16" s="1" t="str">
        <f t="shared" si="11"/>
        <v/>
      </c>
      <c r="JG16" s="1" t="str">
        <f t="shared" si="11"/>
        <v/>
      </c>
      <c r="JH16" s="1" t="str">
        <f t="shared" si="11"/>
        <v/>
      </c>
      <c r="JI16" s="1" t="str">
        <f t="shared" si="11"/>
        <v/>
      </c>
      <c r="JJ16" s="1" t="str">
        <f t="shared" si="11"/>
        <v/>
      </c>
      <c r="JK16" s="1" t="str">
        <f t="shared" si="11"/>
        <v/>
      </c>
      <c r="JL16" s="1" t="str">
        <f t="shared" si="11"/>
        <v/>
      </c>
      <c r="JM16" s="1" t="str">
        <f t="shared" si="12"/>
        <v/>
      </c>
      <c r="JN16" s="1" t="str">
        <f t="shared" si="12"/>
        <v/>
      </c>
      <c r="JO16" s="1" t="str">
        <f t="shared" si="12"/>
        <v/>
      </c>
    </row>
    <row r="17" spans="1:275" ht="14.5" x14ac:dyDescent="0.35">
      <c r="A17" s="59">
        <f>IF('Data input'!A17&lt;&gt;"",'Data input'!A17,"")</f>
        <v>15</v>
      </c>
      <c r="B17" s="60" t="str">
        <f>IF('Data input'!B17&lt;&gt;"",'Data input'!B17,"")</f>
        <v>Indiana</v>
      </c>
      <c r="C17" s="19">
        <f>IF('Data input'!C17="","",4*('Data input'!C17-'Data input'!C$108)/('Data input'!C$109-'Data input'!C$108)+1)</f>
        <v>4.5476923595191288</v>
      </c>
      <c r="D17" s="19" t="str">
        <f>IF('Data input'!D17="","",4*('Data input'!D17-'Data input'!D$108)/('Data input'!D$109-'Data input'!D$108)+1)</f>
        <v/>
      </c>
      <c r="E17" s="19" t="str">
        <f>IF('Data input'!E17="","",4*('Data input'!E17-'Data input'!E$108)/('Data input'!E$109-'Data input'!E$108)+1)</f>
        <v/>
      </c>
      <c r="F17" s="19" t="str">
        <f>IF('Data input'!F17="","",4*('Data input'!F17-'Data input'!F$108)/('Data input'!F$109-'Data input'!F$108)+1)</f>
        <v/>
      </c>
      <c r="G17" s="19" t="str">
        <f>IF('Data input'!G17="","",4*('Data input'!G17-'Data input'!G$108)/('Data input'!G$109-'Data input'!G$108)+1)</f>
        <v/>
      </c>
      <c r="H17" s="61">
        <f>IF('Data input'!H17="","",4*('Data input'!H17-'Data input'!H$108)/('Data input'!H$109-'Data input'!H$108)+1)</f>
        <v>1.1157100160213387</v>
      </c>
      <c r="I17" s="19">
        <f>IF('Data input'!I17="","",4*('Data input'!I17-'Data input'!I$108)/('Data input'!I$109-'Data input'!I$108)+1)</f>
        <v>2.397168115073419</v>
      </c>
      <c r="J17" s="19" t="str">
        <f>IF('Data input'!J17="","",4*('Data input'!J17-'Data input'!J$108)/('Data input'!J$109-'Data input'!J$108)+1)</f>
        <v/>
      </c>
      <c r="K17" s="19" t="str">
        <f>IF('Data input'!K17="","",4*('Data input'!K17-'Data input'!K$108)/('Data input'!K$109-'Data input'!K$108)+1)</f>
        <v/>
      </c>
      <c r="L17" s="19" t="str">
        <f>IF('Data input'!L17="","",4*('Data input'!L17-'Data input'!L$108)/('Data input'!L$109-'Data input'!L$108)+1)</f>
        <v/>
      </c>
      <c r="M17" s="19">
        <f>IF('Data input'!M17="","",4*('Data input'!M17-'Data input'!M$108)/('Data input'!M$109-'Data input'!M$108)+1)</f>
        <v>2.3882777987435344</v>
      </c>
      <c r="N17" s="16" t="str">
        <f>IF('Data input'!N17="","",4*('Data input'!N17-'Data input'!N$108)/('Data input'!N$109-'Data input'!N$108)+1)</f>
        <v/>
      </c>
      <c r="O17" s="19" t="str">
        <f>IF('Data input'!O17="","",4*('Data input'!O17-'Data input'!O$108)/('Data input'!O$109-'Data input'!O$108)+1)</f>
        <v/>
      </c>
      <c r="P17" s="19" t="str">
        <f>IF('Data input'!P17="","",4*('Data input'!P17-'Data input'!P$108)/('Data input'!P$109-'Data input'!P$108)+1)</f>
        <v/>
      </c>
      <c r="Q17" s="19" t="str">
        <f>IF('Data input'!Q17="","",4*('Data input'!Q17-'Data input'!Q$108)/('Data input'!Q$109-'Data input'!Q$108)+1)</f>
        <v/>
      </c>
      <c r="R17" s="19" t="str">
        <f>IF('Data input'!R17="","",4*('Data input'!R17-'Data input'!R$108)/('Data input'!R$109-'Data input'!R$108)+1)</f>
        <v/>
      </c>
      <c r="S17" s="16" t="str">
        <f>IF('Data input'!S17="","",4*('Data input'!S17-'Data input'!S$108)/('Data input'!S$109-'Data input'!S$108)+1)</f>
        <v/>
      </c>
      <c r="T17" s="19" t="str">
        <f>IF('Data input'!T17="","",4*('Data input'!T17-'Data input'!T$108)/('Data input'!T$109-'Data input'!T$108)+1)</f>
        <v/>
      </c>
      <c r="U17" s="19" t="str">
        <f>IF('Data input'!U17="","",4*('Data input'!U17-'Data input'!U$108)/('Data input'!U$109-'Data input'!U$108)+1)</f>
        <v/>
      </c>
      <c r="V17" s="19" t="str">
        <f>IF('Data input'!V17="","",4*('Data input'!V17-'Data input'!V$108)/('Data input'!V$109-'Data input'!V$108)+1)</f>
        <v/>
      </c>
      <c r="W17" s="16" t="str">
        <f>IF('Data input'!W17="","",4*('Data input'!W17-'Data input'!W$108)/('Data input'!W$109-'Data input'!W$108)+1)</f>
        <v/>
      </c>
      <c r="X17" s="16" t="str">
        <f>IF('Data input'!X17="","",4*('Data input'!X17-'Data input'!X$108)/('Data input'!X$109-'Data input'!X$108)+1)</f>
        <v/>
      </c>
      <c r="Y17" s="16" t="str">
        <f>IF('Data input'!Y17="","",4*('Data input'!Y17-'Data input'!Y$108)/('Data input'!Y$109-'Data input'!Y$108)+1)</f>
        <v/>
      </c>
      <c r="Z17" s="16" t="str">
        <f>IF('Data input'!Z17="","",4*('Data input'!Z17-'Data input'!Z$108)/('Data input'!Z$109-'Data input'!Z$108)+1)</f>
        <v/>
      </c>
      <c r="AA17" s="62" t="str">
        <f>IF('Data input'!AA17="","",4*('Data input'!AA17-'Data input'!AA$108)/('Data input'!AA$109-'Data input'!AA$108)+1)</f>
        <v/>
      </c>
      <c r="AB17" s="78"/>
      <c r="AC17" s="79">
        <v>0</v>
      </c>
      <c r="AD17" s="80" t="e">
        <f t="shared" si="13"/>
        <v>#DIV/0!</v>
      </c>
      <c r="AE17" s="4"/>
      <c r="AF17" s="59">
        <f t="shared" si="14"/>
        <v>15</v>
      </c>
      <c r="AG17" s="60" t="str">
        <f t="shared" si="14"/>
        <v>Indiana</v>
      </c>
      <c r="AH17">
        <v>0.26275863183155918</v>
      </c>
      <c r="AI17" t="s">
        <v>69</v>
      </c>
      <c r="AJ17" t="s">
        <v>69</v>
      </c>
      <c r="AK17" t="s">
        <v>69</v>
      </c>
      <c r="AL17" t="s">
        <v>69</v>
      </c>
      <c r="AM17">
        <v>0.11571001602133899</v>
      </c>
      <c r="AN17">
        <v>0.24079570506538009</v>
      </c>
      <c r="AO17" t="s">
        <v>69</v>
      </c>
      <c r="AP17" t="s">
        <v>69</v>
      </c>
      <c r="AQ17" t="s">
        <v>69</v>
      </c>
      <c r="AR17">
        <v>0.80409113399478871</v>
      </c>
      <c r="AS17" s="71">
        <f t="shared" si="15"/>
        <v>4.8104509913506881</v>
      </c>
      <c r="AT17" s="71" t="str">
        <f t="shared" si="4"/>
        <v/>
      </c>
      <c r="AU17" s="71" t="str">
        <f t="shared" si="4"/>
        <v/>
      </c>
      <c r="AV17" s="71" t="str">
        <f t="shared" si="4"/>
        <v/>
      </c>
      <c r="AW17" s="71" t="str">
        <f t="shared" si="4"/>
        <v/>
      </c>
      <c r="AX17" s="71">
        <f t="shared" si="16"/>
        <v>0.99999999999999967</v>
      </c>
      <c r="AY17" s="71">
        <f t="shared" si="5"/>
        <v>2.1563724100080388</v>
      </c>
      <c r="AZ17" s="71" t="str">
        <f t="shared" si="5"/>
        <v/>
      </c>
      <c r="BA17" s="71" t="str">
        <f t="shared" si="5"/>
        <v/>
      </c>
      <c r="BB17" s="71" t="str">
        <f t="shared" si="5"/>
        <v/>
      </c>
      <c r="BC17" s="18">
        <f>IF(C17&lt;&gt;"",(('Data input'!C$109-'Data input'!C$108)*(AS17-1)/4)+'Data input'!C$108,"")</f>
        <v>0.98941069311539165</v>
      </c>
      <c r="BD17" s="18" t="str">
        <f>IF(D17&lt;&gt;"",(('Data input'!D$109-'Data input'!D$108)*(AT17-1)/4)+'Data input'!D$108,"")</f>
        <v/>
      </c>
      <c r="BE17" s="18" t="str">
        <f>IF(E17&lt;&gt;"",(('Data input'!E$109-'Data input'!E$108)*(AU17-1)/4)+'Data input'!E$108,"")</f>
        <v/>
      </c>
      <c r="BF17" s="18" t="str">
        <f>IF(F17&lt;&gt;"",(('Data input'!F$109-'Data input'!F$108)*(AV17-1)/4)+'Data input'!F$108,"")</f>
        <v/>
      </c>
      <c r="BG17" s="18" t="str">
        <f>IF(G17&lt;&gt;"",(('Data input'!G$109-'Data input'!G$108)*(AW17-1)/4)+'Data input'!G$108,"")</f>
        <v/>
      </c>
      <c r="BH17" s="19">
        <f>IF(H17&lt;&gt;"",(('Data input'!H$109-'Data input'!H$108)*(AX17-1)/4)+'Data input'!H$108,"")</f>
        <v>0.29574268608401988</v>
      </c>
      <c r="BI17" s="18">
        <f>IF(I17&lt;&gt;"",(('Data input'!I$109-'Data input'!I$108)*(AY17-1)/4)+'Data input'!I$108,"")</f>
        <v>5.0774546141354827E-2</v>
      </c>
      <c r="BJ17" s="19" t="str">
        <f>IF(J17&lt;&gt;"",(('Data input'!J$109-'Data input'!J$108)*(AZ17-1)/4)+'Data input'!J$108,"")</f>
        <v/>
      </c>
      <c r="BK17" s="19" t="str">
        <f>IF(K17&lt;&gt;"",(('Data input'!K$109-'Data input'!K$108)*(BA17-1)/4)+'Data input'!K$108,"")</f>
        <v/>
      </c>
      <c r="BL17" s="19" t="str">
        <f>IF(L17&lt;&gt;"",(('Data input'!L$109-'Data input'!L$108)*(BB17-1)/4)+'Data input'!L$108,"")</f>
        <v/>
      </c>
      <c r="BM17" s="18">
        <f>IF(C17&lt;&gt;"",BC17-'Data input'!C17,"")</f>
        <v>9.5400220366161914E-3</v>
      </c>
      <c r="BN17" s="18" t="str">
        <f>IF(D17&lt;&gt;"",BD17-'Data input'!D17,"")</f>
        <v/>
      </c>
      <c r="BO17" s="18" t="str">
        <f>IF(E17&lt;&gt;"",BE17-'Data input'!E17,"")</f>
        <v/>
      </c>
      <c r="BP17" s="18" t="str">
        <f>IF(F17&lt;&gt;"",BF17-'Data input'!F17,"")</f>
        <v/>
      </c>
      <c r="BQ17" s="18" t="str">
        <f>IF(G17&lt;&gt;"",BG17-'Data input'!G17,"")</f>
        <v/>
      </c>
      <c r="BR17" s="19">
        <f>IF(H17&lt;&gt;"",BH17-'Data input'!H17,"")</f>
        <v>-2.5199131529542682</v>
      </c>
      <c r="BS17" s="18">
        <f>IF(I17&lt;&gt;"",BI17-'Data input'!I17,"")</f>
        <v>-1.0572971589141625E-2</v>
      </c>
      <c r="BT17" s="18" t="str">
        <f>IF(J17&lt;&gt;"",BJ17-'Data input'!J17,"")</f>
        <v/>
      </c>
      <c r="BU17" s="18" t="str">
        <f>IF(K17&lt;&gt;"",BK17-'Data input'!K17,"")</f>
        <v/>
      </c>
      <c r="BV17" s="72" t="str">
        <f>IF(L17&lt;&gt;"",BL17-'Data input'!L17,"")</f>
        <v/>
      </c>
      <c r="BW17" s="121" t="str">
        <f t="shared" si="17"/>
        <v xml:space="preserve">Texas; 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5.0105676107745987E-17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0.99999999999999822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FT17" s="1" t="str">
        <f t="shared" si="18"/>
        <v/>
      </c>
      <c r="FU17" s="1" t="str">
        <f t="shared" si="6"/>
        <v/>
      </c>
      <c r="FV17" s="1" t="str">
        <f t="shared" si="6"/>
        <v/>
      </c>
      <c r="FW17" s="1" t="str">
        <f t="shared" si="6"/>
        <v/>
      </c>
      <c r="FX17" s="1" t="str">
        <f t="shared" si="6"/>
        <v/>
      </c>
      <c r="FY17" s="1" t="str">
        <f t="shared" si="6"/>
        <v/>
      </c>
      <c r="FZ17" s="1" t="str">
        <f t="shared" si="6"/>
        <v/>
      </c>
      <c r="GA17" s="1" t="str">
        <f t="shared" si="6"/>
        <v/>
      </c>
      <c r="GB17" s="1" t="str">
        <f t="shared" si="6"/>
        <v/>
      </c>
      <c r="GC17" s="1" t="str">
        <f t="shared" si="6"/>
        <v/>
      </c>
      <c r="GD17" s="1" t="str">
        <f t="shared" si="6"/>
        <v/>
      </c>
      <c r="GE17" s="1" t="str">
        <f t="shared" si="6"/>
        <v/>
      </c>
      <c r="GF17" s="1" t="str">
        <f t="shared" si="6"/>
        <v/>
      </c>
      <c r="GG17" s="1" t="str">
        <f t="shared" si="6"/>
        <v/>
      </c>
      <c r="GH17" s="1" t="str">
        <f t="shared" si="6"/>
        <v/>
      </c>
      <c r="GI17" s="1" t="str">
        <f t="shared" si="6"/>
        <v/>
      </c>
      <c r="GJ17" s="1" t="str">
        <f t="shared" si="6"/>
        <v/>
      </c>
      <c r="GK17" s="1" t="str">
        <f t="shared" si="7"/>
        <v/>
      </c>
      <c r="GL17" s="1" t="str">
        <f t="shared" si="7"/>
        <v/>
      </c>
      <c r="GM17" s="1" t="str">
        <f t="shared" si="7"/>
        <v/>
      </c>
      <c r="GN17" s="1" t="str">
        <f t="shared" si="7"/>
        <v/>
      </c>
      <c r="GO17" s="1" t="str">
        <f t="shared" si="7"/>
        <v/>
      </c>
      <c r="GP17" s="1" t="str">
        <f t="shared" si="7"/>
        <v/>
      </c>
      <c r="GQ17" s="1" t="str">
        <f t="shared" si="7"/>
        <v/>
      </c>
      <c r="GR17" s="1" t="str">
        <f t="shared" si="7"/>
        <v/>
      </c>
      <c r="GS17" s="1" t="str">
        <f t="shared" si="7"/>
        <v/>
      </c>
      <c r="GT17" s="1" t="str">
        <f t="shared" si="7"/>
        <v/>
      </c>
      <c r="GU17" s="1" t="str">
        <f t="shared" si="7"/>
        <v/>
      </c>
      <c r="GV17" s="1" t="str">
        <f t="shared" si="7"/>
        <v/>
      </c>
      <c r="GW17" s="1" t="str">
        <f t="shared" si="7"/>
        <v/>
      </c>
      <c r="GX17" s="1" t="str">
        <f t="shared" si="7"/>
        <v/>
      </c>
      <c r="GY17" s="1" t="str">
        <f t="shared" si="7"/>
        <v/>
      </c>
      <c r="GZ17" s="1" t="str">
        <f t="shared" si="7"/>
        <v/>
      </c>
      <c r="HA17" s="1" t="str">
        <f t="shared" si="8"/>
        <v/>
      </c>
      <c r="HB17" s="1" t="str">
        <f t="shared" si="8"/>
        <v/>
      </c>
      <c r="HC17" s="1" t="str">
        <f t="shared" si="8"/>
        <v/>
      </c>
      <c r="HD17" s="1" t="str">
        <f t="shared" si="8"/>
        <v/>
      </c>
      <c r="HE17" s="1" t="str">
        <f t="shared" si="8"/>
        <v/>
      </c>
      <c r="HF17" s="1" t="str">
        <f t="shared" si="8"/>
        <v/>
      </c>
      <c r="HG17" s="1" t="str">
        <f t="shared" si="8"/>
        <v/>
      </c>
      <c r="HH17" s="1" t="str">
        <f t="shared" si="8"/>
        <v/>
      </c>
      <c r="HI17" s="1" t="str">
        <f t="shared" si="8"/>
        <v/>
      </c>
      <c r="HJ17" s="1" t="str">
        <f t="shared" si="8"/>
        <v xml:space="preserve">Texas; </v>
      </c>
      <c r="HK17" s="1" t="str">
        <f t="shared" si="8"/>
        <v/>
      </c>
      <c r="HL17" s="1" t="str">
        <f t="shared" si="8"/>
        <v/>
      </c>
      <c r="HM17" s="1" t="str">
        <f t="shared" si="8"/>
        <v/>
      </c>
      <c r="HN17" s="1" t="str">
        <f t="shared" si="8"/>
        <v/>
      </c>
      <c r="HO17" s="1" t="str">
        <f t="shared" si="8"/>
        <v/>
      </c>
      <c r="HP17" s="1" t="str">
        <f t="shared" si="8"/>
        <v/>
      </c>
      <c r="HQ17" s="1" t="str">
        <f t="shared" si="9"/>
        <v/>
      </c>
      <c r="HR17" s="1" t="str">
        <f t="shared" si="9"/>
        <v/>
      </c>
      <c r="HS17" s="1" t="str">
        <f t="shared" si="9"/>
        <v/>
      </c>
      <c r="HT17" s="1" t="str">
        <f t="shared" si="9"/>
        <v/>
      </c>
      <c r="HU17" s="1" t="str">
        <f t="shared" si="9"/>
        <v/>
      </c>
      <c r="HV17" s="1" t="str">
        <f t="shared" si="9"/>
        <v/>
      </c>
      <c r="HW17" s="1" t="str">
        <f t="shared" si="9"/>
        <v/>
      </c>
      <c r="HX17" s="1" t="str">
        <f t="shared" si="9"/>
        <v/>
      </c>
      <c r="HY17" s="1" t="str">
        <f t="shared" si="9"/>
        <v/>
      </c>
      <c r="HZ17" s="1" t="str">
        <f t="shared" si="9"/>
        <v/>
      </c>
      <c r="IA17" s="1" t="str">
        <f t="shared" si="9"/>
        <v/>
      </c>
      <c r="IB17" s="1" t="str">
        <f t="shared" si="9"/>
        <v/>
      </c>
      <c r="IC17" s="1" t="str">
        <f t="shared" si="9"/>
        <v/>
      </c>
      <c r="ID17" s="1" t="str">
        <f t="shared" si="9"/>
        <v/>
      </c>
      <c r="IE17" s="1" t="str">
        <f t="shared" si="9"/>
        <v/>
      </c>
      <c r="IF17" s="1" t="str">
        <f t="shared" si="9"/>
        <v/>
      </c>
      <c r="IG17" s="1" t="str">
        <f t="shared" si="10"/>
        <v/>
      </c>
      <c r="IH17" s="1" t="str">
        <f t="shared" si="10"/>
        <v/>
      </c>
      <c r="II17" s="1" t="str">
        <f t="shared" si="10"/>
        <v/>
      </c>
      <c r="IJ17" s="1" t="str">
        <f t="shared" si="10"/>
        <v/>
      </c>
      <c r="IK17" s="1" t="str">
        <f t="shared" si="10"/>
        <v/>
      </c>
      <c r="IL17" s="1" t="str">
        <f t="shared" si="10"/>
        <v/>
      </c>
      <c r="IM17" s="1" t="str">
        <f t="shared" si="10"/>
        <v/>
      </c>
      <c r="IN17" s="1" t="str">
        <f t="shared" si="10"/>
        <v/>
      </c>
      <c r="IO17" s="1" t="str">
        <f t="shared" si="10"/>
        <v/>
      </c>
      <c r="IP17" s="1" t="str">
        <f t="shared" si="10"/>
        <v/>
      </c>
      <c r="IQ17" s="1" t="str">
        <f t="shared" si="10"/>
        <v/>
      </c>
      <c r="IR17" s="1" t="str">
        <f t="shared" si="10"/>
        <v/>
      </c>
      <c r="IS17" s="1" t="str">
        <f t="shared" si="10"/>
        <v/>
      </c>
      <c r="IT17" s="1" t="str">
        <f t="shared" si="10"/>
        <v/>
      </c>
      <c r="IU17" s="1" t="str">
        <f t="shared" si="10"/>
        <v/>
      </c>
      <c r="IV17" s="1" t="str">
        <f t="shared" si="10"/>
        <v/>
      </c>
      <c r="IW17" s="1" t="str">
        <f t="shared" si="11"/>
        <v/>
      </c>
      <c r="IX17" s="1" t="str">
        <f t="shared" si="11"/>
        <v/>
      </c>
      <c r="IY17" s="1" t="str">
        <f t="shared" si="11"/>
        <v/>
      </c>
      <c r="IZ17" s="1" t="str">
        <f t="shared" si="11"/>
        <v/>
      </c>
      <c r="JA17" s="1" t="str">
        <f t="shared" si="11"/>
        <v/>
      </c>
      <c r="JB17" s="1" t="str">
        <f t="shared" si="11"/>
        <v/>
      </c>
      <c r="JC17" s="1" t="str">
        <f t="shared" si="11"/>
        <v/>
      </c>
      <c r="JD17" s="1" t="str">
        <f t="shared" si="11"/>
        <v/>
      </c>
      <c r="JE17" s="1" t="str">
        <f t="shared" si="11"/>
        <v/>
      </c>
      <c r="JF17" s="1" t="str">
        <f t="shared" si="11"/>
        <v/>
      </c>
      <c r="JG17" s="1" t="str">
        <f t="shared" si="11"/>
        <v/>
      </c>
      <c r="JH17" s="1" t="str">
        <f t="shared" si="11"/>
        <v/>
      </c>
      <c r="JI17" s="1" t="str">
        <f t="shared" si="11"/>
        <v/>
      </c>
      <c r="JJ17" s="1" t="str">
        <f t="shared" si="11"/>
        <v/>
      </c>
      <c r="JK17" s="1" t="str">
        <f t="shared" si="11"/>
        <v/>
      </c>
      <c r="JL17" s="1" t="str">
        <f t="shared" si="11"/>
        <v/>
      </c>
      <c r="JM17" s="1" t="str">
        <f t="shared" si="12"/>
        <v/>
      </c>
      <c r="JN17" s="1" t="str">
        <f t="shared" si="12"/>
        <v/>
      </c>
      <c r="JO17" s="1" t="str">
        <f t="shared" si="12"/>
        <v/>
      </c>
    </row>
    <row r="18" spans="1:275" ht="14.5" x14ac:dyDescent="0.35">
      <c r="A18" s="59">
        <f>IF('Data input'!A18&lt;&gt;"",'Data input'!A18,"")</f>
        <v>16</v>
      </c>
      <c r="B18" s="60" t="str">
        <f>IF('Data input'!B18&lt;&gt;"",'Data input'!B18,"")</f>
        <v>Iowa</v>
      </c>
      <c r="C18" s="19">
        <f>IF('Data input'!C18="","",4*('Data input'!C18-'Data input'!C$108)/('Data input'!C$109-'Data input'!C$108)+1)</f>
        <v>4.4317285054644895</v>
      </c>
      <c r="D18" s="19" t="str">
        <f>IF('Data input'!D18="","",4*('Data input'!D18-'Data input'!D$108)/('Data input'!D$109-'Data input'!D$108)+1)</f>
        <v/>
      </c>
      <c r="E18" s="19" t="str">
        <f>IF('Data input'!E18="","",4*('Data input'!E18-'Data input'!E$108)/('Data input'!E$109-'Data input'!E$108)+1)</f>
        <v/>
      </c>
      <c r="F18" s="19" t="str">
        <f>IF('Data input'!F18="","",4*('Data input'!F18-'Data input'!F$108)/('Data input'!F$109-'Data input'!F$108)+1)</f>
        <v/>
      </c>
      <c r="G18" s="19" t="str">
        <f>IF('Data input'!G18="","",4*('Data input'!G18-'Data input'!G$108)/('Data input'!G$109-'Data input'!G$108)+1)</f>
        <v/>
      </c>
      <c r="H18" s="61">
        <f>IF('Data input'!H18="","",4*('Data input'!H18-'Data input'!H$108)/('Data input'!H$109-'Data input'!H$108)+1)</f>
        <v>1.5985625383447717</v>
      </c>
      <c r="I18" s="19">
        <f>IF('Data input'!I18="","",4*('Data input'!I18-'Data input'!I$108)/('Data input'!I$109-'Data input'!I$108)+1)</f>
        <v>2.8057289106413901</v>
      </c>
      <c r="J18" s="19" t="str">
        <f>IF('Data input'!J18="","",4*('Data input'!J18-'Data input'!J$108)/('Data input'!J$109-'Data input'!J$108)+1)</f>
        <v/>
      </c>
      <c r="K18" s="19" t="str">
        <f>IF('Data input'!K18="","",4*('Data input'!K18-'Data input'!K$108)/('Data input'!K$109-'Data input'!K$108)+1)</f>
        <v/>
      </c>
      <c r="L18" s="19" t="str">
        <f>IF('Data input'!L18="","",4*('Data input'!L18-'Data input'!L$108)/('Data input'!L$109-'Data input'!L$108)+1)</f>
        <v/>
      </c>
      <c r="M18" s="19">
        <f>IF('Data input'!M18="","",4*('Data input'!M18-'Data input'!M$108)/('Data input'!M$109-'Data input'!M$108)+1)</f>
        <v>1.2535749698463086</v>
      </c>
      <c r="N18" s="16" t="str">
        <f>IF('Data input'!N18="","",4*('Data input'!N18-'Data input'!N$108)/('Data input'!N$109-'Data input'!N$108)+1)</f>
        <v/>
      </c>
      <c r="O18" s="19" t="str">
        <f>IF('Data input'!O18="","",4*('Data input'!O18-'Data input'!O$108)/('Data input'!O$109-'Data input'!O$108)+1)</f>
        <v/>
      </c>
      <c r="P18" s="19" t="str">
        <f>IF('Data input'!P18="","",4*('Data input'!P18-'Data input'!P$108)/('Data input'!P$109-'Data input'!P$108)+1)</f>
        <v/>
      </c>
      <c r="Q18" s="19" t="str">
        <f>IF('Data input'!Q18="","",4*('Data input'!Q18-'Data input'!Q$108)/('Data input'!Q$109-'Data input'!Q$108)+1)</f>
        <v/>
      </c>
      <c r="R18" s="19" t="str">
        <f>IF('Data input'!R18="","",4*('Data input'!R18-'Data input'!R$108)/('Data input'!R$109-'Data input'!R$108)+1)</f>
        <v/>
      </c>
      <c r="S18" s="16" t="str">
        <f>IF('Data input'!S18="","",4*('Data input'!S18-'Data input'!S$108)/('Data input'!S$109-'Data input'!S$108)+1)</f>
        <v/>
      </c>
      <c r="T18" s="19" t="str">
        <f>IF('Data input'!T18="","",4*('Data input'!T18-'Data input'!T$108)/('Data input'!T$109-'Data input'!T$108)+1)</f>
        <v/>
      </c>
      <c r="U18" s="19" t="str">
        <f>IF('Data input'!U18="","",4*('Data input'!U18-'Data input'!U$108)/('Data input'!U$109-'Data input'!U$108)+1)</f>
        <v/>
      </c>
      <c r="V18" s="19" t="str">
        <f>IF('Data input'!V18="","",4*('Data input'!V18-'Data input'!V$108)/('Data input'!V$109-'Data input'!V$108)+1)</f>
        <v/>
      </c>
      <c r="W18" s="16" t="str">
        <f>IF('Data input'!W18="","",4*('Data input'!W18-'Data input'!W$108)/('Data input'!W$109-'Data input'!W$108)+1)</f>
        <v/>
      </c>
      <c r="X18" s="16" t="str">
        <f>IF('Data input'!X18="","",4*('Data input'!X18-'Data input'!X$108)/('Data input'!X$109-'Data input'!X$108)+1)</f>
        <v/>
      </c>
      <c r="Y18" s="16" t="str">
        <f>IF('Data input'!Y18="","",4*('Data input'!Y18-'Data input'!Y$108)/('Data input'!Y$109-'Data input'!Y$108)+1)</f>
        <v/>
      </c>
      <c r="Z18" s="16" t="str">
        <f>IF('Data input'!Z18="","",4*('Data input'!Z18-'Data input'!Z$108)/('Data input'!Z$109-'Data input'!Z$108)+1)</f>
        <v/>
      </c>
      <c r="AA18" s="62" t="str">
        <f>IF('Data input'!AA18="","",4*('Data input'!AA18-'Data input'!AA$108)/('Data input'!AA$109-'Data input'!AA$108)+1)</f>
        <v/>
      </c>
      <c r="AB18" s="78"/>
      <c r="AC18" s="79">
        <v>0</v>
      </c>
      <c r="AD18" s="80" t="e">
        <f t="shared" si="13"/>
        <v>#DIV/0!</v>
      </c>
      <c r="AE18" s="4"/>
      <c r="AF18" s="59">
        <f t="shared" si="14"/>
        <v>16</v>
      </c>
      <c r="AG18" s="60" t="str">
        <f t="shared" si="14"/>
        <v>Iowa</v>
      </c>
      <c r="AH18">
        <v>0.37583591034279717</v>
      </c>
      <c r="AI18" t="s">
        <v>69</v>
      </c>
      <c r="AJ18" t="s">
        <v>69</v>
      </c>
      <c r="AK18" t="s">
        <v>69</v>
      </c>
      <c r="AL18" t="s">
        <v>69</v>
      </c>
      <c r="AM18">
        <v>0.59856253834477169</v>
      </c>
      <c r="AN18">
        <v>0.31255282685963653</v>
      </c>
      <c r="AO18" t="s">
        <v>69</v>
      </c>
      <c r="AP18" t="s">
        <v>69</v>
      </c>
      <c r="AQ18" t="s">
        <v>69</v>
      </c>
      <c r="AR18">
        <v>0.6388871912819889</v>
      </c>
      <c r="AS18" s="71">
        <f t="shared" si="15"/>
        <v>4.8075644158072866</v>
      </c>
      <c r="AT18" s="71" t="str">
        <f t="shared" si="4"/>
        <v/>
      </c>
      <c r="AU18" s="71" t="str">
        <f t="shared" si="4"/>
        <v/>
      </c>
      <c r="AV18" s="71" t="str">
        <f t="shared" si="4"/>
        <v/>
      </c>
      <c r="AW18" s="71" t="str">
        <f t="shared" si="4"/>
        <v/>
      </c>
      <c r="AX18" s="71">
        <f t="shared" si="16"/>
        <v>1</v>
      </c>
      <c r="AY18" s="71">
        <f t="shared" si="5"/>
        <v>2.4931760837817536</v>
      </c>
      <c r="AZ18" s="71" t="str">
        <f t="shared" si="5"/>
        <v/>
      </c>
      <c r="BA18" s="71" t="str">
        <f t="shared" si="5"/>
        <v/>
      </c>
      <c r="BB18" s="71" t="str">
        <f t="shared" si="5"/>
        <v/>
      </c>
      <c r="BC18" s="18">
        <f>IF(C18&lt;&gt;"",(('Data input'!C$109-'Data input'!C$108)*(AS18-1)/4)+'Data input'!C$108,"")</f>
        <v>0.98930588972947631</v>
      </c>
      <c r="BD18" s="18" t="str">
        <f>IF(D18&lt;&gt;"",(('Data input'!D$109-'Data input'!D$108)*(AT18-1)/4)+'Data input'!D$108,"")</f>
        <v/>
      </c>
      <c r="BE18" s="18" t="str">
        <f>IF(E18&lt;&gt;"",(('Data input'!E$109-'Data input'!E$108)*(AU18-1)/4)+'Data input'!E$108,"")</f>
        <v/>
      </c>
      <c r="BF18" s="18" t="str">
        <f>IF(F18&lt;&gt;"",(('Data input'!F$109-'Data input'!F$108)*(AV18-1)/4)+'Data input'!F$108,"")</f>
        <v/>
      </c>
      <c r="BG18" s="18" t="str">
        <f>IF(G18&lt;&gt;"",(('Data input'!G$109-'Data input'!G$108)*(AW18-1)/4)+'Data input'!G$108,"")</f>
        <v/>
      </c>
      <c r="BH18" s="19">
        <f>IF(H18&lt;&gt;"",(('Data input'!H$109-'Data input'!H$108)*(AX18-1)/4)+'Data input'!H$108,"")</f>
        <v>0.29574268608402715</v>
      </c>
      <c r="BI18" s="18">
        <f>IF(I18&lt;&gt;"",(('Data input'!I$109-'Data input'!I$108)*(AY18-1)/4)+'Data input'!I$108,"")</f>
        <v>6.5563080982377564E-2</v>
      </c>
      <c r="BJ18" s="19" t="str">
        <f>IF(J18&lt;&gt;"",(('Data input'!J$109-'Data input'!J$108)*(AZ18-1)/4)+'Data input'!J$108,"")</f>
        <v/>
      </c>
      <c r="BK18" s="19" t="str">
        <f>IF(K18&lt;&gt;"",(('Data input'!K$109-'Data input'!K$108)*(BA18-1)/4)+'Data input'!K$108,"")</f>
        <v/>
      </c>
      <c r="BL18" s="19" t="str">
        <f>IF(L18&lt;&gt;"",(('Data input'!L$109-'Data input'!L$108)*(BB18-1)/4)+'Data input'!L$108,"")</f>
        <v/>
      </c>
      <c r="BM18" s="18">
        <f>IF(C18&lt;&gt;"",BC18-'Data input'!C18,"")</f>
        <v>1.3645537890912829E-2</v>
      </c>
      <c r="BN18" s="18" t="str">
        <f>IF(D18&lt;&gt;"",BD18-'Data input'!D18,"")</f>
        <v/>
      </c>
      <c r="BO18" s="18" t="str">
        <f>IF(E18&lt;&gt;"",BE18-'Data input'!E18,"")</f>
        <v/>
      </c>
      <c r="BP18" s="18" t="str">
        <f>IF(F18&lt;&gt;"",BF18-'Data input'!F18,"")</f>
        <v/>
      </c>
      <c r="BQ18" s="18" t="str">
        <f>IF(G18&lt;&gt;"",BG18-'Data input'!G18,"")</f>
        <v/>
      </c>
      <c r="BR18" s="19">
        <f>IF(H18&lt;&gt;"",BH18-'Data input'!H18,"")</f>
        <v>-13.035393694548638</v>
      </c>
      <c r="BS18" s="18">
        <f>IF(I18&lt;&gt;"",BI18-'Data input'!I18,"")</f>
        <v>-1.3723717196681612E-2</v>
      </c>
      <c r="BT18" s="18" t="str">
        <f>IF(J18&lt;&gt;"",BJ18-'Data input'!J18,"")</f>
        <v/>
      </c>
      <c r="BU18" s="18" t="str">
        <f>IF(K18&lt;&gt;"",BK18-'Data input'!K18,"")</f>
        <v/>
      </c>
      <c r="BV18" s="72" t="str">
        <f>IF(L18&lt;&gt;"",BL18-'Data input'!L18,"")</f>
        <v/>
      </c>
      <c r="BW18" s="121" t="str">
        <f t="shared" si="17"/>
        <v xml:space="preserve">Texas; 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0.99999999999999312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FT18" s="1" t="str">
        <f t="shared" si="18"/>
        <v/>
      </c>
      <c r="FU18" s="1" t="str">
        <f t="shared" si="6"/>
        <v/>
      </c>
      <c r="FV18" s="1" t="str">
        <f t="shared" si="6"/>
        <v/>
      </c>
      <c r="FW18" s="1" t="str">
        <f t="shared" si="6"/>
        <v/>
      </c>
      <c r="FX18" s="1" t="str">
        <f t="shared" si="6"/>
        <v/>
      </c>
      <c r="FY18" s="1" t="str">
        <f t="shared" si="6"/>
        <v/>
      </c>
      <c r="FZ18" s="1" t="str">
        <f t="shared" si="6"/>
        <v/>
      </c>
      <c r="GA18" s="1" t="str">
        <f t="shared" si="6"/>
        <v/>
      </c>
      <c r="GB18" s="1" t="str">
        <f t="shared" si="6"/>
        <v/>
      </c>
      <c r="GC18" s="1" t="str">
        <f t="shared" si="6"/>
        <v/>
      </c>
      <c r="GD18" s="1" t="str">
        <f t="shared" si="6"/>
        <v/>
      </c>
      <c r="GE18" s="1" t="str">
        <f t="shared" si="6"/>
        <v/>
      </c>
      <c r="GF18" s="1" t="str">
        <f t="shared" si="6"/>
        <v/>
      </c>
      <c r="GG18" s="1" t="str">
        <f t="shared" si="6"/>
        <v/>
      </c>
      <c r="GH18" s="1" t="str">
        <f t="shared" si="6"/>
        <v/>
      </c>
      <c r="GI18" s="1" t="str">
        <f t="shared" si="6"/>
        <v/>
      </c>
      <c r="GJ18" s="1" t="str">
        <f t="shared" ref="GJ18:GY34" si="19">IF(CN18&gt;0.0001,CONCATENATE(CN$2,"; "),"")</f>
        <v/>
      </c>
      <c r="GK18" s="1" t="str">
        <f t="shared" si="7"/>
        <v/>
      </c>
      <c r="GL18" s="1" t="str">
        <f t="shared" si="7"/>
        <v/>
      </c>
      <c r="GM18" s="1" t="str">
        <f t="shared" si="7"/>
        <v/>
      </c>
      <c r="GN18" s="1" t="str">
        <f t="shared" si="7"/>
        <v/>
      </c>
      <c r="GO18" s="1" t="str">
        <f t="shared" si="7"/>
        <v/>
      </c>
      <c r="GP18" s="1" t="str">
        <f t="shared" si="7"/>
        <v/>
      </c>
      <c r="GQ18" s="1" t="str">
        <f t="shared" si="7"/>
        <v/>
      </c>
      <c r="GR18" s="1" t="str">
        <f t="shared" si="7"/>
        <v/>
      </c>
      <c r="GS18" s="1" t="str">
        <f t="shared" si="7"/>
        <v/>
      </c>
      <c r="GT18" s="1" t="str">
        <f t="shared" si="7"/>
        <v/>
      </c>
      <c r="GU18" s="1" t="str">
        <f t="shared" si="7"/>
        <v/>
      </c>
      <c r="GV18" s="1" t="str">
        <f t="shared" si="7"/>
        <v/>
      </c>
      <c r="GW18" s="1" t="str">
        <f t="shared" si="7"/>
        <v/>
      </c>
      <c r="GX18" s="1" t="str">
        <f t="shared" si="7"/>
        <v/>
      </c>
      <c r="GY18" s="1" t="str">
        <f t="shared" si="7"/>
        <v/>
      </c>
      <c r="GZ18" s="1" t="str">
        <f t="shared" ref="GZ18:HO34" si="20">IF(DD18&gt;0.0001,CONCATENATE(DD$2,"; "),"")</f>
        <v/>
      </c>
      <c r="HA18" s="1" t="str">
        <f t="shared" si="8"/>
        <v/>
      </c>
      <c r="HB18" s="1" t="str">
        <f t="shared" si="8"/>
        <v/>
      </c>
      <c r="HC18" s="1" t="str">
        <f t="shared" si="8"/>
        <v/>
      </c>
      <c r="HD18" s="1" t="str">
        <f t="shared" si="8"/>
        <v/>
      </c>
      <c r="HE18" s="1" t="str">
        <f t="shared" si="8"/>
        <v/>
      </c>
      <c r="HF18" s="1" t="str">
        <f t="shared" si="8"/>
        <v/>
      </c>
      <c r="HG18" s="1" t="str">
        <f t="shared" si="8"/>
        <v/>
      </c>
      <c r="HH18" s="1" t="str">
        <f t="shared" si="8"/>
        <v/>
      </c>
      <c r="HI18" s="1" t="str">
        <f t="shared" si="8"/>
        <v/>
      </c>
      <c r="HJ18" s="1" t="str">
        <f t="shared" si="8"/>
        <v xml:space="preserve">Texas; </v>
      </c>
      <c r="HK18" s="1" t="str">
        <f t="shared" si="8"/>
        <v/>
      </c>
      <c r="HL18" s="1" t="str">
        <f t="shared" si="8"/>
        <v/>
      </c>
      <c r="HM18" s="1" t="str">
        <f t="shared" si="8"/>
        <v/>
      </c>
      <c r="HN18" s="1" t="str">
        <f t="shared" si="8"/>
        <v/>
      </c>
      <c r="HO18" s="1" t="str">
        <f t="shared" si="8"/>
        <v/>
      </c>
      <c r="HP18" s="1" t="str">
        <f t="shared" ref="HP18:IE34" si="21">IF(DT18&gt;0.0001,CONCATENATE(DT$2,"; "),"")</f>
        <v/>
      </c>
      <c r="HQ18" s="1" t="str">
        <f t="shared" si="9"/>
        <v/>
      </c>
      <c r="HR18" s="1" t="str">
        <f t="shared" si="9"/>
        <v/>
      </c>
      <c r="HS18" s="1" t="str">
        <f t="shared" si="9"/>
        <v/>
      </c>
      <c r="HT18" s="1" t="str">
        <f t="shared" si="9"/>
        <v/>
      </c>
      <c r="HU18" s="1" t="str">
        <f t="shared" si="9"/>
        <v/>
      </c>
      <c r="HV18" s="1" t="str">
        <f t="shared" si="9"/>
        <v/>
      </c>
      <c r="HW18" s="1" t="str">
        <f t="shared" si="9"/>
        <v/>
      </c>
      <c r="HX18" s="1" t="str">
        <f t="shared" si="9"/>
        <v/>
      </c>
      <c r="HY18" s="1" t="str">
        <f t="shared" si="9"/>
        <v/>
      </c>
      <c r="HZ18" s="1" t="str">
        <f t="shared" si="9"/>
        <v/>
      </c>
      <c r="IA18" s="1" t="str">
        <f t="shared" si="9"/>
        <v/>
      </c>
      <c r="IB18" s="1" t="str">
        <f t="shared" si="9"/>
        <v/>
      </c>
      <c r="IC18" s="1" t="str">
        <f t="shared" si="9"/>
        <v/>
      </c>
      <c r="ID18" s="1" t="str">
        <f t="shared" si="9"/>
        <v/>
      </c>
      <c r="IE18" s="1" t="str">
        <f t="shared" si="9"/>
        <v/>
      </c>
      <c r="IF18" s="1" t="str">
        <f t="shared" ref="IF18:IU34" si="22">IF(EJ18&gt;0.0001,CONCATENATE(EJ$2,"; "),"")</f>
        <v/>
      </c>
      <c r="IG18" s="1" t="str">
        <f t="shared" si="10"/>
        <v/>
      </c>
      <c r="IH18" s="1" t="str">
        <f t="shared" si="10"/>
        <v/>
      </c>
      <c r="II18" s="1" t="str">
        <f t="shared" si="10"/>
        <v/>
      </c>
      <c r="IJ18" s="1" t="str">
        <f t="shared" si="10"/>
        <v/>
      </c>
      <c r="IK18" s="1" t="str">
        <f t="shared" si="10"/>
        <v/>
      </c>
      <c r="IL18" s="1" t="str">
        <f t="shared" si="10"/>
        <v/>
      </c>
      <c r="IM18" s="1" t="str">
        <f t="shared" si="10"/>
        <v/>
      </c>
      <c r="IN18" s="1" t="str">
        <f t="shared" si="10"/>
        <v/>
      </c>
      <c r="IO18" s="1" t="str">
        <f t="shared" si="10"/>
        <v/>
      </c>
      <c r="IP18" s="1" t="str">
        <f t="shared" si="10"/>
        <v/>
      </c>
      <c r="IQ18" s="1" t="str">
        <f t="shared" si="10"/>
        <v/>
      </c>
      <c r="IR18" s="1" t="str">
        <f t="shared" si="10"/>
        <v/>
      </c>
      <c r="IS18" s="1" t="str">
        <f t="shared" si="10"/>
        <v/>
      </c>
      <c r="IT18" s="1" t="str">
        <f t="shared" si="10"/>
        <v/>
      </c>
      <c r="IU18" s="1" t="str">
        <f t="shared" si="10"/>
        <v/>
      </c>
      <c r="IV18" s="1" t="str">
        <f t="shared" ref="IV18:JK34" si="23">IF(EZ18&gt;0.0001,CONCATENATE(EZ$2,"; "),"")</f>
        <v/>
      </c>
      <c r="IW18" s="1" t="str">
        <f t="shared" si="11"/>
        <v/>
      </c>
      <c r="IX18" s="1" t="str">
        <f t="shared" si="11"/>
        <v/>
      </c>
      <c r="IY18" s="1" t="str">
        <f t="shared" si="11"/>
        <v/>
      </c>
      <c r="IZ18" s="1" t="str">
        <f t="shared" si="11"/>
        <v/>
      </c>
      <c r="JA18" s="1" t="str">
        <f t="shared" si="11"/>
        <v/>
      </c>
      <c r="JB18" s="1" t="str">
        <f t="shared" si="11"/>
        <v/>
      </c>
      <c r="JC18" s="1" t="str">
        <f t="shared" si="11"/>
        <v/>
      </c>
      <c r="JD18" s="1" t="str">
        <f t="shared" si="11"/>
        <v/>
      </c>
      <c r="JE18" s="1" t="str">
        <f t="shared" si="11"/>
        <v/>
      </c>
      <c r="JF18" s="1" t="str">
        <f t="shared" si="11"/>
        <v/>
      </c>
      <c r="JG18" s="1" t="str">
        <f t="shared" si="11"/>
        <v/>
      </c>
      <c r="JH18" s="1" t="str">
        <f t="shared" si="11"/>
        <v/>
      </c>
      <c r="JI18" s="1" t="str">
        <f t="shared" si="11"/>
        <v/>
      </c>
      <c r="JJ18" s="1" t="str">
        <f t="shared" si="11"/>
        <v/>
      </c>
      <c r="JK18" s="1" t="str">
        <f t="shared" si="11"/>
        <v/>
      </c>
      <c r="JL18" s="1" t="str">
        <f t="shared" ref="JL18:JO81" si="24">IF(FP18&gt;0.0001,CONCATENATE(FP$2,"; "),"")</f>
        <v/>
      </c>
      <c r="JM18" s="1" t="str">
        <f t="shared" si="12"/>
        <v/>
      </c>
      <c r="JN18" s="1" t="str">
        <f t="shared" si="12"/>
        <v/>
      </c>
      <c r="JO18" s="1" t="str">
        <f t="shared" si="12"/>
        <v/>
      </c>
    </row>
    <row r="19" spans="1:275" ht="14.5" x14ac:dyDescent="0.35">
      <c r="A19" s="59">
        <f>IF('Data input'!A19&lt;&gt;"",'Data input'!A19,"")</f>
        <v>17</v>
      </c>
      <c r="B19" s="60" t="str">
        <f>IF('Data input'!B19&lt;&gt;"",'Data input'!B19,"")</f>
        <v>Kansas</v>
      </c>
      <c r="C19" s="19">
        <f>IF('Data input'!C19="","",4*('Data input'!C19-'Data input'!C$108)/('Data input'!C$109-'Data input'!C$108)+1)</f>
        <v>4.4732569088382501</v>
      </c>
      <c r="D19" s="19" t="str">
        <f>IF('Data input'!D19="","",4*('Data input'!D19-'Data input'!D$108)/('Data input'!D$109-'Data input'!D$108)+1)</f>
        <v/>
      </c>
      <c r="E19" s="19" t="str">
        <f>IF('Data input'!E19="","",4*('Data input'!E19-'Data input'!E$108)/('Data input'!E$109-'Data input'!E$108)+1)</f>
        <v/>
      </c>
      <c r="F19" s="19" t="str">
        <f>IF('Data input'!F19="","",4*('Data input'!F19-'Data input'!F$108)/('Data input'!F$109-'Data input'!F$108)+1)</f>
        <v/>
      </c>
      <c r="G19" s="19" t="str">
        <f>IF('Data input'!G19="","",4*('Data input'!G19-'Data input'!G$108)/('Data input'!G$109-'Data input'!G$108)+1)</f>
        <v/>
      </c>
      <c r="H19" s="61">
        <f>IF('Data input'!H19="","",4*('Data input'!H19-'Data input'!H$108)/('Data input'!H$109-'Data input'!H$108)+1)</f>
        <v>1.1175820298309993</v>
      </c>
      <c r="I19" s="19">
        <f>IF('Data input'!I19="","",4*('Data input'!I19-'Data input'!I$108)/('Data input'!I$109-'Data input'!I$108)+1)</f>
        <v>1.0259490860850633</v>
      </c>
      <c r="J19" s="19" t="str">
        <f>IF('Data input'!J19="","",4*('Data input'!J19-'Data input'!J$108)/('Data input'!J$109-'Data input'!J$108)+1)</f>
        <v/>
      </c>
      <c r="K19" s="19" t="str">
        <f>IF('Data input'!K19="","",4*('Data input'!K19-'Data input'!K$108)/('Data input'!K$109-'Data input'!K$108)+1)</f>
        <v/>
      </c>
      <c r="L19" s="19" t="str">
        <f>IF('Data input'!L19="","",4*('Data input'!L19-'Data input'!L$108)/('Data input'!L$109-'Data input'!L$108)+1)</f>
        <v/>
      </c>
      <c r="M19" s="19">
        <f>IF('Data input'!M19="","",4*('Data input'!M19-'Data input'!M$108)/('Data input'!M$109-'Data input'!M$108)+1)</f>
        <v>1.2427427649640004</v>
      </c>
      <c r="N19" s="16" t="str">
        <f>IF('Data input'!N19="","",4*('Data input'!N19-'Data input'!N$108)/('Data input'!N$109-'Data input'!N$108)+1)</f>
        <v/>
      </c>
      <c r="O19" s="19" t="str">
        <f>IF('Data input'!O19="","",4*('Data input'!O19-'Data input'!O$108)/('Data input'!O$109-'Data input'!O$108)+1)</f>
        <v/>
      </c>
      <c r="P19" s="19" t="str">
        <f>IF('Data input'!P19="","",4*('Data input'!P19-'Data input'!P$108)/('Data input'!P$109-'Data input'!P$108)+1)</f>
        <v/>
      </c>
      <c r="Q19" s="19" t="str">
        <f>IF('Data input'!Q19="","",4*('Data input'!Q19-'Data input'!Q$108)/('Data input'!Q$109-'Data input'!Q$108)+1)</f>
        <v/>
      </c>
      <c r="R19" s="19" t="str">
        <f>IF('Data input'!R19="","",4*('Data input'!R19-'Data input'!R$108)/('Data input'!R$109-'Data input'!R$108)+1)</f>
        <v/>
      </c>
      <c r="S19" s="16" t="str">
        <f>IF('Data input'!S19="","",4*('Data input'!S19-'Data input'!S$108)/('Data input'!S$109-'Data input'!S$108)+1)</f>
        <v/>
      </c>
      <c r="T19" s="19" t="str">
        <f>IF('Data input'!T19="","",4*('Data input'!T19-'Data input'!T$108)/('Data input'!T$109-'Data input'!T$108)+1)</f>
        <v/>
      </c>
      <c r="U19" s="19" t="str">
        <f>IF('Data input'!U19="","",4*('Data input'!U19-'Data input'!U$108)/('Data input'!U$109-'Data input'!U$108)+1)</f>
        <v/>
      </c>
      <c r="V19" s="19" t="str">
        <f>IF('Data input'!V19="","",4*('Data input'!V19-'Data input'!V$108)/('Data input'!V$109-'Data input'!V$108)+1)</f>
        <v/>
      </c>
      <c r="W19" s="16" t="str">
        <f>IF('Data input'!W19="","",4*('Data input'!W19-'Data input'!W$108)/('Data input'!W$109-'Data input'!W$108)+1)</f>
        <v/>
      </c>
      <c r="X19" s="16" t="str">
        <f>IF('Data input'!X19="","",4*('Data input'!X19-'Data input'!X$108)/('Data input'!X$109-'Data input'!X$108)+1)</f>
        <v/>
      </c>
      <c r="Y19" s="16" t="str">
        <f>IF('Data input'!Y19="","",4*('Data input'!Y19-'Data input'!Y$108)/('Data input'!Y$109-'Data input'!Y$108)+1)</f>
        <v/>
      </c>
      <c r="Z19" s="16" t="str">
        <f>IF('Data input'!Z19="","",4*('Data input'!Z19-'Data input'!Z$108)/('Data input'!Z$109-'Data input'!Z$108)+1)</f>
        <v/>
      </c>
      <c r="AA19" s="62" t="str">
        <f>IF('Data input'!AA19="","",4*('Data input'!AA19-'Data input'!AA$108)/('Data input'!AA$109-'Data input'!AA$108)+1)</f>
        <v/>
      </c>
      <c r="AB19" s="78"/>
      <c r="AC19" s="79">
        <v>0</v>
      </c>
      <c r="AD19" s="80" t="e">
        <f t="shared" si="13"/>
        <v>#DIV/0!</v>
      </c>
      <c r="AE19" s="4"/>
      <c r="AF19" s="59">
        <f t="shared" si="14"/>
        <v>17</v>
      </c>
      <c r="AG19" s="60" t="str">
        <f t="shared" si="14"/>
        <v>Kansas</v>
      </c>
      <c r="AH19">
        <v>0.3351713248561336</v>
      </c>
      <c r="AI19" t="s">
        <v>69</v>
      </c>
      <c r="AJ19" t="s">
        <v>69</v>
      </c>
      <c r="AK19" t="s">
        <v>69</v>
      </c>
      <c r="AL19" t="s">
        <v>69</v>
      </c>
      <c r="AM19">
        <v>0.11758202983099932</v>
      </c>
      <c r="AN19">
        <v>0</v>
      </c>
      <c r="AO19" t="s">
        <v>69</v>
      </c>
      <c r="AP19" t="s">
        <v>69</v>
      </c>
      <c r="AQ19" t="s">
        <v>69</v>
      </c>
      <c r="AR19">
        <v>0.88014723734518152</v>
      </c>
      <c r="AS19" s="71">
        <f t="shared" si="15"/>
        <v>4.808428233694384</v>
      </c>
      <c r="AT19" s="71" t="str">
        <f t="shared" si="15"/>
        <v/>
      </c>
      <c r="AU19" s="71" t="str">
        <f t="shared" si="15"/>
        <v/>
      </c>
      <c r="AV19" s="71" t="str">
        <f t="shared" si="15"/>
        <v/>
      </c>
      <c r="AW19" s="71" t="str">
        <f t="shared" si="15"/>
        <v/>
      </c>
      <c r="AX19" s="71">
        <f t="shared" si="16"/>
        <v>1</v>
      </c>
      <c r="AY19" s="71">
        <f t="shared" si="16"/>
        <v>1.0259490860850633</v>
      </c>
      <c r="AZ19" s="71" t="str">
        <f t="shared" si="16"/>
        <v/>
      </c>
      <c r="BA19" s="71" t="str">
        <f t="shared" si="16"/>
        <v/>
      </c>
      <c r="BB19" s="71" t="str">
        <f t="shared" si="16"/>
        <v/>
      </c>
      <c r="BC19" s="18">
        <f>IF(C19&lt;&gt;"",(('Data input'!C$109-'Data input'!C$108)*(AS19-1)/4)+'Data input'!C$108,"")</f>
        <v>0.98933725251143745</v>
      </c>
      <c r="BD19" s="18" t="str">
        <f>IF(D19&lt;&gt;"",(('Data input'!D$109-'Data input'!D$108)*(AT19-1)/4)+'Data input'!D$108,"")</f>
        <v/>
      </c>
      <c r="BE19" s="18" t="str">
        <f>IF(E19&lt;&gt;"",(('Data input'!E$109-'Data input'!E$108)*(AU19-1)/4)+'Data input'!E$108,"")</f>
        <v/>
      </c>
      <c r="BF19" s="18" t="str">
        <f>IF(F19&lt;&gt;"",(('Data input'!F$109-'Data input'!F$108)*(AV19-1)/4)+'Data input'!F$108,"")</f>
        <v/>
      </c>
      <c r="BG19" s="18" t="str">
        <f>IF(G19&lt;&gt;"",(('Data input'!G$109-'Data input'!G$108)*(AW19-1)/4)+'Data input'!G$108,"")</f>
        <v/>
      </c>
      <c r="BH19" s="19">
        <f>IF(H19&lt;&gt;"",(('Data input'!H$109-'Data input'!H$108)*(AX19-1)/4)+'Data input'!H$108,"")</f>
        <v>0.29574268608402715</v>
      </c>
      <c r="BI19" s="18">
        <f>IF(I19&lt;&gt;"",(('Data input'!I$109-'Data input'!I$108)*(AY19-1)/4)+'Data input'!I$108,"")</f>
        <v>1.1393847322445853E-3</v>
      </c>
      <c r="BJ19" s="19" t="str">
        <f>IF(J19&lt;&gt;"",(('Data input'!J$109-'Data input'!J$108)*(AZ19-1)/4)+'Data input'!J$108,"")</f>
        <v/>
      </c>
      <c r="BK19" s="19" t="str">
        <f>IF(K19&lt;&gt;"",(('Data input'!K$109-'Data input'!K$108)*(BA19-1)/4)+'Data input'!K$108,"")</f>
        <v/>
      </c>
      <c r="BL19" s="19" t="str">
        <f>IF(L19&lt;&gt;"",(('Data input'!L$109-'Data input'!L$108)*(BB19-1)/4)+'Data input'!L$108,"")</f>
        <v/>
      </c>
      <c r="BM19" s="18">
        <f>IF(C19&lt;&gt;"",BC19-'Data input'!C19,"")</f>
        <v>1.2169121915732606E-2</v>
      </c>
      <c r="BN19" s="18" t="str">
        <f>IF(D19&lt;&gt;"",BD19-'Data input'!D19,"")</f>
        <v/>
      </c>
      <c r="BO19" s="18" t="str">
        <f>IF(E19&lt;&gt;"",BE19-'Data input'!E19,"")</f>
        <v/>
      </c>
      <c r="BP19" s="18" t="str">
        <f>IF(F19&lt;&gt;"",BF19-'Data input'!F19,"")</f>
        <v/>
      </c>
      <c r="BQ19" s="18" t="str">
        <f>IF(G19&lt;&gt;"",BG19-'Data input'!G19,"")</f>
        <v/>
      </c>
      <c r="BR19" s="19">
        <f>IF(H19&lt;&gt;"",BH19-'Data input'!H19,"")</f>
        <v>-2.5606815529915217</v>
      </c>
      <c r="BS19" s="18">
        <f>IF(I19&lt;&gt;"",BI19-'Data input'!I19,"")</f>
        <v>-2.6020852139652106E-18</v>
      </c>
      <c r="BT19" s="18" t="str">
        <f>IF(J19&lt;&gt;"",BJ19-'Data input'!J19,"")</f>
        <v/>
      </c>
      <c r="BU19" s="18" t="str">
        <f>IF(K19&lt;&gt;"",BK19-'Data input'!K19,"")</f>
        <v/>
      </c>
      <c r="BV19" s="72" t="str">
        <f>IF(L19&lt;&gt;"",BL19-'Data input'!L19,"")</f>
        <v/>
      </c>
      <c r="BW19" s="121" t="str">
        <f t="shared" si="17"/>
        <v xml:space="preserve">Nevada; Texas; 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1.1358930016766401E-4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0.99984933914432661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FT19" s="1" t="str">
        <f t="shared" si="18"/>
        <v/>
      </c>
      <c r="FU19" s="1" t="str">
        <f t="shared" si="18"/>
        <v/>
      </c>
      <c r="FV19" s="1" t="str">
        <f t="shared" si="18"/>
        <v/>
      </c>
      <c r="FW19" s="1" t="str">
        <f t="shared" si="18"/>
        <v/>
      </c>
      <c r="FX19" s="1" t="str">
        <f t="shared" si="18"/>
        <v/>
      </c>
      <c r="FY19" s="1" t="str">
        <f t="shared" si="18"/>
        <v/>
      </c>
      <c r="FZ19" s="1" t="str">
        <f t="shared" si="18"/>
        <v/>
      </c>
      <c r="GA19" s="1" t="str">
        <f t="shared" si="18"/>
        <v/>
      </c>
      <c r="GB19" s="1" t="str">
        <f t="shared" si="18"/>
        <v/>
      </c>
      <c r="GC19" s="1" t="str">
        <f t="shared" si="18"/>
        <v/>
      </c>
      <c r="GD19" s="1" t="str">
        <f t="shared" si="18"/>
        <v/>
      </c>
      <c r="GE19" s="1" t="str">
        <f t="shared" si="18"/>
        <v/>
      </c>
      <c r="GF19" s="1" t="str">
        <f t="shared" si="18"/>
        <v/>
      </c>
      <c r="GG19" s="1" t="str">
        <f t="shared" si="18"/>
        <v/>
      </c>
      <c r="GH19" s="1" t="str">
        <f t="shared" si="18"/>
        <v/>
      </c>
      <c r="GI19" s="1" t="str">
        <f t="shared" si="18"/>
        <v/>
      </c>
      <c r="GJ19" s="1" t="str">
        <f t="shared" si="19"/>
        <v/>
      </c>
      <c r="GK19" s="1" t="str">
        <f t="shared" si="19"/>
        <v/>
      </c>
      <c r="GL19" s="1" t="str">
        <f t="shared" si="19"/>
        <v/>
      </c>
      <c r="GM19" s="1" t="str">
        <f t="shared" si="19"/>
        <v/>
      </c>
      <c r="GN19" s="1" t="str">
        <f t="shared" si="19"/>
        <v/>
      </c>
      <c r="GO19" s="1" t="str">
        <f t="shared" si="19"/>
        <v/>
      </c>
      <c r="GP19" s="1" t="str">
        <f t="shared" si="19"/>
        <v/>
      </c>
      <c r="GQ19" s="1" t="str">
        <f t="shared" si="19"/>
        <v/>
      </c>
      <c r="GR19" s="1" t="str">
        <f t="shared" si="19"/>
        <v/>
      </c>
      <c r="GS19" s="1" t="str">
        <f t="shared" si="19"/>
        <v/>
      </c>
      <c r="GT19" s="1" t="str">
        <f t="shared" si="19"/>
        <v/>
      </c>
      <c r="GU19" s="1" t="str">
        <f t="shared" si="19"/>
        <v/>
      </c>
      <c r="GV19" s="1" t="str">
        <f t="shared" si="19"/>
        <v xml:space="preserve">Nevada; </v>
      </c>
      <c r="GW19" s="1" t="str">
        <f t="shared" si="19"/>
        <v/>
      </c>
      <c r="GX19" s="1" t="str">
        <f t="shared" si="19"/>
        <v/>
      </c>
      <c r="GY19" s="1" t="str">
        <f t="shared" si="19"/>
        <v/>
      </c>
      <c r="GZ19" s="1" t="str">
        <f t="shared" si="20"/>
        <v/>
      </c>
      <c r="HA19" s="1" t="str">
        <f t="shared" si="20"/>
        <v/>
      </c>
      <c r="HB19" s="1" t="str">
        <f t="shared" si="20"/>
        <v/>
      </c>
      <c r="HC19" s="1" t="str">
        <f t="shared" si="20"/>
        <v/>
      </c>
      <c r="HD19" s="1" t="str">
        <f t="shared" si="20"/>
        <v/>
      </c>
      <c r="HE19" s="1" t="str">
        <f t="shared" si="20"/>
        <v/>
      </c>
      <c r="HF19" s="1" t="str">
        <f t="shared" si="20"/>
        <v/>
      </c>
      <c r="HG19" s="1" t="str">
        <f t="shared" si="20"/>
        <v/>
      </c>
      <c r="HH19" s="1" t="str">
        <f t="shared" si="20"/>
        <v/>
      </c>
      <c r="HI19" s="1" t="str">
        <f t="shared" si="20"/>
        <v/>
      </c>
      <c r="HJ19" s="1" t="str">
        <f t="shared" si="20"/>
        <v xml:space="preserve">Texas; </v>
      </c>
      <c r="HK19" s="1" t="str">
        <f t="shared" si="20"/>
        <v/>
      </c>
      <c r="HL19" s="1" t="str">
        <f t="shared" si="20"/>
        <v/>
      </c>
      <c r="HM19" s="1" t="str">
        <f t="shared" si="20"/>
        <v/>
      </c>
      <c r="HN19" s="1" t="str">
        <f t="shared" si="20"/>
        <v/>
      </c>
      <c r="HO19" s="1" t="str">
        <f t="shared" si="20"/>
        <v/>
      </c>
      <c r="HP19" s="1" t="str">
        <f t="shared" si="21"/>
        <v/>
      </c>
      <c r="HQ19" s="1" t="str">
        <f t="shared" si="21"/>
        <v/>
      </c>
      <c r="HR19" s="1" t="str">
        <f t="shared" si="21"/>
        <v/>
      </c>
      <c r="HS19" s="1" t="str">
        <f t="shared" si="21"/>
        <v/>
      </c>
      <c r="HT19" s="1" t="str">
        <f t="shared" si="21"/>
        <v/>
      </c>
      <c r="HU19" s="1" t="str">
        <f t="shared" si="21"/>
        <v/>
      </c>
      <c r="HV19" s="1" t="str">
        <f t="shared" si="21"/>
        <v/>
      </c>
      <c r="HW19" s="1" t="str">
        <f t="shared" si="21"/>
        <v/>
      </c>
      <c r="HX19" s="1" t="str">
        <f t="shared" si="21"/>
        <v/>
      </c>
      <c r="HY19" s="1" t="str">
        <f t="shared" si="21"/>
        <v/>
      </c>
      <c r="HZ19" s="1" t="str">
        <f t="shared" si="21"/>
        <v/>
      </c>
      <c r="IA19" s="1" t="str">
        <f t="shared" si="21"/>
        <v/>
      </c>
      <c r="IB19" s="1" t="str">
        <f t="shared" si="21"/>
        <v/>
      </c>
      <c r="IC19" s="1" t="str">
        <f t="shared" si="21"/>
        <v/>
      </c>
      <c r="ID19" s="1" t="str">
        <f t="shared" si="21"/>
        <v/>
      </c>
      <c r="IE19" s="1" t="str">
        <f t="shared" si="21"/>
        <v/>
      </c>
      <c r="IF19" s="1" t="str">
        <f t="shared" si="22"/>
        <v/>
      </c>
      <c r="IG19" s="1" t="str">
        <f t="shared" si="22"/>
        <v/>
      </c>
      <c r="IH19" s="1" t="str">
        <f t="shared" si="22"/>
        <v/>
      </c>
      <c r="II19" s="1" t="str">
        <f t="shared" si="22"/>
        <v/>
      </c>
      <c r="IJ19" s="1" t="str">
        <f t="shared" si="22"/>
        <v/>
      </c>
      <c r="IK19" s="1" t="str">
        <f t="shared" si="22"/>
        <v/>
      </c>
      <c r="IL19" s="1" t="str">
        <f t="shared" si="22"/>
        <v/>
      </c>
      <c r="IM19" s="1" t="str">
        <f t="shared" si="22"/>
        <v/>
      </c>
      <c r="IN19" s="1" t="str">
        <f t="shared" si="22"/>
        <v/>
      </c>
      <c r="IO19" s="1" t="str">
        <f t="shared" si="22"/>
        <v/>
      </c>
      <c r="IP19" s="1" t="str">
        <f t="shared" si="22"/>
        <v/>
      </c>
      <c r="IQ19" s="1" t="str">
        <f t="shared" si="22"/>
        <v/>
      </c>
      <c r="IR19" s="1" t="str">
        <f t="shared" si="22"/>
        <v/>
      </c>
      <c r="IS19" s="1" t="str">
        <f t="shared" si="22"/>
        <v/>
      </c>
      <c r="IT19" s="1" t="str">
        <f t="shared" si="22"/>
        <v/>
      </c>
      <c r="IU19" s="1" t="str">
        <f t="shared" si="22"/>
        <v/>
      </c>
      <c r="IV19" s="1" t="str">
        <f t="shared" si="23"/>
        <v/>
      </c>
      <c r="IW19" s="1" t="str">
        <f t="shared" si="23"/>
        <v/>
      </c>
      <c r="IX19" s="1" t="str">
        <f t="shared" si="23"/>
        <v/>
      </c>
      <c r="IY19" s="1" t="str">
        <f t="shared" si="23"/>
        <v/>
      </c>
      <c r="IZ19" s="1" t="str">
        <f t="shared" si="23"/>
        <v/>
      </c>
      <c r="JA19" s="1" t="str">
        <f t="shared" si="23"/>
        <v/>
      </c>
      <c r="JB19" s="1" t="str">
        <f t="shared" si="23"/>
        <v/>
      </c>
      <c r="JC19" s="1" t="str">
        <f t="shared" si="23"/>
        <v/>
      </c>
      <c r="JD19" s="1" t="str">
        <f t="shared" si="23"/>
        <v/>
      </c>
      <c r="JE19" s="1" t="str">
        <f t="shared" si="23"/>
        <v/>
      </c>
      <c r="JF19" s="1" t="str">
        <f t="shared" si="23"/>
        <v/>
      </c>
      <c r="JG19" s="1" t="str">
        <f t="shared" si="23"/>
        <v/>
      </c>
      <c r="JH19" s="1" t="str">
        <f t="shared" si="23"/>
        <v/>
      </c>
      <c r="JI19" s="1" t="str">
        <f t="shared" si="23"/>
        <v/>
      </c>
      <c r="JJ19" s="1" t="str">
        <f t="shared" si="23"/>
        <v/>
      </c>
      <c r="JK19" s="1" t="str">
        <f t="shared" si="23"/>
        <v/>
      </c>
      <c r="JL19" s="1" t="str">
        <f t="shared" si="24"/>
        <v/>
      </c>
      <c r="JM19" s="1" t="str">
        <f t="shared" si="12"/>
        <v/>
      </c>
      <c r="JN19" s="1" t="str">
        <f t="shared" si="12"/>
        <v/>
      </c>
      <c r="JO19" s="1" t="str">
        <f t="shared" si="12"/>
        <v/>
      </c>
    </row>
    <row r="20" spans="1:275" ht="14.5" x14ac:dyDescent="0.35">
      <c r="A20" s="59">
        <f>IF('Data input'!A20&lt;&gt;"",'Data input'!A20,"")</f>
        <v>18</v>
      </c>
      <c r="B20" s="60" t="str">
        <f>IF('Data input'!B20&lt;&gt;"",'Data input'!B20,"")</f>
        <v>Kentucky</v>
      </c>
      <c r="C20" s="19">
        <f>IF('Data input'!C20="","",4*('Data input'!C20-'Data input'!C$108)/('Data input'!C$109-'Data input'!C$108)+1)</f>
        <v>4.0437061737819135</v>
      </c>
      <c r="D20" s="19" t="str">
        <f>IF('Data input'!D20="","",4*('Data input'!D20-'Data input'!D$108)/('Data input'!D$109-'Data input'!D$108)+1)</f>
        <v/>
      </c>
      <c r="E20" s="19" t="str">
        <f>IF('Data input'!E20="","",4*('Data input'!E20-'Data input'!E$108)/('Data input'!E$109-'Data input'!E$108)+1)</f>
        <v/>
      </c>
      <c r="F20" s="19" t="str">
        <f>IF('Data input'!F20="","",4*('Data input'!F20-'Data input'!F$108)/('Data input'!F$109-'Data input'!F$108)+1)</f>
        <v/>
      </c>
      <c r="G20" s="19" t="str">
        <f>IF('Data input'!G20="","",4*('Data input'!G20-'Data input'!G$108)/('Data input'!G$109-'Data input'!G$108)+1)</f>
        <v/>
      </c>
      <c r="H20" s="61">
        <f>IF('Data input'!H20="","",4*('Data input'!H20-'Data input'!H$108)/('Data input'!H$109-'Data input'!H$108)+1)</f>
        <v>1.1146644054817991</v>
      </c>
      <c r="I20" s="19">
        <f>IF('Data input'!I20="","",4*('Data input'!I20-'Data input'!I$108)/('Data input'!I$109-'Data input'!I$108)+1)</f>
        <v>1</v>
      </c>
      <c r="J20" s="19" t="str">
        <f>IF('Data input'!J20="","",4*('Data input'!J20-'Data input'!J$108)/('Data input'!J$109-'Data input'!J$108)+1)</f>
        <v/>
      </c>
      <c r="K20" s="19" t="str">
        <f>IF('Data input'!K20="","",4*('Data input'!K20-'Data input'!K$108)/('Data input'!K$109-'Data input'!K$108)+1)</f>
        <v/>
      </c>
      <c r="L20" s="19" t="str">
        <f>IF('Data input'!L20="","",4*('Data input'!L20-'Data input'!L$108)/('Data input'!L$109-'Data input'!L$108)+1)</f>
        <v/>
      </c>
      <c r="M20" s="19">
        <f>IF('Data input'!M20="","",4*('Data input'!M20-'Data input'!M$108)/('Data input'!M$109-'Data input'!M$108)+1)</f>
        <v>2.0716816140179519</v>
      </c>
      <c r="N20" s="16" t="str">
        <f>IF('Data input'!N20="","",4*('Data input'!N20-'Data input'!N$108)/('Data input'!N$109-'Data input'!N$108)+1)</f>
        <v/>
      </c>
      <c r="O20" s="19" t="str">
        <f>IF('Data input'!O20="","",4*('Data input'!O20-'Data input'!O$108)/('Data input'!O$109-'Data input'!O$108)+1)</f>
        <v/>
      </c>
      <c r="P20" s="19" t="str">
        <f>IF('Data input'!P20="","",4*('Data input'!P20-'Data input'!P$108)/('Data input'!P$109-'Data input'!P$108)+1)</f>
        <v/>
      </c>
      <c r="Q20" s="19" t="str">
        <f>IF('Data input'!Q20="","",4*('Data input'!Q20-'Data input'!Q$108)/('Data input'!Q$109-'Data input'!Q$108)+1)</f>
        <v/>
      </c>
      <c r="R20" s="19" t="str">
        <f>IF('Data input'!R20="","",4*('Data input'!R20-'Data input'!R$108)/('Data input'!R$109-'Data input'!R$108)+1)</f>
        <v/>
      </c>
      <c r="S20" s="16" t="str">
        <f>IF('Data input'!S20="","",4*('Data input'!S20-'Data input'!S$108)/('Data input'!S$109-'Data input'!S$108)+1)</f>
        <v/>
      </c>
      <c r="T20" s="19" t="str">
        <f>IF('Data input'!T20="","",4*('Data input'!T20-'Data input'!T$108)/('Data input'!T$109-'Data input'!T$108)+1)</f>
        <v/>
      </c>
      <c r="U20" s="19" t="str">
        <f>IF('Data input'!U20="","",4*('Data input'!U20-'Data input'!U$108)/('Data input'!U$109-'Data input'!U$108)+1)</f>
        <v/>
      </c>
      <c r="V20" s="19" t="str">
        <f>IF('Data input'!V20="","",4*('Data input'!V20-'Data input'!V$108)/('Data input'!V$109-'Data input'!V$108)+1)</f>
        <v/>
      </c>
      <c r="W20" s="16" t="str">
        <f>IF('Data input'!W20="","",4*('Data input'!W20-'Data input'!W$108)/('Data input'!W$109-'Data input'!W$108)+1)</f>
        <v/>
      </c>
      <c r="X20" s="16" t="str">
        <f>IF('Data input'!X20="","",4*('Data input'!X20-'Data input'!X$108)/('Data input'!X$109-'Data input'!X$108)+1)</f>
        <v/>
      </c>
      <c r="Y20" s="16" t="str">
        <f>IF('Data input'!Y20="","",4*('Data input'!Y20-'Data input'!Y$108)/('Data input'!Y$109-'Data input'!Y$108)+1)</f>
        <v/>
      </c>
      <c r="Z20" s="16" t="str">
        <f>IF('Data input'!Z20="","",4*('Data input'!Z20-'Data input'!Z$108)/('Data input'!Z$109-'Data input'!Z$108)+1)</f>
        <v/>
      </c>
      <c r="AA20" s="62" t="str">
        <f>IF('Data input'!AA20="","",4*('Data input'!AA20-'Data input'!AA$108)/('Data input'!AA$109-'Data input'!AA$108)+1)</f>
        <v/>
      </c>
      <c r="AB20" s="78"/>
      <c r="AC20" s="79">
        <v>0</v>
      </c>
      <c r="AD20" s="80" t="e">
        <f t="shared" si="13"/>
        <v>#DIV/0!</v>
      </c>
      <c r="AE20" s="4"/>
      <c r="AF20" s="59">
        <f t="shared" si="14"/>
        <v>18</v>
      </c>
      <c r="AG20" s="60" t="str">
        <f t="shared" si="14"/>
        <v>Kentucky</v>
      </c>
      <c r="AH20">
        <v>0.73300256445461798</v>
      </c>
      <c r="AI20" t="s">
        <v>69</v>
      </c>
      <c r="AJ20" t="s">
        <v>69</v>
      </c>
      <c r="AK20" t="s">
        <v>69</v>
      </c>
      <c r="AL20" t="s">
        <v>69</v>
      </c>
      <c r="AM20">
        <v>0.11466440548179911</v>
      </c>
      <c r="AN20">
        <v>0</v>
      </c>
      <c r="AO20" t="s">
        <v>69</v>
      </c>
      <c r="AP20" t="s">
        <v>69</v>
      </c>
      <c r="AQ20" t="s">
        <v>69</v>
      </c>
      <c r="AR20">
        <v>0.80065886146494081</v>
      </c>
      <c r="AS20" s="71">
        <f t="shared" si="15"/>
        <v>4.7767087382365316</v>
      </c>
      <c r="AT20" s="71" t="str">
        <f t="shared" si="15"/>
        <v/>
      </c>
      <c r="AU20" s="71" t="str">
        <f t="shared" si="15"/>
        <v/>
      </c>
      <c r="AV20" s="71" t="str">
        <f t="shared" si="15"/>
        <v/>
      </c>
      <c r="AW20" s="71" t="str">
        <f t="shared" si="15"/>
        <v/>
      </c>
      <c r="AX20" s="71">
        <f t="shared" si="16"/>
        <v>1</v>
      </c>
      <c r="AY20" s="71">
        <f t="shared" si="16"/>
        <v>1</v>
      </c>
      <c r="AZ20" s="71" t="str">
        <f t="shared" si="16"/>
        <v/>
      </c>
      <c r="BA20" s="71" t="str">
        <f t="shared" si="16"/>
        <v/>
      </c>
      <c r="BB20" s="71" t="str">
        <f t="shared" si="16"/>
        <v/>
      </c>
      <c r="BC20" s="18">
        <f>IF(C20&lt;&gt;"",(('Data input'!C$109-'Data input'!C$108)*(AS20-1)/4)+'Data input'!C$108,"")</f>
        <v>0.98818560743112571</v>
      </c>
      <c r="BD20" s="18" t="str">
        <f>IF(D20&lt;&gt;"",(('Data input'!D$109-'Data input'!D$108)*(AT20-1)/4)+'Data input'!D$108,"")</f>
        <v/>
      </c>
      <c r="BE20" s="18" t="str">
        <f>IF(E20&lt;&gt;"",(('Data input'!E$109-'Data input'!E$108)*(AU20-1)/4)+'Data input'!E$108,"")</f>
        <v/>
      </c>
      <c r="BF20" s="18" t="str">
        <f>IF(F20&lt;&gt;"",(('Data input'!F$109-'Data input'!F$108)*(AV20-1)/4)+'Data input'!F$108,"")</f>
        <v/>
      </c>
      <c r="BG20" s="18" t="str">
        <f>IF(G20&lt;&gt;"",(('Data input'!G$109-'Data input'!G$108)*(AW20-1)/4)+'Data input'!G$108,"")</f>
        <v/>
      </c>
      <c r="BH20" s="19">
        <f>IF(H20&lt;&gt;"",(('Data input'!H$109-'Data input'!H$108)*(AX20-1)/4)+'Data input'!H$108,"")</f>
        <v>0.29574268608402715</v>
      </c>
      <c r="BI20" s="18">
        <f>IF(I20&lt;&gt;"",(('Data input'!I$109-'Data input'!I$108)*(AY20-1)/4)+'Data input'!I$108,"")</f>
        <v>0</v>
      </c>
      <c r="BJ20" s="19" t="str">
        <f>IF(J20&lt;&gt;"",(('Data input'!J$109-'Data input'!J$108)*(AZ20-1)/4)+'Data input'!J$108,"")</f>
        <v/>
      </c>
      <c r="BK20" s="19" t="str">
        <f>IF(K20&lt;&gt;"",(('Data input'!K$109-'Data input'!K$108)*(BA20-1)/4)+'Data input'!K$108,"")</f>
        <v/>
      </c>
      <c r="BL20" s="19" t="str">
        <f>IF(L20&lt;&gt;"",(('Data input'!L$109-'Data input'!L$108)*(BB20-1)/4)+'Data input'!L$108,"")</f>
        <v/>
      </c>
      <c r="BM20" s="18">
        <f>IF(C20&lt;&gt;"",BC20-'Data input'!C20,"")</f>
        <v>2.661324794184472E-2</v>
      </c>
      <c r="BN20" s="18" t="str">
        <f>IF(D20&lt;&gt;"",BD20-'Data input'!D20,"")</f>
        <v/>
      </c>
      <c r="BO20" s="18" t="str">
        <f>IF(E20&lt;&gt;"",BE20-'Data input'!E20,"")</f>
        <v/>
      </c>
      <c r="BP20" s="18" t="str">
        <f>IF(F20&lt;&gt;"",BF20-'Data input'!F20,"")</f>
        <v/>
      </c>
      <c r="BQ20" s="18" t="str">
        <f>IF(G20&lt;&gt;"",BG20-'Data input'!G20,"")</f>
        <v/>
      </c>
      <c r="BR20" s="19">
        <f>IF(H20&lt;&gt;"",BH20-'Data input'!H20,"")</f>
        <v>-2.497142023521806</v>
      </c>
      <c r="BS20" s="18">
        <f>IF(I20&lt;&gt;"",BI20-'Data input'!I20,"")</f>
        <v>0</v>
      </c>
      <c r="BT20" s="18" t="str">
        <f>IF(J20&lt;&gt;"",BJ20-'Data input'!J20,"")</f>
        <v/>
      </c>
      <c r="BU20" s="18" t="str">
        <f>IF(K20&lt;&gt;"",BK20-'Data input'!K20,"")</f>
        <v/>
      </c>
      <c r="BV20" s="72" t="str">
        <f>IF(L20&lt;&gt;"",BL20-'Data input'!L20,"")</f>
        <v/>
      </c>
      <c r="BW20" s="121" t="str">
        <f t="shared" si="17"/>
        <v xml:space="preserve">Nevada; Texas; 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1.4170902543617621E-2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0.98120421289924131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FT20" s="1" t="str">
        <f t="shared" si="18"/>
        <v/>
      </c>
      <c r="FU20" s="1" t="str">
        <f t="shared" si="18"/>
        <v/>
      </c>
      <c r="FV20" s="1" t="str">
        <f t="shared" si="18"/>
        <v/>
      </c>
      <c r="FW20" s="1" t="str">
        <f t="shared" si="18"/>
        <v/>
      </c>
      <c r="FX20" s="1" t="str">
        <f t="shared" si="18"/>
        <v/>
      </c>
      <c r="FY20" s="1" t="str">
        <f t="shared" si="18"/>
        <v/>
      </c>
      <c r="FZ20" s="1" t="str">
        <f t="shared" si="18"/>
        <v/>
      </c>
      <c r="GA20" s="1" t="str">
        <f t="shared" si="18"/>
        <v/>
      </c>
      <c r="GB20" s="1" t="str">
        <f t="shared" si="18"/>
        <v/>
      </c>
      <c r="GC20" s="1" t="str">
        <f t="shared" si="18"/>
        <v/>
      </c>
      <c r="GD20" s="1" t="str">
        <f t="shared" si="18"/>
        <v/>
      </c>
      <c r="GE20" s="1" t="str">
        <f t="shared" si="18"/>
        <v/>
      </c>
      <c r="GF20" s="1" t="str">
        <f t="shared" si="18"/>
        <v/>
      </c>
      <c r="GG20" s="1" t="str">
        <f t="shared" si="18"/>
        <v/>
      </c>
      <c r="GH20" s="1" t="str">
        <f t="shared" si="18"/>
        <v/>
      </c>
      <c r="GI20" s="1" t="str">
        <f t="shared" si="18"/>
        <v/>
      </c>
      <c r="GJ20" s="1" t="str">
        <f t="shared" si="19"/>
        <v/>
      </c>
      <c r="GK20" s="1" t="str">
        <f t="shared" si="19"/>
        <v/>
      </c>
      <c r="GL20" s="1" t="str">
        <f t="shared" si="19"/>
        <v/>
      </c>
      <c r="GM20" s="1" t="str">
        <f t="shared" si="19"/>
        <v/>
      </c>
      <c r="GN20" s="1" t="str">
        <f t="shared" si="19"/>
        <v/>
      </c>
      <c r="GO20" s="1" t="str">
        <f t="shared" si="19"/>
        <v/>
      </c>
      <c r="GP20" s="1" t="str">
        <f t="shared" si="19"/>
        <v/>
      </c>
      <c r="GQ20" s="1" t="str">
        <f t="shared" si="19"/>
        <v/>
      </c>
      <c r="GR20" s="1" t="str">
        <f t="shared" si="19"/>
        <v/>
      </c>
      <c r="GS20" s="1" t="str">
        <f t="shared" si="19"/>
        <v/>
      </c>
      <c r="GT20" s="1" t="str">
        <f t="shared" si="19"/>
        <v/>
      </c>
      <c r="GU20" s="1" t="str">
        <f t="shared" si="19"/>
        <v/>
      </c>
      <c r="GV20" s="1" t="str">
        <f t="shared" si="19"/>
        <v xml:space="preserve">Nevada; </v>
      </c>
      <c r="GW20" s="1" t="str">
        <f t="shared" si="19"/>
        <v/>
      </c>
      <c r="GX20" s="1" t="str">
        <f t="shared" si="19"/>
        <v/>
      </c>
      <c r="GY20" s="1" t="str">
        <f t="shared" si="19"/>
        <v/>
      </c>
      <c r="GZ20" s="1" t="str">
        <f t="shared" si="20"/>
        <v/>
      </c>
      <c r="HA20" s="1" t="str">
        <f t="shared" si="20"/>
        <v/>
      </c>
      <c r="HB20" s="1" t="str">
        <f t="shared" si="20"/>
        <v/>
      </c>
      <c r="HC20" s="1" t="str">
        <f t="shared" si="20"/>
        <v/>
      </c>
      <c r="HD20" s="1" t="str">
        <f t="shared" si="20"/>
        <v/>
      </c>
      <c r="HE20" s="1" t="str">
        <f t="shared" si="20"/>
        <v/>
      </c>
      <c r="HF20" s="1" t="str">
        <f t="shared" si="20"/>
        <v/>
      </c>
      <c r="HG20" s="1" t="str">
        <f t="shared" si="20"/>
        <v/>
      </c>
      <c r="HH20" s="1" t="str">
        <f t="shared" si="20"/>
        <v/>
      </c>
      <c r="HI20" s="1" t="str">
        <f t="shared" si="20"/>
        <v/>
      </c>
      <c r="HJ20" s="1" t="str">
        <f t="shared" si="20"/>
        <v xml:space="preserve">Texas; </v>
      </c>
      <c r="HK20" s="1" t="str">
        <f t="shared" si="20"/>
        <v/>
      </c>
      <c r="HL20" s="1" t="str">
        <f t="shared" si="20"/>
        <v/>
      </c>
      <c r="HM20" s="1" t="str">
        <f t="shared" si="20"/>
        <v/>
      </c>
      <c r="HN20" s="1" t="str">
        <f t="shared" si="20"/>
        <v/>
      </c>
      <c r="HO20" s="1" t="str">
        <f t="shared" si="20"/>
        <v/>
      </c>
      <c r="HP20" s="1" t="str">
        <f t="shared" si="21"/>
        <v/>
      </c>
      <c r="HQ20" s="1" t="str">
        <f t="shared" si="21"/>
        <v/>
      </c>
      <c r="HR20" s="1" t="str">
        <f t="shared" si="21"/>
        <v/>
      </c>
      <c r="HS20" s="1" t="str">
        <f t="shared" si="21"/>
        <v/>
      </c>
      <c r="HT20" s="1" t="str">
        <f t="shared" si="21"/>
        <v/>
      </c>
      <c r="HU20" s="1" t="str">
        <f t="shared" si="21"/>
        <v/>
      </c>
      <c r="HV20" s="1" t="str">
        <f t="shared" si="21"/>
        <v/>
      </c>
      <c r="HW20" s="1" t="str">
        <f t="shared" si="21"/>
        <v/>
      </c>
      <c r="HX20" s="1" t="str">
        <f t="shared" si="21"/>
        <v/>
      </c>
      <c r="HY20" s="1" t="str">
        <f t="shared" si="21"/>
        <v/>
      </c>
      <c r="HZ20" s="1" t="str">
        <f t="shared" si="21"/>
        <v/>
      </c>
      <c r="IA20" s="1" t="str">
        <f t="shared" si="21"/>
        <v/>
      </c>
      <c r="IB20" s="1" t="str">
        <f t="shared" si="21"/>
        <v/>
      </c>
      <c r="IC20" s="1" t="str">
        <f t="shared" si="21"/>
        <v/>
      </c>
      <c r="ID20" s="1" t="str">
        <f t="shared" si="21"/>
        <v/>
      </c>
      <c r="IE20" s="1" t="str">
        <f t="shared" si="21"/>
        <v/>
      </c>
      <c r="IF20" s="1" t="str">
        <f t="shared" si="22"/>
        <v/>
      </c>
      <c r="IG20" s="1" t="str">
        <f t="shared" si="22"/>
        <v/>
      </c>
      <c r="IH20" s="1" t="str">
        <f t="shared" si="22"/>
        <v/>
      </c>
      <c r="II20" s="1" t="str">
        <f t="shared" si="22"/>
        <v/>
      </c>
      <c r="IJ20" s="1" t="str">
        <f t="shared" si="22"/>
        <v/>
      </c>
      <c r="IK20" s="1" t="str">
        <f t="shared" si="22"/>
        <v/>
      </c>
      <c r="IL20" s="1" t="str">
        <f t="shared" si="22"/>
        <v/>
      </c>
      <c r="IM20" s="1" t="str">
        <f t="shared" si="22"/>
        <v/>
      </c>
      <c r="IN20" s="1" t="str">
        <f t="shared" si="22"/>
        <v/>
      </c>
      <c r="IO20" s="1" t="str">
        <f t="shared" si="22"/>
        <v/>
      </c>
      <c r="IP20" s="1" t="str">
        <f t="shared" si="22"/>
        <v/>
      </c>
      <c r="IQ20" s="1" t="str">
        <f t="shared" si="22"/>
        <v/>
      </c>
      <c r="IR20" s="1" t="str">
        <f t="shared" si="22"/>
        <v/>
      </c>
      <c r="IS20" s="1" t="str">
        <f t="shared" si="22"/>
        <v/>
      </c>
      <c r="IT20" s="1" t="str">
        <f t="shared" si="22"/>
        <v/>
      </c>
      <c r="IU20" s="1" t="str">
        <f t="shared" si="22"/>
        <v/>
      </c>
      <c r="IV20" s="1" t="str">
        <f t="shared" si="23"/>
        <v/>
      </c>
      <c r="IW20" s="1" t="str">
        <f t="shared" si="23"/>
        <v/>
      </c>
      <c r="IX20" s="1" t="str">
        <f t="shared" si="23"/>
        <v/>
      </c>
      <c r="IY20" s="1" t="str">
        <f t="shared" si="23"/>
        <v/>
      </c>
      <c r="IZ20" s="1" t="str">
        <f t="shared" si="23"/>
        <v/>
      </c>
      <c r="JA20" s="1" t="str">
        <f t="shared" si="23"/>
        <v/>
      </c>
      <c r="JB20" s="1" t="str">
        <f t="shared" si="23"/>
        <v/>
      </c>
      <c r="JC20" s="1" t="str">
        <f t="shared" si="23"/>
        <v/>
      </c>
      <c r="JD20" s="1" t="str">
        <f t="shared" si="23"/>
        <v/>
      </c>
      <c r="JE20" s="1" t="str">
        <f t="shared" si="23"/>
        <v/>
      </c>
      <c r="JF20" s="1" t="str">
        <f t="shared" si="23"/>
        <v/>
      </c>
      <c r="JG20" s="1" t="str">
        <f t="shared" si="23"/>
        <v/>
      </c>
      <c r="JH20" s="1" t="str">
        <f t="shared" si="23"/>
        <v/>
      </c>
      <c r="JI20" s="1" t="str">
        <f t="shared" si="23"/>
        <v/>
      </c>
      <c r="JJ20" s="1" t="str">
        <f t="shared" si="23"/>
        <v/>
      </c>
      <c r="JK20" s="1" t="str">
        <f t="shared" si="23"/>
        <v/>
      </c>
      <c r="JL20" s="1" t="str">
        <f t="shared" si="24"/>
        <v/>
      </c>
      <c r="JM20" s="1" t="str">
        <f t="shared" si="12"/>
        <v/>
      </c>
      <c r="JN20" s="1" t="str">
        <f t="shared" si="12"/>
        <v/>
      </c>
      <c r="JO20" s="1" t="str">
        <f t="shared" si="12"/>
        <v/>
      </c>
    </row>
    <row r="21" spans="1:275" ht="14.5" x14ac:dyDescent="0.35">
      <c r="A21" s="59">
        <f>IF('Data input'!A21&lt;&gt;"",'Data input'!A21,"")</f>
        <v>19</v>
      </c>
      <c r="B21" s="60" t="str">
        <f>IF('Data input'!B21&lt;&gt;"",'Data input'!B21,"")</f>
        <v>Louisiana</v>
      </c>
      <c r="C21" s="19">
        <f>IF('Data input'!C21="","",4*('Data input'!C21-'Data input'!C$108)/('Data input'!C$109-'Data input'!C$108)+1)</f>
        <v>3.1078000935502192</v>
      </c>
      <c r="D21" s="19" t="str">
        <f>IF('Data input'!D21="","",4*('Data input'!D21-'Data input'!D$108)/('Data input'!D$109-'Data input'!D$108)+1)</f>
        <v/>
      </c>
      <c r="E21" s="19" t="str">
        <f>IF('Data input'!E21="","",4*('Data input'!E21-'Data input'!E$108)/('Data input'!E$109-'Data input'!E$108)+1)</f>
        <v/>
      </c>
      <c r="F21" s="19" t="str">
        <f>IF('Data input'!F21="","",4*('Data input'!F21-'Data input'!F$108)/('Data input'!F$109-'Data input'!F$108)+1)</f>
        <v/>
      </c>
      <c r="G21" s="19" t="str">
        <f>IF('Data input'!G21="","",4*('Data input'!G21-'Data input'!G$108)/('Data input'!G$109-'Data input'!G$108)+1)</f>
        <v/>
      </c>
      <c r="H21" s="61">
        <f>IF('Data input'!H21="","",4*('Data input'!H21-'Data input'!H$108)/('Data input'!H$109-'Data input'!H$108)+1)</f>
        <v>1.130448218720933</v>
      </c>
      <c r="I21" s="19">
        <f>IF('Data input'!I21="","",4*('Data input'!I21-'Data input'!I$108)/('Data input'!I$109-'Data input'!I$108)+1)</f>
        <v>2.1038157729761355</v>
      </c>
      <c r="J21" s="19" t="str">
        <f>IF('Data input'!J21="","",4*('Data input'!J21-'Data input'!J$108)/('Data input'!J$109-'Data input'!J$108)+1)</f>
        <v/>
      </c>
      <c r="K21" s="19" t="str">
        <f>IF('Data input'!K21="","",4*('Data input'!K21-'Data input'!K$108)/('Data input'!K$109-'Data input'!K$108)+1)</f>
        <v/>
      </c>
      <c r="L21" s="19" t="str">
        <f>IF('Data input'!L21="","",4*('Data input'!L21-'Data input'!L$108)/('Data input'!L$109-'Data input'!L$108)+1)</f>
        <v/>
      </c>
      <c r="M21" s="19">
        <f>IF('Data input'!M21="","",4*('Data input'!M21-'Data input'!M$108)/('Data input'!M$109-'Data input'!M$108)+1)</f>
        <v>1</v>
      </c>
      <c r="N21" s="16" t="str">
        <f>IF('Data input'!N21="","",4*('Data input'!N21-'Data input'!N$108)/('Data input'!N$109-'Data input'!N$108)+1)</f>
        <v/>
      </c>
      <c r="O21" s="19" t="str">
        <f>IF('Data input'!O21="","",4*('Data input'!O21-'Data input'!O$108)/('Data input'!O$109-'Data input'!O$108)+1)</f>
        <v/>
      </c>
      <c r="P21" s="19" t="str">
        <f>IF('Data input'!P21="","",4*('Data input'!P21-'Data input'!P$108)/('Data input'!P$109-'Data input'!P$108)+1)</f>
        <v/>
      </c>
      <c r="Q21" s="19" t="str">
        <f>IF('Data input'!Q21="","",4*('Data input'!Q21-'Data input'!Q$108)/('Data input'!Q$109-'Data input'!Q$108)+1)</f>
        <v/>
      </c>
      <c r="R21" s="19" t="str">
        <f>IF('Data input'!R21="","",4*('Data input'!R21-'Data input'!R$108)/('Data input'!R$109-'Data input'!R$108)+1)</f>
        <v/>
      </c>
      <c r="S21" s="16" t="str">
        <f>IF('Data input'!S21="","",4*('Data input'!S21-'Data input'!S$108)/('Data input'!S$109-'Data input'!S$108)+1)</f>
        <v/>
      </c>
      <c r="T21" s="19" t="str">
        <f>IF('Data input'!T21="","",4*('Data input'!T21-'Data input'!T$108)/('Data input'!T$109-'Data input'!T$108)+1)</f>
        <v/>
      </c>
      <c r="U21" s="19" t="str">
        <f>IF('Data input'!U21="","",4*('Data input'!U21-'Data input'!U$108)/('Data input'!U$109-'Data input'!U$108)+1)</f>
        <v/>
      </c>
      <c r="V21" s="19" t="str">
        <f>IF('Data input'!V21="","",4*('Data input'!V21-'Data input'!V$108)/('Data input'!V$109-'Data input'!V$108)+1)</f>
        <v/>
      </c>
      <c r="W21" s="16" t="str">
        <f>IF('Data input'!W21="","",4*('Data input'!W21-'Data input'!W$108)/('Data input'!W$109-'Data input'!W$108)+1)</f>
        <v/>
      </c>
      <c r="X21" s="16" t="str">
        <f>IF('Data input'!X21="","",4*('Data input'!X21-'Data input'!X$108)/('Data input'!X$109-'Data input'!X$108)+1)</f>
        <v/>
      </c>
      <c r="Y21" s="16" t="str">
        <f>IF('Data input'!Y21="","",4*('Data input'!Y21-'Data input'!Y$108)/('Data input'!Y$109-'Data input'!Y$108)+1)</f>
        <v/>
      </c>
      <c r="Z21" s="16" t="str">
        <f>IF('Data input'!Z21="","",4*('Data input'!Z21-'Data input'!Z$108)/('Data input'!Z$109-'Data input'!Z$108)+1)</f>
        <v/>
      </c>
      <c r="AA21" s="62" t="str">
        <f>IF('Data input'!AA21="","",4*('Data input'!AA21-'Data input'!AA$108)/('Data input'!AA$109-'Data input'!AA$108)+1)</f>
        <v/>
      </c>
      <c r="AB21" s="78"/>
      <c r="AC21" s="79">
        <v>0</v>
      </c>
      <c r="AD21" s="80" t="e">
        <f t="shared" si="13"/>
        <v>#DIV/0!</v>
      </c>
      <c r="AE21" s="4"/>
      <c r="AF21" s="59">
        <f t="shared" si="14"/>
        <v>19</v>
      </c>
      <c r="AG21" s="60" t="str">
        <f t="shared" si="14"/>
        <v>Louisiana</v>
      </c>
      <c r="AH21">
        <v>1.666809058686793</v>
      </c>
      <c r="AI21" t="s">
        <v>69</v>
      </c>
      <c r="AJ21" t="s">
        <v>69</v>
      </c>
      <c r="AK21" t="s">
        <v>69</v>
      </c>
      <c r="AL21" t="s">
        <v>69</v>
      </c>
      <c r="AM21">
        <v>0.13044821872092893</v>
      </c>
      <c r="AN21">
        <v>0.18927309210580776</v>
      </c>
      <c r="AO21" t="s">
        <v>69</v>
      </c>
      <c r="AP21" t="s">
        <v>69</v>
      </c>
      <c r="AQ21" t="s">
        <v>69</v>
      </c>
      <c r="AR21">
        <v>0.55840225560869827</v>
      </c>
      <c r="AS21" s="71">
        <f t="shared" si="15"/>
        <v>4.7746091522370122</v>
      </c>
      <c r="AT21" s="71" t="str">
        <f t="shared" si="15"/>
        <v/>
      </c>
      <c r="AU21" s="71" t="str">
        <f t="shared" si="15"/>
        <v/>
      </c>
      <c r="AV21" s="71" t="str">
        <f t="shared" si="15"/>
        <v/>
      </c>
      <c r="AW21" s="71" t="str">
        <f t="shared" si="15"/>
        <v/>
      </c>
      <c r="AX21" s="71">
        <f t="shared" si="16"/>
        <v>1.000000000000004</v>
      </c>
      <c r="AY21" s="71">
        <f t="shared" si="16"/>
        <v>1.9145426808703279</v>
      </c>
      <c r="AZ21" s="71" t="str">
        <f t="shared" si="16"/>
        <v/>
      </c>
      <c r="BA21" s="71" t="str">
        <f t="shared" si="16"/>
        <v/>
      </c>
      <c r="BB21" s="71" t="str">
        <f t="shared" si="16"/>
        <v/>
      </c>
      <c r="BC21" s="18">
        <f>IF(C21&lt;&gt;"",(('Data input'!C$109-'Data input'!C$108)*(AS21-1)/4)+'Data input'!C$108,"")</f>
        <v>0.98810937740753502</v>
      </c>
      <c r="BD21" s="18" t="str">
        <f>IF(D21&lt;&gt;"",(('Data input'!D$109-'Data input'!D$108)*(AT21-1)/4)+'Data input'!D$108,"")</f>
        <v/>
      </c>
      <c r="BE21" s="18" t="str">
        <f>IF(E21&lt;&gt;"",(('Data input'!E$109-'Data input'!E$108)*(AU21-1)/4)+'Data input'!E$108,"")</f>
        <v/>
      </c>
      <c r="BF21" s="18" t="str">
        <f>IF(F21&lt;&gt;"",(('Data input'!F$109-'Data input'!F$108)*(AV21-1)/4)+'Data input'!F$108,"")</f>
        <v/>
      </c>
      <c r="BG21" s="18" t="str">
        <f>IF(G21&lt;&gt;"",(('Data input'!G$109-'Data input'!G$108)*(AW21-1)/4)+'Data input'!G$108,"")</f>
        <v/>
      </c>
      <c r="BH21" s="19">
        <f>IF(H21&lt;&gt;"",(('Data input'!H$109-'Data input'!H$108)*(AX21-1)/4)+'Data input'!H$108,"")</f>
        <v>0.29574268608411419</v>
      </c>
      <c r="BI21" s="18">
        <f>IF(I21&lt;&gt;"",(('Data input'!I$109-'Data input'!I$108)*(AY21-1)/4)+'Data input'!I$108,"")</f>
        <v>4.0156172134689722E-2</v>
      </c>
      <c r="BJ21" s="19" t="str">
        <f>IF(J21&lt;&gt;"",(('Data input'!J$109-'Data input'!J$108)*(AZ21-1)/4)+'Data input'!J$108,"")</f>
        <v/>
      </c>
      <c r="BK21" s="19" t="str">
        <f>IF(K21&lt;&gt;"",(('Data input'!K$109-'Data input'!K$108)*(BA21-1)/4)+'Data input'!K$108,"")</f>
        <v/>
      </c>
      <c r="BL21" s="19" t="str">
        <f>IF(L21&lt;&gt;"",(('Data input'!L$109-'Data input'!L$108)*(BB21-1)/4)+'Data input'!L$108,"")</f>
        <v/>
      </c>
      <c r="BM21" s="18">
        <f>IF(C21&lt;&gt;"",BC21-'Data input'!C21,"")</f>
        <v>6.0517118086141242E-2</v>
      </c>
      <c r="BN21" s="18" t="str">
        <f>IF(D21&lt;&gt;"",BD21-'Data input'!D21,"")</f>
        <v/>
      </c>
      <c r="BO21" s="18" t="str">
        <f>IF(E21&lt;&gt;"",BE21-'Data input'!E21,"")</f>
        <v/>
      </c>
      <c r="BP21" s="18" t="str">
        <f>IF(F21&lt;&gt;"",BF21-'Data input'!F21,"")</f>
        <v/>
      </c>
      <c r="BQ21" s="18" t="str">
        <f>IF(G21&lt;&gt;"",BG21-'Data input'!G21,"")</f>
        <v/>
      </c>
      <c r="BR21" s="19">
        <f>IF(H21&lt;&gt;"",BH21-'Data input'!H21,"")</f>
        <v>-2.8408792379192365</v>
      </c>
      <c r="BS21" s="18">
        <f>IF(I21&lt;&gt;"",BI21-'Data input'!I21,"")</f>
        <v>-8.3106923559136403E-3</v>
      </c>
      <c r="BT21" s="18" t="str">
        <f>IF(J21&lt;&gt;"",BJ21-'Data input'!J21,"")</f>
        <v/>
      </c>
      <c r="BU21" s="18" t="str">
        <f>IF(K21&lt;&gt;"",BK21-'Data input'!K21,"")</f>
        <v/>
      </c>
      <c r="BV21" s="72" t="str">
        <f>IF(L21&lt;&gt;"",BL21-'Data input'!L21,"")</f>
        <v/>
      </c>
      <c r="BW21" s="121" t="str">
        <f t="shared" si="17"/>
        <v xml:space="preserve">Texas; 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0.99999999999999978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FT21" s="1" t="str">
        <f t="shared" si="18"/>
        <v/>
      </c>
      <c r="FU21" s="1" t="str">
        <f t="shared" si="18"/>
        <v/>
      </c>
      <c r="FV21" s="1" t="str">
        <f t="shared" si="18"/>
        <v/>
      </c>
      <c r="FW21" s="1" t="str">
        <f t="shared" si="18"/>
        <v/>
      </c>
      <c r="FX21" s="1" t="str">
        <f t="shared" si="18"/>
        <v/>
      </c>
      <c r="FY21" s="1" t="str">
        <f t="shared" si="18"/>
        <v/>
      </c>
      <c r="FZ21" s="1" t="str">
        <f t="shared" si="18"/>
        <v/>
      </c>
      <c r="GA21" s="1" t="str">
        <f t="shared" si="18"/>
        <v/>
      </c>
      <c r="GB21" s="1" t="str">
        <f t="shared" si="18"/>
        <v/>
      </c>
      <c r="GC21" s="1" t="str">
        <f t="shared" si="18"/>
        <v/>
      </c>
      <c r="GD21" s="1" t="str">
        <f t="shared" si="18"/>
        <v/>
      </c>
      <c r="GE21" s="1" t="str">
        <f t="shared" si="18"/>
        <v/>
      </c>
      <c r="GF21" s="1" t="str">
        <f t="shared" si="18"/>
        <v/>
      </c>
      <c r="GG21" s="1" t="str">
        <f t="shared" si="18"/>
        <v/>
      </c>
      <c r="GH21" s="1" t="str">
        <f t="shared" si="18"/>
        <v/>
      </c>
      <c r="GI21" s="1" t="str">
        <f t="shared" si="18"/>
        <v/>
      </c>
      <c r="GJ21" s="1" t="str">
        <f t="shared" si="19"/>
        <v/>
      </c>
      <c r="GK21" s="1" t="str">
        <f t="shared" si="19"/>
        <v/>
      </c>
      <c r="GL21" s="1" t="str">
        <f t="shared" si="19"/>
        <v/>
      </c>
      <c r="GM21" s="1" t="str">
        <f t="shared" si="19"/>
        <v/>
      </c>
      <c r="GN21" s="1" t="str">
        <f t="shared" si="19"/>
        <v/>
      </c>
      <c r="GO21" s="1" t="str">
        <f t="shared" si="19"/>
        <v/>
      </c>
      <c r="GP21" s="1" t="str">
        <f t="shared" si="19"/>
        <v/>
      </c>
      <c r="GQ21" s="1" t="str">
        <f t="shared" si="19"/>
        <v/>
      </c>
      <c r="GR21" s="1" t="str">
        <f t="shared" si="19"/>
        <v/>
      </c>
      <c r="GS21" s="1" t="str">
        <f t="shared" si="19"/>
        <v/>
      </c>
      <c r="GT21" s="1" t="str">
        <f t="shared" si="19"/>
        <v/>
      </c>
      <c r="GU21" s="1" t="str">
        <f t="shared" si="19"/>
        <v/>
      </c>
      <c r="GV21" s="1" t="str">
        <f t="shared" si="19"/>
        <v/>
      </c>
      <c r="GW21" s="1" t="str">
        <f t="shared" si="19"/>
        <v/>
      </c>
      <c r="GX21" s="1" t="str">
        <f t="shared" si="19"/>
        <v/>
      </c>
      <c r="GY21" s="1" t="str">
        <f t="shared" si="19"/>
        <v/>
      </c>
      <c r="GZ21" s="1" t="str">
        <f t="shared" si="20"/>
        <v/>
      </c>
      <c r="HA21" s="1" t="str">
        <f t="shared" si="20"/>
        <v/>
      </c>
      <c r="HB21" s="1" t="str">
        <f t="shared" si="20"/>
        <v/>
      </c>
      <c r="HC21" s="1" t="str">
        <f t="shared" si="20"/>
        <v/>
      </c>
      <c r="HD21" s="1" t="str">
        <f t="shared" si="20"/>
        <v/>
      </c>
      <c r="HE21" s="1" t="str">
        <f t="shared" si="20"/>
        <v/>
      </c>
      <c r="HF21" s="1" t="str">
        <f t="shared" si="20"/>
        <v/>
      </c>
      <c r="HG21" s="1" t="str">
        <f t="shared" si="20"/>
        <v/>
      </c>
      <c r="HH21" s="1" t="str">
        <f t="shared" si="20"/>
        <v/>
      </c>
      <c r="HI21" s="1" t="str">
        <f t="shared" si="20"/>
        <v/>
      </c>
      <c r="HJ21" s="1" t="str">
        <f t="shared" si="20"/>
        <v xml:space="preserve">Texas; </v>
      </c>
      <c r="HK21" s="1" t="str">
        <f t="shared" si="20"/>
        <v/>
      </c>
      <c r="HL21" s="1" t="str">
        <f t="shared" si="20"/>
        <v/>
      </c>
      <c r="HM21" s="1" t="str">
        <f t="shared" si="20"/>
        <v/>
      </c>
      <c r="HN21" s="1" t="str">
        <f t="shared" si="20"/>
        <v/>
      </c>
      <c r="HO21" s="1" t="str">
        <f t="shared" si="20"/>
        <v/>
      </c>
      <c r="HP21" s="1" t="str">
        <f t="shared" si="21"/>
        <v/>
      </c>
      <c r="HQ21" s="1" t="str">
        <f t="shared" si="21"/>
        <v/>
      </c>
      <c r="HR21" s="1" t="str">
        <f t="shared" si="21"/>
        <v/>
      </c>
      <c r="HS21" s="1" t="str">
        <f t="shared" si="21"/>
        <v/>
      </c>
      <c r="HT21" s="1" t="str">
        <f t="shared" si="21"/>
        <v/>
      </c>
      <c r="HU21" s="1" t="str">
        <f t="shared" si="21"/>
        <v/>
      </c>
      <c r="HV21" s="1" t="str">
        <f t="shared" si="21"/>
        <v/>
      </c>
      <c r="HW21" s="1" t="str">
        <f t="shared" si="21"/>
        <v/>
      </c>
      <c r="HX21" s="1" t="str">
        <f t="shared" si="21"/>
        <v/>
      </c>
      <c r="HY21" s="1" t="str">
        <f t="shared" si="21"/>
        <v/>
      </c>
      <c r="HZ21" s="1" t="str">
        <f t="shared" si="21"/>
        <v/>
      </c>
      <c r="IA21" s="1" t="str">
        <f t="shared" si="21"/>
        <v/>
      </c>
      <c r="IB21" s="1" t="str">
        <f t="shared" si="21"/>
        <v/>
      </c>
      <c r="IC21" s="1" t="str">
        <f t="shared" si="21"/>
        <v/>
      </c>
      <c r="ID21" s="1" t="str">
        <f t="shared" si="21"/>
        <v/>
      </c>
      <c r="IE21" s="1" t="str">
        <f t="shared" si="21"/>
        <v/>
      </c>
      <c r="IF21" s="1" t="str">
        <f t="shared" si="22"/>
        <v/>
      </c>
      <c r="IG21" s="1" t="str">
        <f t="shared" si="22"/>
        <v/>
      </c>
      <c r="IH21" s="1" t="str">
        <f t="shared" si="22"/>
        <v/>
      </c>
      <c r="II21" s="1" t="str">
        <f t="shared" si="22"/>
        <v/>
      </c>
      <c r="IJ21" s="1" t="str">
        <f t="shared" si="22"/>
        <v/>
      </c>
      <c r="IK21" s="1" t="str">
        <f t="shared" si="22"/>
        <v/>
      </c>
      <c r="IL21" s="1" t="str">
        <f t="shared" si="22"/>
        <v/>
      </c>
      <c r="IM21" s="1" t="str">
        <f t="shared" si="22"/>
        <v/>
      </c>
      <c r="IN21" s="1" t="str">
        <f t="shared" si="22"/>
        <v/>
      </c>
      <c r="IO21" s="1" t="str">
        <f t="shared" si="22"/>
        <v/>
      </c>
      <c r="IP21" s="1" t="str">
        <f t="shared" si="22"/>
        <v/>
      </c>
      <c r="IQ21" s="1" t="str">
        <f t="shared" si="22"/>
        <v/>
      </c>
      <c r="IR21" s="1" t="str">
        <f t="shared" si="22"/>
        <v/>
      </c>
      <c r="IS21" s="1" t="str">
        <f t="shared" si="22"/>
        <v/>
      </c>
      <c r="IT21" s="1" t="str">
        <f t="shared" si="22"/>
        <v/>
      </c>
      <c r="IU21" s="1" t="str">
        <f t="shared" si="22"/>
        <v/>
      </c>
      <c r="IV21" s="1" t="str">
        <f t="shared" si="23"/>
        <v/>
      </c>
      <c r="IW21" s="1" t="str">
        <f t="shared" si="23"/>
        <v/>
      </c>
      <c r="IX21" s="1" t="str">
        <f t="shared" si="23"/>
        <v/>
      </c>
      <c r="IY21" s="1" t="str">
        <f t="shared" si="23"/>
        <v/>
      </c>
      <c r="IZ21" s="1" t="str">
        <f t="shared" si="23"/>
        <v/>
      </c>
      <c r="JA21" s="1" t="str">
        <f t="shared" si="23"/>
        <v/>
      </c>
      <c r="JB21" s="1" t="str">
        <f t="shared" si="23"/>
        <v/>
      </c>
      <c r="JC21" s="1" t="str">
        <f t="shared" si="23"/>
        <v/>
      </c>
      <c r="JD21" s="1" t="str">
        <f t="shared" si="23"/>
        <v/>
      </c>
      <c r="JE21" s="1" t="str">
        <f t="shared" si="23"/>
        <v/>
      </c>
      <c r="JF21" s="1" t="str">
        <f t="shared" si="23"/>
        <v/>
      </c>
      <c r="JG21" s="1" t="str">
        <f t="shared" si="23"/>
        <v/>
      </c>
      <c r="JH21" s="1" t="str">
        <f t="shared" si="23"/>
        <v/>
      </c>
      <c r="JI21" s="1" t="str">
        <f t="shared" si="23"/>
        <v/>
      </c>
      <c r="JJ21" s="1" t="str">
        <f t="shared" si="23"/>
        <v/>
      </c>
      <c r="JK21" s="1" t="str">
        <f t="shared" si="23"/>
        <v/>
      </c>
      <c r="JL21" s="1" t="str">
        <f t="shared" si="24"/>
        <v/>
      </c>
      <c r="JM21" s="1" t="str">
        <f t="shared" si="12"/>
        <v/>
      </c>
      <c r="JN21" s="1" t="str">
        <f t="shared" si="12"/>
        <v/>
      </c>
      <c r="JO21" s="1" t="str">
        <f t="shared" si="12"/>
        <v/>
      </c>
    </row>
    <row r="22" spans="1:275" ht="14.5" x14ac:dyDescent="0.35">
      <c r="A22" s="59">
        <f>IF('Data input'!A22&lt;&gt;"",'Data input'!A22,"")</f>
        <v>20</v>
      </c>
      <c r="B22" s="60" t="str">
        <f>IF('Data input'!B22&lt;&gt;"",'Data input'!B22,"")</f>
        <v>Maine</v>
      </c>
      <c r="C22" s="19">
        <f>IF('Data input'!C22="","",4*('Data input'!C22-'Data input'!C$108)/('Data input'!C$109-'Data input'!C$108)+1)</f>
        <v>3.0088169675146568</v>
      </c>
      <c r="D22" s="19" t="str">
        <f>IF('Data input'!D22="","",4*('Data input'!D22-'Data input'!D$108)/('Data input'!D$109-'Data input'!D$108)+1)</f>
        <v/>
      </c>
      <c r="E22" s="19" t="str">
        <f>IF('Data input'!E22="","",4*('Data input'!E22-'Data input'!E$108)/('Data input'!E$109-'Data input'!E$108)+1)</f>
        <v/>
      </c>
      <c r="F22" s="19" t="str">
        <f>IF('Data input'!F22="","",4*('Data input'!F22-'Data input'!F$108)/('Data input'!F$109-'Data input'!F$108)+1)</f>
        <v/>
      </c>
      <c r="G22" s="19" t="str">
        <f>IF('Data input'!G22="","",4*('Data input'!G22-'Data input'!G$108)/('Data input'!G$109-'Data input'!G$108)+1)</f>
        <v/>
      </c>
      <c r="H22" s="61">
        <f>IF('Data input'!H22="","",4*('Data input'!H22-'Data input'!H$108)/('Data input'!H$109-'Data input'!H$108)+1)</f>
        <v>4.318601607726805</v>
      </c>
      <c r="I22" s="19">
        <f>IF('Data input'!I22="","",4*('Data input'!I22-'Data input'!I$108)/('Data input'!I$109-'Data input'!I$108)+1)</f>
        <v>1.2593923449581315</v>
      </c>
      <c r="J22" s="19" t="str">
        <f>IF('Data input'!J22="","",4*('Data input'!J22-'Data input'!J$108)/('Data input'!J$109-'Data input'!J$108)+1)</f>
        <v/>
      </c>
      <c r="K22" s="19" t="str">
        <f>IF('Data input'!K22="","",4*('Data input'!K22-'Data input'!K$108)/('Data input'!K$109-'Data input'!K$108)+1)</f>
        <v/>
      </c>
      <c r="L22" s="19" t="str">
        <f>IF('Data input'!L22="","",4*('Data input'!L22-'Data input'!L$108)/('Data input'!L$109-'Data input'!L$108)+1)</f>
        <v/>
      </c>
      <c r="M22" s="19">
        <f>IF('Data input'!M22="","",4*('Data input'!M22-'Data input'!M$108)/('Data input'!M$109-'Data input'!M$108)+1)</f>
        <v>1.4708082669212157</v>
      </c>
      <c r="N22" s="16" t="str">
        <f>IF('Data input'!N22="","",4*('Data input'!N22-'Data input'!N$108)/('Data input'!N$109-'Data input'!N$108)+1)</f>
        <v/>
      </c>
      <c r="O22" s="19" t="str">
        <f>IF('Data input'!O22="","",4*('Data input'!O22-'Data input'!O$108)/('Data input'!O$109-'Data input'!O$108)+1)</f>
        <v/>
      </c>
      <c r="P22" s="19" t="str">
        <f>IF('Data input'!P22="","",4*('Data input'!P22-'Data input'!P$108)/('Data input'!P$109-'Data input'!P$108)+1)</f>
        <v/>
      </c>
      <c r="Q22" s="19" t="str">
        <f>IF('Data input'!Q22="","",4*('Data input'!Q22-'Data input'!Q$108)/('Data input'!Q$109-'Data input'!Q$108)+1)</f>
        <v/>
      </c>
      <c r="R22" s="19" t="str">
        <f>IF('Data input'!R22="","",4*('Data input'!R22-'Data input'!R$108)/('Data input'!R$109-'Data input'!R$108)+1)</f>
        <v/>
      </c>
      <c r="S22" s="16" t="str">
        <f>IF('Data input'!S22="","",4*('Data input'!S22-'Data input'!S$108)/('Data input'!S$109-'Data input'!S$108)+1)</f>
        <v/>
      </c>
      <c r="T22" s="19" t="str">
        <f>IF('Data input'!T22="","",4*('Data input'!T22-'Data input'!T$108)/('Data input'!T$109-'Data input'!T$108)+1)</f>
        <v/>
      </c>
      <c r="U22" s="19" t="str">
        <f>IF('Data input'!U22="","",4*('Data input'!U22-'Data input'!U$108)/('Data input'!U$109-'Data input'!U$108)+1)</f>
        <v/>
      </c>
      <c r="V22" s="19" t="str">
        <f>IF('Data input'!V22="","",4*('Data input'!V22-'Data input'!V$108)/('Data input'!V$109-'Data input'!V$108)+1)</f>
        <v/>
      </c>
      <c r="W22" s="16" t="str">
        <f>IF('Data input'!W22="","",4*('Data input'!W22-'Data input'!W$108)/('Data input'!W$109-'Data input'!W$108)+1)</f>
        <v/>
      </c>
      <c r="X22" s="16" t="str">
        <f>IF('Data input'!X22="","",4*('Data input'!X22-'Data input'!X$108)/('Data input'!X$109-'Data input'!X$108)+1)</f>
        <v/>
      </c>
      <c r="Y22" s="16" t="str">
        <f>IF('Data input'!Y22="","",4*('Data input'!Y22-'Data input'!Y$108)/('Data input'!Y$109-'Data input'!Y$108)+1)</f>
        <v/>
      </c>
      <c r="Z22" s="16" t="str">
        <f>IF('Data input'!Z22="","",4*('Data input'!Z22-'Data input'!Z$108)/('Data input'!Z$109-'Data input'!Z$108)+1)</f>
        <v/>
      </c>
      <c r="AA22" s="62" t="str">
        <f>IF('Data input'!AA22="","",4*('Data input'!AA22-'Data input'!AA$108)/('Data input'!AA$109-'Data input'!AA$108)+1)</f>
        <v/>
      </c>
      <c r="AB22" s="78"/>
      <c r="AC22" s="79">
        <v>0</v>
      </c>
      <c r="AD22" s="80" t="e">
        <f t="shared" si="13"/>
        <v>#DIV/0!</v>
      </c>
      <c r="AE22" s="4"/>
      <c r="AF22" s="59">
        <f t="shared" si="14"/>
        <v>20</v>
      </c>
      <c r="AG22" s="60" t="str">
        <f t="shared" si="14"/>
        <v>Maine</v>
      </c>
      <c r="AH22">
        <v>1.7633282939423269</v>
      </c>
      <c r="AI22" t="s">
        <v>69</v>
      </c>
      <c r="AJ22" t="s">
        <v>69</v>
      </c>
      <c r="AK22" t="s">
        <v>69</v>
      </c>
      <c r="AL22" t="s">
        <v>69</v>
      </c>
      <c r="AM22">
        <v>3.3186016077266602</v>
      </c>
      <c r="AN22">
        <v>4.0963720703754994E-2</v>
      </c>
      <c r="AO22" t="s">
        <v>69</v>
      </c>
      <c r="AP22" t="s">
        <v>69</v>
      </c>
      <c r="AQ22" t="s">
        <v>69</v>
      </c>
      <c r="AR22">
        <v>0.37356173832796186</v>
      </c>
      <c r="AS22" s="71">
        <f t="shared" si="15"/>
        <v>4.7721452614569841</v>
      </c>
      <c r="AT22" s="71" t="str">
        <f t="shared" si="15"/>
        <v/>
      </c>
      <c r="AU22" s="71" t="str">
        <f t="shared" si="15"/>
        <v/>
      </c>
      <c r="AV22" s="71" t="str">
        <f t="shared" si="15"/>
        <v/>
      </c>
      <c r="AW22" s="71" t="str">
        <f t="shared" si="15"/>
        <v/>
      </c>
      <c r="AX22" s="71">
        <f t="shared" si="16"/>
        <v>1.0000000000001448</v>
      </c>
      <c r="AY22" s="71">
        <f t="shared" si="16"/>
        <v>1.2184286242543765</v>
      </c>
      <c r="AZ22" s="71" t="str">
        <f t="shared" si="16"/>
        <v/>
      </c>
      <c r="BA22" s="71" t="str">
        <f t="shared" si="16"/>
        <v/>
      </c>
      <c r="BB22" s="71" t="str">
        <f t="shared" si="16"/>
        <v/>
      </c>
      <c r="BC22" s="18">
        <f>IF(C22&lt;&gt;"",(('Data input'!C$109-'Data input'!C$108)*(AS22-1)/4)+'Data input'!C$108,"")</f>
        <v>0.98801992050873233</v>
      </c>
      <c r="BD22" s="18" t="str">
        <f>IF(D22&lt;&gt;"",(('Data input'!D$109-'Data input'!D$108)*(AT22-1)/4)+'Data input'!D$108,"")</f>
        <v/>
      </c>
      <c r="BE22" s="18" t="str">
        <f>IF(E22&lt;&gt;"",(('Data input'!E$109-'Data input'!E$108)*(AU22-1)/4)+'Data input'!E$108,"")</f>
        <v/>
      </c>
      <c r="BF22" s="18" t="str">
        <f>IF(F22&lt;&gt;"",(('Data input'!F$109-'Data input'!F$108)*(AV22-1)/4)+'Data input'!F$108,"")</f>
        <v/>
      </c>
      <c r="BG22" s="18" t="str">
        <f>IF(G22&lt;&gt;"",(('Data input'!G$109-'Data input'!G$108)*(AW22-1)/4)+'Data input'!G$108,"")</f>
        <v/>
      </c>
      <c r="BH22" s="19">
        <f>IF(H22&lt;&gt;"",(('Data input'!H$109-'Data input'!H$108)*(AX22-1)/4)+'Data input'!H$108,"")</f>
        <v>0.29574268608718002</v>
      </c>
      <c r="BI22" s="18">
        <f>IF(I22&lt;&gt;"",(('Data input'!I$109-'Data input'!I$108)*(AY22-1)/4)+'Data input'!I$108,"")</f>
        <v>9.5908672368959381E-3</v>
      </c>
      <c r="BJ22" s="19" t="str">
        <f>IF(J22&lt;&gt;"",(('Data input'!J$109-'Data input'!J$108)*(AZ22-1)/4)+'Data input'!J$108,"")</f>
        <v/>
      </c>
      <c r="BK22" s="19" t="str">
        <f>IF(K22&lt;&gt;"",(('Data input'!K$109-'Data input'!K$108)*(BA22-1)/4)+'Data input'!K$108,"")</f>
        <v/>
      </c>
      <c r="BL22" s="19" t="str">
        <f>IF(L22&lt;&gt;"",(('Data input'!L$109-'Data input'!L$108)*(BB22-1)/4)+'Data input'!L$108,"")</f>
        <v/>
      </c>
      <c r="BM22" s="18">
        <f>IF(C22&lt;&gt;"",BC22-'Data input'!C22,"")</f>
        <v>6.4021458266620646E-2</v>
      </c>
      <c r="BN22" s="18" t="str">
        <f>IF(D22&lt;&gt;"",BD22-'Data input'!D22,"")</f>
        <v/>
      </c>
      <c r="BO22" s="18" t="str">
        <f>IF(E22&lt;&gt;"",BE22-'Data input'!E22,"")</f>
        <v/>
      </c>
      <c r="BP22" s="18" t="str">
        <f>IF(F22&lt;&gt;"",BF22-'Data input'!F22,"")</f>
        <v/>
      </c>
      <c r="BQ22" s="18" t="str">
        <f>IF(G22&lt;&gt;"",BG22-'Data input'!G22,"")</f>
        <v/>
      </c>
      <c r="BR22" s="19">
        <f>IF(H22&lt;&gt;"",BH22-'Data input'!H22,"")</f>
        <v>-72.271944368095006</v>
      </c>
      <c r="BS22" s="18">
        <f>IF(I22&lt;&gt;"",BI22-'Data input'!I22,"")</f>
        <v>-1.7986544031951789E-3</v>
      </c>
      <c r="BT22" s="18" t="str">
        <f>IF(J22&lt;&gt;"",BJ22-'Data input'!J22,"")</f>
        <v/>
      </c>
      <c r="BU22" s="18" t="str">
        <f>IF(K22&lt;&gt;"",BK22-'Data input'!K22,"")</f>
        <v/>
      </c>
      <c r="BV22" s="72" t="str">
        <f>IF(L22&lt;&gt;"",BL22-'Data input'!L22,"")</f>
        <v/>
      </c>
      <c r="BW22" s="121" t="str">
        <f t="shared" si="17"/>
        <v xml:space="preserve">Texas; 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0.99999999999996936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FT22" s="1" t="str">
        <f t="shared" si="18"/>
        <v/>
      </c>
      <c r="FU22" s="1" t="str">
        <f t="shared" si="18"/>
        <v/>
      </c>
      <c r="FV22" s="1" t="str">
        <f t="shared" si="18"/>
        <v/>
      </c>
      <c r="FW22" s="1" t="str">
        <f t="shared" si="18"/>
        <v/>
      </c>
      <c r="FX22" s="1" t="str">
        <f t="shared" si="18"/>
        <v/>
      </c>
      <c r="FY22" s="1" t="str">
        <f t="shared" si="18"/>
        <v/>
      </c>
      <c r="FZ22" s="1" t="str">
        <f t="shared" si="18"/>
        <v/>
      </c>
      <c r="GA22" s="1" t="str">
        <f t="shared" si="18"/>
        <v/>
      </c>
      <c r="GB22" s="1" t="str">
        <f t="shared" si="18"/>
        <v/>
      </c>
      <c r="GC22" s="1" t="str">
        <f t="shared" si="18"/>
        <v/>
      </c>
      <c r="GD22" s="1" t="str">
        <f t="shared" si="18"/>
        <v/>
      </c>
      <c r="GE22" s="1" t="str">
        <f t="shared" si="18"/>
        <v/>
      </c>
      <c r="GF22" s="1" t="str">
        <f t="shared" si="18"/>
        <v/>
      </c>
      <c r="GG22" s="1" t="str">
        <f t="shared" si="18"/>
        <v/>
      </c>
      <c r="GH22" s="1" t="str">
        <f t="shared" si="18"/>
        <v/>
      </c>
      <c r="GI22" s="1" t="str">
        <f t="shared" si="18"/>
        <v/>
      </c>
      <c r="GJ22" s="1" t="str">
        <f t="shared" si="19"/>
        <v/>
      </c>
      <c r="GK22" s="1" t="str">
        <f t="shared" si="19"/>
        <v/>
      </c>
      <c r="GL22" s="1" t="str">
        <f t="shared" si="19"/>
        <v/>
      </c>
      <c r="GM22" s="1" t="str">
        <f t="shared" si="19"/>
        <v/>
      </c>
      <c r="GN22" s="1" t="str">
        <f t="shared" si="19"/>
        <v/>
      </c>
      <c r="GO22" s="1" t="str">
        <f t="shared" si="19"/>
        <v/>
      </c>
      <c r="GP22" s="1" t="str">
        <f t="shared" si="19"/>
        <v/>
      </c>
      <c r="GQ22" s="1" t="str">
        <f t="shared" si="19"/>
        <v/>
      </c>
      <c r="GR22" s="1" t="str">
        <f t="shared" si="19"/>
        <v/>
      </c>
      <c r="GS22" s="1" t="str">
        <f t="shared" si="19"/>
        <v/>
      </c>
      <c r="GT22" s="1" t="str">
        <f t="shared" si="19"/>
        <v/>
      </c>
      <c r="GU22" s="1" t="str">
        <f t="shared" si="19"/>
        <v/>
      </c>
      <c r="GV22" s="1" t="str">
        <f t="shared" si="19"/>
        <v/>
      </c>
      <c r="GW22" s="1" t="str">
        <f t="shared" si="19"/>
        <v/>
      </c>
      <c r="GX22" s="1" t="str">
        <f t="shared" si="19"/>
        <v/>
      </c>
      <c r="GY22" s="1" t="str">
        <f t="shared" si="19"/>
        <v/>
      </c>
      <c r="GZ22" s="1" t="str">
        <f t="shared" si="20"/>
        <v/>
      </c>
      <c r="HA22" s="1" t="str">
        <f t="shared" si="20"/>
        <v/>
      </c>
      <c r="HB22" s="1" t="str">
        <f t="shared" si="20"/>
        <v/>
      </c>
      <c r="HC22" s="1" t="str">
        <f t="shared" si="20"/>
        <v/>
      </c>
      <c r="HD22" s="1" t="str">
        <f t="shared" si="20"/>
        <v/>
      </c>
      <c r="HE22" s="1" t="str">
        <f t="shared" si="20"/>
        <v/>
      </c>
      <c r="HF22" s="1" t="str">
        <f t="shared" si="20"/>
        <v/>
      </c>
      <c r="HG22" s="1" t="str">
        <f t="shared" si="20"/>
        <v/>
      </c>
      <c r="HH22" s="1" t="str">
        <f t="shared" si="20"/>
        <v/>
      </c>
      <c r="HI22" s="1" t="str">
        <f t="shared" si="20"/>
        <v/>
      </c>
      <c r="HJ22" s="1" t="str">
        <f t="shared" si="20"/>
        <v xml:space="preserve">Texas; </v>
      </c>
      <c r="HK22" s="1" t="str">
        <f t="shared" si="20"/>
        <v/>
      </c>
      <c r="HL22" s="1" t="str">
        <f t="shared" si="20"/>
        <v/>
      </c>
      <c r="HM22" s="1" t="str">
        <f t="shared" si="20"/>
        <v/>
      </c>
      <c r="HN22" s="1" t="str">
        <f t="shared" si="20"/>
        <v/>
      </c>
      <c r="HO22" s="1" t="str">
        <f t="shared" si="20"/>
        <v/>
      </c>
      <c r="HP22" s="1" t="str">
        <f t="shared" si="21"/>
        <v/>
      </c>
      <c r="HQ22" s="1" t="str">
        <f t="shared" si="21"/>
        <v/>
      </c>
      <c r="HR22" s="1" t="str">
        <f t="shared" si="21"/>
        <v/>
      </c>
      <c r="HS22" s="1" t="str">
        <f t="shared" si="21"/>
        <v/>
      </c>
      <c r="HT22" s="1" t="str">
        <f t="shared" si="21"/>
        <v/>
      </c>
      <c r="HU22" s="1" t="str">
        <f t="shared" si="21"/>
        <v/>
      </c>
      <c r="HV22" s="1" t="str">
        <f t="shared" si="21"/>
        <v/>
      </c>
      <c r="HW22" s="1" t="str">
        <f t="shared" si="21"/>
        <v/>
      </c>
      <c r="HX22" s="1" t="str">
        <f t="shared" si="21"/>
        <v/>
      </c>
      <c r="HY22" s="1" t="str">
        <f t="shared" si="21"/>
        <v/>
      </c>
      <c r="HZ22" s="1" t="str">
        <f t="shared" si="21"/>
        <v/>
      </c>
      <c r="IA22" s="1" t="str">
        <f t="shared" si="21"/>
        <v/>
      </c>
      <c r="IB22" s="1" t="str">
        <f t="shared" si="21"/>
        <v/>
      </c>
      <c r="IC22" s="1" t="str">
        <f t="shared" si="21"/>
        <v/>
      </c>
      <c r="ID22" s="1" t="str">
        <f t="shared" si="21"/>
        <v/>
      </c>
      <c r="IE22" s="1" t="str">
        <f t="shared" si="21"/>
        <v/>
      </c>
      <c r="IF22" s="1" t="str">
        <f t="shared" si="22"/>
        <v/>
      </c>
      <c r="IG22" s="1" t="str">
        <f t="shared" si="22"/>
        <v/>
      </c>
      <c r="IH22" s="1" t="str">
        <f t="shared" si="22"/>
        <v/>
      </c>
      <c r="II22" s="1" t="str">
        <f t="shared" si="22"/>
        <v/>
      </c>
      <c r="IJ22" s="1" t="str">
        <f t="shared" si="22"/>
        <v/>
      </c>
      <c r="IK22" s="1" t="str">
        <f t="shared" si="22"/>
        <v/>
      </c>
      <c r="IL22" s="1" t="str">
        <f t="shared" si="22"/>
        <v/>
      </c>
      <c r="IM22" s="1" t="str">
        <f t="shared" si="22"/>
        <v/>
      </c>
      <c r="IN22" s="1" t="str">
        <f t="shared" si="22"/>
        <v/>
      </c>
      <c r="IO22" s="1" t="str">
        <f t="shared" si="22"/>
        <v/>
      </c>
      <c r="IP22" s="1" t="str">
        <f t="shared" si="22"/>
        <v/>
      </c>
      <c r="IQ22" s="1" t="str">
        <f t="shared" si="22"/>
        <v/>
      </c>
      <c r="IR22" s="1" t="str">
        <f t="shared" si="22"/>
        <v/>
      </c>
      <c r="IS22" s="1" t="str">
        <f t="shared" si="22"/>
        <v/>
      </c>
      <c r="IT22" s="1" t="str">
        <f t="shared" si="22"/>
        <v/>
      </c>
      <c r="IU22" s="1" t="str">
        <f t="shared" si="22"/>
        <v/>
      </c>
      <c r="IV22" s="1" t="str">
        <f t="shared" si="23"/>
        <v/>
      </c>
      <c r="IW22" s="1" t="str">
        <f t="shared" si="23"/>
        <v/>
      </c>
      <c r="IX22" s="1" t="str">
        <f t="shared" si="23"/>
        <v/>
      </c>
      <c r="IY22" s="1" t="str">
        <f t="shared" si="23"/>
        <v/>
      </c>
      <c r="IZ22" s="1" t="str">
        <f t="shared" si="23"/>
        <v/>
      </c>
      <c r="JA22" s="1" t="str">
        <f t="shared" si="23"/>
        <v/>
      </c>
      <c r="JB22" s="1" t="str">
        <f t="shared" si="23"/>
        <v/>
      </c>
      <c r="JC22" s="1" t="str">
        <f t="shared" si="23"/>
        <v/>
      </c>
      <c r="JD22" s="1" t="str">
        <f t="shared" si="23"/>
        <v/>
      </c>
      <c r="JE22" s="1" t="str">
        <f t="shared" si="23"/>
        <v/>
      </c>
      <c r="JF22" s="1" t="str">
        <f t="shared" si="23"/>
        <v/>
      </c>
      <c r="JG22" s="1" t="str">
        <f t="shared" si="23"/>
        <v/>
      </c>
      <c r="JH22" s="1" t="str">
        <f t="shared" si="23"/>
        <v/>
      </c>
      <c r="JI22" s="1" t="str">
        <f t="shared" si="23"/>
        <v/>
      </c>
      <c r="JJ22" s="1" t="str">
        <f t="shared" si="23"/>
        <v/>
      </c>
      <c r="JK22" s="1" t="str">
        <f t="shared" si="23"/>
        <v/>
      </c>
      <c r="JL22" s="1" t="str">
        <f t="shared" si="24"/>
        <v/>
      </c>
      <c r="JM22" s="1" t="str">
        <f t="shared" si="12"/>
        <v/>
      </c>
      <c r="JN22" s="1" t="str">
        <f t="shared" si="12"/>
        <v/>
      </c>
      <c r="JO22" s="1" t="str">
        <f t="shared" si="12"/>
        <v/>
      </c>
    </row>
    <row r="23" spans="1:275" ht="14.5" x14ac:dyDescent="0.35">
      <c r="A23" s="59">
        <f>IF('Data input'!A23&lt;&gt;"",'Data input'!A23,"")</f>
        <v>21</v>
      </c>
      <c r="B23" s="60" t="str">
        <f>IF('Data input'!B23&lt;&gt;"",'Data input'!B23,"")</f>
        <v>Maryland</v>
      </c>
      <c r="C23" s="19">
        <f>IF('Data input'!C23="","",4*('Data input'!C23-'Data input'!C$108)/('Data input'!C$109-'Data input'!C$108)+1)</f>
        <v>4.4606824173681927</v>
      </c>
      <c r="D23" s="19" t="str">
        <f>IF('Data input'!D23="","",4*('Data input'!D23-'Data input'!D$108)/('Data input'!D$109-'Data input'!D$108)+1)</f>
        <v/>
      </c>
      <c r="E23" s="19" t="str">
        <f>IF('Data input'!E23="","",4*('Data input'!E23-'Data input'!E$108)/('Data input'!E$109-'Data input'!E$108)+1)</f>
        <v/>
      </c>
      <c r="F23" s="19" t="str">
        <f>IF('Data input'!F23="","",4*('Data input'!F23-'Data input'!F$108)/('Data input'!F$109-'Data input'!F$108)+1)</f>
        <v/>
      </c>
      <c r="G23" s="19" t="str">
        <f>IF('Data input'!G23="","",4*('Data input'!G23-'Data input'!G$108)/('Data input'!G$109-'Data input'!G$108)+1)</f>
        <v/>
      </c>
      <c r="H23" s="61">
        <f>IF('Data input'!H23="","",4*('Data input'!H23-'Data input'!H$108)/('Data input'!H$109-'Data input'!H$108)+1)</f>
        <v>1.1069317684448856</v>
      </c>
      <c r="I23" s="19">
        <f>IF('Data input'!I23="","",4*('Data input'!I23-'Data input'!I$108)/('Data input'!I$109-'Data input'!I$108)+1)</f>
        <v>1.6214798741282257</v>
      </c>
      <c r="J23" s="19" t="str">
        <f>IF('Data input'!J23="","",4*('Data input'!J23-'Data input'!J$108)/('Data input'!J$109-'Data input'!J$108)+1)</f>
        <v/>
      </c>
      <c r="K23" s="19" t="str">
        <f>IF('Data input'!K23="","",4*('Data input'!K23-'Data input'!K$108)/('Data input'!K$109-'Data input'!K$108)+1)</f>
        <v/>
      </c>
      <c r="L23" s="19" t="str">
        <f>IF('Data input'!L23="","",4*('Data input'!L23-'Data input'!L$108)/('Data input'!L$109-'Data input'!L$108)+1)</f>
        <v/>
      </c>
      <c r="M23" s="19">
        <f>IF('Data input'!M23="","",4*('Data input'!M23-'Data input'!M$108)/('Data input'!M$109-'Data input'!M$108)+1)</f>
        <v>3.178776241111136</v>
      </c>
      <c r="N23" s="16" t="str">
        <f>IF('Data input'!N23="","",4*('Data input'!N23-'Data input'!N$108)/('Data input'!N$109-'Data input'!N$108)+1)</f>
        <v/>
      </c>
      <c r="O23" s="19" t="str">
        <f>IF('Data input'!O23="","",4*('Data input'!O23-'Data input'!O$108)/('Data input'!O$109-'Data input'!O$108)+1)</f>
        <v/>
      </c>
      <c r="P23" s="19" t="str">
        <f>IF('Data input'!P23="","",4*('Data input'!P23-'Data input'!P$108)/('Data input'!P$109-'Data input'!P$108)+1)</f>
        <v/>
      </c>
      <c r="Q23" s="19" t="str">
        <f>IF('Data input'!Q23="","",4*('Data input'!Q23-'Data input'!Q$108)/('Data input'!Q$109-'Data input'!Q$108)+1)</f>
        <v/>
      </c>
      <c r="R23" s="19" t="str">
        <f>IF('Data input'!R23="","",4*('Data input'!R23-'Data input'!R$108)/('Data input'!R$109-'Data input'!R$108)+1)</f>
        <v/>
      </c>
      <c r="S23" s="16" t="str">
        <f>IF('Data input'!S23="","",4*('Data input'!S23-'Data input'!S$108)/('Data input'!S$109-'Data input'!S$108)+1)</f>
        <v/>
      </c>
      <c r="T23" s="19" t="str">
        <f>IF('Data input'!T23="","",4*('Data input'!T23-'Data input'!T$108)/('Data input'!T$109-'Data input'!T$108)+1)</f>
        <v/>
      </c>
      <c r="U23" s="19" t="str">
        <f>IF('Data input'!U23="","",4*('Data input'!U23-'Data input'!U$108)/('Data input'!U$109-'Data input'!U$108)+1)</f>
        <v/>
      </c>
      <c r="V23" s="19" t="str">
        <f>IF('Data input'!V23="","",4*('Data input'!V23-'Data input'!V$108)/('Data input'!V$109-'Data input'!V$108)+1)</f>
        <v/>
      </c>
      <c r="W23" s="16" t="str">
        <f>IF('Data input'!W23="","",4*('Data input'!W23-'Data input'!W$108)/('Data input'!W$109-'Data input'!W$108)+1)</f>
        <v/>
      </c>
      <c r="X23" s="16" t="str">
        <f>IF('Data input'!X23="","",4*('Data input'!X23-'Data input'!X$108)/('Data input'!X$109-'Data input'!X$108)+1)</f>
        <v/>
      </c>
      <c r="Y23" s="16" t="str">
        <f>IF('Data input'!Y23="","",4*('Data input'!Y23-'Data input'!Y$108)/('Data input'!Y$109-'Data input'!Y$108)+1)</f>
        <v/>
      </c>
      <c r="Z23" s="16" t="str">
        <f>IF('Data input'!Z23="","",4*('Data input'!Z23-'Data input'!Z$108)/('Data input'!Z$109-'Data input'!Z$108)+1)</f>
        <v/>
      </c>
      <c r="AA23" s="62" t="str">
        <f>IF('Data input'!AA23="","",4*('Data input'!AA23-'Data input'!AA$108)/('Data input'!AA$109-'Data input'!AA$108)+1)</f>
        <v/>
      </c>
      <c r="AB23" s="78"/>
      <c r="AC23" s="79">
        <v>0</v>
      </c>
      <c r="AD23" s="80" t="e">
        <f t="shared" si="13"/>
        <v>#DIV/0!</v>
      </c>
      <c r="AE23" s="4"/>
      <c r="AF23" s="59">
        <f t="shared" si="14"/>
        <v>21</v>
      </c>
      <c r="AG23" s="60" t="str">
        <f t="shared" si="14"/>
        <v>Maryland</v>
      </c>
      <c r="AH23">
        <v>0.34760272003521608</v>
      </c>
      <c r="AI23" t="s">
        <v>69</v>
      </c>
      <c r="AJ23" t="s">
        <v>69</v>
      </c>
      <c r="AK23" t="s">
        <v>69</v>
      </c>
      <c r="AL23" t="s">
        <v>69</v>
      </c>
      <c r="AM23">
        <v>0.10693176844488561</v>
      </c>
      <c r="AN23">
        <v>0.10455856194328363</v>
      </c>
      <c r="AO23" t="s">
        <v>69</v>
      </c>
      <c r="AP23" t="s">
        <v>69</v>
      </c>
      <c r="AQ23" t="s">
        <v>69</v>
      </c>
      <c r="AR23">
        <v>0.83797847921701973</v>
      </c>
      <c r="AS23" s="71">
        <f t="shared" si="15"/>
        <v>4.8082851374034092</v>
      </c>
      <c r="AT23" s="71" t="str">
        <f t="shared" si="15"/>
        <v/>
      </c>
      <c r="AU23" s="71" t="str">
        <f t="shared" si="15"/>
        <v/>
      </c>
      <c r="AV23" s="71" t="str">
        <f t="shared" si="15"/>
        <v/>
      </c>
      <c r="AW23" s="71" t="str">
        <f t="shared" si="15"/>
        <v/>
      </c>
      <c r="AX23" s="71">
        <f t="shared" si="16"/>
        <v>1</v>
      </c>
      <c r="AY23" s="71">
        <f t="shared" si="16"/>
        <v>1.5169213121849421</v>
      </c>
      <c r="AZ23" s="71" t="str">
        <f t="shared" si="16"/>
        <v/>
      </c>
      <c r="BA23" s="71" t="str">
        <f t="shared" si="16"/>
        <v/>
      </c>
      <c r="BB23" s="71" t="str">
        <f t="shared" si="16"/>
        <v/>
      </c>
      <c r="BC23" s="18">
        <f>IF(C23&lt;&gt;"",(('Data input'!C$109-'Data input'!C$108)*(AS23-1)/4)+'Data input'!C$108,"")</f>
        <v>0.9893320570902262</v>
      </c>
      <c r="BD23" s="18" t="str">
        <f>IF(D23&lt;&gt;"",(('Data input'!D$109-'Data input'!D$108)*(AT23-1)/4)+'Data input'!D$108,"")</f>
        <v/>
      </c>
      <c r="BE23" s="18" t="str">
        <f>IF(E23&lt;&gt;"",(('Data input'!E$109-'Data input'!E$108)*(AU23-1)/4)+'Data input'!E$108,"")</f>
        <v/>
      </c>
      <c r="BF23" s="18" t="str">
        <f>IF(F23&lt;&gt;"",(('Data input'!F$109-'Data input'!F$108)*(AV23-1)/4)+'Data input'!F$108,"")</f>
        <v/>
      </c>
      <c r="BG23" s="18" t="str">
        <f>IF(G23&lt;&gt;"",(('Data input'!G$109-'Data input'!G$108)*(AW23-1)/4)+'Data input'!G$108,"")</f>
        <v/>
      </c>
      <c r="BH23" s="19">
        <f>IF(H23&lt;&gt;"",(('Data input'!H$109-'Data input'!H$108)*(AX23-1)/4)+'Data input'!H$108,"")</f>
        <v>0.29574268608402715</v>
      </c>
      <c r="BI23" s="18">
        <f>IF(I23&lt;&gt;"",(('Data input'!I$109-'Data input'!I$108)*(AY23-1)/4)+'Data input'!I$108,"")</f>
        <v>2.269722521034687E-2</v>
      </c>
      <c r="BJ23" s="19" t="str">
        <f>IF(J23&lt;&gt;"",(('Data input'!J$109-'Data input'!J$108)*(AZ23-1)/4)+'Data input'!J$108,"")</f>
        <v/>
      </c>
      <c r="BK23" s="19" t="str">
        <f>IF(K23&lt;&gt;"",(('Data input'!K$109-'Data input'!K$108)*(BA23-1)/4)+'Data input'!K$108,"")</f>
        <v/>
      </c>
      <c r="BL23" s="19" t="str">
        <f>IF(L23&lt;&gt;"",(('Data input'!L$109-'Data input'!L$108)*(BB23-1)/4)+'Data input'!L$108,"")</f>
        <v/>
      </c>
      <c r="BM23" s="18">
        <f>IF(C23&lt;&gt;"",BC23-'Data input'!C23,"")</f>
        <v>1.2620470680671958E-2</v>
      </c>
      <c r="BN23" s="18" t="str">
        <f>IF(D23&lt;&gt;"",BD23-'Data input'!D23,"")</f>
        <v/>
      </c>
      <c r="BO23" s="18" t="str">
        <f>IF(E23&lt;&gt;"",BE23-'Data input'!E23,"")</f>
        <v/>
      </c>
      <c r="BP23" s="18" t="str">
        <f>IF(F23&lt;&gt;"",BF23-'Data input'!F23,"")</f>
        <v/>
      </c>
      <c r="BQ23" s="18" t="str">
        <f>IF(G23&lt;&gt;"",BG23-'Data input'!G23,"")</f>
        <v/>
      </c>
      <c r="BR23" s="19">
        <f>IF(H23&lt;&gt;"",BH23-'Data input'!H23,"")</f>
        <v>-2.3287419623486585</v>
      </c>
      <c r="BS23" s="18">
        <f>IF(I23&lt;&gt;"",BI23-'Data input'!I23,"")</f>
        <v>-4.5910067396247034E-3</v>
      </c>
      <c r="BT23" s="18" t="str">
        <f>IF(J23&lt;&gt;"",BJ23-'Data input'!J23,"")</f>
        <v/>
      </c>
      <c r="BU23" s="18" t="str">
        <f>IF(K23&lt;&gt;"",BK23-'Data input'!K23,"")</f>
        <v/>
      </c>
      <c r="BV23" s="72" t="str">
        <f>IF(L23&lt;&gt;"",BL23-'Data input'!L23,"")</f>
        <v/>
      </c>
      <c r="BW23" s="121" t="str">
        <f t="shared" si="17"/>
        <v xml:space="preserve">Texas; 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0.99999999999999478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FT23" s="1" t="str">
        <f t="shared" si="18"/>
        <v/>
      </c>
      <c r="FU23" s="1" t="str">
        <f t="shared" si="18"/>
        <v/>
      </c>
      <c r="FV23" s="1" t="str">
        <f t="shared" si="18"/>
        <v/>
      </c>
      <c r="FW23" s="1" t="str">
        <f t="shared" si="18"/>
        <v/>
      </c>
      <c r="FX23" s="1" t="str">
        <f t="shared" si="18"/>
        <v/>
      </c>
      <c r="FY23" s="1" t="str">
        <f t="shared" si="18"/>
        <v/>
      </c>
      <c r="FZ23" s="1" t="str">
        <f t="shared" si="18"/>
        <v/>
      </c>
      <c r="GA23" s="1" t="str">
        <f t="shared" si="18"/>
        <v/>
      </c>
      <c r="GB23" s="1" t="str">
        <f t="shared" si="18"/>
        <v/>
      </c>
      <c r="GC23" s="1" t="str">
        <f t="shared" si="18"/>
        <v/>
      </c>
      <c r="GD23" s="1" t="str">
        <f t="shared" si="18"/>
        <v/>
      </c>
      <c r="GE23" s="1" t="str">
        <f t="shared" si="18"/>
        <v/>
      </c>
      <c r="GF23" s="1" t="str">
        <f t="shared" si="18"/>
        <v/>
      </c>
      <c r="GG23" s="1" t="str">
        <f t="shared" si="18"/>
        <v/>
      </c>
      <c r="GH23" s="1" t="str">
        <f t="shared" si="18"/>
        <v/>
      </c>
      <c r="GI23" s="1" t="str">
        <f t="shared" si="18"/>
        <v/>
      </c>
      <c r="GJ23" s="1" t="str">
        <f t="shared" si="19"/>
        <v/>
      </c>
      <c r="GK23" s="1" t="str">
        <f t="shared" si="19"/>
        <v/>
      </c>
      <c r="GL23" s="1" t="str">
        <f t="shared" si="19"/>
        <v/>
      </c>
      <c r="GM23" s="1" t="str">
        <f t="shared" si="19"/>
        <v/>
      </c>
      <c r="GN23" s="1" t="str">
        <f t="shared" si="19"/>
        <v/>
      </c>
      <c r="GO23" s="1" t="str">
        <f t="shared" si="19"/>
        <v/>
      </c>
      <c r="GP23" s="1" t="str">
        <f t="shared" si="19"/>
        <v/>
      </c>
      <c r="GQ23" s="1" t="str">
        <f t="shared" si="19"/>
        <v/>
      </c>
      <c r="GR23" s="1" t="str">
        <f t="shared" si="19"/>
        <v/>
      </c>
      <c r="GS23" s="1" t="str">
        <f t="shared" si="19"/>
        <v/>
      </c>
      <c r="GT23" s="1" t="str">
        <f t="shared" si="19"/>
        <v/>
      </c>
      <c r="GU23" s="1" t="str">
        <f t="shared" si="19"/>
        <v/>
      </c>
      <c r="GV23" s="1" t="str">
        <f t="shared" si="19"/>
        <v/>
      </c>
      <c r="GW23" s="1" t="str">
        <f t="shared" si="19"/>
        <v/>
      </c>
      <c r="GX23" s="1" t="str">
        <f t="shared" si="19"/>
        <v/>
      </c>
      <c r="GY23" s="1" t="str">
        <f t="shared" si="19"/>
        <v/>
      </c>
      <c r="GZ23" s="1" t="str">
        <f t="shared" si="20"/>
        <v/>
      </c>
      <c r="HA23" s="1" t="str">
        <f t="shared" si="20"/>
        <v/>
      </c>
      <c r="HB23" s="1" t="str">
        <f t="shared" si="20"/>
        <v/>
      </c>
      <c r="HC23" s="1" t="str">
        <f t="shared" si="20"/>
        <v/>
      </c>
      <c r="HD23" s="1" t="str">
        <f t="shared" si="20"/>
        <v/>
      </c>
      <c r="HE23" s="1" t="str">
        <f t="shared" si="20"/>
        <v/>
      </c>
      <c r="HF23" s="1" t="str">
        <f t="shared" si="20"/>
        <v/>
      </c>
      <c r="HG23" s="1" t="str">
        <f t="shared" si="20"/>
        <v/>
      </c>
      <c r="HH23" s="1" t="str">
        <f t="shared" si="20"/>
        <v/>
      </c>
      <c r="HI23" s="1" t="str">
        <f t="shared" si="20"/>
        <v/>
      </c>
      <c r="HJ23" s="1" t="str">
        <f t="shared" si="20"/>
        <v xml:space="preserve">Texas; </v>
      </c>
      <c r="HK23" s="1" t="str">
        <f t="shared" si="20"/>
        <v/>
      </c>
      <c r="HL23" s="1" t="str">
        <f t="shared" si="20"/>
        <v/>
      </c>
      <c r="HM23" s="1" t="str">
        <f t="shared" si="20"/>
        <v/>
      </c>
      <c r="HN23" s="1" t="str">
        <f t="shared" si="20"/>
        <v/>
      </c>
      <c r="HO23" s="1" t="str">
        <f t="shared" si="20"/>
        <v/>
      </c>
      <c r="HP23" s="1" t="str">
        <f t="shared" si="21"/>
        <v/>
      </c>
      <c r="HQ23" s="1" t="str">
        <f t="shared" si="21"/>
        <v/>
      </c>
      <c r="HR23" s="1" t="str">
        <f t="shared" si="21"/>
        <v/>
      </c>
      <c r="HS23" s="1" t="str">
        <f t="shared" si="21"/>
        <v/>
      </c>
      <c r="HT23" s="1" t="str">
        <f t="shared" si="21"/>
        <v/>
      </c>
      <c r="HU23" s="1" t="str">
        <f t="shared" si="21"/>
        <v/>
      </c>
      <c r="HV23" s="1" t="str">
        <f t="shared" si="21"/>
        <v/>
      </c>
      <c r="HW23" s="1" t="str">
        <f t="shared" si="21"/>
        <v/>
      </c>
      <c r="HX23" s="1" t="str">
        <f t="shared" si="21"/>
        <v/>
      </c>
      <c r="HY23" s="1" t="str">
        <f t="shared" si="21"/>
        <v/>
      </c>
      <c r="HZ23" s="1" t="str">
        <f t="shared" si="21"/>
        <v/>
      </c>
      <c r="IA23" s="1" t="str">
        <f t="shared" si="21"/>
        <v/>
      </c>
      <c r="IB23" s="1" t="str">
        <f t="shared" si="21"/>
        <v/>
      </c>
      <c r="IC23" s="1" t="str">
        <f t="shared" si="21"/>
        <v/>
      </c>
      <c r="ID23" s="1" t="str">
        <f t="shared" si="21"/>
        <v/>
      </c>
      <c r="IE23" s="1" t="str">
        <f t="shared" si="21"/>
        <v/>
      </c>
      <c r="IF23" s="1" t="str">
        <f t="shared" si="22"/>
        <v/>
      </c>
      <c r="IG23" s="1" t="str">
        <f t="shared" si="22"/>
        <v/>
      </c>
      <c r="IH23" s="1" t="str">
        <f t="shared" si="22"/>
        <v/>
      </c>
      <c r="II23" s="1" t="str">
        <f t="shared" si="22"/>
        <v/>
      </c>
      <c r="IJ23" s="1" t="str">
        <f t="shared" si="22"/>
        <v/>
      </c>
      <c r="IK23" s="1" t="str">
        <f t="shared" si="22"/>
        <v/>
      </c>
      <c r="IL23" s="1" t="str">
        <f t="shared" si="22"/>
        <v/>
      </c>
      <c r="IM23" s="1" t="str">
        <f t="shared" si="22"/>
        <v/>
      </c>
      <c r="IN23" s="1" t="str">
        <f t="shared" si="22"/>
        <v/>
      </c>
      <c r="IO23" s="1" t="str">
        <f t="shared" si="22"/>
        <v/>
      </c>
      <c r="IP23" s="1" t="str">
        <f t="shared" si="22"/>
        <v/>
      </c>
      <c r="IQ23" s="1" t="str">
        <f t="shared" si="22"/>
        <v/>
      </c>
      <c r="IR23" s="1" t="str">
        <f t="shared" si="22"/>
        <v/>
      </c>
      <c r="IS23" s="1" t="str">
        <f t="shared" si="22"/>
        <v/>
      </c>
      <c r="IT23" s="1" t="str">
        <f t="shared" si="22"/>
        <v/>
      </c>
      <c r="IU23" s="1" t="str">
        <f t="shared" si="22"/>
        <v/>
      </c>
      <c r="IV23" s="1" t="str">
        <f t="shared" si="23"/>
        <v/>
      </c>
      <c r="IW23" s="1" t="str">
        <f t="shared" si="23"/>
        <v/>
      </c>
      <c r="IX23" s="1" t="str">
        <f t="shared" si="23"/>
        <v/>
      </c>
      <c r="IY23" s="1" t="str">
        <f t="shared" si="23"/>
        <v/>
      </c>
      <c r="IZ23" s="1" t="str">
        <f t="shared" si="23"/>
        <v/>
      </c>
      <c r="JA23" s="1" t="str">
        <f t="shared" si="23"/>
        <v/>
      </c>
      <c r="JB23" s="1" t="str">
        <f t="shared" si="23"/>
        <v/>
      </c>
      <c r="JC23" s="1" t="str">
        <f t="shared" si="23"/>
        <v/>
      </c>
      <c r="JD23" s="1" t="str">
        <f t="shared" si="23"/>
        <v/>
      </c>
      <c r="JE23" s="1" t="str">
        <f t="shared" si="23"/>
        <v/>
      </c>
      <c r="JF23" s="1" t="str">
        <f t="shared" si="23"/>
        <v/>
      </c>
      <c r="JG23" s="1" t="str">
        <f t="shared" si="23"/>
        <v/>
      </c>
      <c r="JH23" s="1" t="str">
        <f t="shared" si="23"/>
        <v/>
      </c>
      <c r="JI23" s="1" t="str">
        <f t="shared" si="23"/>
        <v/>
      </c>
      <c r="JJ23" s="1" t="str">
        <f t="shared" si="23"/>
        <v/>
      </c>
      <c r="JK23" s="1" t="str">
        <f t="shared" si="23"/>
        <v/>
      </c>
      <c r="JL23" s="1" t="str">
        <f t="shared" si="24"/>
        <v/>
      </c>
      <c r="JM23" s="1" t="str">
        <f t="shared" si="12"/>
        <v/>
      </c>
      <c r="JN23" s="1" t="str">
        <f t="shared" si="12"/>
        <v/>
      </c>
      <c r="JO23" s="1" t="str">
        <f t="shared" si="12"/>
        <v/>
      </c>
    </row>
    <row r="24" spans="1:275" ht="14.5" x14ac:dyDescent="0.35">
      <c r="A24" s="59">
        <f>IF('Data input'!A24&lt;&gt;"",'Data input'!A24,"")</f>
        <v>22</v>
      </c>
      <c r="B24" s="60" t="str">
        <f>IF('Data input'!B24&lt;&gt;"",'Data input'!B24,"")</f>
        <v>Massachusetts</v>
      </c>
      <c r="C24" s="19">
        <f>IF('Data input'!C24="","",4*('Data input'!C24-'Data input'!C$108)/('Data input'!C$109-'Data input'!C$108)+1)</f>
        <v>1.9171457168124237</v>
      </c>
      <c r="D24" s="19" t="str">
        <f>IF('Data input'!D24="","",4*('Data input'!D24-'Data input'!D$108)/('Data input'!D$109-'Data input'!D$108)+1)</f>
        <v/>
      </c>
      <c r="E24" s="19" t="str">
        <f>IF('Data input'!E24="","",4*('Data input'!E24-'Data input'!E$108)/('Data input'!E$109-'Data input'!E$108)+1)</f>
        <v/>
      </c>
      <c r="F24" s="19" t="str">
        <f>IF('Data input'!F24="","",4*('Data input'!F24-'Data input'!F$108)/('Data input'!F$109-'Data input'!F$108)+1)</f>
        <v/>
      </c>
      <c r="G24" s="19" t="str">
        <f>IF('Data input'!G24="","",4*('Data input'!G24-'Data input'!G$108)/('Data input'!G$109-'Data input'!G$108)+1)</f>
        <v/>
      </c>
      <c r="H24" s="61">
        <f>IF('Data input'!H24="","",4*('Data input'!H24-'Data input'!H$108)/('Data input'!H$109-'Data input'!H$108)+1)</f>
        <v>1.9224791335698237</v>
      </c>
      <c r="I24" s="19">
        <f>IF('Data input'!I24="","",4*('Data input'!I24-'Data input'!I$108)/('Data input'!I$109-'Data input'!I$108)+1)</f>
        <v>3.1743512254630142</v>
      </c>
      <c r="J24" s="19" t="str">
        <f>IF('Data input'!J24="","",4*('Data input'!J24-'Data input'!J$108)/('Data input'!J$109-'Data input'!J$108)+1)</f>
        <v/>
      </c>
      <c r="K24" s="19" t="str">
        <f>IF('Data input'!K24="","",4*('Data input'!K24-'Data input'!K$108)/('Data input'!K$109-'Data input'!K$108)+1)</f>
        <v/>
      </c>
      <c r="L24" s="19" t="str">
        <f>IF('Data input'!L24="","",4*('Data input'!L24-'Data input'!L$108)/('Data input'!L$109-'Data input'!L$108)+1)</f>
        <v/>
      </c>
      <c r="M24" s="19">
        <f>IF('Data input'!M24="","",4*('Data input'!M24-'Data input'!M$108)/('Data input'!M$109-'Data input'!M$108)+1)</f>
        <v>3.6958953981397213</v>
      </c>
      <c r="N24" s="16" t="str">
        <f>IF('Data input'!N24="","",4*('Data input'!N24-'Data input'!N$108)/('Data input'!N$109-'Data input'!N$108)+1)</f>
        <v/>
      </c>
      <c r="O24" s="19" t="str">
        <f>IF('Data input'!O24="","",4*('Data input'!O24-'Data input'!O$108)/('Data input'!O$109-'Data input'!O$108)+1)</f>
        <v/>
      </c>
      <c r="P24" s="19" t="str">
        <f>IF('Data input'!P24="","",4*('Data input'!P24-'Data input'!P$108)/('Data input'!P$109-'Data input'!P$108)+1)</f>
        <v/>
      </c>
      <c r="Q24" s="19" t="str">
        <f>IF('Data input'!Q24="","",4*('Data input'!Q24-'Data input'!Q$108)/('Data input'!Q$109-'Data input'!Q$108)+1)</f>
        <v/>
      </c>
      <c r="R24" s="19" t="str">
        <f>IF('Data input'!R24="","",4*('Data input'!R24-'Data input'!R$108)/('Data input'!R$109-'Data input'!R$108)+1)</f>
        <v/>
      </c>
      <c r="S24" s="16" t="str">
        <f>IF('Data input'!S24="","",4*('Data input'!S24-'Data input'!S$108)/('Data input'!S$109-'Data input'!S$108)+1)</f>
        <v/>
      </c>
      <c r="T24" s="19" t="str">
        <f>IF('Data input'!T24="","",4*('Data input'!T24-'Data input'!T$108)/('Data input'!T$109-'Data input'!T$108)+1)</f>
        <v/>
      </c>
      <c r="U24" s="19" t="str">
        <f>IF('Data input'!U24="","",4*('Data input'!U24-'Data input'!U$108)/('Data input'!U$109-'Data input'!U$108)+1)</f>
        <v/>
      </c>
      <c r="V24" s="19" t="str">
        <f>IF('Data input'!V24="","",4*('Data input'!V24-'Data input'!V$108)/('Data input'!V$109-'Data input'!V$108)+1)</f>
        <v/>
      </c>
      <c r="W24" s="16" t="str">
        <f>IF('Data input'!W24="","",4*('Data input'!W24-'Data input'!W$108)/('Data input'!W$109-'Data input'!W$108)+1)</f>
        <v/>
      </c>
      <c r="X24" s="16" t="str">
        <f>IF('Data input'!X24="","",4*('Data input'!X24-'Data input'!X$108)/('Data input'!X$109-'Data input'!X$108)+1)</f>
        <v/>
      </c>
      <c r="Y24" s="16" t="str">
        <f>IF('Data input'!Y24="","",4*('Data input'!Y24-'Data input'!Y$108)/('Data input'!Y$109-'Data input'!Y$108)+1)</f>
        <v/>
      </c>
      <c r="Z24" s="16" t="str">
        <f>IF('Data input'!Z24="","",4*('Data input'!Z24-'Data input'!Z$108)/('Data input'!Z$109-'Data input'!Z$108)+1)</f>
        <v/>
      </c>
      <c r="AA24" s="62" t="str">
        <f>IF('Data input'!AA24="","",4*('Data input'!AA24-'Data input'!AA$108)/('Data input'!AA$109-'Data input'!AA$108)+1)</f>
        <v/>
      </c>
      <c r="AB24" s="78"/>
      <c r="AC24" s="79">
        <v>0</v>
      </c>
      <c r="AD24" s="80" t="e">
        <f t="shared" si="13"/>
        <v>#DIV/0!</v>
      </c>
      <c r="AE24" s="4"/>
      <c r="AF24" s="59">
        <f t="shared" si="14"/>
        <v>22</v>
      </c>
      <c r="AG24" s="60" t="str">
        <f t="shared" si="14"/>
        <v>Massachusetts</v>
      </c>
      <c r="AH24">
        <v>2.8278256329169542</v>
      </c>
      <c r="AI24" t="s">
        <v>69</v>
      </c>
      <c r="AJ24" t="s">
        <v>69</v>
      </c>
      <c r="AK24" t="s">
        <v>69</v>
      </c>
      <c r="AL24" t="s">
        <v>69</v>
      </c>
      <c r="AM24">
        <v>0.92247913356982292</v>
      </c>
      <c r="AN24">
        <v>0.37729539792292155</v>
      </c>
      <c r="AO24" t="s">
        <v>69</v>
      </c>
      <c r="AP24" t="s">
        <v>69</v>
      </c>
      <c r="AQ24" t="s">
        <v>69</v>
      </c>
      <c r="AR24">
        <v>0.25014754639052217</v>
      </c>
      <c r="AS24" s="71">
        <f t="shared" si="15"/>
        <v>4.7449713497293775</v>
      </c>
      <c r="AT24" s="71" t="str">
        <f t="shared" si="15"/>
        <v/>
      </c>
      <c r="AU24" s="71" t="str">
        <f t="shared" si="15"/>
        <v/>
      </c>
      <c r="AV24" s="71" t="str">
        <f t="shared" si="15"/>
        <v/>
      </c>
      <c r="AW24" s="71" t="str">
        <f t="shared" si="15"/>
        <v/>
      </c>
      <c r="AX24" s="71">
        <f t="shared" si="16"/>
        <v>1.0000000000000009</v>
      </c>
      <c r="AY24" s="71">
        <f t="shared" si="16"/>
        <v>2.7970558275400927</v>
      </c>
      <c r="AZ24" s="71" t="str">
        <f t="shared" si="16"/>
        <v/>
      </c>
      <c r="BA24" s="71" t="str">
        <f t="shared" si="16"/>
        <v/>
      </c>
      <c r="BB24" s="71" t="str">
        <f t="shared" si="16"/>
        <v/>
      </c>
      <c r="BC24" s="18">
        <f>IF(C24&lt;&gt;"",(('Data input'!C$109-'Data input'!C$108)*(AS24-1)/4)+'Data input'!C$108,"")</f>
        <v>0.98703331270485006</v>
      </c>
      <c r="BD24" s="18" t="str">
        <f>IF(D24&lt;&gt;"",(('Data input'!D$109-'Data input'!D$108)*(AT24-1)/4)+'Data input'!D$108,"")</f>
        <v/>
      </c>
      <c r="BE24" s="18" t="str">
        <f>IF(E24&lt;&gt;"",(('Data input'!E$109-'Data input'!E$108)*(AU24-1)/4)+'Data input'!E$108,"")</f>
        <v/>
      </c>
      <c r="BF24" s="18" t="str">
        <f>IF(F24&lt;&gt;"",(('Data input'!F$109-'Data input'!F$108)*(AV24-1)/4)+'Data input'!F$108,"")</f>
        <v/>
      </c>
      <c r="BG24" s="18" t="str">
        <f>IF(G24&lt;&gt;"",(('Data input'!G$109-'Data input'!G$108)*(AW24-1)/4)+'Data input'!G$108,"")</f>
        <v/>
      </c>
      <c r="BH24" s="19">
        <f>IF(H24&lt;&gt;"",(('Data input'!H$109-'Data input'!H$108)*(AX24-1)/4)+'Data input'!H$108,"")</f>
        <v>0.29574268608404647</v>
      </c>
      <c r="BI24" s="18">
        <f>IF(I24&lt;&gt;"",(('Data input'!I$109-'Data input'!I$108)*(AY24-1)/4)+'Data input'!I$108,"")</f>
        <v>7.8905976348389972E-2</v>
      </c>
      <c r="BJ24" s="19" t="str">
        <f>IF(J24&lt;&gt;"",(('Data input'!J$109-'Data input'!J$108)*(AZ24-1)/4)+'Data input'!J$108,"")</f>
        <v/>
      </c>
      <c r="BK24" s="19" t="str">
        <f>IF(K24&lt;&gt;"",(('Data input'!K$109-'Data input'!K$108)*(BA24-1)/4)+'Data input'!K$108,"")</f>
        <v/>
      </c>
      <c r="BL24" s="19" t="str">
        <f>IF(L24&lt;&gt;"",(('Data input'!L$109-'Data input'!L$108)*(BB24-1)/4)+'Data input'!L$108,"")</f>
        <v/>
      </c>
      <c r="BM24" s="18">
        <f>IF(C24&lt;&gt;"",BC24-'Data input'!C24,"")</f>
        <v>0.10267034299002409</v>
      </c>
      <c r="BN24" s="18" t="str">
        <f>IF(D24&lt;&gt;"",BD24-'Data input'!D24,"")</f>
        <v/>
      </c>
      <c r="BO24" s="18" t="str">
        <f>IF(E24&lt;&gt;"",BE24-'Data input'!E24,"")</f>
        <v/>
      </c>
      <c r="BP24" s="18" t="str">
        <f>IF(F24&lt;&gt;"",BF24-'Data input'!F24,"")</f>
        <v/>
      </c>
      <c r="BQ24" s="18" t="str">
        <f>IF(G24&lt;&gt;"",BG24-'Data input'!G24,"")</f>
        <v/>
      </c>
      <c r="BR24" s="19">
        <f>IF(H24&lt;&gt;"",BH24-'Data input'!H24,"")</f>
        <v>-20.089594504764065</v>
      </c>
      <c r="BS24" s="18">
        <f>IF(I24&lt;&gt;"",BI24-'Data input'!I24,"")</f>
        <v>-1.6566464596491914E-2</v>
      </c>
      <c r="BT24" s="18" t="str">
        <f>IF(J24&lt;&gt;"",BJ24-'Data input'!J24,"")</f>
        <v/>
      </c>
      <c r="BU24" s="18" t="str">
        <f>IF(K24&lt;&gt;"",BK24-'Data input'!K24,"")</f>
        <v/>
      </c>
      <c r="BV24" s="72" t="str">
        <f>IF(L24&lt;&gt;"",BL24-'Data input'!L24,"")</f>
        <v/>
      </c>
      <c r="BW24" s="121" t="str">
        <f t="shared" si="17"/>
        <v xml:space="preserve">Texas; 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0.99999999999999989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FT24" s="1" t="str">
        <f t="shared" si="18"/>
        <v/>
      </c>
      <c r="FU24" s="1" t="str">
        <f t="shared" si="18"/>
        <v/>
      </c>
      <c r="FV24" s="1" t="str">
        <f t="shared" si="18"/>
        <v/>
      </c>
      <c r="FW24" s="1" t="str">
        <f t="shared" si="18"/>
        <v/>
      </c>
      <c r="FX24" s="1" t="str">
        <f t="shared" si="18"/>
        <v/>
      </c>
      <c r="FY24" s="1" t="str">
        <f t="shared" si="18"/>
        <v/>
      </c>
      <c r="FZ24" s="1" t="str">
        <f t="shared" si="18"/>
        <v/>
      </c>
      <c r="GA24" s="1" t="str">
        <f t="shared" si="18"/>
        <v/>
      </c>
      <c r="GB24" s="1" t="str">
        <f t="shared" si="18"/>
        <v/>
      </c>
      <c r="GC24" s="1" t="str">
        <f t="shared" si="18"/>
        <v/>
      </c>
      <c r="GD24" s="1" t="str">
        <f t="shared" si="18"/>
        <v/>
      </c>
      <c r="GE24" s="1" t="str">
        <f t="shared" si="18"/>
        <v/>
      </c>
      <c r="GF24" s="1" t="str">
        <f t="shared" si="18"/>
        <v/>
      </c>
      <c r="GG24" s="1" t="str">
        <f t="shared" si="18"/>
        <v/>
      </c>
      <c r="GH24" s="1" t="str">
        <f t="shared" si="18"/>
        <v/>
      </c>
      <c r="GI24" s="1" t="str">
        <f t="shared" si="18"/>
        <v/>
      </c>
      <c r="GJ24" s="1" t="str">
        <f t="shared" si="19"/>
        <v/>
      </c>
      <c r="GK24" s="1" t="str">
        <f t="shared" si="19"/>
        <v/>
      </c>
      <c r="GL24" s="1" t="str">
        <f t="shared" si="19"/>
        <v/>
      </c>
      <c r="GM24" s="1" t="str">
        <f t="shared" si="19"/>
        <v/>
      </c>
      <c r="GN24" s="1" t="str">
        <f t="shared" si="19"/>
        <v/>
      </c>
      <c r="GO24" s="1" t="str">
        <f t="shared" si="19"/>
        <v/>
      </c>
      <c r="GP24" s="1" t="str">
        <f t="shared" si="19"/>
        <v/>
      </c>
      <c r="GQ24" s="1" t="str">
        <f t="shared" si="19"/>
        <v/>
      </c>
      <c r="GR24" s="1" t="str">
        <f t="shared" si="19"/>
        <v/>
      </c>
      <c r="GS24" s="1" t="str">
        <f t="shared" si="19"/>
        <v/>
      </c>
      <c r="GT24" s="1" t="str">
        <f t="shared" si="19"/>
        <v/>
      </c>
      <c r="GU24" s="1" t="str">
        <f t="shared" si="19"/>
        <v/>
      </c>
      <c r="GV24" s="1" t="str">
        <f t="shared" si="19"/>
        <v/>
      </c>
      <c r="GW24" s="1" t="str">
        <f t="shared" si="19"/>
        <v/>
      </c>
      <c r="GX24" s="1" t="str">
        <f t="shared" si="19"/>
        <v/>
      </c>
      <c r="GY24" s="1" t="str">
        <f t="shared" si="19"/>
        <v/>
      </c>
      <c r="GZ24" s="1" t="str">
        <f t="shared" si="20"/>
        <v/>
      </c>
      <c r="HA24" s="1" t="str">
        <f t="shared" si="20"/>
        <v/>
      </c>
      <c r="HB24" s="1" t="str">
        <f t="shared" si="20"/>
        <v/>
      </c>
      <c r="HC24" s="1" t="str">
        <f t="shared" si="20"/>
        <v/>
      </c>
      <c r="HD24" s="1" t="str">
        <f t="shared" si="20"/>
        <v/>
      </c>
      <c r="HE24" s="1" t="str">
        <f t="shared" si="20"/>
        <v/>
      </c>
      <c r="HF24" s="1" t="str">
        <f t="shared" si="20"/>
        <v/>
      </c>
      <c r="HG24" s="1" t="str">
        <f t="shared" si="20"/>
        <v/>
      </c>
      <c r="HH24" s="1" t="str">
        <f t="shared" si="20"/>
        <v/>
      </c>
      <c r="HI24" s="1" t="str">
        <f t="shared" si="20"/>
        <v/>
      </c>
      <c r="HJ24" s="1" t="str">
        <f t="shared" si="20"/>
        <v xml:space="preserve">Texas; </v>
      </c>
      <c r="HK24" s="1" t="str">
        <f t="shared" si="20"/>
        <v/>
      </c>
      <c r="HL24" s="1" t="str">
        <f t="shared" si="20"/>
        <v/>
      </c>
      <c r="HM24" s="1" t="str">
        <f t="shared" si="20"/>
        <v/>
      </c>
      <c r="HN24" s="1" t="str">
        <f t="shared" si="20"/>
        <v/>
      </c>
      <c r="HO24" s="1" t="str">
        <f t="shared" si="20"/>
        <v/>
      </c>
      <c r="HP24" s="1" t="str">
        <f t="shared" si="21"/>
        <v/>
      </c>
      <c r="HQ24" s="1" t="str">
        <f t="shared" si="21"/>
        <v/>
      </c>
      <c r="HR24" s="1" t="str">
        <f t="shared" si="21"/>
        <v/>
      </c>
      <c r="HS24" s="1" t="str">
        <f t="shared" si="21"/>
        <v/>
      </c>
      <c r="HT24" s="1" t="str">
        <f t="shared" si="21"/>
        <v/>
      </c>
      <c r="HU24" s="1" t="str">
        <f t="shared" si="21"/>
        <v/>
      </c>
      <c r="HV24" s="1" t="str">
        <f t="shared" si="21"/>
        <v/>
      </c>
      <c r="HW24" s="1" t="str">
        <f t="shared" si="21"/>
        <v/>
      </c>
      <c r="HX24" s="1" t="str">
        <f t="shared" si="21"/>
        <v/>
      </c>
      <c r="HY24" s="1" t="str">
        <f t="shared" si="21"/>
        <v/>
      </c>
      <c r="HZ24" s="1" t="str">
        <f t="shared" si="21"/>
        <v/>
      </c>
      <c r="IA24" s="1" t="str">
        <f t="shared" si="21"/>
        <v/>
      </c>
      <c r="IB24" s="1" t="str">
        <f t="shared" si="21"/>
        <v/>
      </c>
      <c r="IC24" s="1" t="str">
        <f t="shared" si="21"/>
        <v/>
      </c>
      <c r="ID24" s="1" t="str">
        <f t="shared" si="21"/>
        <v/>
      </c>
      <c r="IE24" s="1" t="str">
        <f t="shared" si="21"/>
        <v/>
      </c>
      <c r="IF24" s="1" t="str">
        <f t="shared" si="22"/>
        <v/>
      </c>
      <c r="IG24" s="1" t="str">
        <f t="shared" si="22"/>
        <v/>
      </c>
      <c r="IH24" s="1" t="str">
        <f t="shared" si="22"/>
        <v/>
      </c>
      <c r="II24" s="1" t="str">
        <f t="shared" si="22"/>
        <v/>
      </c>
      <c r="IJ24" s="1" t="str">
        <f t="shared" si="22"/>
        <v/>
      </c>
      <c r="IK24" s="1" t="str">
        <f t="shared" si="22"/>
        <v/>
      </c>
      <c r="IL24" s="1" t="str">
        <f t="shared" si="22"/>
        <v/>
      </c>
      <c r="IM24" s="1" t="str">
        <f t="shared" si="22"/>
        <v/>
      </c>
      <c r="IN24" s="1" t="str">
        <f t="shared" si="22"/>
        <v/>
      </c>
      <c r="IO24" s="1" t="str">
        <f t="shared" si="22"/>
        <v/>
      </c>
      <c r="IP24" s="1" t="str">
        <f t="shared" si="22"/>
        <v/>
      </c>
      <c r="IQ24" s="1" t="str">
        <f t="shared" si="22"/>
        <v/>
      </c>
      <c r="IR24" s="1" t="str">
        <f t="shared" si="22"/>
        <v/>
      </c>
      <c r="IS24" s="1" t="str">
        <f t="shared" si="22"/>
        <v/>
      </c>
      <c r="IT24" s="1" t="str">
        <f t="shared" si="22"/>
        <v/>
      </c>
      <c r="IU24" s="1" t="str">
        <f t="shared" si="22"/>
        <v/>
      </c>
      <c r="IV24" s="1" t="str">
        <f t="shared" si="23"/>
        <v/>
      </c>
      <c r="IW24" s="1" t="str">
        <f t="shared" si="23"/>
        <v/>
      </c>
      <c r="IX24" s="1" t="str">
        <f t="shared" si="23"/>
        <v/>
      </c>
      <c r="IY24" s="1" t="str">
        <f t="shared" si="23"/>
        <v/>
      </c>
      <c r="IZ24" s="1" t="str">
        <f t="shared" si="23"/>
        <v/>
      </c>
      <c r="JA24" s="1" t="str">
        <f t="shared" si="23"/>
        <v/>
      </c>
      <c r="JB24" s="1" t="str">
        <f t="shared" si="23"/>
        <v/>
      </c>
      <c r="JC24" s="1" t="str">
        <f t="shared" si="23"/>
        <v/>
      </c>
      <c r="JD24" s="1" t="str">
        <f t="shared" si="23"/>
        <v/>
      </c>
      <c r="JE24" s="1" t="str">
        <f t="shared" si="23"/>
        <v/>
      </c>
      <c r="JF24" s="1" t="str">
        <f t="shared" si="23"/>
        <v/>
      </c>
      <c r="JG24" s="1" t="str">
        <f t="shared" si="23"/>
        <v/>
      </c>
      <c r="JH24" s="1" t="str">
        <f t="shared" si="23"/>
        <v/>
      </c>
      <c r="JI24" s="1" t="str">
        <f t="shared" si="23"/>
        <v/>
      </c>
      <c r="JJ24" s="1" t="str">
        <f t="shared" si="23"/>
        <v/>
      </c>
      <c r="JK24" s="1" t="str">
        <f t="shared" si="23"/>
        <v/>
      </c>
      <c r="JL24" s="1" t="str">
        <f t="shared" si="24"/>
        <v/>
      </c>
      <c r="JM24" s="1" t="str">
        <f t="shared" si="12"/>
        <v/>
      </c>
      <c r="JN24" s="1" t="str">
        <f t="shared" si="12"/>
        <v/>
      </c>
      <c r="JO24" s="1" t="str">
        <f t="shared" si="12"/>
        <v/>
      </c>
    </row>
    <row r="25" spans="1:275" ht="14.5" x14ac:dyDescent="0.35">
      <c r="A25" s="59">
        <f>IF('Data input'!A25&lt;&gt;"",'Data input'!A25,"")</f>
        <v>23</v>
      </c>
      <c r="B25" s="60" t="str">
        <f>IF('Data input'!B25&lt;&gt;"",'Data input'!B25,"")</f>
        <v>Michigan</v>
      </c>
      <c r="C25" s="19">
        <f>IF('Data input'!C25="","",4*('Data input'!C25-'Data input'!C$108)/('Data input'!C$109-'Data input'!C$108)+1)</f>
        <v>3.1412909968630669</v>
      </c>
      <c r="D25" s="19" t="str">
        <f>IF('Data input'!D25="","",4*('Data input'!D25-'Data input'!D$108)/('Data input'!D$109-'Data input'!D$108)+1)</f>
        <v/>
      </c>
      <c r="E25" s="19" t="str">
        <f>IF('Data input'!E25="","",4*('Data input'!E25-'Data input'!E$108)/('Data input'!E$109-'Data input'!E$108)+1)</f>
        <v/>
      </c>
      <c r="F25" s="19" t="str">
        <f>IF('Data input'!F25="","",4*('Data input'!F25-'Data input'!F$108)/('Data input'!F$109-'Data input'!F$108)+1)</f>
        <v/>
      </c>
      <c r="G25" s="19" t="str">
        <f>IF('Data input'!G25="","",4*('Data input'!G25-'Data input'!G$108)/('Data input'!G$109-'Data input'!G$108)+1)</f>
        <v/>
      </c>
      <c r="H25" s="61">
        <f>IF('Data input'!H25="","",4*('Data input'!H25-'Data input'!H$108)/('Data input'!H$109-'Data input'!H$108)+1)</f>
        <v>1.5336696918957435</v>
      </c>
      <c r="I25" s="19">
        <f>IF('Data input'!I25="","",4*('Data input'!I25-'Data input'!I$108)/('Data input'!I$109-'Data input'!I$108)+1)</f>
        <v>1.2380357668600952</v>
      </c>
      <c r="J25" s="19" t="str">
        <f>IF('Data input'!J25="","",4*('Data input'!J25-'Data input'!J$108)/('Data input'!J$109-'Data input'!J$108)+1)</f>
        <v/>
      </c>
      <c r="K25" s="19" t="str">
        <f>IF('Data input'!K25="","",4*('Data input'!K25-'Data input'!K$108)/('Data input'!K$109-'Data input'!K$108)+1)</f>
        <v/>
      </c>
      <c r="L25" s="19" t="str">
        <f>IF('Data input'!L25="","",4*('Data input'!L25-'Data input'!L$108)/('Data input'!L$109-'Data input'!L$108)+1)</f>
        <v/>
      </c>
      <c r="M25" s="19">
        <f>IF('Data input'!M25="","",4*('Data input'!M25-'Data input'!M$108)/('Data input'!M$109-'Data input'!M$108)+1)</f>
        <v>2.4938184932773915</v>
      </c>
      <c r="N25" s="16" t="str">
        <f>IF('Data input'!N25="","",4*('Data input'!N25-'Data input'!N$108)/('Data input'!N$109-'Data input'!N$108)+1)</f>
        <v/>
      </c>
      <c r="O25" s="19" t="str">
        <f>IF('Data input'!O25="","",4*('Data input'!O25-'Data input'!O$108)/('Data input'!O$109-'Data input'!O$108)+1)</f>
        <v/>
      </c>
      <c r="P25" s="19" t="str">
        <f>IF('Data input'!P25="","",4*('Data input'!P25-'Data input'!P$108)/('Data input'!P$109-'Data input'!P$108)+1)</f>
        <v/>
      </c>
      <c r="Q25" s="19" t="str">
        <f>IF('Data input'!Q25="","",4*('Data input'!Q25-'Data input'!Q$108)/('Data input'!Q$109-'Data input'!Q$108)+1)</f>
        <v/>
      </c>
      <c r="R25" s="19" t="str">
        <f>IF('Data input'!R25="","",4*('Data input'!R25-'Data input'!R$108)/('Data input'!R$109-'Data input'!R$108)+1)</f>
        <v/>
      </c>
      <c r="S25" s="16" t="str">
        <f>IF('Data input'!S25="","",4*('Data input'!S25-'Data input'!S$108)/('Data input'!S$109-'Data input'!S$108)+1)</f>
        <v/>
      </c>
      <c r="T25" s="19" t="str">
        <f>IF('Data input'!T25="","",4*('Data input'!T25-'Data input'!T$108)/('Data input'!T$109-'Data input'!T$108)+1)</f>
        <v/>
      </c>
      <c r="U25" s="19" t="str">
        <f>IF('Data input'!U25="","",4*('Data input'!U25-'Data input'!U$108)/('Data input'!U$109-'Data input'!U$108)+1)</f>
        <v/>
      </c>
      <c r="V25" s="19" t="str">
        <f>IF('Data input'!V25="","",4*('Data input'!V25-'Data input'!V$108)/('Data input'!V$109-'Data input'!V$108)+1)</f>
        <v/>
      </c>
      <c r="W25" s="16" t="str">
        <f>IF('Data input'!W25="","",4*('Data input'!W25-'Data input'!W$108)/('Data input'!W$109-'Data input'!W$108)+1)</f>
        <v/>
      </c>
      <c r="X25" s="16" t="str">
        <f>IF('Data input'!X25="","",4*('Data input'!X25-'Data input'!X$108)/('Data input'!X$109-'Data input'!X$108)+1)</f>
        <v/>
      </c>
      <c r="Y25" s="16" t="str">
        <f>IF('Data input'!Y25="","",4*('Data input'!Y25-'Data input'!Y$108)/('Data input'!Y$109-'Data input'!Y$108)+1)</f>
        <v/>
      </c>
      <c r="Z25" s="16" t="str">
        <f>IF('Data input'!Z25="","",4*('Data input'!Z25-'Data input'!Z$108)/('Data input'!Z$109-'Data input'!Z$108)+1)</f>
        <v/>
      </c>
      <c r="AA25" s="62" t="str">
        <f>IF('Data input'!AA25="","",4*('Data input'!AA25-'Data input'!AA$108)/('Data input'!AA$109-'Data input'!AA$108)+1)</f>
        <v/>
      </c>
      <c r="AB25" s="78"/>
      <c r="AC25" s="79">
        <v>0</v>
      </c>
      <c r="AD25" s="80" t="e">
        <f t="shared" si="13"/>
        <v>#DIV/0!</v>
      </c>
      <c r="AE25" s="4"/>
      <c r="AF25" s="59">
        <f t="shared" si="14"/>
        <v>23</v>
      </c>
      <c r="AG25" s="60" t="str">
        <f t="shared" si="14"/>
        <v>Michigan</v>
      </c>
      <c r="AH25">
        <v>1.6341518118888694</v>
      </c>
      <c r="AI25" t="s">
        <v>69</v>
      </c>
      <c r="AJ25" t="s">
        <v>69</v>
      </c>
      <c r="AK25" t="s">
        <v>69</v>
      </c>
      <c r="AL25" t="s">
        <v>69</v>
      </c>
      <c r="AM25">
        <v>0.53366969189573876</v>
      </c>
      <c r="AN25">
        <v>3.7212781817032775E-2</v>
      </c>
      <c r="AO25" t="s">
        <v>69</v>
      </c>
      <c r="AP25" t="s">
        <v>69</v>
      </c>
      <c r="AQ25" t="s">
        <v>69</v>
      </c>
      <c r="AR25">
        <v>0.52848407345129589</v>
      </c>
      <c r="AS25" s="71">
        <f t="shared" si="15"/>
        <v>4.7754428087519365</v>
      </c>
      <c r="AT25" s="71" t="str">
        <f t="shared" si="15"/>
        <v/>
      </c>
      <c r="AU25" s="71" t="str">
        <f t="shared" si="15"/>
        <v/>
      </c>
      <c r="AV25" s="71" t="str">
        <f t="shared" si="15"/>
        <v/>
      </c>
      <c r="AW25" s="71" t="str">
        <f t="shared" si="15"/>
        <v/>
      </c>
      <c r="AX25" s="71">
        <f t="shared" si="16"/>
        <v>1.0000000000000049</v>
      </c>
      <c r="AY25" s="71">
        <f t="shared" si="16"/>
        <v>1.2008229850430625</v>
      </c>
      <c r="AZ25" s="71" t="str">
        <f t="shared" si="16"/>
        <v/>
      </c>
      <c r="BA25" s="71" t="str">
        <f t="shared" si="16"/>
        <v/>
      </c>
      <c r="BB25" s="71" t="str">
        <f t="shared" si="16"/>
        <v/>
      </c>
      <c r="BC25" s="18">
        <f>IF(C25&lt;&gt;"",(('Data input'!C$109-'Data input'!C$108)*(AS25-1)/4)+'Data input'!C$108,"")</f>
        <v>0.98813964511546115</v>
      </c>
      <c r="BD25" s="18" t="str">
        <f>IF(D25&lt;&gt;"",(('Data input'!D$109-'Data input'!D$108)*(AT25-1)/4)+'Data input'!D$108,"")</f>
        <v/>
      </c>
      <c r="BE25" s="18" t="str">
        <f>IF(E25&lt;&gt;"",(('Data input'!E$109-'Data input'!E$108)*(AU25-1)/4)+'Data input'!E$108,"")</f>
        <v/>
      </c>
      <c r="BF25" s="18" t="str">
        <f>IF(F25&lt;&gt;"",(('Data input'!F$109-'Data input'!F$108)*(AV25-1)/4)+'Data input'!F$108,"")</f>
        <v/>
      </c>
      <c r="BG25" s="18" t="str">
        <f>IF(G25&lt;&gt;"",(('Data input'!G$109-'Data input'!G$108)*(AW25-1)/4)+'Data input'!G$108,"")</f>
        <v/>
      </c>
      <c r="BH25" s="19">
        <f>IF(H25&lt;&gt;"",(('Data input'!H$109-'Data input'!H$108)*(AX25-1)/4)+'Data input'!H$108,"")</f>
        <v>0.29574268608413351</v>
      </c>
      <c r="BI25" s="18">
        <f>IF(I25&lt;&gt;"",(('Data input'!I$109-'Data input'!I$108)*(AY25-1)/4)+'Data input'!I$108,"")</f>
        <v>8.8178305120948913E-3</v>
      </c>
      <c r="BJ25" s="19" t="str">
        <f>IF(J25&lt;&gt;"",(('Data input'!J$109-'Data input'!J$108)*(AZ25-1)/4)+'Data input'!J$108,"")</f>
        <v/>
      </c>
      <c r="BK25" s="19" t="str">
        <f>IF(K25&lt;&gt;"",(('Data input'!K$109-'Data input'!K$108)*(BA25-1)/4)+'Data input'!K$108,"")</f>
        <v/>
      </c>
      <c r="BL25" s="19" t="str">
        <f>IF(L25&lt;&gt;"",(('Data input'!L$109-'Data input'!L$108)*(BB25-1)/4)+'Data input'!L$108,"")</f>
        <v/>
      </c>
      <c r="BM25" s="18">
        <f>IF(C25&lt;&gt;"",BC25-'Data input'!C25,"")</f>
        <v>5.9331425909500912E-2</v>
      </c>
      <c r="BN25" s="18" t="str">
        <f>IF(D25&lt;&gt;"",BD25-'Data input'!D25,"")</f>
        <v/>
      </c>
      <c r="BO25" s="18" t="str">
        <f>IF(E25&lt;&gt;"",BE25-'Data input'!E25,"")</f>
        <v/>
      </c>
      <c r="BP25" s="18" t="str">
        <f>IF(F25&lt;&gt;"",BF25-'Data input'!F25,"")</f>
        <v/>
      </c>
      <c r="BQ25" s="18" t="str">
        <f>IF(G25&lt;&gt;"",BG25-'Data input'!G25,"")</f>
        <v/>
      </c>
      <c r="BR25" s="19">
        <f>IF(H25&lt;&gt;"",BH25-'Data input'!H25,"")</f>
        <v>-11.622168263230716</v>
      </c>
      <c r="BS25" s="18">
        <f>IF(I25&lt;&gt;"",BI25-'Data input'!I25,"")</f>
        <v>-1.6339564063137402E-3</v>
      </c>
      <c r="BT25" s="18" t="str">
        <f>IF(J25&lt;&gt;"",BJ25-'Data input'!J25,"")</f>
        <v/>
      </c>
      <c r="BU25" s="18" t="str">
        <f>IF(K25&lt;&gt;"",BK25-'Data input'!K25,"")</f>
        <v/>
      </c>
      <c r="BV25" s="72" t="str">
        <f>IF(L25&lt;&gt;"",BL25-'Data input'!L25,"")</f>
        <v/>
      </c>
      <c r="BW25" s="121" t="str">
        <f t="shared" si="17"/>
        <v xml:space="preserve">Texas; 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1.0000000000000002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FT25" s="1" t="str">
        <f t="shared" si="18"/>
        <v/>
      </c>
      <c r="FU25" s="1" t="str">
        <f t="shared" si="18"/>
        <v/>
      </c>
      <c r="FV25" s="1" t="str">
        <f t="shared" si="18"/>
        <v/>
      </c>
      <c r="FW25" s="1" t="str">
        <f t="shared" si="18"/>
        <v/>
      </c>
      <c r="FX25" s="1" t="str">
        <f t="shared" si="18"/>
        <v/>
      </c>
      <c r="FY25" s="1" t="str">
        <f t="shared" si="18"/>
        <v/>
      </c>
      <c r="FZ25" s="1" t="str">
        <f t="shared" si="18"/>
        <v/>
      </c>
      <c r="GA25" s="1" t="str">
        <f t="shared" si="18"/>
        <v/>
      </c>
      <c r="GB25" s="1" t="str">
        <f t="shared" si="18"/>
        <v/>
      </c>
      <c r="GC25" s="1" t="str">
        <f t="shared" si="18"/>
        <v/>
      </c>
      <c r="GD25" s="1" t="str">
        <f t="shared" si="18"/>
        <v/>
      </c>
      <c r="GE25" s="1" t="str">
        <f t="shared" si="18"/>
        <v/>
      </c>
      <c r="GF25" s="1" t="str">
        <f t="shared" si="18"/>
        <v/>
      </c>
      <c r="GG25" s="1" t="str">
        <f t="shared" si="18"/>
        <v/>
      </c>
      <c r="GH25" s="1" t="str">
        <f t="shared" si="18"/>
        <v/>
      </c>
      <c r="GI25" s="1" t="str">
        <f t="shared" si="18"/>
        <v/>
      </c>
      <c r="GJ25" s="1" t="str">
        <f t="shared" si="19"/>
        <v/>
      </c>
      <c r="GK25" s="1" t="str">
        <f t="shared" si="19"/>
        <v/>
      </c>
      <c r="GL25" s="1" t="str">
        <f t="shared" si="19"/>
        <v/>
      </c>
      <c r="GM25" s="1" t="str">
        <f t="shared" si="19"/>
        <v/>
      </c>
      <c r="GN25" s="1" t="str">
        <f t="shared" si="19"/>
        <v/>
      </c>
      <c r="GO25" s="1" t="str">
        <f t="shared" si="19"/>
        <v/>
      </c>
      <c r="GP25" s="1" t="str">
        <f t="shared" si="19"/>
        <v/>
      </c>
      <c r="GQ25" s="1" t="str">
        <f t="shared" si="19"/>
        <v/>
      </c>
      <c r="GR25" s="1" t="str">
        <f t="shared" si="19"/>
        <v/>
      </c>
      <c r="GS25" s="1" t="str">
        <f t="shared" si="19"/>
        <v/>
      </c>
      <c r="GT25" s="1" t="str">
        <f t="shared" si="19"/>
        <v/>
      </c>
      <c r="GU25" s="1" t="str">
        <f t="shared" si="19"/>
        <v/>
      </c>
      <c r="GV25" s="1" t="str">
        <f t="shared" si="19"/>
        <v/>
      </c>
      <c r="GW25" s="1" t="str">
        <f t="shared" si="19"/>
        <v/>
      </c>
      <c r="GX25" s="1" t="str">
        <f t="shared" si="19"/>
        <v/>
      </c>
      <c r="GY25" s="1" t="str">
        <f t="shared" si="19"/>
        <v/>
      </c>
      <c r="GZ25" s="1" t="str">
        <f t="shared" si="20"/>
        <v/>
      </c>
      <c r="HA25" s="1" t="str">
        <f t="shared" si="20"/>
        <v/>
      </c>
      <c r="HB25" s="1" t="str">
        <f t="shared" si="20"/>
        <v/>
      </c>
      <c r="HC25" s="1" t="str">
        <f t="shared" si="20"/>
        <v/>
      </c>
      <c r="HD25" s="1" t="str">
        <f t="shared" si="20"/>
        <v/>
      </c>
      <c r="HE25" s="1" t="str">
        <f t="shared" si="20"/>
        <v/>
      </c>
      <c r="HF25" s="1" t="str">
        <f t="shared" si="20"/>
        <v/>
      </c>
      <c r="HG25" s="1" t="str">
        <f t="shared" si="20"/>
        <v/>
      </c>
      <c r="HH25" s="1" t="str">
        <f t="shared" si="20"/>
        <v/>
      </c>
      <c r="HI25" s="1" t="str">
        <f t="shared" si="20"/>
        <v/>
      </c>
      <c r="HJ25" s="1" t="str">
        <f t="shared" si="20"/>
        <v xml:space="preserve">Texas; </v>
      </c>
      <c r="HK25" s="1" t="str">
        <f t="shared" si="20"/>
        <v/>
      </c>
      <c r="HL25" s="1" t="str">
        <f t="shared" si="20"/>
        <v/>
      </c>
      <c r="HM25" s="1" t="str">
        <f t="shared" si="20"/>
        <v/>
      </c>
      <c r="HN25" s="1" t="str">
        <f t="shared" si="20"/>
        <v/>
      </c>
      <c r="HO25" s="1" t="str">
        <f t="shared" si="20"/>
        <v/>
      </c>
      <c r="HP25" s="1" t="str">
        <f t="shared" si="21"/>
        <v/>
      </c>
      <c r="HQ25" s="1" t="str">
        <f t="shared" si="21"/>
        <v/>
      </c>
      <c r="HR25" s="1" t="str">
        <f t="shared" si="21"/>
        <v/>
      </c>
      <c r="HS25" s="1" t="str">
        <f t="shared" si="21"/>
        <v/>
      </c>
      <c r="HT25" s="1" t="str">
        <f t="shared" si="21"/>
        <v/>
      </c>
      <c r="HU25" s="1" t="str">
        <f t="shared" si="21"/>
        <v/>
      </c>
      <c r="HV25" s="1" t="str">
        <f t="shared" si="21"/>
        <v/>
      </c>
      <c r="HW25" s="1" t="str">
        <f t="shared" si="21"/>
        <v/>
      </c>
      <c r="HX25" s="1" t="str">
        <f t="shared" si="21"/>
        <v/>
      </c>
      <c r="HY25" s="1" t="str">
        <f t="shared" si="21"/>
        <v/>
      </c>
      <c r="HZ25" s="1" t="str">
        <f t="shared" si="21"/>
        <v/>
      </c>
      <c r="IA25" s="1" t="str">
        <f t="shared" si="21"/>
        <v/>
      </c>
      <c r="IB25" s="1" t="str">
        <f t="shared" si="21"/>
        <v/>
      </c>
      <c r="IC25" s="1" t="str">
        <f t="shared" si="21"/>
        <v/>
      </c>
      <c r="ID25" s="1" t="str">
        <f t="shared" si="21"/>
        <v/>
      </c>
      <c r="IE25" s="1" t="str">
        <f t="shared" si="21"/>
        <v/>
      </c>
      <c r="IF25" s="1" t="str">
        <f t="shared" si="22"/>
        <v/>
      </c>
      <c r="IG25" s="1" t="str">
        <f t="shared" si="22"/>
        <v/>
      </c>
      <c r="IH25" s="1" t="str">
        <f t="shared" si="22"/>
        <v/>
      </c>
      <c r="II25" s="1" t="str">
        <f t="shared" si="22"/>
        <v/>
      </c>
      <c r="IJ25" s="1" t="str">
        <f t="shared" si="22"/>
        <v/>
      </c>
      <c r="IK25" s="1" t="str">
        <f t="shared" si="22"/>
        <v/>
      </c>
      <c r="IL25" s="1" t="str">
        <f t="shared" si="22"/>
        <v/>
      </c>
      <c r="IM25" s="1" t="str">
        <f t="shared" si="22"/>
        <v/>
      </c>
      <c r="IN25" s="1" t="str">
        <f t="shared" si="22"/>
        <v/>
      </c>
      <c r="IO25" s="1" t="str">
        <f t="shared" si="22"/>
        <v/>
      </c>
      <c r="IP25" s="1" t="str">
        <f t="shared" si="22"/>
        <v/>
      </c>
      <c r="IQ25" s="1" t="str">
        <f t="shared" si="22"/>
        <v/>
      </c>
      <c r="IR25" s="1" t="str">
        <f t="shared" si="22"/>
        <v/>
      </c>
      <c r="IS25" s="1" t="str">
        <f t="shared" si="22"/>
        <v/>
      </c>
      <c r="IT25" s="1" t="str">
        <f t="shared" si="22"/>
        <v/>
      </c>
      <c r="IU25" s="1" t="str">
        <f t="shared" si="22"/>
        <v/>
      </c>
      <c r="IV25" s="1" t="str">
        <f t="shared" si="23"/>
        <v/>
      </c>
      <c r="IW25" s="1" t="str">
        <f t="shared" si="23"/>
        <v/>
      </c>
      <c r="IX25" s="1" t="str">
        <f t="shared" si="23"/>
        <v/>
      </c>
      <c r="IY25" s="1" t="str">
        <f t="shared" si="23"/>
        <v/>
      </c>
      <c r="IZ25" s="1" t="str">
        <f t="shared" si="23"/>
        <v/>
      </c>
      <c r="JA25" s="1" t="str">
        <f t="shared" si="23"/>
        <v/>
      </c>
      <c r="JB25" s="1" t="str">
        <f t="shared" si="23"/>
        <v/>
      </c>
      <c r="JC25" s="1" t="str">
        <f t="shared" si="23"/>
        <v/>
      </c>
      <c r="JD25" s="1" t="str">
        <f t="shared" si="23"/>
        <v/>
      </c>
      <c r="JE25" s="1" t="str">
        <f t="shared" si="23"/>
        <v/>
      </c>
      <c r="JF25" s="1" t="str">
        <f t="shared" si="23"/>
        <v/>
      </c>
      <c r="JG25" s="1" t="str">
        <f t="shared" si="23"/>
        <v/>
      </c>
      <c r="JH25" s="1" t="str">
        <f t="shared" si="23"/>
        <v/>
      </c>
      <c r="JI25" s="1" t="str">
        <f t="shared" si="23"/>
        <v/>
      </c>
      <c r="JJ25" s="1" t="str">
        <f t="shared" si="23"/>
        <v/>
      </c>
      <c r="JK25" s="1" t="str">
        <f t="shared" si="23"/>
        <v/>
      </c>
      <c r="JL25" s="1" t="str">
        <f t="shared" si="24"/>
        <v/>
      </c>
      <c r="JM25" s="1" t="str">
        <f t="shared" si="12"/>
        <v/>
      </c>
      <c r="JN25" s="1" t="str">
        <f t="shared" si="12"/>
        <v/>
      </c>
      <c r="JO25" s="1" t="str">
        <f t="shared" si="12"/>
        <v/>
      </c>
    </row>
    <row r="26" spans="1:275" ht="14.5" x14ac:dyDescent="0.35">
      <c r="A26" s="59">
        <f>IF('Data input'!A26&lt;&gt;"",'Data input'!A26,"")</f>
        <v>24</v>
      </c>
      <c r="B26" s="60" t="str">
        <f>IF('Data input'!B26&lt;&gt;"",'Data input'!B26,"")</f>
        <v>Minnesota</v>
      </c>
      <c r="C26" s="19">
        <f>IF('Data input'!C26="","",4*('Data input'!C26-'Data input'!C$108)/('Data input'!C$109-'Data input'!C$108)+1)</f>
        <v>4.2830263152266701</v>
      </c>
      <c r="D26" s="19" t="str">
        <f>IF('Data input'!D26="","",4*('Data input'!D26-'Data input'!D$108)/('Data input'!D$109-'Data input'!D$108)+1)</f>
        <v/>
      </c>
      <c r="E26" s="19" t="str">
        <f>IF('Data input'!E26="","",4*('Data input'!E26-'Data input'!E$108)/('Data input'!E$109-'Data input'!E$108)+1)</f>
        <v/>
      </c>
      <c r="F26" s="19" t="str">
        <f>IF('Data input'!F26="","",4*('Data input'!F26-'Data input'!F$108)/('Data input'!F$109-'Data input'!F$108)+1)</f>
        <v/>
      </c>
      <c r="G26" s="19" t="str">
        <f>IF('Data input'!G26="","",4*('Data input'!G26-'Data input'!G$108)/('Data input'!G$109-'Data input'!G$108)+1)</f>
        <v/>
      </c>
      <c r="H26" s="61">
        <f>IF('Data input'!H26="","",4*('Data input'!H26-'Data input'!H$108)/('Data input'!H$109-'Data input'!H$108)+1)</f>
        <v>1.1341932070144354</v>
      </c>
      <c r="I26" s="19">
        <f>IF('Data input'!I26="","",4*('Data input'!I26-'Data input'!I$108)/('Data input'!I$109-'Data input'!I$108)+1)</f>
        <v>1.0391541224423908</v>
      </c>
      <c r="J26" s="19" t="str">
        <f>IF('Data input'!J26="","",4*('Data input'!J26-'Data input'!J$108)/('Data input'!J$109-'Data input'!J$108)+1)</f>
        <v/>
      </c>
      <c r="K26" s="19" t="str">
        <f>IF('Data input'!K26="","",4*('Data input'!K26-'Data input'!K$108)/('Data input'!K$109-'Data input'!K$108)+1)</f>
        <v/>
      </c>
      <c r="L26" s="19" t="str">
        <f>IF('Data input'!L26="","",4*('Data input'!L26-'Data input'!L$108)/('Data input'!L$109-'Data input'!L$108)+1)</f>
        <v/>
      </c>
      <c r="M26" s="19">
        <f>IF('Data input'!M26="","",4*('Data input'!M26-'Data input'!M$108)/('Data input'!M$109-'Data input'!M$108)+1)</f>
        <v>1.8762292716496103</v>
      </c>
      <c r="N26" s="16" t="str">
        <f>IF('Data input'!N26="","",4*('Data input'!N26-'Data input'!N$108)/('Data input'!N$109-'Data input'!N$108)+1)</f>
        <v/>
      </c>
      <c r="O26" s="19" t="str">
        <f>IF('Data input'!O26="","",4*('Data input'!O26-'Data input'!O$108)/('Data input'!O$109-'Data input'!O$108)+1)</f>
        <v/>
      </c>
      <c r="P26" s="19" t="str">
        <f>IF('Data input'!P26="","",4*('Data input'!P26-'Data input'!P$108)/('Data input'!P$109-'Data input'!P$108)+1)</f>
        <v/>
      </c>
      <c r="Q26" s="19" t="str">
        <f>IF('Data input'!Q26="","",4*('Data input'!Q26-'Data input'!Q$108)/('Data input'!Q$109-'Data input'!Q$108)+1)</f>
        <v/>
      </c>
      <c r="R26" s="19" t="str">
        <f>IF('Data input'!R26="","",4*('Data input'!R26-'Data input'!R$108)/('Data input'!R$109-'Data input'!R$108)+1)</f>
        <v/>
      </c>
      <c r="S26" s="16" t="str">
        <f>IF('Data input'!S26="","",4*('Data input'!S26-'Data input'!S$108)/('Data input'!S$109-'Data input'!S$108)+1)</f>
        <v/>
      </c>
      <c r="T26" s="19" t="str">
        <f>IF('Data input'!T26="","",4*('Data input'!T26-'Data input'!T$108)/('Data input'!T$109-'Data input'!T$108)+1)</f>
        <v/>
      </c>
      <c r="U26" s="19" t="str">
        <f>IF('Data input'!U26="","",4*('Data input'!U26-'Data input'!U$108)/('Data input'!U$109-'Data input'!U$108)+1)</f>
        <v/>
      </c>
      <c r="V26" s="19" t="str">
        <f>IF('Data input'!V26="","",4*('Data input'!V26-'Data input'!V$108)/('Data input'!V$109-'Data input'!V$108)+1)</f>
        <v/>
      </c>
      <c r="W26" s="16" t="str">
        <f>IF('Data input'!W26="","",4*('Data input'!W26-'Data input'!W$108)/('Data input'!W$109-'Data input'!W$108)+1)</f>
        <v/>
      </c>
      <c r="X26" s="16" t="str">
        <f>IF('Data input'!X26="","",4*('Data input'!X26-'Data input'!X$108)/('Data input'!X$109-'Data input'!X$108)+1)</f>
        <v/>
      </c>
      <c r="Y26" s="16" t="str">
        <f>IF('Data input'!Y26="","",4*('Data input'!Y26-'Data input'!Y$108)/('Data input'!Y$109-'Data input'!Y$108)+1)</f>
        <v/>
      </c>
      <c r="Z26" s="16" t="str">
        <f>IF('Data input'!Z26="","",4*('Data input'!Z26-'Data input'!Z$108)/('Data input'!Z$109-'Data input'!Z$108)+1)</f>
        <v/>
      </c>
      <c r="AA26" s="62" t="str">
        <f>IF('Data input'!AA26="","",4*('Data input'!AA26-'Data input'!AA$108)/('Data input'!AA$109-'Data input'!AA$108)+1)</f>
        <v/>
      </c>
      <c r="AB26" s="78"/>
      <c r="AC26" s="79">
        <v>0</v>
      </c>
      <c r="AD26" s="80" t="e">
        <f t="shared" si="13"/>
        <v>#DIV/0!</v>
      </c>
      <c r="AE26" s="4"/>
      <c r="AF26" s="59">
        <f t="shared" si="14"/>
        <v>24</v>
      </c>
      <c r="AG26" s="60" t="str">
        <f t="shared" si="14"/>
        <v>Minnesota</v>
      </c>
      <c r="AH26">
        <v>0.52083660144469945</v>
      </c>
      <c r="AI26" t="s">
        <v>69</v>
      </c>
      <c r="AJ26" t="s">
        <v>69</v>
      </c>
      <c r="AK26" t="s">
        <v>69</v>
      </c>
      <c r="AL26" t="s">
        <v>69</v>
      </c>
      <c r="AM26">
        <v>0.13419320701443396</v>
      </c>
      <c r="AN26">
        <v>2.2824249743395044E-3</v>
      </c>
      <c r="AO26" t="s">
        <v>69</v>
      </c>
      <c r="AP26" t="s">
        <v>69</v>
      </c>
      <c r="AQ26" t="s">
        <v>69</v>
      </c>
      <c r="AR26">
        <v>0.83606183454230232</v>
      </c>
      <c r="AS26" s="71">
        <f t="shared" si="15"/>
        <v>4.8038629166713696</v>
      </c>
      <c r="AT26" s="71" t="str">
        <f t="shared" si="15"/>
        <v/>
      </c>
      <c r="AU26" s="71" t="str">
        <f t="shared" si="15"/>
        <v/>
      </c>
      <c r="AV26" s="71" t="str">
        <f t="shared" si="15"/>
        <v/>
      </c>
      <c r="AW26" s="71" t="str">
        <f t="shared" si="15"/>
        <v/>
      </c>
      <c r="AX26" s="71">
        <f t="shared" si="16"/>
        <v>1.0000000000000013</v>
      </c>
      <c r="AY26" s="71">
        <f t="shared" si="16"/>
        <v>1.0368716974680512</v>
      </c>
      <c r="AZ26" s="71" t="str">
        <f t="shared" si="16"/>
        <v/>
      </c>
      <c r="BA26" s="71" t="str">
        <f t="shared" si="16"/>
        <v/>
      </c>
      <c r="BB26" s="71" t="str">
        <f t="shared" si="16"/>
        <v/>
      </c>
      <c r="BC26" s="18">
        <f>IF(C26&lt;&gt;"",(('Data input'!C$109-'Data input'!C$108)*(AS26-1)/4)+'Data input'!C$108,"")</f>
        <v>0.98917149877501365</v>
      </c>
      <c r="BD26" s="18" t="str">
        <f>IF(D26&lt;&gt;"",(('Data input'!D$109-'Data input'!D$108)*(AT26-1)/4)+'Data input'!D$108,"")</f>
        <v/>
      </c>
      <c r="BE26" s="18" t="str">
        <f>IF(E26&lt;&gt;"",(('Data input'!E$109-'Data input'!E$108)*(AU26-1)/4)+'Data input'!E$108,"")</f>
        <v/>
      </c>
      <c r="BF26" s="18" t="str">
        <f>IF(F26&lt;&gt;"",(('Data input'!F$109-'Data input'!F$108)*(AV26-1)/4)+'Data input'!F$108,"")</f>
        <v/>
      </c>
      <c r="BG26" s="18" t="str">
        <f>IF(G26&lt;&gt;"",(('Data input'!G$109-'Data input'!G$108)*(AW26-1)/4)+'Data input'!G$108,"")</f>
        <v/>
      </c>
      <c r="BH26" s="19">
        <f>IF(H26&lt;&gt;"",(('Data input'!H$109-'Data input'!H$108)*(AX26-1)/4)+'Data input'!H$108,"")</f>
        <v>0.29574268608405618</v>
      </c>
      <c r="BI26" s="18">
        <f>IF(I26&lt;&gt;"",(('Data input'!I$109-'Data input'!I$108)*(AY26-1)/4)+'Data input'!I$108,"")</f>
        <v>1.618979913563163E-3</v>
      </c>
      <c r="BJ26" s="19" t="str">
        <f>IF(J26&lt;&gt;"",(('Data input'!J$109-'Data input'!J$108)*(AZ26-1)/4)+'Data input'!J$108,"")</f>
        <v/>
      </c>
      <c r="BK26" s="19" t="str">
        <f>IF(K26&lt;&gt;"",(('Data input'!K$109-'Data input'!K$108)*(BA26-1)/4)+'Data input'!K$108,"")</f>
        <v/>
      </c>
      <c r="BL26" s="19" t="str">
        <f>IF(L26&lt;&gt;"",(('Data input'!L$109-'Data input'!L$108)*(BB26-1)/4)+'Data input'!L$108,"")</f>
        <v/>
      </c>
      <c r="BM26" s="18">
        <f>IF(C26&lt;&gt;"",BC26-'Data input'!C26,"")</f>
        <v>1.8910102479312352E-2</v>
      </c>
      <c r="BN26" s="18" t="str">
        <f>IF(D26&lt;&gt;"",BD26-'Data input'!D26,"")</f>
        <v/>
      </c>
      <c r="BO26" s="18" t="str">
        <f>IF(E26&lt;&gt;"",BE26-'Data input'!E26,"")</f>
        <v/>
      </c>
      <c r="BP26" s="18" t="str">
        <f>IF(F26&lt;&gt;"",BF26-'Data input'!F26,"")</f>
        <v/>
      </c>
      <c r="BQ26" s="18" t="str">
        <f>IF(G26&lt;&gt;"",BG26-'Data input'!G26,"")</f>
        <v/>
      </c>
      <c r="BR26" s="19">
        <f>IF(H26&lt;&gt;"",BH26-'Data input'!H26,"")</f>
        <v>-2.9224369593936057</v>
      </c>
      <c r="BS26" s="18">
        <f>IF(I26&lt;&gt;"",BI26-'Data input'!I26,"")</f>
        <v>-1.0021779417322663E-4</v>
      </c>
      <c r="BT26" s="18" t="str">
        <f>IF(J26&lt;&gt;"",BJ26-'Data input'!J26,"")</f>
        <v/>
      </c>
      <c r="BU26" s="18" t="str">
        <f>IF(K26&lt;&gt;"",BK26-'Data input'!K26,"")</f>
        <v/>
      </c>
      <c r="BV26" s="72" t="str">
        <f>IF(L26&lt;&gt;"",BL26-'Data input'!L26,"")</f>
        <v/>
      </c>
      <c r="BW26" s="121" t="str">
        <f t="shared" si="17"/>
        <v xml:space="preserve">Texas; 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1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FT26" s="1" t="str">
        <f t="shared" si="18"/>
        <v/>
      </c>
      <c r="FU26" s="1" t="str">
        <f t="shared" si="18"/>
        <v/>
      </c>
      <c r="FV26" s="1" t="str">
        <f t="shared" si="18"/>
        <v/>
      </c>
      <c r="FW26" s="1" t="str">
        <f t="shared" si="18"/>
        <v/>
      </c>
      <c r="FX26" s="1" t="str">
        <f t="shared" si="18"/>
        <v/>
      </c>
      <c r="FY26" s="1" t="str">
        <f t="shared" si="18"/>
        <v/>
      </c>
      <c r="FZ26" s="1" t="str">
        <f t="shared" si="18"/>
        <v/>
      </c>
      <c r="GA26" s="1" t="str">
        <f t="shared" si="18"/>
        <v/>
      </c>
      <c r="GB26" s="1" t="str">
        <f t="shared" si="18"/>
        <v/>
      </c>
      <c r="GC26" s="1" t="str">
        <f t="shared" si="18"/>
        <v/>
      </c>
      <c r="GD26" s="1" t="str">
        <f t="shared" si="18"/>
        <v/>
      </c>
      <c r="GE26" s="1" t="str">
        <f t="shared" si="18"/>
        <v/>
      </c>
      <c r="GF26" s="1" t="str">
        <f t="shared" si="18"/>
        <v/>
      </c>
      <c r="GG26" s="1" t="str">
        <f t="shared" si="18"/>
        <v/>
      </c>
      <c r="GH26" s="1" t="str">
        <f t="shared" si="18"/>
        <v/>
      </c>
      <c r="GI26" s="1" t="str">
        <f t="shared" si="18"/>
        <v/>
      </c>
      <c r="GJ26" s="1" t="str">
        <f t="shared" si="19"/>
        <v/>
      </c>
      <c r="GK26" s="1" t="str">
        <f t="shared" si="19"/>
        <v/>
      </c>
      <c r="GL26" s="1" t="str">
        <f t="shared" si="19"/>
        <v/>
      </c>
      <c r="GM26" s="1" t="str">
        <f t="shared" si="19"/>
        <v/>
      </c>
      <c r="GN26" s="1" t="str">
        <f t="shared" si="19"/>
        <v/>
      </c>
      <c r="GO26" s="1" t="str">
        <f t="shared" si="19"/>
        <v/>
      </c>
      <c r="GP26" s="1" t="str">
        <f t="shared" si="19"/>
        <v/>
      </c>
      <c r="GQ26" s="1" t="str">
        <f t="shared" si="19"/>
        <v/>
      </c>
      <c r="GR26" s="1" t="str">
        <f t="shared" si="19"/>
        <v/>
      </c>
      <c r="GS26" s="1" t="str">
        <f t="shared" si="19"/>
        <v/>
      </c>
      <c r="GT26" s="1" t="str">
        <f t="shared" si="19"/>
        <v/>
      </c>
      <c r="GU26" s="1" t="str">
        <f t="shared" si="19"/>
        <v/>
      </c>
      <c r="GV26" s="1" t="str">
        <f t="shared" si="19"/>
        <v/>
      </c>
      <c r="GW26" s="1" t="str">
        <f t="shared" si="19"/>
        <v/>
      </c>
      <c r="GX26" s="1" t="str">
        <f t="shared" si="19"/>
        <v/>
      </c>
      <c r="GY26" s="1" t="str">
        <f t="shared" si="19"/>
        <v/>
      </c>
      <c r="GZ26" s="1" t="str">
        <f t="shared" si="20"/>
        <v/>
      </c>
      <c r="HA26" s="1" t="str">
        <f t="shared" si="20"/>
        <v/>
      </c>
      <c r="HB26" s="1" t="str">
        <f t="shared" si="20"/>
        <v/>
      </c>
      <c r="HC26" s="1" t="str">
        <f t="shared" si="20"/>
        <v/>
      </c>
      <c r="HD26" s="1" t="str">
        <f t="shared" si="20"/>
        <v/>
      </c>
      <c r="HE26" s="1" t="str">
        <f t="shared" si="20"/>
        <v/>
      </c>
      <c r="HF26" s="1" t="str">
        <f t="shared" si="20"/>
        <v/>
      </c>
      <c r="HG26" s="1" t="str">
        <f t="shared" si="20"/>
        <v/>
      </c>
      <c r="HH26" s="1" t="str">
        <f t="shared" si="20"/>
        <v/>
      </c>
      <c r="HI26" s="1" t="str">
        <f t="shared" si="20"/>
        <v/>
      </c>
      <c r="HJ26" s="1" t="str">
        <f t="shared" si="20"/>
        <v xml:space="preserve">Texas; </v>
      </c>
      <c r="HK26" s="1" t="str">
        <f t="shared" si="20"/>
        <v/>
      </c>
      <c r="HL26" s="1" t="str">
        <f t="shared" si="20"/>
        <v/>
      </c>
      <c r="HM26" s="1" t="str">
        <f t="shared" si="20"/>
        <v/>
      </c>
      <c r="HN26" s="1" t="str">
        <f t="shared" si="20"/>
        <v/>
      </c>
      <c r="HO26" s="1" t="str">
        <f t="shared" si="20"/>
        <v/>
      </c>
      <c r="HP26" s="1" t="str">
        <f t="shared" si="21"/>
        <v/>
      </c>
      <c r="HQ26" s="1" t="str">
        <f t="shared" si="21"/>
        <v/>
      </c>
      <c r="HR26" s="1" t="str">
        <f t="shared" si="21"/>
        <v/>
      </c>
      <c r="HS26" s="1" t="str">
        <f t="shared" si="21"/>
        <v/>
      </c>
      <c r="HT26" s="1" t="str">
        <f t="shared" si="21"/>
        <v/>
      </c>
      <c r="HU26" s="1" t="str">
        <f t="shared" si="21"/>
        <v/>
      </c>
      <c r="HV26" s="1" t="str">
        <f t="shared" si="21"/>
        <v/>
      </c>
      <c r="HW26" s="1" t="str">
        <f t="shared" si="21"/>
        <v/>
      </c>
      <c r="HX26" s="1" t="str">
        <f t="shared" si="21"/>
        <v/>
      </c>
      <c r="HY26" s="1" t="str">
        <f t="shared" si="21"/>
        <v/>
      </c>
      <c r="HZ26" s="1" t="str">
        <f t="shared" si="21"/>
        <v/>
      </c>
      <c r="IA26" s="1" t="str">
        <f t="shared" si="21"/>
        <v/>
      </c>
      <c r="IB26" s="1" t="str">
        <f t="shared" si="21"/>
        <v/>
      </c>
      <c r="IC26" s="1" t="str">
        <f t="shared" si="21"/>
        <v/>
      </c>
      <c r="ID26" s="1" t="str">
        <f t="shared" si="21"/>
        <v/>
      </c>
      <c r="IE26" s="1" t="str">
        <f t="shared" si="21"/>
        <v/>
      </c>
      <c r="IF26" s="1" t="str">
        <f t="shared" si="22"/>
        <v/>
      </c>
      <c r="IG26" s="1" t="str">
        <f t="shared" si="22"/>
        <v/>
      </c>
      <c r="IH26" s="1" t="str">
        <f t="shared" si="22"/>
        <v/>
      </c>
      <c r="II26" s="1" t="str">
        <f t="shared" si="22"/>
        <v/>
      </c>
      <c r="IJ26" s="1" t="str">
        <f t="shared" si="22"/>
        <v/>
      </c>
      <c r="IK26" s="1" t="str">
        <f t="shared" si="22"/>
        <v/>
      </c>
      <c r="IL26" s="1" t="str">
        <f t="shared" si="22"/>
        <v/>
      </c>
      <c r="IM26" s="1" t="str">
        <f t="shared" si="22"/>
        <v/>
      </c>
      <c r="IN26" s="1" t="str">
        <f t="shared" si="22"/>
        <v/>
      </c>
      <c r="IO26" s="1" t="str">
        <f t="shared" si="22"/>
        <v/>
      </c>
      <c r="IP26" s="1" t="str">
        <f t="shared" si="22"/>
        <v/>
      </c>
      <c r="IQ26" s="1" t="str">
        <f t="shared" si="22"/>
        <v/>
      </c>
      <c r="IR26" s="1" t="str">
        <f t="shared" si="22"/>
        <v/>
      </c>
      <c r="IS26" s="1" t="str">
        <f t="shared" si="22"/>
        <v/>
      </c>
      <c r="IT26" s="1" t="str">
        <f t="shared" si="22"/>
        <v/>
      </c>
      <c r="IU26" s="1" t="str">
        <f t="shared" si="22"/>
        <v/>
      </c>
      <c r="IV26" s="1" t="str">
        <f t="shared" si="23"/>
        <v/>
      </c>
      <c r="IW26" s="1" t="str">
        <f t="shared" si="23"/>
        <v/>
      </c>
      <c r="IX26" s="1" t="str">
        <f t="shared" si="23"/>
        <v/>
      </c>
      <c r="IY26" s="1" t="str">
        <f t="shared" si="23"/>
        <v/>
      </c>
      <c r="IZ26" s="1" t="str">
        <f t="shared" si="23"/>
        <v/>
      </c>
      <c r="JA26" s="1" t="str">
        <f t="shared" si="23"/>
        <v/>
      </c>
      <c r="JB26" s="1" t="str">
        <f t="shared" si="23"/>
        <v/>
      </c>
      <c r="JC26" s="1" t="str">
        <f t="shared" si="23"/>
        <v/>
      </c>
      <c r="JD26" s="1" t="str">
        <f t="shared" si="23"/>
        <v/>
      </c>
      <c r="JE26" s="1" t="str">
        <f t="shared" si="23"/>
        <v/>
      </c>
      <c r="JF26" s="1" t="str">
        <f t="shared" si="23"/>
        <v/>
      </c>
      <c r="JG26" s="1" t="str">
        <f t="shared" si="23"/>
        <v/>
      </c>
      <c r="JH26" s="1" t="str">
        <f t="shared" si="23"/>
        <v/>
      </c>
      <c r="JI26" s="1" t="str">
        <f t="shared" si="23"/>
        <v/>
      </c>
      <c r="JJ26" s="1" t="str">
        <f t="shared" si="23"/>
        <v/>
      </c>
      <c r="JK26" s="1" t="str">
        <f t="shared" si="23"/>
        <v/>
      </c>
      <c r="JL26" s="1" t="str">
        <f t="shared" si="24"/>
        <v/>
      </c>
      <c r="JM26" s="1" t="str">
        <f t="shared" si="12"/>
        <v/>
      </c>
      <c r="JN26" s="1" t="str">
        <f t="shared" si="12"/>
        <v/>
      </c>
      <c r="JO26" s="1" t="str">
        <f t="shared" si="12"/>
        <v/>
      </c>
    </row>
    <row r="27" spans="1:275" ht="14.5" x14ac:dyDescent="0.35">
      <c r="A27" s="59">
        <f>IF('Data input'!A27&lt;&gt;"",'Data input'!A27,"")</f>
        <v>25</v>
      </c>
      <c r="B27" s="60" t="str">
        <f>IF('Data input'!B27&lt;&gt;"",'Data input'!B27,"")</f>
        <v>Mississippi</v>
      </c>
      <c r="C27" s="19">
        <f>IF('Data input'!C27="","",4*('Data input'!C27-'Data input'!C$108)/('Data input'!C$109-'Data input'!C$108)+1)</f>
        <v>4.4665608959642569</v>
      </c>
      <c r="D27" s="19" t="str">
        <f>IF('Data input'!D27="","",4*('Data input'!D27-'Data input'!D$108)/('Data input'!D$109-'Data input'!D$108)+1)</f>
        <v/>
      </c>
      <c r="E27" s="19" t="str">
        <f>IF('Data input'!E27="","",4*('Data input'!E27-'Data input'!E$108)/('Data input'!E$109-'Data input'!E$108)+1)</f>
        <v/>
      </c>
      <c r="F27" s="19" t="str">
        <f>IF('Data input'!F27="","",4*('Data input'!F27-'Data input'!F$108)/('Data input'!F$109-'Data input'!F$108)+1)</f>
        <v/>
      </c>
      <c r="G27" s="19" t="str">
        <f>IF('Data input'!G27="","",4*('Data input'!G27-'Data input'!G$108)/('Data input'!G$109-'Data input'!G$108)+1)</f>
        <v/>
      </c>
      <c r="H27" s="61">
        <f>IF('Data input'!H27="","",4*('Data input'!H27-'Data input'!H$108)/('Data input'!H$109-'Data input'!H$108)+1)</f>
        <v>1.0733270248897144</v>
      </c>
      <c r="I27" s="19">
        <f>IF('Data input'!I27="","",4*('Data input'!I27-'Data input'!I$108)/('Data input'!I$109-'Data input'!I$108)+1)</f>
        <v>2.2372217579961542</v>
      </c>
      <c r="J27" s="19" t="str">
        <f>IF('Data input'!J27="","",4*('Data input'!J27-'Data input'!J$108)/('Data input'!J$109-'Data input'!J$108)+1)</f>
        <v/>
      </c>
      <c r="K27" s="19" t="str">
        <f>IF('Data input'!K27="","",4*('Data input'!K27-'Data input'!K$108)/('Data input'!K$109-'Data input'!K$108)+1)</f>
        <v/>
      </c>
      <c r="L27" s="19" t="str">
        <f>IF('Data input'!L27="","",4*('Data input'!L27-'Data input'!L$108)/('Data input'!L$109-'Data input'!L$108)+1)</f>
        <v/>
      </c>
      <c r="M27" s="19">
        <f>IF('Data input'!M27="","",4*('Data input'!M27-'Data input'!M$108)/('Data input'!M$109-'Data input'!M$108)+1)</f>
        <v>1.2308292820091609</v>
      </c>
      <c r="N27" s="16" t="str">
        <f>IF('Data input'!N27="","",4*('Data input'!N27-'Data input'!N$108)/('Data input'!N$109-'Data input'!N$108)+1)</f>
        <v/>
      </c>
      <c r="O27" s="19" t="str">
        <f>IF('Data input'!O27="","",4*('Data input'!O27-'Data input'!O$108)/('Data input'!O$109-'Data input'!O$108)+1)</f>
        <v/>
      </c>
      <c r="P27" s="19" t="str">
        <f>IF('Data input'!P27="","",4*('Data input'!P27-'Data input'!P$108)/('Data input'!P$109-'Data input'!P$108)+1)</f>
        <v/>
      </c>
      <c r="Q27" s="19" t="str">
        <f>IF('Data input'!Q27="","",4*('Data input'!Q27-'Data input'!Q$108)/('Data input'!Q$109-'Data input'!Q$108)+1)</f>
        <v/>
      </c>
      <c r="R27" s="19" t="str">
        <f>IF('Data input'!R27="","",4*('Data input'!R27-'Data input'!R$108)/('Data input'!R$109-'Data input'!R$108)+1)</f>
        <v/>
      </c>
      <c r="S27" s="16" t="str">
        <f>IF('Data input'!S27="","",4*('Data input'!S27-'Data input'!S$108)/('Data input'!S$109-'Data input'!S$108)+1)</f>
        <v/>
      </c>
      <c r="T27" s="19" t="str">
        <f>IF('Data input'!T27="","",4*('Data input'!T27-'Data input'!T$108)/('Data input'!T$109-'Data input'!T$108)+1)</f>
        <v/>
      </c>
      <c r="U27" s="19" t="str">
        <f>IF('Data input'!U27="","",4*('Data input'!U27-'Data input'!U$108)/('Data input'!U$109-'Data input'!U$108)+1)</f>
        <v/>
      </c>
      <c r="V27" s="19" t="str">
        <f>IF('Data input'!V27="","",4*('Data input'!V27-'Data input'!V$108)/('Data input'!V$109-'Data input'!V$108)+1)</f>
        <v/>
      </c>
      <c r="W27" s="16" t="str">
        <f>IF('Data input'!W27="","",4*('Data input'!W27-'Data input'!W$108)/('Data input'!W$109-'Data input'!W$108)+1)</f>
        <v/>
      </c>
      <c r="X27" s="16" t="str">
        <f>IF('Data input'!X27="","",4*('Data input'!X27-'Data input'!X$108)/('Data input'!X$109-'Data input'!X$108)+1)</f>
        <v/>
      </c>
      <c r="Y27" s="16" t="str">
        <f>IF('Data input'!Y27="","",4*('Data input'!Y27-'Data input'!Y$108)/('Data input'!Y$109-'Data input'!Y$108)+1)</f>
        <v/>
      </c>
      <c r="Z27" s="16" t="str">
        <f>IF('Data input'!Z27="","",4*('Data input'!Z27-'Data input'!Z$108)/('Data input'!Z$109-'Data input'!Z$108)+1)</f>
        <v/>
      </c>
      <c r="AA27" s="62" t="str">
        <f>IF('Data input'!AA27="","",4*('Data input'!AA27-'Data input'!AA$108)/('Data input'!AA$109-'Data input'!AA$108)+1)</f>
        <v/>
      </c>
      <c r="AB27" s="78"/>
      <c r="AC27" s="79">
        <v>0</v>
      </c>
      <c r="AD27" s="80" t="e">
        <f t="shared" si="13"/>
        <v>#DIV/0!</v>
      </c>
      <c r="AE27" s="4"/>
      <c r="AF27" s="59">
        <f t="shared" si="14"/>
        <v>25</v>
      </c>
      <c r="AG27" s="60" t="str">
        <f t="shared" si="14"/>
        <v>Mississippi</v>
      </c>
      <c r="AH27">
        <v>0.34187056869507193</v>
      </c>
      <c r="AI27" t="s">
        <v>69</v>
      </c>
      <c r="AJ27" t="s">
        <v>69</v>
      </c>
      <c r="AK27" t="s">
        <v>69</v>
      </c>
      <c r="AL27" t="s">
        <v>69</v>
      </c>
      <c r="AM27">
        <v>7.3327024889714612E-2</v>
      </c>
      <c r="AN27">
        <v>0.21270370419343027</v>
      </c>
      <c r="AO27" t="s">
        <v>69</v>
      </c>
      <c r="AP27" t="s">
        <v>69</v>
      </c>
      <c r="AQ27" t="s">
        <v>69</v>
      </c>
      <c r="AR27">
        <v>0.81487490505671478</v>
      </c>
      <c r="AS27" s="71">
        <f t="shared" si="15"/>
        <v>4.8084314646593285</v>
      </c>
      <c r="AT27" s="71" t="str">
        <f t="shared" si="15"/>
        <v/>
      </c>
      <c r="AU27" s="71" t="str">
        <f t="shared" si="15"/>
        <v/>
      </c>
      <c r="AV27" s="71" t="str">
        <f t="shared" si="15"/>
        <v/>
      </c>
      <c r="AW27" s="71" t="str">
        <f t="shared" si="15"/>
        <v/>
      </c>
      <c r="AX27" s="71">
        <f t="shared" si="16"/>
        <v>0.99999999999999978</v>
      </c>
      <c r="AY27" s="71">
        <f t="shared" si="16"/>
        <v>2.0245180538027241</v>
      </c>
      <c r="AZ27" s="71" t="str">
        <f t="shared" si="16"/>
        <v/>
      </c>
      <c r="BA27" s="71" t="str">
        <f t="shared" si="16"/>
        <v/>
      </c>
      <c r="BB27" s="71" t="str">
        <f t="shared" si="16"/>
        <v/>
      </c>
      <c r="BC27" s="18">
        <f>IF(C27&lt;&gt;"",(('Data input'!C$109-'Data input'!C$108)*(AS27-1)/4)+'Data input'!C$108,"")</f>
        <v>0.98933736981862752</v>
      </c>
      <c r="BD27" s="18" t="str">
        <f>IF(D27&lt;&gt;"",(('Data input'!D$109-'Data input'!D$108)*(AT27-1)/4)+'Data input'!D$108,"")</f>
        <v/>
      </c>
      <c r="BE27" s="18" t="str">
        <f>IF(E27&lt;&gt;"",(('Data input'!E$109-'Data input'!E$108)*(AU27-1)/4)+'Data input'!E$108,"")</f>
        <v/>
      </c>
      <c r="BF27" s="18" t="str">
        <f>IF(F27&lt;&gt;"",(('Data input'!F$109-'Data input'!F$108)*(AV27-1)/4)+'Data input'!F$108,"")</f>
        <v/>
      </c>
      <c r="BG27" s="18" t="str">
        <f>IF(G27&lt;&gt;"",(('Data input'!G$109-'Data input'!G$108)*(AW27-1)/4)+'Data input'!G$108,"")</f>
        <v/>
      </c>
      <c r="BH27" s="19">
        <f>IF(H27&lt;&gt;"",(('Data input'!H$109-'Data input'!H$108)*(AX27-1)/4)+'Data input'!H$108,"")</f>
        <v>0.29574268608402232</v>
      </c>
      <c r="BI27" s="18">
        <f>IF(I27&lt;&gt;"",(('Data input'!I$109-'Data input'!I$108)*(AY27-1)/4)+'Data input'!I$108,"")</f>
        <v>4.49850227705587E-2</v>
      </c>
      <c r="BJ27" s="19" t="str">
        <f>IF(J27&lt;&gt;"",(('Data input'!J$109-'Data input'!J$108)*(AZ27-1)/4)+'Data input'!J$108,"")</f>
        <v/>
      </c>
      <c r="BK27" s="19" t="str">
        <f>IF(K27&lt;&gt;"",(('Data input'!K$109-'Data input'!K$108)*(BA27-1)/4)+'Data input'!K$108,"")</f>
        <v/>
      </c>
      <c r="BL27" s="19" t="str">
        <f>IF(L27&lt;&gt;"",(('Data input'!L$109-'Data input'!L$108)*(BB27-1)/4)+'Data input'!L$108,"")</f>
        <v/>
      </c>
      <c r="BM27" s="18">
        <f>IF(C27&lt;&gt;"",BC27-'Data input'!C27,"")</f>
        <v>1.2412352493569867E-2</v>
      </c>
      <c r="BN27" s="18" t="str">
        <f>IF(D27&lt;&gt;"",BD27-'Data input'!D27,"")</f>
        <v/>
      </c>
      <c r="BO27" s="18" t="str">
        <f>IF(E27&lt;&gt;"",BE27-'Data input'!E27,"")</f>
        <v/>
      </c>
      <c r="BP27" s="18" t="str">
        <f>IF(F27&lt;&gt;"",BF27-'Data input'!F27,"")</f>
        <v/>
      </c>
      <c r="BQ27" s="18" t="str">
        <f>IF(G27&lt;&gt;"",BG27-'Data input'!G27,"")</f>
        <v/>
      </c>
      <c r="BR27" s="19">
        <f>IF(H27&lt;&gt;"",BH27-'Data input'!H27,"")</f>
        <v>-1.5969035424947213</v>
      </c>
      <c r="BS27" s="18">
        <f>IF(I27&lt;&gt;"",BI27-'Data input'!I27,"")</f>
        <v>-9.3394947419502342E-3</v>
      </c>
      <c r="BT27" s="18" t="str">
        <f>IF(J27&lt;&gt;"",BJ27-'Data input'!J27,"")</f>
        <v/>
      </c>
      <c r="BU27" s="18" t="str">
        <f>IF(K27&lt;&gt;"",BK27-'Data input'!K27,"")</f>
        <v/>
      </c>
      <c r="BV27" s="72" t="str">
        <f>IF(L27&lt;&gt;"",BL27-'Data input'!L27,"")</f>
        <v/>
      </c>
      <c r="BW27" s="121" t="str">
        <f t="shared" si="17"/>
        <v xml:space="preserve">Texas; 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2.1481066101823989E-14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0.99999999999997868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FT27" s="1" t="str">
        <f t="shared" si="18"/>
        <v/>
      </c>
      <c r="FU27" s="1" t="str">
        <f t="shared" si="18"/>
        <v/>
      </c>
      <c r="FV27" s="1" t="str">
        <f t="shared" si="18"/>
        <v/>
      </c>
      <c r="FW27" s="1" t="str">
        <f t="shared" si="18"/>
        <v/>
      </c>
      <c r="FX27" s="1" t="str">
        <f t="shared" si="18"/>
        <v/>
      </c>
      <c r="FY27" s="1" t="str">
        <f t="shared" si="18"/>
        <v/>
      </c>
      <c r="FZ27" s="1" t="str">
        <f t="shared" si="18"/>
        <v/>
      </c>
      <c r="GA27" s="1" t="str">
        <f t="shared" si="18"/>
        <v/>
      </c>
      <c r="GB27" s="1" t="str">
        <f t="shared" si="18"/>
        <v/>
      </c>
      <c r="GC27" s="1" t="str">
        <f t="shared" si="18"/>
        <v/>
      </c>
      <c r="GD27" s="1" t="str">
        <f t="shared" si="18"/>
        <v/>
      </c>
      <c r="GE27" s="1" t="str">
        <f t="shared" si="18"/>
        <v/>
      </c>
      <c r="GF27" s="1" t="str">
        <f t="shared" si="18"/>
        <v/>
      </c>
      <c r="GG27" s="1" t="str">
        <f t="shared" si="18"/>
        <v/>
      </c>
      <c r="GH27" s="1" t="str">
        <f t="shared" si="18"/>
        <v/>
      </c>
      <c r="GI27" s="1" t="str">
        <f t="shared" si="18"/>
        <v/>
      </c>
      <c r="GJ27" s="1" t="str">
        <f t="shared" si="19"/>
        <v/>
      </c>
      <c r="GK27" s="1" t="str">
        <f t="shared" si="19"/>
        <v/>
      </c>
      <c r="GL27" s="1" t="str">
        <f t="shared" si="19"/>
        <v/>
      </c>
      <c r="GM27" s="1" t="str">
        <f t="shared" si="19"/>
        <v/>
      </c>
      <c r="GN27" s="1" t="str">
        <f t="shared" si="19"/>
        <v/>
      </c>
      <c r="GO27" s="1" t="str">
        <f t="shared" si="19"/>
        <v/>
      </c>
      <c r="GP27" s="1" t="str">
        <f t="shared" si="19"/>
        <v/>
      </c>
      <c r="GQ27" s="1" t="str">
        <f t="shared" si="19"/>
        <v/>
      </c>
      <c r="GR27" s="1" t="str">
        <f t="shared" si="19"/>
        <v/>
      </c>
      <c r="GS27" s="1" t="str">
        <f t="shared" si="19"/>
        <v/>
      </c>
      <c r="GT27" s="1" t="str">
        <f t="shared" si="19"/>
        <v/>
      </c>
      <c r="GU27" s="1" t="str">
        <f t="shared" si="19"/>
        <v/>
      </c>
      <c r="GV27" s="1" t="str">
        <f t="shared" si="19"/>
        <v/>
      </c>
      <c r="GW27" s="1" t="str">
        <f t="shared" si="19"/>
        <v/>
      </c>
      <c r="GX27" s="1" t="str">
        <f t="shared" si="19"/>
        <v/>
      </c>
      <c r="GY27" s="1" t="str">
        <f t="shared" si="19"/>
        <v/>
      </c>
      <c r="GZ27" s="1" t="str">
        <f t="shared" si="20"/>
        <v/>
      </c>
      <c r="HA27" s="1" t="str">
        <f t="shared" si="20"/>
        <v/>
      </c>
      <c r="HB27" s="1" t="str">
        <f t="shared" si="20"/>
        <v/>
      </c>
      <c r="HC27" s="1" t="str">
        <f t="shared" si="20"/>
        <v/>
      </c>
      <c r="HD27" s="1" t="str">
        <f t="shared" si="20"/>
        <v/>
      </c>
      <c r="HE27" s="1" t="str">
        <f t="shared" si="20"/>
        <v/>
      </c>
      <c r="HF27" s="1" t="str">
        <f t="shared" si="20"/>
        <v/>
      </c>
      <c r="HG27" s="1" t="str">
        <f t="shared" si="20"/>
        <v/>
      </c>
      <c r="HH27" s="1" t="str">
        <f t="shared" si="20"/>
        <v/>
      </c>
      <c r="HI27" s="1" t="str">
        <f t="shared" si="20"/>
        <v/>
      </c>
      <c r="HJ27" s="1" t="str">
        <f t="shared" si="20"/>
        <v xml:space="preserve">Texas; </v>
      </c>
      <c r="HK27" s="1" t="str">
        <f t="shared" si="20"/>
        <v/>
      </c>
      <c r="HL27" s="1" t="str">
        <f t="shared" si="20"/>
        <v/>
      </c>
      <c r="HM27" s="1" t="str">
        <f t="shared" si="20"/>
        <v/>
      </c>
      <c r="HN27" s="1" t="str">
        <f t="shared" si="20"/>
        <v/>
      </c>
      <c r="HO27" s="1" t="str">
        <f t="shared" si="20"/>
        <v/>
      </c>
      <c r="HP27" s="1" t="str">
        <f t="shared" si="21"/>
        <v/>
      </c>
      <c r="HQ27" s="1" t="str">
        <f t="shared" si="21"/>
        <v/>
      </c>
      <c r="HR27" s="1" t="str">
        <f t="shared" si="21"/>
        <v/>
      </c>
      <c r="HS27" s="1" t="str">
        <f t="shared" si="21"/>
        <v/>
      </c>
      <c r="HT27" s="1" t="str">
        <f t="shared" si="21"/>
        <v/>
      </c>
      <c r="HU27" s="1" t="str">
        <f t="shared" si="21"/>
        <v/>
      </c>
      <c r="HV27" s="1" t="str">
        <f t="shared" si="21"/>
        <v/>
      </c>
      <c r="HW27" s="1" t="str">
        <f t="shared" si="21"/>
        <v/>
      </c>
      <c r="HX27" s="1" t="str">
        <f t="shared" si="21"/>
        <v/>
      </c>
      <c r="HY27" s="1" t="str">
        <f t="shared" si="21"/>
        <v/>
      </c>
      <c r="HZ27" s="1" t="str">
        <f t="shared" si="21"/>
        <v/>
      </c>
      <c r="IA27" s="1" t="str">
        <f t="shared" si="21"/>
        <v/>
      </c>
      <c r="IB27" s="1" t="str">
        <f t="shared" si="21"/>
        <v/>
      </c>
      <c r="IC27" s="1" t="str">
        <f t="shared" si="21"/>
        <v/>
      </c>
      <c r="ID27" s="1" t="str">
        <f t="shared" si="21"/>
        <v/>
      </c>
      <c r="IE27" s="1" t="str">
        <f t="shared" si="21"/>
        <v/>
      </c>
      <c r="IF27" s="1" t="str">
        <f t="shared" si="22"/>
        <v/>
      </c>
      <c r="IG27" s="1" t="str">
        <f t="shared" si="22"/>
        <v/>
      </c>
      <c r="IH27" s="1" t="str">
        <f t="shared" si="22"/>
        <v/>
      </c>
      <c r="II27" s="1" t="str">
        <f t="shared" si="22"/>
        <v/>
      </c>
      <c r="IJ27" s="1" t="str">
        <f t="shared" si="22"/>
        <v/>
      </c>
      <c r="IK27" s="1" t="str">
        <f t="shared" si="22"/>
        <v/>
      </c>
      <c r="IL27" s="1" t="str">
        <f t="shared" si="22"/>
        <v/>
      </c>
      <c r="IM27" s="1" t="str">
        <f t="shared" si="22"/>
        <v/>
      </c>
      <c r="IN27" s="1" t="str">
        <f t="shared" si="22"/>
        <v/>
      </c>
      <c r="IO27" s="1" t="str">
        <f t="shared" si="22"/>
        <v/>
      </c>
      <c r="IP27" s="1" t="str">
        <f t="shared" si="22"/>
        <v/>
      </c>
      <c r="IQ27" s="1" t="str">
        <f t="shared" si="22"/>
        <v/>
      </c>
      <c r="IR27" s="1" t="str">
        <f t="shared" si="22"/>
        <v/>
      </c>
      <c r="IS27" s="1" t="str">
        <f t="shared" si="22"/>
        <v/>
      </c>
      <c r="IT27" s="1" t="str">
        <f t="shared" si="22"/>
        <v/>
      </c>
      <c r="IU27" s="1" t="str">
        <f t="shared" si="22"/>
        <v/>
      </c>
      <c r="IV27" s="1" t="str">
        <f t="shared" si="23"/>
        <v/>
      </c>
      <c r="IW27" s="1" t="str">
        <f t="shared" si="23"/>
        <v/>
      </c>
      <c r="IX27" s="1" t="str">
        <f t="shared" si="23"/>
        <v/>
      </c>
      <c r="IY27" s="1" t="str">
        <f t="shared" si="23"/>
        <v/>
      </c>
      <c r="IZ27" s="1" t="str">
        <f t="shared" si="23"/>
        <v/>
      </c>
      <c r="JA27" s="1" t="str">
        <f t="shared" si="23"/>
        <v/>
      </c>
      <c r="JB27" s="1" t="str">
        <f t="shared" si="23"/>
        <v/>
      </c>
      <c r="JC27" s="1" t="str">
        <f t="shared" si="23"/>
        <v/>
      </c>
      <c r="JD27" s="1" t="str">
        <f t="shared" si="23"/>
        <v/>
      </c>
      <c r="JE27" s="1" t="str">
        <f t="shared" si="23"/>
        <v/>
      </c>
      <c r="JF27" s="1" t="str">
        <f t="shared" si="23"/>
        <v/>
      </c>
      <c r="JG27" s="1" t="str">
        <f t="shared" si="23"/>
        <v/>
      </c>
      <c r="JH27" s="1" t="str">
        <f t="shared" si="23"/>
        <v/>
      </c>
      <c r="JI27" s="1" t="str">
        <f t="shared" si="23"/>
        <v/>
      </c>
      <c r="JJ27" s="1" t="str">
        <f t="shared" si="23"/>
        <v/>
      </c>
      <c r="JK27" s="1" t="str">
        <f t="shared" si="23"/>
        <v/>
      </c>
      <c r="JL27" s="1" t="str">
        <f t="shared" si="24"/>
        <v/>
      </c>
      <c r="JM27" s="1" t="str">
        <f t="shared" si="12"/>
        <v/>
      </c>
      <c r="JN27" s="1" t="str">
        <f t="shared" si="12"/>
        <v/>
      </c>
      <c r="JO27" s="1" t="str">
        <f t="shared" si="12"/>
        <v/>
      </c>
    </row>
    <row r="28" spans="1:275" ht="14.5" x14ac:dyDescent="0.35">
      <c r="A28" s="59">
        <f>IF('Data input'!A28&lt;&gt;"",'Data input'!A28,"")</f>
        <v>26</v>
      </c>
      <c r="B28" s="60" t="str">
        <f>IF('Data input'!B28&lt;&gt;"",'Data input'!B28,"")</f>
        <v>Missouri</v>
      </c>
      <c r="C28" s="19">
        <f>IF('Data input'!C28="","",4*('Data input'!C28-'Data input'!C$108)/('Data input'!C$109-'Data input'!C$108)+1)</f>
        <v>3.0860163245817742</v>
      </c>
      <c r="D28" s="19" t="str">
        <f>IF('Data input'!D28="","",4*('Data input'!D28-'Data input'!D$108)/('Data input'!D$109-'Data input'!D$108)+1)</f>
        <v/>
      </c>
      <c r="E28" s="19" t="str">
        <f>IF('Data input'!E28="","",4*('Data input'!E28-'Data input'!E$108)/('Data input'!E$109-'Data input'!E$108)+1)</f>
        <v/>
      </c>
      <c r="F28" s="19" t="str">
        <f>IF('Data input'!F28="","",4*('Data input'!F28-'Data input'!F$108)/('Data input'!F$109-'Data input'!F$108)+1)</f>
        <v/>
      </c>
      <c r="G28" s="19" t="str">
        <f>IF('Data input'!G28="","",4*('Data input'!G28-'Data input'!G$108)/('Data input'!G$109-'Data input'!G$108)+1)</f>
        <v/>
      </c>
      <c r="H28" s="61">
        <f>IF('Data input'!H28="","",4*('Data input'!H28-'Data input'!H$108)/('Data input'!H$109-'Data input'!H$108)+1)</f>
        <v>1.3051636397850654</v>
      </c>
      <c r="I28" s="19">
        <f>IF('Data input'!I28="","",4*('Data input'!I28-'Data input'!I$108)/('Data input'!I$109-'Data input'!I$108)+1)</f>
        <v>2.2434970181449057</v>
      </c>
      <c r="J28" s="19" t="str">
        <f>IF('Data input'!J28="","",4*('Data input'!J28-'Data input'!J$108)/('Data input'!J$109-'Data input'!J$108)+1)</f>
        <v/>
      </c>
      <c r="K28" s="19" t="str">
        <f>IF('Data input'!K28="","",4*('Data input'!K28-'Data input'!K$108)/('Data input'!K$109-'Data input'!K$108)+1)</f>
        <v/>
      </c>
      <c r="L28" s="19" t="str">
        <f>IF('Data input'!L28="","",4*('Data input'!L28-'Data input'!L$108)/('Data input'!L$109-'Data input'!L$108)+1)</f>
        <v/>
      </c>
      <c r="M28" s="19">
        <f>IF('Data input'!M28="","",4*('Data input'!M28-'Data input'!M$108)/('Data input'!M$109-'Data input'!M$108)+1)</f>
        <v>1.8203589214228102</v>
      </c>
      <c r="N28" s="16" t="str">
        <f>IF('Data input'!N28="","",4*('Data input'!N28-'Data input'!N$108)/('Data input'!N$109-'Data input'!N$108)+1)</f>
        <v/>
      </c>
      <c r="O28" s="19" t="str">
        <f>IF('Data input'!O28="","",4*('Data input'!O28-'Data input'!O$108)/('Data input'!O$109-'Data input'!O$108)+1)</f>
        <v/>
      </c>
      <c r="P28" s="19" t="str">
        <f>IF('Data input'!P28="","",4*('Data input'!P28-'Data input'!P$108)/('Data input'!P$109-'Data input'!P$108)+1)</f>
        <v/>
      </c>
      <c r="Q28" s="19" t="str">
        <f>IF('Data input'!Q28="","",4*('Data input'!Q28-'Data input'!Q$108)/('Data input'!Q$109-'Data input'!Q$108)+1)</f>
        <v/>
      </c>
      <c r="R28" s="19" t="str">
        <f>IF('Data input'!R28="","",4*('Data input'!R28-'Data input'!R$108)/('Data input'!R$109-'Data input'!R$108)+1)</f>
        <v/>
      </c>
      <c r="S28" s="16" t="str">
        <f>IF('Data input'!S28="","",4*('Data input'!S28-'Data input'!S$108)/('Data input'!S$109-'Data input'!S$108)+1)</f>
        <v/>
      </c>
      <c r="T28" s="19" t="str">
        <f>IF('Data input'!T28="","",4*('Data input'!T28-'Data input'!T$108)/('Data input'!T$109-'Data input'!T$108)+1)</f>
        <v/>
      </c>
      <c r="U28" s="19" t="str">
        <f>IF('Data input'!U28="","",4*('Data input'!U28-'Data input'!U$108)/('Data input'!U$109-'Data input'!U$108)+1)</f>
        <v/>
      </c>
      <c r="V28" s="19" t="str">
        <f>IF('Data input'!V28="","",4*('Data input'!V28-'Data input'!V$108)/('Data input'!V$109-'Data input'!V$108)+1)</f>
        <v/>
      </c>
      <c r="W28" s="16" t="str">
        <f>IF('Data input'!W28="","",4*('Data input'!W28-'Data input'!W$108)/('Data input'!W$109-'Data input'!W$108)+1)</f>
        <v/>
      </c>
      <c r="X28" s="16" t="str">
        <f>IF('Data input'!X28="","",4*('Data input'!X28-'Data input'!X$108)/('Data input'!X$109-'Data input'!X$108)+1)</f>
        <v/>
      </c>
      <c r="Y28" s="16" t="str">
        <f>IF('Data input'!Y28="","",4*('Data input'!Y28-'Data input'!Y$108)/('Data input'!Y$109-'Data input'!Y$108)+1)</f>
        <v/>
      </c>
      <c r="Z28" s="16" t="str">
        <f>IF('Data input'!Z28="","",4*('Data input'!Z28-'Data input'!Z$108)/('Data input'!Z$109-'Data input'!Z$108)+1)</f>
        <v/>
      </c>
      <c r="AA28" s="62" t="str">
        <f>IF('Data input'!AA28="","",4*('Data input'!AA28-'Data input'!AA$108)/('Data input'!AA$109-'Data input'!AA$108)+1)</f>
        <v/>
      </c>
      <c r="AB28" s="78"/>
      <c r="AC28" s="79">
        <v>0</v>
      </c>
      <c r="AD28" s="80" t="e">
        <f t="shared" si="13"/>
        <v>#DIV/0!</v>
      </c>
      <c r="AE28" s="4"/>
      <c r="AF28" s="59">
        <f t="shared" si="14"/>
        <v>26</v>
      </c>
      <c r="AG28" s="60" t="str">
        <f t="shared" si="14"/>
        <v>Missouri</v>
      </c>
      <c r="AH28">
        <v>1.6880505854603884</v>
      </c>
      <c r="AI28" t="s">
        <v>69</v>
      </c>
      <c r="AJ28" t="s">
        <v>69</v>
      </c>
      <c r="AK28" t="s">
        <v>69</v>
      </c>
      <c r="AL28" t="s">
        <v>69</v>
      </c>
      <c r="AM28">
        <v>0.30516363978506478</v>
      </c>
      <c r="AN28">
        <v>0.21380585254361523</v>
      </c>
      <c r="AO28" t="s">
        <v>69</v>
      </c>
      <c r="AP28" t="s">
        <v>69</v>
      </c>
      <c r="AQ28" t="s">
        <v>69</v>
      </c>
      <c r="AR28">
        <v>0.5110338927473006</v>
      </c>
      <c r="AS28" s="71">
        <f t="shared" si="15"/>
        <v>4.7740669100421629</v>
      </c>
      <c r="AT28" s="71" t="str">
        <f t="shared" si="15"/>
        <v/>
      </c>
      <c r="AU28" s="71" t="str">
        <f t="shared" si="15"/>
        <v/>
      </c>
      <c r="AV28" s="71" t="str">
        <f t="shared" si="15"/>
        <v/>
      </c>
      <c r="AW28" s="71" t="str">
        <f t="shared" si="15"/>
        <v/>
      </c>
      <c r="AX28" s="71">
        <f t="shared" si="16"/>
        <v>1.0000000000000007</v>
      </c>
      <c r="AY28" s="71">
        <f t="shared" si="16"/>
        <v>2.0296911656012906</v>
      </c>
      <c r="AZ28" s="71" t="str">
        <f t="shared" si="16"/>
        <v/>
      </c>
      <c r="BA28" s="71" t="str">
        <f t="shared" si="16"/>
        <v/>
      </c>
      <c r="BB28" s="71" t="str">
        <f t="shared" si="16"/>
        <v/>
      </c>
      <c r="BC28" s="18">
        <f>IF(C28&lt;&gt;"",(('Data input'!C$109-'Data input'!C$108)*(AS28-1)/4)+'Data input'!C$108,"")</f>
        <v>0.98808969012855963</v>
      </c>
      <c r="BD28" s="18" t="str">
        <f>IF(D28&lt;&gt;"",(('Data input'!D$109-'Data input'!D$108)*(AT28-1)/4)+'Data input'!D$108,"")</f>
        <v/>
      </c>
      <c r="BE28" s="18" t="str">
        <f>IF(E28&lt;&gt;"",(('Data input'!E$109-'Data input'!E$108)*(AU28-1)/4)+'Data input'!E$108,"")</f>
        <v/>
      </c>
      <c r="BF28" s="18" t="str">
        <f>IF(F28&lt;&gt;"",(('Data input'!F$109-'Data input'!F$108)*(AV28-1)/4)+'Data input'!F$108,"")</f>
        <v/>
      </c>
      <c r="BG28" s="18" t="str">
        <f>IF(G28&lt;&gt;"",(('Data input'!G$109-'Data input'!G$108)*(AW28-1)/4)+'Data input'!G$108,"")</f>
        <v/>
      </c>
      <c r="BH28" s="19">
        <f>IF(H28&lt;&gt;"",(('Data input'!H$109-'Data input'!H$108)*(AX28-1)/4)+'Data input'!H$108,"")</f>
        <v>0.29574268608404164</v>
      </c>
      <c r="BI28" s="18">
        <f>IF(I28&lt;&gt;"",(('Data input'!I$109-'Data input'!I$108)*(AY28-1)/4)+'Data input'!I$108,"")</f>
        <v>4.5212166207601504E-2</v>
      </c>
      <c r="BJ28" s="19" t="str">
        <f>IF(J28&lt;&gt;"",(('Data input'!J$109-'Data input'!J$108)*(AZ28-1)/4)+'Data input'!J$108,"")</f>
        <v/>
      </c>
      <c r="BK28" s="19" t="str">
        <f>IF(K28&lt;&gt;"",(('Data input'!K$109-'Data input'!K$108)*(BA28-1)/4)+'Data input'!K$108,"")</f>
        <v/>
      </c>
      <c r="BL28" s="19" t="str">
        <f>IF(L28&lt;&gt;"",(('Data input'!L$109-'Data input'!L$108)*(BB28-1)/4)+'Data input'!L$108,"")</f>
        <v/>
      </c>
      <c r="BM28" s="18">
        <f>IF(C28&lt;&gt;"",BC28-'Data input'!C28,"")</f>
        <v>6.1288337787275049E-2</v>
      </c>
      <c r="BN28" s="18" t="str">
        <f>IF(D28&lt;&gt;"",BD28-'Data input'!D28,"")</f>
        <v/>
      </c>
      <c r="BO28" s="18" t="str">
        <f>IF(E28&lt;&gt;"",BE28-'Data input'!E28,"")</f>
        <v/>
      </c>
      <c r="BP28" s="18" t="str">
        <f>IF(F28&lt;&gt;"",BF28-'Data input'!F28,"")</f>
        <v/>
      </c>
      <c r="BQ28" s="18" t="str">
        <f>IF(G28&lt;&gt;"",BG28-'Data input'!G28,"")</f>
        <v/>
      </c>
      <c r="BR28" s="19">
        <f>IF(H28&lt;&gt;"",BH28-'Data input'!H28,"")</f>
        <v>-6.6458021192907673</v>
      </c>
      <c r="BS28" s="18">
        <f>IF(I28&lt;&gt;"",BI28-'Data input'!I28,"")</f>
        <v>-9.3878883924530948E-3</v>
      </c>
      <c r="BT28" s="18" t="str">
        <f>IF(J28&lt;&gt;"",BJ28-'Data input'!J28,"")</f>
        <v/>
      </c>
      <c r="BU28" s="18" t="str">
        <f>IF(K28&lt;&gt;"",BK28-'Data input'!K28,"")</f>
        <v/>
      </c>
      <c r="BV28" s="72" t="str">
        <f>IF(L28&lt;&gt;"",BL28-'Data input'!L28,"")</f>
        <v/>
      </c>
      <c r="BW28" s="121" t="str">
        <f t="shared" si="17"/>
        <v xml:space="preserve">Texas; 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1.0000000000000004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  <c r="DZ28" s="1">
        <v>0</v>
      </c>
      <c r="FT28" s="1" t="str">
        <f t="shared" si="18"/>
        <v/>
      </c>
      <c r="FU28" s="1" t="str">
        <f t="shared" si="18"/>
        <v/>
      </c>
      <c r="FV28" s="1" t="str">
        <f t="shared" si="18"/>
        <v/>
      </c>
      <c r="FW28" s="1" t="str">
        <f t="shared" si="18"/>
        <v/>
      </c>
      <c r="FX28" s="1" t="str">
        <f t="shared" si="18"/>
        <v/>
      </c>
      <c r="FY28" s="1" t="str">
        <f t="shared" si="18"/>
        <v/>
      </c>
      <c r="FZ28" s="1" t="str">
        <f t="shared" si="18"/>
        <v/>
      </c>
      <c r="GA28" s="1" t="str">
        <f t="shared" si="18"/>
        <v/>
      </c>
      <c r="GB28" s="1" t="str">
        <f t="shared" si="18"/>
        <v/>
      </c>
      <c r="GC28" s="1" t="str">
        <f t="shared" si="18"/>
        <v/>
      </c>
      <c r="GD28" s="1" t="str">
        <f t="shared" si="18"/>
        <v/>
      </c>
      <c r="GE28" s="1" t="str">
        <f t="shared" si="18"/>
        <v/>
      </c>
      <c r="GF28" s="1" t="str">
        <f t="shared" si="18"/>
        <v/>
      </c>
      <c r="GG28" s="1" t="str">
        <f t="shared" si="18"/>
        <v/>
      </c>
      <c r="GH28" s="1" t="str">
        <f t="shared" si="18"/>
        <v/>
      </c>
      <c r="GI28" s="1" t="str">
        <f t="shared" si="18"/>
        <v/>
      </c>
      <c r="GJ28" s="1" t="str">
        <f t="shared" si="19"/>
        <v/>
      </c>
      <c r="GK28" s="1" t="str">
        <f t="shared" si="19"/>
        <v/>
      </c>
      <c r="GL28" s="1" t="str">
        <f t="shared" si="19"/>
        <v/>
      </c>
      <c r="GM28" s="1" t="str">
        <f t="shared" si="19"/>
        <v/>
      </c>
      <c r="GN28" s="1" t="str">
        <f t="shared" si="19"/>
        <v/>
      </c>
      <c r="GO28" s="1" t="str">
        <f t="shared" si="19"/>
        <v/>
      </c>
      <c r="GP28" s="1" t="str">
        <f t="shared" si="19"/>
        <v/>
      </c>
      <c r="GQ28" s="1" t="str">
        <f t="shared" si="19"/>
        <v/>
      </c>
      <c r="GR28" s="1" t="str">
        <f t="shared" si="19"/>
        <v/>
      </c>
      <c r="GS28" s="1" t="str">
        <f t="shared" si="19"/>
        <v/>
      </c>
      <c r="GT28" s="1" t="str">
        <f t="shared" si="19"/>
        <v/>
      </c>
      <c r="GU28" s="1" t="str">
        <f t="shared" si="19"/>
        <v/>
      </c>
      <c r="GV28" s="1" t="str">
        <f t="shared" si="19"/>
        <v/>
      </c>
      <c r="GW28" s="1" t="str">
        <f t="shared" si="19"/>
        <v/>
      </c>
      <c r="GX28" s="1" t="str">
        <f t="shared" si="19"/>
        <v/>
      </c>
      <c r="GY28" s="1" t="str">
        <f t="shared" si="19"/>
        <v/>
      </c>
      <c r="GZ28" s="1" t="str">
        <f t="shared" si="20"/>
        <v/>
      </c>
      <c r="HA28" s="1" t="str">
        <f t="shared" si="20"/>
        <v/>
      </c>
      <c r="HB28" s="1" t="str">
        <f t="shared" si="20"/>
        <v/>
      </c>
      <c r="HC28" s="1" t="str">
        <f t="shared" si="20"/>
        <v/>
      </c>
      <c r="HD28" s="1" t="str">
        <f t="shared" si="20"/>
        <v/>
      </c>
      <c r="HE28" s="1" t="str">
        <f t="shared" si="20"/>
        <v/>
      </c>
      <c r="HF28" s="1" t="str">
        <f t="shared" si="20"/>
        <v/>
      </c>
      <c r="HG28" s="1" t="str">
        <f t="shared" si="20"/>
        <v/>
      </c>
      <c r="HH28" s="1" t="str">
        <f t="shared" si="20"/>
        <v/>
      </c>
      <c r="HI28" s="1" t="str">
        <f t="shared" si="20"/>
        <v/>
      </c>
      <c r="HJ28" s="1" t="str">
        <f t="shared" si="20"/>
        <v xml:space="preserve">Texas; </v>
      </c>
      <c r="HK28" s="1" t="str">
        <f t="shared" si="20"/>
        <v/>
      </c>
      <c r="HL28" s="1" t="str">
        <f t="shared" si="20"/>
        <v/>
      </c>
      <c r="HM28" s="1" t="str">
        <f t="shared" si="20"/>
        <v/>
      </c>
      <c r="HN28" s="1" t="str">
        <f t="shared" si="20"/>
        <v/>
      </c>
      <c r="HO28" s="1" t="str">
        <f t="shared" si="20"/>
        <v/>
      </c>
      <c r="HP28" s="1" t="str">
        <f t="shared" si="21"/>
        <v/>
      </c>
      <c r="HQ28" s="1" t="str">
        <f t="shared" si="21"/>
        <v/>
      </c>
      <c r="HR28" s="1" t="str">
        <f t="shared" si="21"/>
        <v/>
      </c>
      <c r="HS28" s="1" t="str">
        <f t="shared" si="21"/>
        <v/>
      </c>
      <c r="HT28" s="1" t="str">
        <f t="shared" si="21"/>
        <v/>
      </c>
      <c r="HU28" s="1" t="str">
        <f t="shared" si="21"/>
        <v/>
      </c>
      <c r="HV28" s="1" t="str">
        <f t="shared" si="21"/>
        <v/>
      </c>
      <c r="HW28" s="1" t="str">
        <f t="shared" si="21"/>
        <v/>
      </c>
      <c r="HX28" s="1" t="str">
        <f t="shared" si="21"/>
        <v/>
      </c>
      <c r="HY28" s="1" t="str">
        <f t="shared" si="21"/>
        <v/>
      </c>
      <c r="HZ28" s="1" t="str">
        <f t="shared" si="21"/>
        <v/>
      </c>
      <c r="IA28" s="1" t="str">
        <f t="shared" si="21"/>
        <v/>
      </c>
      <c r="IB28" s="1" t="str">
        <f t="shared" si="21"/>
        <v/>
      </c>
      <c r="IC28" s="1" t="str">
        <f t="shared" si="21"/>
        <v/>
      </c>
      <c r="ID28" s="1" t="str">
        <f t="shared" si="21"/>
        <v/>
      </c>
      <c r="IE28" s="1" t="str">
        <f t="shared" si="21"/>
        <v/>
      </c>
      <c r="IF28" s="1" t="str">
        <f t="shared" si="22"/>
        <v/>
      </c>
      <c r="IG28" s="1" t="str">
        <f t="shared" si="22"/>
        <v/>
      </c>
      <c r="IH28" s="1" t="str">
        <f t="shared" si="22"/>
        <v/>
      </c>
      <c r="II28" s="1" t="str">
        <f t="shared" si="22"/>
        <v/>
      </c>
      <c r="IJ28" s="1" t="str">
        <f t="shared" si="22"/>
        <v/>
      </c>
      <c r="IK28" s="1" t="str">
        <f t="shared" si="22"/>
        <v/>
      </c>
      <c r="IL28" s="1" t="str">
        <f t="shared" si="22"/>
        <v/>
      </c>
      <c r="IM28" s="1" t="str">
        <f t="shared" si="22"/>
        <v/>
      </c>
      <c r="IN28" s="1" t="str">
        <f t="shared" si="22"/>
        <v/>
      </c>
      <c r="IO28" s="1" t="str">
        <f t="shared" si="22"/>
        <v/>
      </c>
      <c r="IP28" s="1" t="str">
        <f t="shared" si="22"/>
        <v/>
      </c>
      <c r="IQ28" s="1" t="str">
        <f t="shared" si="22"/>
        <v/>
      </c>
      <c r="IR28" s="1" t="str">
        <f t="shared" si="22"/>
        <v/>
      </c>
      <c r="IS28" s="1" t="str">
        <f t="shared" si="22"/>
        <v/>
      </c>
      <c r="IT28" s="1" t="str">
        <f t="shared" si="22"/>
        <v/>
      </c>
      <c r="IU28" s="1" t="str">
        <f t="shared" si="22"/>
        <v/>
      </c>
      <c r="IV28" s="1" t="str">
        <f t="shared" si="23"/>
        <v/>
      </c>
      <c r="IW28" s="1" t="str">
        <f t="shared" si="23"/>
        <v/>
      </c>
      <c r="IX28" s="1" t="str">
        <f t="shared" si="23"/>
        <v/>
      </c>
      <c r="IY28" s="1" t="str">
        <f t="shared" si="23"/>
        <v/>
      </c>
      <c r="IZ28" s="1" t="str">
        <f t="shared" si="23"/>
        <v/>
      </c>
      <c r="JA28" s="1" t="str">
        <f t="shared" si="23"/>
        <v/>
      </c>
      <c r="JB28" s="1" t="str">
        <f t="shared" si="23"/>
        <v/>
      </c>
      <c r="JC28" s="1" t="str">
        <f t="shared" si="23"/>
        <v/>
      </c>
      <c r="JD28" s="1" t="str">
        <f t="shared" si="23"/>
        <v/>
      </c>
      <c r="JE28" s="1" t="str">
        <f t="shared" si="23"/>
        <v/>
      </c>
      <c r="JF28" s="1" t="str">
        <f t="shared" si="23"/>
        <v/>
      </c>
      <c r="JG28" s="1" t="str">
        <f t="shared" si="23"/>
        <v/>
      </c>
      <c r="JH28" s="1" t="str">
        <f t="shared" si="23"/>
        <v/>
      </c>
      <c r="JI28" s="1" t="str">
        <f t="shared" si="23"/>
        <v/>
      </c>
      <c r="JJ28" s="1" t="str">
        <f t="shared" si="23"/>
        <v/>
      </c>
      <c r="JK28" s="1" t="str">
        <f t="shared" si="23"/>
        <v/>
      </c>
      <c r="JL28" s="1" t="str">
        <f t="shared" si="24"/>
        <v/>
      </c>
      <c r="JM28" s="1" t="str">
        <f t="shared" si="12"/>
        <v/>
      </c>
      <c r="JN28" s="1" t="str">
        <f t="shared" si="12"/>
        <v/>
      </c>
      <c r="JO28" s="1" t="str">
        <f t="shared" si="12"/>
        <v/>
      </c>
    </row>
    <row r="29" spans="1:275" ht="14.5" x14ac:dyDescent="0.35">
      <c r="A29" s="59">
        <f>IF('Data input'!A29&lt;&gt;"",'Data input'!A29,"")</f>
        <v>27</v>
      </c>
      <c r="B29" s="60" t="str">
        <f>IF('Data input'!B29&lt;&gt;"",'Data input'!B29,"")</f>
        <v>Montana</v>
      </c>
      <c r="C29" s="19">
        <f>IF('Data input'!C29="","",4*('Data input'!C29-'Data input'!C$108)/('Data input'!C$109-'Data input'!C$108)+1)</f>
        <v>3.5131497178814093</v>
      </c>
      <c r="D29" s="19" t="str">
        <f>IF('Data input'!D29="","",4*('Data input'!D29-'Data input'!D$108)/('Data input'!D$109-'Data input'!D$108)+1)</f>
        <v/>
      </c>
      <c r="E29" s="19" t="str">
        <f>IF('Data input'!E29="","",4*('Data input'!E29-'Data input'!E$108)/('Data input'!E$109-'Data input'!E$108)+1)</f>
        <v/>
      </c>
      <c r="F29" s="19" t="str">
        <f>IF('Data input'!F29="","",4*('Data input'!F29-'Data input'!F$108)/('Data input'!F$109-'Data input'!F$108)+1)</f>
        <v/>
      </c>
      <c r="G29" s="19" t="str">
        <f>IF('Data input'!G29="","",4*('Data input'!G29-'Data input'!G$108)/('Data input'!G$109-'Data input'!G$108)+1)</f>
        <v/>
      </c>
      <c r="H29" s="61">
        <f>IF('Data input'!H29="","",4*('Data input'!H29-'Data input'!H$108)/('Data input'!H$109-'Data input'!H$108)+1)</f>
        <v>2.3869154379525082</v>
      </c>
      <c r="I29" s="19">
        <f>IF('Data input'!I29="","",4*('Data input'!I29-'Data input'!I$108)/('Data input'!I$109-'Data input'!I$108)+1)</f>
        <v>2.9679717893773274</v>
      </c>
      <c r="J29" s="19" t="str">
        <f>IF('Data input'!J29="","",4*('Data input'!J29-'Data input'!J$108)/('Data input'!J$109-'Data input'!J$108)+1)</f>
        <v/>
      </c>
      <c r="K29" s="19" t="str">
        <f>IF('Data input'!K29="","",4*('Data input'!K29-'Data input'!K$108)/('Data input'!K$109-'Data input'!K$108)+1)</f>
        <v/>
      </c>
      <c r="L29" s="19" t="str">
        <f>IF('Data input'!L29="","",4*('Data input'!L29-'Data input'!L$108)/('Data input'!L$109-'Data input'!L$108)+1)</f>
        <v/>
      </c>
      <c r="M29" s="19">
        <f>IF('Data input'!M29="","",4*('Data input'!M29-'Data input'!M$108)/('Data input'!M$109-'Data input'!M$108)+1)</f>
        <v>1.0950220510429847</v>
      </c>
      <c r="N29" s="16" t="str">
        <f>IF('Data input'!N29="","",4*('Data input'!N29-'Data input'!N$108)/('Data input'!N$109-'Data input'!N$108)+1)</f>
        <v/>
      </c>
      <c r="O29" s="19" t="str">
        <f>IF('Data input'!O29="","",4*('Data input'!O29-'Data input'!O$108)/('Data input'!O$109-'Data input'!O$108)+1)</f>
        <v/>
      </c>
      <c r="P29" s="19" t="str">
        <f>IF('Data input'!P29="","",4*('Data input'!P29-'Data input'!P$108)/('Data input'!P$109-'Data input'!P$108)+1)</f>
        <v/>
      </c>
      <c r="Q29" s="19" t="str">
        <f>IF('Data input'!Q29="","",4*('Data input'!Q29-'Data input'!Q$108)/('Data input'!Q$109-'Data input'!Q$108)+1)</f>
        <v/>
      </c>
      <c r="R29" s="19" t="str">
        <f>IF('Data input'!R29="","",4*('Data input'!R29-'Data input'!R$108)/('Data input'!R$109-'Data input'!R$108)+1)</f>
        <v/>
      </c>
      <c r="S29" s="16" t="str">
        <f>IF('Data input'!S29="","",4*('Data input'!S29-'Data input'!S$108)/('Data input'!S$109-'Data input'!S$108)+1)</f>
        <v/>
      </c>
      <c r="T29" s="19" t="str">
        <f>IF('Data input'!T29="","",4*('Data input'!T29-'Data input'!T$108)/('Data input'!T$109-'Data input'!T$108)+1)</f>
        <v/>
      </c>
      <c r="U29" s="19" t="str">
        <f>IF('Data input'!U29="","",4*('Data input'!U29-'Data input'!U$108)/('Data input'!U$109-'Data input'!U$108)+1)</f>
        <v/>
      </c>
      <c r="V29" s="19" t="str">
        <f>IF('Data input'!V29="","",4*('Data input'!V29-'Data input'!V$108)/('Data input'!V$109-'Data input'!V$108)+1)</f>
        <v/>
      </c>
      <c r="W29" s="16" t="str">
        <f>IF('Data input'!W29="","",4*('Data input'!W29-'Data input'!W$108)/('Data input'!W$109-'Data input'!W$108)+1)</f>
        <v/>
      </c>
      <c r="X29" s="16" t="str">
        <f>IF('Data input'!X29="","",4*('Data input'!X29-'Data input'!X$108)/('Data input'!X$109-'Data input'!X$108)+1)</f>
        <v/>
      </c>
      <c r="Y29" s="16" t="str">
        <f>IF('Data input'!Y29="","",4*('Data input'!Y29-'Data input'!Y$108)/('Data input'!Y$109-'Data input'!Y$108)+1)</f>
        <v/>
      </c>
      <c r="Z29" s="16" t="str">
        <f>IF('Data input'!Z29="","",4*('Data input'!Z29-'Data input'!Z$108)/('Data input'!Z$109-'Data input'!Z$108)+1)</f>
        <v/>
      </c>
      <c r="AA29" s="62" t="str">
        <f>IF('Data input'!AA29="","",4*('Data input'!AA29-'Data input'!AA$108)/('Data input'!AA$109-'Data input'!AA$108)+1)</f>
        <v/>
      </c>
      <c r="AB29" s="78"/>
      <c r="AC29" s="79">
        <v>0</v>
      </c>
      <c r="AD29" s="80" t="e">
        <f t="shared" si="13"/>
        <v>#DIV/0!</v>
      </c>
      <c r="AE29" s="4"/>
      <c r="AF29" s="59">
        <f t="shared" si="14"/>
        <v>27</v>
      </c>
      <c r="AG29" s="60" t="str">
        <f t="shared" si="14"/>
        <v>Montana</v>
      </c>
      <c r="AH29">
        <v>1.2715494086984294</v>
      </c>
      <c r="AI29" t="s">
        <v>69</v>
      </c>
      <c r="AJ29" t="s">
        <v>69</v>
      </c>
      <c r="AK29" t="s">
        <v>69</v>
      </c>
      <c r="AL29" t="s">
        <v>69</v>
      </c>
      <c r="AM29">
        <v>1.3869154379525033</v>
      </c>
      <c r="AN29">
        <v>0.34104817476377686</v>
      </c>
      <c r="AO29" t="s">
        <v>69</v>
      </c>
      <c r="AP29" t="s">
        <v>69</v>
      </c>
      <c r="AQ29" t="s">
        <v>69</v>
      </c>
      <c r="AR29">
        <v>0.42583225843907996</v>
      </c>
      <c r="AS29" s="71">
        <f t="shared" si="15"/>
        <v>4.7846991265798389</v>
      </c>
      <c r="AT29" s="71" t="str">
        <f t="shared" si="15"/>
        <v/>
      </c>
      <c r="AU29" s="71" t="str">
        <f t="shared" si="15"/>
        <v/>
      </c>
      <c r="AV29" s="71" t="str">
        <f t="shared" si="15"/>
        <v/>
      </c>
      <c r="AW29" s="71" t="str">
        <f t="shared" si="15"/>
        <v/>
      </c>
      <c r="AX29" s="71">
        <f t="shared" si="16"/>
        <v>1.0000000000000049</v>
      </c>
      <c r="AY29" s="71">
        <f t="shared" si="16"/>
        <v>2.6269236146135504</v>
      </c>
      <c r="AZ29" s="71" t="str">
        <f t="shared" si="16"/>
        <v/>
      </c>
      <c r="BA29" s="71" t="str">
        <f t="shared" si="16"/>
        <v/>
      </c>
      <c r="BB29" s="71" t="str">
        <f t="shared" si="16"/>
        <v/>
      </c>
      <c r="BC29" s="18">
        <f>IF(C29&lt;&gt;"",(('Data input'!C$109-'Data input'!C$108)*(AS29-1)/4)+'Data input'!C$108,"")</f>
        <v>0.98847571581061044</v>
      </c>
      <c r="BD29" s="18" t="str">
        <f>IF(D29&lt;&gt;"",(('Data input'!D$109-'Data input'!D$108)*(AT29-1)/4)+'Data input'!D$108,"")</f>
        <v/>
      </c>
      <c r="BE29" s="18" t="str">
        <f>IF(E29&lt;&gt;"",(('Data input'!E$109-'Data input'!E$108)*(AU29-1)/4)+'Data input'!E$108,"")</f>
        <v/>
      </c>
      <c r="BF29" s="18" t="str">
        <f>IF(F29&lt;&gt;"",(('Data input'!F$109-'Data input'!F$108)*(AV29-1)/4)+'Data input'!F$108,"")</f>
        <v/>
      </c>
      <c r="BG29" s="18" t="str">
        <f>IF(G29&lt;&gt;"",(('Data input'!G$109-'Data input'!G$108)*(AW29-1)/4)+'Data input'!G$108,"")</f>
        <v/>
      </c>
      <c r="BH29" s="19">
        <f>IF(H29&lt;&gt;"",(('Data input'!H$109-'Data input'!H$108)*(AX29-1)/4)+'Data input'!H$108,"")</f>
        <v>0.29574268608413351</v>
      </c>
      <c r="BI29" s="18">
        <f>IF(I29&lt;&gt;"",(('Data input'!I$109-'Data input'!I$108)*(AY29-1)/4)+'Data input'!I$108,"")</f>
        <v>7.1435730759160224E-2</v>
      </c>
      <c r="BJ29" s="19" t="str">
        <f>IF(J29&lt;&gt;"",(('Data input'!J$109-'Data input'!J$108)*(AZ29-1)/4)+'Data input'!J$108,"")</f>
        <v/>
      </c>
      <c r="BK29" s="19" t="str">
        <f>IF(K29&lt;&gt;"",(('Data input'!K$109-'Data input'!K$108)*(BA29-1)/4)+'Data input'!K$108,"")</f>
        <v/>
      </c>
      <c r="BL29" s="19" t="str">
        <f>IF(L29&lt;&gt;"",(('Data input'!L$109-'Data input'!L$108)*(BB29-1)/4)+'Data input'!L$108,"")</f>
        <v/>
      </c>
      <c r="BM29" s="18">
        <f>IF(C29&lt;&gt;"",BC29-'Data input'!C29,"")</f>
        <v>4.616635919845069E-2</v>
      </c>
      <c r="BN29" s="18" t="str">
        <f>IF(D29&lt;&gt;"",BD29-'Data input'!D29,"")</f>
        <v/>
      </c>
      <c r="BO29" s="18" t="str">
        <f>IF(E29&lt;&gt;"",BE29-'Data input'!E29,"")</f>
        <v/>
      </c>
      <c r="BP29" s="18" t="str">
        <f>IF(F29&lt;&gt;"",BF29-'Data input'!F29,"")</f>
        <v/>
      </c>
      <c r="BQ29" s="18" t="str">
        <f>IF(G29&lt;&gt;"",BG29-'Data input'!G29,"")</f>
        <v/>
      </c>
      <c r="BR29" s="19">
        <f>IF(H29&lt;&gt;"",BH29-'Data input'!H29,"")</f>
        <v>-30.204009767722432</v>
      </c>
      <c r="BS29" s="18">
        <f>IF(I29&lt;&gt;"",BI29-'Data input'!I29,"")</f>
        <v>-1.4974904395935781E-2</v>
      </c>
      <c r="BT29" s="18" t="str">
        <f>IF(J29&lt;&gt;"",BJ29-'Data input'!J29,"")</f>
        <v/>
      </c>
      <c r="BU29" s="18" t="str">
        <f>IF(K29&lt;&gt;"",BK29-'Data input'!K29,"")</f>
        <v/>
      </c>
      <c r="BV29" s="72" t="str">
        <f>IF(L29&lt;&gt;"",BL29-'Data input'!L29,"")</f>
        <v/>
      </c>
      <c r="BW29" s="121" t="str">
        <f t="shared" si="17"/>
        <v xml:space="preserve">Texas; 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  <c r="CK29" s="1">
        <v>0</v>
      </c>
      <c r="CL29" s="1">
        <v>0</v>
      </c>
      <c r="CM29" s="1">
        <v>0</v>
      </c>
      <c r="CN29" s="1">
        <v>0</v>
      </c>
      <c r="CO29" s="1">
        <v>0</v>
      </c>
      <c r="CP29" s="1">
        <v>0</v>
      </c>
      <c r="CQ29" s="1">
        <v>0</v>
      </c>
      <c r="CR29" s="1">
        <v>0</v>
      </c>
      <c r="CS29" s="1">
        <v>0</v>
      </c>
      <c r="CT29" s="1">
        <v>0</v>
      </c>
      <c r="CU29" s="1">
        <v>0</v>
      </c>
      <c r="CV29" s="1">
        <v>0</v>
      </c>
      <c r="CW29" s="1">
        <v>0</v>
      </c>
      <c r="CX29" s="1">
        <v>0</v>
      </c>
      <c r="CY29" s="1">
        <v>0</v>
      </c>
      <c r="CZ29" s="1">
        <v>0</v>
      </c>
      <c r="DA29" s="1">
        <v>0</v>
      </c>
      <c r="DB29" s="1">
        <v>0</v>
      </c>
      <c r="DC29" s="1">
        <v>0</v>
      </c>
      <c r="DD29" s="1">
        <v>0</v>
      </c>
      <c r="DE29" s="1">
        <v>0</v>
      </c>
      <c r="DF29" s="1">
        <v>0</v>
      </c>
      <c r="DG29" s="1">
        <v>0</v>
      </c>
      <c r="DH29" s="1">
        <v>0</v>
      </c>
      <c r="DI29" s="1">
        <v>0</v>
      </c>
      <c r="DJ29" s="1">
        <v>0</v>
      </c>
      <c r="DK29" s="1">
        <v>0</v>
      </c>
      <c r="DL29" s="1">
        <v>0</v>
      </c>
      <c r="DM29" s="1">
        <v>0</v>
      </c>
      <c r="DN29" s="1">
        <v>0.999999999999998</v>
      </c>
      <c r="DO29" s="1">
        <v>0</v>
      </c>
      <c r="DP29" s="1">
        <v>0</v>
      </c>
      <c r="DQ29" s="1">
        <v>0</v>
      </c>
      <c r="DR29" s="1">
        <v>0</v>
      </c>
      <c r="DS29" s="1">
        <v>0</v>
      </c>
      <c r="DT29" s="1">
        <v>0</v>
      </c>
      <c r="DU29" s="1">
        <v>0</v>
      </c>
      <c r="DV29" s="1">
        <v>0</v>
      </c>
      <c r="DW29" s="1">
        <v>0</v>
      </c>
      <c r="DX29" s="1">
        <v>0</v>
      </c>
      <c r="DY29" s="1">
        <v>0</v>
      </c>
      <c r="DZ29" s="1">
        <v>0</v>
      </c>
      <c r="FT29" s="1" t="str">
        <f t="shared" si="18"/>
        <v/>
      </c>
      <c r="FU29" s="1" t="str">
        <f t="shared" si="18"/>
        <v/>
      </c>
      <c r="FV29" s="1" t="str">
        <f t="shared" si="18"/>
        <v/>
      </c>
      <c r="FW29" s="1" t="str">
        <f t="shared" si="18"/>
        <v/>
      </c>
      <c r="FX29" s="1" t="str">
        <f t="shared" si="18"/>
        <v/>
      </c>
      <c r="FY29" s="1" t="str">
        <f t="shared" si="18"/>
        <v/>
      </c>
      <c r="FZ29" s="1" t="str">
        <f t="shared" si="18"/>
        <v/>
      </c>
      <c r="GA29" s="1" t="str">
        <f t="shared" si="18"/>
        <v/>
      </c>
      <c r="GB29" s="1" t="str">
        <f t="shared" si="18"/>
        <v/>
      </c>
      <c r="GC29" s="1" t="str">
        <f t="shared" si="18"/>
        <v/>
      </c>
      <c r="GD29" s="1" t="str">
        <f t="shared" si="18"/>
        <v/>
      </c>
      <c r="GE29" s="1" t="str">
        <f t="shared" si="18"/>
        <v/>
      </c>
      <c r="GF29" s="1" t="str">
        <f t="shared" si="18"/>
        <v/>
      </c>
      <c r="GG29" s="1" t="str">
        <f t="shared" si="18"/>
        <v/>
      </c>
      <c r="GH29" s="1" t="str">
        <f t="shared" si="18"/>
        <v/>
      </c>
      <c r="GI29" s="1" t="str">
        <f t="shared" si="18"/>
        <v/>
      </c>
      <c r="GJ29" s="1" t="str">
        <f t="shared" si="19"/>
        <v/>
      </c>
      <c r="GK29" s="1" t="str">
        <f t="shared" si="19"/>
        <v/>
      </c>
      <c r="GL29" s="1" t="str">
        <f t="shared" si="19"/>
        <v/>
      </c>
      <c r="GM29" s="1" t="str">
        <f t="shared" si="19"/>
        <v/>
      </c>
      <c r="GN29" s="1" t="str">
        <f t="shared" si="19"/>
        <v/>
      </c>
      <c r="GO29" s="1" t="str">
        <f t="shared" si="19"/>
        <v/>
      </c>
      <c r="GP29" s="1" t="str">
        <f t="shared" si="19"/>
        <v/>
      </c>
      <c r="GQ29" s="1" t="str">
        <f t="shared" si="19"/>
        <v/>
      </c>
      <c r="GR29" s="1" t="str">
        <f t="shared" si="19"/>
        <v/>
      </c>
      <c r="GS29" s="1" t="str">
        <f t="shared" si="19"/>
        <v/>
      </c>
      <c r="GT29" s="1" t="str">
        <f t="shared" si="19"/>
        <v/>
      </c>
      <c r="GU29" s="1" t="str">
        <f t="shared" si="19"/>
        <v/>
      </c>
      <c r="GV29" s="1" t="str">
        <f t="shared" si="19"/>
        <v/>
      </c>
      <c r="GW29" s="1" t="str">
        <f t="shared" si="19"/>
        <v/>
      </c>
      <c r="GX29" s="1" t="str">
        <f t="shared" si="19"/>
        <v/>
      </c>
      <c r="GY29" s="1" t="str">
        <f t="shared" si="19"/>
        <v/>
      </c>
      <c r="GZ29" s="1" t="str">
        <f t="shared" si="20"/>
        <v/>
      </c>
      <c r="HA29" s="1" t="str">
        <f t="shared" si="20"/>
        <v/>
      </c>
      <c r="HB29" s="1" t="str">
        <f t="shared" si="20"/>
        <v/>
      </c>
      <c r="HC29" s="1" t="str">
        <f t="shared" si="20"/>
        <v/>
      </c>
      <c r="HD29" s="1" t="str">
        <f t="shared" si="20"/>
        <v/>
      </c>
      <c r="HE29" s="1" t="str">
        <f t="shared" si="20"/>
        <v/>
      </c>
      <c r="HF29" s="1" t="str">
        <f t="shared" si="20"/>
        <v/>
      </c>
      <c r="HG29" s="1" t="str">
        <f t="shared" si="20"/>
        <v/>
      </c>
      <c r="HH29" s="1" t="str">
        <f t="shared" si="20"/>
        <v/>
      </c>
      <c r="HI29" s="1" t="str">
        <f t="shared" si="20"/>
        <v/>
      </c>
      <c r="HJ29" s="1" t="str">
        <f t="shared" si="20"/>
        <v xml:space="preserve">Texas; </v>
      </c>
      <c r="HK29" s="1" t="str">
        <f t="shared" si="20"/>
        <v/>
      </c>
      <c r="HL29" s="1" t="str">
        <f t="shared" si="20"/>
        <v/>
      </c>
      <c r="HM29" s="1" t="str">
        <f t="shared" si="20"/>
        <v/>
      </c>
      <c r="HN29" s="1" t="str">
        <f t="shared" si="20"/>
        <v/>
      </c>
      <c r="HO29" s="1" t="str">
        <f t="shared" si="20"/>
        <v/>
      </c>
      <c r="HP29" s="1" t="str">
        <f t="shared" si="21"/>
        <v/>
      </c>
      <c r="HQ29" s="1" t="str">
        <f t="shared" si="21"/>
        <v/>
      </c>
      <c r="HR29" s="1" t="str">
        <f t="shared" si="21"/>
        <v/>
      </c>
      <c r="HS29" s="1" t="str">
        <f t="shared" si="21"/>
        <v/>
      </c>
      <c r="HT29" s="1" t="str">
        <f t="shared" si="21"/>
        <v/>
      </c>
      <c r="HU29" s="1" t="str">
        <f t="shared" si="21"/>
        <v/>
      </c>
      <c r="HV29" s="1" t="str">
        <f t="shared" si="21"/>
        <v/>
      </c>
      <c r="HW29" s="1" t="str">
        <f t="shared" si="21"/>
        <v/>
      </c>
      <c r="HX29" s="1" t="str">
        <f t="shared" si="21"/>
        <v/>
      </c>
      <c r="HY29" s="1" t="str">
        <f t="shared" si="21"/>
        <v/>
      </c>
      <c r="HZ29" s="1" t="str">
        <f t="shared" si="21"/>
        <v/>
      </c>
      <c r="IA29" s="1" t="str">
        <f t="shared" si="21"/>
        <v/>
      </c>
      <c r="IB29" s="1" t="str">
        <f t="shared" si="21"/>
        <v/>
      </c>
      <c r="IC29" s="1" t="str">
        <f t="shared" si="21"/>
        <v/>
      </c>
      <c r="ID29" s="1" t="str">
        <f t="shared" si="21"/>
        <v/>
      </c>
      <c r="IE29" s="1" t="str">
        <f t="shared" si="21"/>
        <v/>
      </c>
      <c r="IF29" s="1" t="str">
        <f t="shared" si="22"/>
        <v/>
      </c>
      <c r="IG29" s="1" t="str">
        <f t="shared" si="22"/>
        <v/>
      </c>
      <c r="IH29" s="1" t="str">
        <f t="shared" si="22"/>
        <v/>
      </c>
      <c r="II29" s="1" t="str">
        <f t="shared" si="22"/>
        <v/>
      </c>
      <c r="IJ29" s="1" t="str">
        <f t="shared" si="22"/>
        <v/>
      </c>
      <c r="IK29" s="1" t="str">
        <f t="shared" si="22"/>
        <v/>
      </c>
      <c r="IL29" s="1" t="str">
        <f t="shared" si="22"/>
        <v/>
      </c>
      <c r="IM29" s="1" t="str">
        <f t="shared" si="22"/>
        <v/>
      </c>
      <c r="IN29" s="1" t="str">
        <f t="shared" si="22"/>
        <v/>
      </c>
      <c r="IO29" s="1" t="str">
        <f t="shared" si="22"/>
        <v/>
      </c>
      <c r="IP29" s="1" t="str">
        <f t="shared" si="22"/>
        <v/>
      </c>
      <c r="IQ29" s="1" t="str">
        <f t="shared" si="22"/>
        <v/>
      </c>
      <c r="IR29" s="1" t="str">
        <f t="shared" si="22"/>
        <v/>
      </c>
      <c r="IS29" s="1" t="str">
        <f t="shared" si="22"/>
        <v/>
      </c>
      <c r="IT29" s="1" t="str">
        <f t="shared" si="22"/>
        <v/>
      </c>
      <c r="IU29" s="1" t="str">
        <f t="shared" si="22"/>
        <v/>
      </c>
      <c r="IV29" s="1" t="str">
        <f t="shared" si="23"/>
        <v/>
      </c>
      <c r="IW29" s="1" t="str">
        <f t="shared" si="23"/>
        <v/>
      </c>
      <c r="IX29" s="1" t="str">
        <f t="shared" si="23"/>
        <v/>
      </c>
      <c r="IY29" s="1" t="str">
        <f t="shared" si="23"/>
        <v/>
      </c>
      <c r="IZ29" s="1" t="str">
        <f t="shared" si="23"/>
        <v/>
      </c>
      <c r="JA29" s="1" t="str">
        <f t="shared" si="23"/>
        <v/>
      </c>
      <c r="JB29" s="1" t="str">
        <f t="shared" si="23"/>
        <v/>
      </c>
      <c r="JC29" s="1" t="str">
        <f t="shared" si="23"/>
        <v/>
      </c>
      <c r="JD29" s="1" t="str">
        <f t="shared" si="23"/>
        <v/>
      </c>
      <c r="JE29" s="1" t="str">
        <f t="shared" si="23"/>
        <v/>
      </c>
      <c r="JF29" s="1" t="str">
        <f t="shared" si="23"/>
        <v/>
      </c>
      <c r="JG29" s="1" t="str">
        <f t="shared" si="23"/>
        <v/>
      </c>
      <c r="JH29" s="1" t="str">
        <f t="shared" si="23"/>
        <v/>
      </c>
      <c r="JI29" s="1" t="str">
        <f t="shared" si="23"/>
        <v/>
      </c>
      <c r="JJ29" s="1" t="str">
        <f t="shared" si="23"/>
        <v/>
      </c>
      <c r="JK29" s="1" t="str">
        <f t="shared" si="23"/>
        <v/>
      </c>
      <c r="JL29" s="1" t="str">
        <f t="shared" si="24"/>
        <v/>
      </c>
      <c r="JM29" s="1" t="str">
        <f t="shared" si="12"/>
        <v/>
      </c>
      <c r="JN29" s="1" t="str">
        <f t="shared" si="12"/>
        <v/>
      </c>
      <c r="JO29" s="1" t="str">
        <f t="shared" si="12"/>
        <v/>
      </c>
    </row>
    <row r="30" spans="1:275" ht="14.5" x14ac:dyDescent="0.35">
      <c r="A30" s="59">
        <f>IF('Data input'!A30&lt;&gt;"",'Data input'!A30,"")</f>
        <v>28</v>
      </c>
      <c r="B30" s="60" t="str">
        <f>IF('Data input'!B30&lt;&gt;"",'Data input'!B30,"")</f>
        <v>Nebraska</v>
      </c>
      <c r="C30" s="19">
        <f>IF('Data input'!C30="","",4*('Data input'!C30-'Data input'!C$108)/('Data input'!C$109-'Data input'!C$108)+1)</f>
        <v>4.5893928246368327</v>
      </c>
      <c r="D30" s="19" t="str">
        <f>IF('Data input'!D30="","",4*('Data input'!D30-'Data input'!D$108)/('Data input'!D$109-'Data input'!D$108)+1)</f>
        <v/>
      </c>
      <c r="E30" s="19" t="str">
        <f>IF('Data input'!E30="","",4*('Data input'!E30-'Data input'!E$108)/('Data input'!E$109-'Data input'!E$108)+1)</f>
        <v/>
      </c>
      <c r="F30" s="19" t="str">
        <f>IF('Data input'!F30="","",4*('Data input'!F30-'Data input'!F$108)/('Data input'!F$109-'Data input'!F$108)+1)</f>
        <v/>
      </c>
      <c r="G30" s="19" t="str">
        <f>IF('Data input'!G30="","",4*('Data input'!G30-'Data input'!G$108)/('Data input'!G$109-'Data input'!G$108)+1)</f>
        <v/>
      </c>
      <c r="H30" s="61">
        <f>IF('Data input'!H30="","",4*('Data input'!H30-'Data input'!H$108)/('Data input'!H$109-'Data input'!H$108)+1)</f>
        <v>1.6476124487773292</v>
      </c>
      <c r="I30" s="19">
        <f>IF('Data input'!I30="","",4*('Data input'!I30-'Data input'!I$108)/('Data input'!I$109-'Data input'!I$108)+1)</f>
        <v>3.816219900045434</v>
      </c>
      <c r="J30" s="19" t="str">
        <f>IF('Data input'!J30="","",4*('Data input'!J30-'Data input'!J$108)/('Data input'!J$109-'Data input'!J$108)+1)</f>
        <v/>
      </c>
      <c r="K30" s="19" t="str">
        <f>IF('Data input'!K30="","",4*('Data input'!K30-'Data input'!K$108)/('Data input'!K$109-'Data input'!K$108)+1)</f>
        <v/>
      </c>
      <c r="L30" s="19" t="str">
        <f>IF('Data input'!L30="","",4*('Data input'!L30-'Data input'!L$108)/('Data input'!L$109-'Data input'!L$108)+1)</f>
        <v/>
      </c>
      <c r="M30" s="19">
        <f>IF('Data input'!M30="","",4*('Data input'!M30-'Data input'!M$108)/('Data input'!M$109-'Data input'!M$108)+1)</f>
        <v>2.1676998468266477</v>
      </c>
      <c r="N30" s="16" t="str">
        <f>IF('Data input'!N30="","",4*('Data input'!N30-'Data input'!N$108)/('Data input'!N$109-'Data input'!N$108)+1)</f>
        <v/>
      </c>
      <c r="O30" s="19" t="str">
        <f>IF('Data input'!O30="","",4*('Data input'!O30-'Data input'!O$108)/('Data input'!O$109-'Data input'!O$108)+1)</f>
        <v/>
      </c>
      <c r="P30" s="19" t="str">
        <f>IF('Data input'!P30="","",4*('Data input'!P30-'Data input'!P$108)/('Data input'!P$109-'Data input'!P$108)+1)</f>
        <v/>
      </c>
      <c r="Q30" s="19" t="str">
        <f>IF('Data input'!Q30="","",4*('Data input'!Q30-'Data input'!Q$108)/('Data input'!Q$109-'Data input'!Q$108)+1)</f>
        <v/>
      </c>
      <c r="R30" s="19" t="str">
        <f>IF('Data input'!R30="","",4*('Data input'!R30-'Data input'!R$108)/('Data input'!R$109-'Data input'!R$108)+1)</f>
        <v/>
      </c>
      <c r="S30" s="16" t="str">
        <f>IF('Data input'!S30="","",4*('Data input'!S30-'Data input'!S$108)/('Data input'!S$109-'Data input'!S$108)+1)</f>
        <v/>
      </c>
      <c r="T30" s="19" t="str">
        <f>IF('Data input'!T30="","",4*('Data input'!T30-'Data input'!T$108)/('Data input'!T$109-'Data input'!T$108)+1)</f>
        <v/>
      </c>
      <c r="U30" s="19" t="str">
        <f>IF('Data input'!U30="","",4*('Data input'!U30-'Data input'!U$108)/('Data input'!U$109-'Data input'!U$108)+1)</f>
        <v/>
      </c>
      <c r="V30" s="19" t="str">
        <f>IF('Data input'!V30="","",4*('Data input'!V30-'Data input'!V$108)/('Data input'!V$109-'Data input'!V$108)+1)</f>
        <v/>
      </c>
      <c r="W30" s="16" t="str">
        <f>IF('Data input'!W30="","",4*('Data input'!W30-'Data input'!W$108)/('Data input'!W$109-'Data input'!W$108)+1)</f>
        <v/>
      </c>
      <c r="X30" s="16" t="str">
        <f>IF('Data input'!X30="","",4*('Data input'!X30-'Data input'!X$108)/('Data input'!X$109-'Data input'!X$108)+1)</f>
        <v/>
      </c>
      <c r="Y30" s="16" t="str">
        <f>IF('Data input'!Y30="","",4*('Data input'!Y30-'Data input'!Y$108)/('Data input'!Y$109-'Data input'!Y$108)+1)</f>
        <v/>
      </c>
      <c r="Z30" s="16" t="str">
        <f>IF('Data input'!Z30="","",4*('Data input'!Z30-'Data input'!Z$108)/('Data input'!Z$109-'Data input'!Z$108)+1)</f>
        <v/>
      </c>
      <c r="AA30" s="62" t="str">
        <f>IF('Data input'!AA30="","",4*('Data input'!AA30-'Data input'!AA$108)/('Data input'!AA$109-'Data input'!AA$108)+1)</f>
        <v/>
      </c>
      <c r="AB30" s="78"/>
      <c r="AC30" s="79">
        <v>0</v>
      </c>
      <c r="AD30" s="80" t="e">
        <f t="shared" si="13"/>
        <v>#DIV/0!</v>
      </c>
      <c r="AE30" s="4"/>
      <c r="AF30" s="59">
        <f t="shared" si="14"/>
        <v>28</v>
      </c>
      <c r="AG30" s="60" t="str">
        <f t="shared" si="14"/>
        <v>Nebraska</v>
      </c>
      <c r="AH30">
        <v>0.22209617587398844</v>
      </c>
      <c r="AI30" t="s">
        <v>69</v>
      </c>
      <c r="AJ30" t="s">
        <v>69</v>
      </c>
      <c r="AK30" t="s">
        <v>69</v>
      </c>
      <c r="AL30" t="s">
        <v>69</v>
      </c>
      <c r="AM30">
        <v>0.64761244877732926</v>
      </c>
      <c r="AN30">
        <v>0.49002929005737728</v>
      </c>
      <c r="AO30" t="s">
        <v>69</v>
      </c>
      <c r="AP30" t="s">
        <v>69</v>
      </c>
      <c r="AQ30" t="s">
        <v>69</v>
      </c>
      <c r="AR30">
        <v>0.60945937797746019</v>
      </c>
      <c r="AS30" s="71">
        <f t="shared" si="15"/>
        <v>4.8114890005108215</v>
      </c>
      <c r="AT30" s="71" t="str">
        <f t="shared" si="15"/>
        <v/>
      </c>
      <c r="AU30" s="71" t="str">
        <f t="shared" si="15"/>
        <v/>
      </c>
      <c r="AV30" s="71" t="str">
        <f t="shared" si="15"/>
        <v/>
      </c>
      <c r="AW30" s="71" t="str">
        <f t="shared" si="15"/>
        <v/>
      </c>
      <c r="AX30" s="71">
        <f t="shared" si="16"/>
        <v>0.99999999999999989</v>
      </c>
      <c r="AY30" s="71">
        <f t="shared" si="16"/>
        <v>3.3261906099880569</v>
      </c>
      <c r="AZ30" s="71" t="str">
        <f t="shared" si="16"/>
        <v/>
      </c>
      <c r="BA30" s="71" t="str">
        <f t="shared" si="16"/>
        <v/>
      </c>
      <c r="BB30" s="71" t="str">
        <f t="shared" si="16"/>
        <v/>
      </c>
      <c r="BC30" s="18">
        <f>IF(C30&lt;&gt;"",(('Data input'!C$109-'Data input'!C$108)*(AS30-1)/4)+'Data input'!C$108,"")</f>
        <v>0.98944838028933091</v>
      </c>
      <c r="BD30" s="18" t="str">
        <f>IF(D30&lt;&gt;"",(('Data input'!D$109-'Data input'!D$108)*(AT30-1)/4)+'Data input'!D$108,"")</f>
        <v/>
      </c>
      <c r="BE30" s="18" t="str">
        <f>IF(E30&lt;&gt;"",(('Data input'!E$109-'Data input'!E$108)*(AU30-1)/4)+'Data input'!E$108,"")</f>
        <v/>
      </c>
      <c r="BF30" s="18" t="str">
        <f>IF(F30&lt;&gt;"",(('Data input'!F$109-'Data input'!F$108)*(AV30-1)/4)+'Data input'!F$108,"")</f>
        <v/>
      </c>
      <c r="BG30" s="18" t="str">
        <f>IF(G30&lt;&gt;"",(('Data input'!G$109-'Data input'!G$108)*(AW30-1)/4)+'Data input'!G$108,"")</f>
        <v/>
      </c>
      <c r="BH30" s="19">
        <f>IF(H30&lt;&gt;"",(('Data input'!H$109-'Data input'!H$108)*(AX30-1)/4)+'Data input'!H$108,"")</f>
        <v>0.29574268608402471</v>
      </c>
      <c r="BI30" s="18">
        <f>IF(I30&lt;&gt;"",(('Data input'!I$109-'Data input'!I$108)*(AY30-1)/4)+'Data input'!I$108,"")</f>
        <v>0.10213947638166485</v>
      </c>
      <c r="BJ30" s="19" t="str">
        <f>IF(J30&lt;&gt;"",(('Data input'!J$109-'Data input'!J$108)*(AZ30-1)/4)+'Data input'!J$108,"")</f>
        <v/>
      </c>
      <c r="BK30" s="19" t="str">
        <f>IF(K30&lt;&gt;"",(('Data input'!K$109-'Data input'!K$108)*(BA30-1)/4)+'Data input'!K$108,"")</f>
        <v/>
      </c>
      <c r="BL30" s="19" t="str">
        <f>IF(L30&lt;&gt;"",(('Data input'!L$109-'Data input'!L$108)*(BB30-1)/4)+'Data input'!L$108,"")</f>
        <v/>
      </c>
      <c r="BM30" s="18">
        <f>IF(C30&lt;&gt;"",BC30-'Data input'!C30,"")</f>
        <v>8.0636833786084106E-3</v>
      </c>
      <c r="BN30" s="18" t="str">
        <f>IF(D30&lt;&gt;"",BD30-'Data input'!D30,"")</f>
        <v/>
      </c>
      <c r="BO30" s="18" t="str">
        <f>IF(E30&lt;&gt;"",BE30-'Data input'!E30,"")</f>
        <v/>
      </c>
      <c r="BP30" s="18" t="str">
        <f>IF(F30&lt;&gt;"",BF30-'Data input'!F30,"")</f>
        <v/>
      </c>
      <c r="BQ30" s="18" t="str">
        <f>IF(G30&lt;&gt;"",BG30-'Data input'!G30,"")</f>
        <v/>
      </c>
      <c r="BR30" s="19">
        <f>IF(H30&lt;&gt;"",BH30-'Data input'!H30,"")</f>
        <v>-14.103594345626552</v>
      </c>
      <c r="BS30" s="18">
        <f>IF(I30&lt;&gt;"",BI30-'Data input'!I30,"")</f>
        <v>-2.1516437596829779E-2</v>
      </c>
      <c r="BT30" s="18" t="str">
        <f>IF(J30&lt;&gt;"",BJ30-'Data input'!J30,"")</f>
        <v/>
      </c>
      <c r="BU30" s="18" t="str">
        <f>IF(K30&lt;&gt;"",BK30-'Data input'!K30,"")</f>
        <v/>
      </c>
      <c r="BV30" s="72" t="str">
        <f>IF(L30&lt;&gt;"",BL30-'Data input'!L30,"")</f>
        <v/>
      </c>
      <c r="BW30" s="121" t="str">
        <f t="shared" si="17"/>
        <v xml:space="preserve">Texas; </v>
      </c>
      <c r="BX30" s="1">
        <v>0</v>
      </c>
      <c r="BY30" s="1">
        <v>0</v>
      </c>
      <c r="BZ30" s="1">
        <v>0</v>
      </c>
      <c r="CA30" s="1">
        <v>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1">
        <v>0</v>
      </c>
      <c r="CL30" s="1">
        <v>0</v>
      </c>
      <c r="CM30" s="1">
        <v>0</v>
      </c>
      <c r="CN30" s="1">
        <v>0</v>
      </c>
      <c r="CO30" s="1">
        <v>0</v>
      </c>
      <c r="CP30" s="1">
        <v>0</v>
      </c>
      <c r="CQ30" s="1">
        <v>0</v>
      </c>
      <c r="CR30" s="1">
        <v>0</v>
      </c>
      <c r="CS30" s="1">
        <v>0</v>
      </c>
      <c r="CT30" s="1">
        <v>0</v>
      </c>
      <c r="CU30" s="1">
        <v>0</v>
      </c>
      <c r="CV30" s="1">
        <v>0</v>
      </c>
      <c r="CW30" s="1">
        <v>0</v>
      </c>
      <c r="CX30" s="1">
        <v>0</v>
      </c>
      <c r="CY30" s="1">
        <v>0</v>
      </c>
      <c r="CZ30" s="1">
        <v>0</v>
      </c>
      <c r="DA30" s="1">
        <v>0</v>
      </c>
      <c r="DB30" s="1">
        <v>0</v>
      </c>
      <c r="DC30" s="1">
        <v>0</v>
      </c>
      <c r="DD30" s="1">
        <v>0</v>
      </c>
      <c r="DE30" s="1">
        <v>0</v>
      </c>
      <c r="DF30" s="1">
        <v>0</v>
      </c>
      <c r="DG30" s="1">
        <v>0</v>
      </c>
      <c r="DH30" s="1">
        <v>0</v>
      </c>
      <c r="DI30" s="1">
        <v>0</v>
      </c>
      <c r="DJ30" s="1">
        <v>0</v>
      </c>
      <c r="DK30" s="1">
        <v>0</v>
      </c>
      <c r="DL30" s="1">
        <v>0</v>
      </c>
      <c r="DM30" s="1">
        <v>0</v>
      </c>
      <c r="DN30" s="1">
        <v>0.99999999999999467</v>
      </c>
      <c r="DO30" s="1">
        <v>0</v>
      </c>
      <c r="DP30" s="1">
        <v>0</v>
      </c>
      <c r="DQ30" s="1">
        <v>0</v>
      </c>
      <c r="DR30" s="1">
        <v>0</v>
      </c>
      <c r="DS30" s="1">
        <v>0</v>
      </c>
      <c r="DT30" s="1">
        <v>0</v>
      </c>
      <c r="DU30" s="1">
        <v>0</v>
      </c>
      <c r="DV30" s="1">
        <v>0</v>
      </c>
      <c r="DW30" s="1">
        <v>0</v>
      </c>
      <c r="DX30" s="1">
        <v>0</v>
      </c>
      <c r="DY30" s="1">
        <v>0</v>
      </c>
      <c r="DZ30" s="1">
        <v>0</v>
      </c>
      <c r="FT30" s="1" t="str">
        <f t="shared" si="18"/>
        <v/>
      </c>
      <c r="FU30" s="1" t="str">
        <f t="shared" si="18"/>
        <v/>
      </c>
      <c r="FV30" s="1" t="str">
        <f t="shared" si="18"/>
        <v/>
      </c>
      <c r="FW30" s="1" t="str">
        <f t="shared" si="18"/>
        <v/>
      </c>
      <c r="FX30" s="1" t="str">
        <f t="shared" si="18"/>
        <v/>
      </c>
      <c r="FY30" s="1" t="str">
        <f t="shared" si="18"/>
        <v/>
      </c>
      <c r="FZ30" s="1" t="str">
        <f t="shared" si="18"/>
        <v/>
      </c>
      <c r="GA30" s="1" t="str">
        <f t="shared" si="18"/>
        <v/>
      </c>
      <c r="GB30" s="1" t="str">
        <f t="shared" si="18"/>
        <v/>
      </c>
      <c r="GC30" s="1" t="str">
        <f t="shared" si="18"/>
        <v/>
      </c>
      <c r="GD30" s="1" t="str">
        <f t="shared" si="18"/>
        <v/>
      </c>
      <c r="GE30" s="1" t="str">
        <f t="shared" si="18"/>
        <v/>
      </c>
      <c r="GF30" s="1" t="str">
        <f t="shared" si="18"/>
        <v/>
      </c>
      <c r="GG30" s="1" t="str">
        <f t="shared" si="18"/>
        <v/>
      </c>
      <c r="GH30" s="1" t="str">
        <f t="shared" si="18"/>
        <v/>
      </c>
      <c r="GI30" s="1" t="str">
        <f t="shared" si="18"/>
        <v/>
      </c>
      <c r="GJ30" s="1" t="str">
        <f t="shared" si="19"/>
        <v/>
      </c>
      <c r="GK30" s="1" t="str">
        <f t="shared" si="19"/>
        <v/>
      </c>
      <c r="GL30" s="1" t="str">
        <f t="shared" si="19"/>
        <v/>
      </c>
      <c r="GM30" s="1" t="str">
        <f t="shared" si="19"/>
        <v/>
      </c>
      <c r="GN30" s="1" t="str">
        <f t="shared" si="19"/>
        <v/>
      </c>
      <c r="GO30" s="1" t="str">
        <f t="shared" si="19"/>
        <v/>
      </c>
      <c r="GP30" s="1" t="str">
        <f t="shared" si="19"/>
        <v/>
      </c>
      <c r="GQ30" s="1" t="str">
        <f t="shared" si="19"/>
        <v/>
      </c>
      <c r="GR30" s="1" t="str">
        <f t="shared" si="19"/>
        <v/>
      </c>
      <c r="GS30" s="1" t="str">
        <f t="shared" si="19"/>
        <v/>
      </c>
      <c r="GT30" s="1" t="str">
        <f t="shared" si="19"/>
        <v/>
      </c>
      <c r="GU30" s="1" t="str">
        <f t="shared" si="19"/>
        <v/>
      </c>
      <c r="GV30" s="1" t="str">
        <f t="shared" si="19"/>
        <v/>
      </c>
      <c r="GW30" s="1" t="str">
        <f t="shared" si="19"/>
        <v/>
      </c>
      <c r="GX30" s="1" t="str">
        <f t="shared" si="19"/>
        <v/>
      </c>
      <c r="GY30" s="1" t="str">
        <f t="shared" si="19"/>
        <v/>
      </c>
      <c r="GZ30" s="1" t="str">
        <f t="shared" si="20"/>
        <v/>
      </c>
      <c r="HA30" s="1" t="str">
        <f t="shared" si="20"/>
        <v/>
      </c>
      <c r="HB30" s="1" t="str">
        <f t="shared" si="20"/>
        <v/>
      </c>
      <c r="HC30" s="1" t="str">
        <f t="shared" si="20"/>
        <v/>
      </c>
      <c r="HD30" s="1" t="str">
        <f t="shared" si="20"/>
        <v/>
      </c>
      <c r="HE30" s="1" t="str">
        <f t="shared" si="20"/>
        <v/>
      </c>
      <c r="HF30" s="1" t="str">
        <f t="shared" si="20"/>
        <v/>
      </c>
      <c r="HG30" s="1" t="str">
        <f t="shared" si="20"/>
        <v/>
      </c>
      <c r="HH30" s="1" t="str">
        <f t="shared" si="20"/>
        <v/>
      </c>
      <c r="HI30" s="1" t="str">
        <f t="shared" si="20"/>
        <v/>
      </c>
      <c r="HJ30" s="1" t="str">
        <f t="shared" si="20"/>
        <v xml:space="preserve">Texas; </v>
      </c>
      <c r="HK30" s="1" t="str">
        <f t="shared" si="20"/>
        <v/>
      </c>
      <c r="HL30" s="1" t="str">
        <f t="shared" si="20"/>
        <v/>
      </c>
      <c r="HM30" s="1" t="str">
        <f t="shared" si="20"/>
        <v/>
      </c>
      <c r="HN30" s="1" t="str">
        <f t="shared" si="20"/>
        <v/>
      </c>
      <c r="HO30" s="1" t="str">
        <f t="shared" si="20"/>
        <v/>
      </c>
      <c r="HP30" s="1" t="str">
        <f t="shared" si="21"/>
        <v/>
      </c>
      <c r="HQ30" s="1" t="str">
        <f t="shared" si="21"/>
        <v/>
      </c>
      <c r="HR30" s="1" t="str">
        <f t="shared" si="21"/>
        <v/>
      </c>
      <c r="HS30" s="1" t="str">
        <f t="shared" si="21"/>
        <v/>
      </c>
      <c r="HT30" s="1" t="str">
        <f t="shared" si="21"/>
        <v/>
      </c>
      <c r="HU30" s="1" t="str">
        <f t="shared" si="21"/>
        <v/>
      </c>
      <c r="HV30" s="1" t="str">
        <f t="shared" si="21"/>
        <v/>
      </c>
      <c r="HW30" s="1" t="str">
        <f t="shared" si="21"/>
        <v/>
      </c>
      <c r="HX30" s="1" t="str">
        <f t="shared" si="21"/>
        <v/>
      </c>
      <c r="HY30" s="1" t="str">
        <f t="shared" si="21"/>
        <v/>
      </c>
      <c r="HZ30" s="1" t="str">
        <f t="shared" si="21"/>
        <v/>
      </c>
      <c r="IA30" s="1" t="str">
        <f t="shared" si="21"/>
        <v/>
      </c>
      <c r="IB30" s="1" t="str">
        <f t="shared" si="21"/>
        <v/>
      </c>
      <c r="IC30" s="1" t="str">
        <f t="shared" si="21"/>
        <v/>
      </c>
      <c r="ID30" s="1" t="str">
        <f t="shared" si="21"/>
        <v/>
      </c>
      <c r="IE30" s="1" t="str">
        <f t="shared" si="21"/>
        <v/>
      </c>
      <c r="IF30" s="1" t="str">
        <f t="shared" si="22"/>
        <v/>
      </c>
      <c r="IG30" s="1" t="str">
        <f t="shared" si="22"/>
        <v/>
      </c>
      <c r="IH30" s="1" t="str">
        <f t="shared" si="22"/>
        <v/>
      </c>
      <c r="II30" s="1" t="str">
        <f t="shared" si="22"/>
        <v/>
      </c>
      <c r="IJ30" s="1" t="str">
        <f t="shared" si="22"/>
        <v/>
      </c>
      <c r="IK30" s="1" t="str">
        <f t="shared" si="22"/>
        <v/>
      </c>
      <c r="IL30" s="1" t="str">
        <f t="shared" si="22"/>
        <v/>
      </c>
      <c r="IM30" s="1" t="str">
        <f t="shared" si="22"/>
        <v/>
      </c>
      <c r="IN30" s="1" t="str">
        <f t="shared" si="22"/>
        <v/>
      </c>
      <c r="IO30" s="1" t="str">
        <f t="shared" si="22"/>
        <v/>
      </c>
      <c r="IP30" s="1" t="str">
        <f t="shared" si="22"/>
        <v/>
      </c>
      <c r="IQ30" s="1" t="str">
        <f t="shared" si="22"/>
        <v/>
      </c>
      <c r="IR30" s="1" t="str">
        <f t="shared" si="22"/>
        <v/>
      </c>
      <c r="IS30" s="1" t="str">
        <f t="shared" si="22"/>
        <v/>
      </c>
      <c r="IT30" s="1" t="str">
        <f t="shared" si="22"/>
        <v/>
      </c>
      <c r="IU30" s="1" t="str">
        <f t="shared" si="22"/>
        <v/>
      </c>
      <c r="IV30" s="1" t="str">
        <f t="shared" si="23"/>
        <v/>
      </c>
      <c r="IW30" s="1" t="str">
        <f t="shared" si="23"/>
        <v/>
      </c>
      <c r="IX30" s="1" t="str">
        <f t="shared" si="23"/>
        <v/>
      </c>
      <c r="IY30" s="1" t="str">
        <f t="shared" si="23"/>
        <v/>
      </c>
      <c r="IZ30" s="1" t="str">
        <f t="shared" si="23"/>
        <v/>
      </c>
      <c r="JA30" s="1" t="str">
        <f t="shared" si="23"/>
        <v/>
      </c>
      <c r="JB30" s="1" t="str">
        <f t="shared" si="23"/>
        <v/>
      </c>
      <c r="JC30" s="1" t="str">
        <f t="shared" si="23"/>
        <v/>
      </c>
      <c r="JD30" s="1" t="str">
        <f t="shared" si="23"/>
        <v/>
      </c>
      <c r="JE30" s="1" t="str">
        <f t="shared" si="23"/>
        <v/>
      </c>
      <c r="JF30" s="1" t="str">
        <f t="shared" si="23"/>
        <v/>
      </c>
      <c r="JG30" s="1" t="str">
        <f t="shared" si="23"/>
        <v/>
      </c>
      <c r="JH30" s="1" t="str">
        <f t="shared" si="23"/>
        <v/>
      </c>
      <c r="JI30" s="1" t="str">
        <f t="shared" si="23"/>
        <v/>
      </c>
      <c r="JJ30" s="1" t="str">
        <f t="shared" si="23"/>
        <v/>
      </c>
      <c r="JK30" s="1" t="str">
        <f t="shared" si="23"/>
        <v/>
      </c>
      <c r="JL30" s="1" t="str">
        <f t="shared" si="24"/>
        <v/>
      </c>
      <c r="JM30" s="1" t="str">
        <f t="shared" si="12"/>
        <v/>
      </c>
      <c r="JN30" s="1" t="str">
        <f t="shared" si="12"/>
        <v/>
      </c>
      <c r="JO30" s="1" t="str">
        <f t="shared" si="12"/>
        <v/>
      </c>
    </row>
    <row r="31" spans="1:275" ht="14.5" x14ac:dyDescent="0.35">
      <c r="A31" s="59">
        <f>IF('Data input'!A31&lt;&gt;"",'Data input'!A31,"")</f>
        <v>29</v>
      </c>
      <c r="B31" s="60" t="str">
        <f>IF('Data input'!B31&lt;&gt;"",'Data input'!B31,"")</f>
        <v>Nevada</v>
      </c>
      <c r="C31" s="19">
        <f>IF('Data input'!C31="","",4*('Data input'!C31-'Data input'!C$108)/('Data input'!C$109-'Data input'!C$108)+1)</f>
        <v>4.8636441678973181</v>
      </c>
      <c r="D31" s="19" t="str">
        <f>IF('Data input'!D31="","",4*('Data input'!D31-'Data input'!D$108)/('Data input'!D$109-'Data input'!D$108)+1)</f>
        <v/>
      </c>
      <c r="E31" s="19" t="str">
        <f>IF('Data input'!E31="","",4*('Data input'!E31-'Data input'!E$108)/('Data input'!E$109-'Data input'!E$108)+1)</f>
        <v/>
      </c>
      <c r="F31" s="19" t="str">
        <f>IF('Data input'!F31="","",4*('Data input'!F31-'Data input'!F$108)/('Data input'!F$109-'Data input'!F$108)+1)</f>
        <v/>
      </c>
      <c r="G31" s="19" t="str">
        <f>IF('Data input'!G31="","",4*('Data input'!G31-'Data input'!G$108)/('Data input'!G$109-'Data input'!G$108)+1)</f>
        <v/>
      </c>
      <c r="H31" s="61">
        <f>IF('Data input'!H31="","",4*('Data input'!H31-'Data input'!H$108)/('Data input'!H$109-'Data input'!H$108)+1)</f>
        <v>1.326364855231374</v>
      </c>
      <c r="I31" s="19">
        <f>IF('Data input'!I31="","",4*('Data input'!I31-'Data input'!I$108)/('Data input'!I$109-'Data input'!I$108)+1)</f>
        <v>1.0469580368810802</v>
      </c>
      <c r="J31" s="19" t="str">
        <f>IF('Data input'!J31="","",4*('Data input'!J31-'Data input'!J$108)/('Data input'!J$109-'Data input'!J$108)+1)</f>
        <v/>
      </c>
      <c r="K31" s="19" t="str">
        <f>IF('Data input'!K31="","",4*('Data input'!K31-'Data input'!K$108)/('Data input'!K$109-'Data input'!K$108)+1)</f>
        <v/>
      </c>
      <c r="L31" s="19" t="str">
        <f>IF('Data input'!L31="","",4*('Data input'!L31-'Data input'!L$108)/('Data input'!L$109-'Data input'!L$108)+1)</f>
        <v/>
      </c>
      <c r="M31" s="19">
        <f>IF('Data input'!M31="","",4*('Data input'!M31-'Data input'!M$108)/('Data input'!M$109-'Data input'!M$108)+1)</f>
        <v>2.9789904618139573</v>
      </c>
      <c r="N31" s="16" t="str">
        <f>IF('Data input'!N31="","",4*('Data input'!N31-'Data input'!N$108)/('Data input'!N$109-'Data input'!N$108)+1)</f>
        <v/>
      </c>
      <c r="O31" s="19" t="str">
        <f>IF('Data input'!O31="","",4*('Data input'!O31-'Data input'!O$108)/('Data input'!O$109-'Data input'!O$108)+1)</f>
        <v/>
      </c>
      <c r="P31" s="19" t="str">
        <f>IF('Data input'!P31="","",4*('Data input'!P31-'Data input'!P$108)/('Data input'!P$109-'Data input'!P$108)+1)</f>
        <v/>
      </c>
      <c r="Q31" s="19" t="str">
        <f>IF('Data input'!Q31="","",4*('Data input'!Q31-'Data input'!Q$108)/('Data input'!Q$109-'Data input'!Q$108)+1)</f>
        <v/>
      </c>
      <c r="R31" s="19" t="str">
        <f>IF('Data input'!R31="","",4*('Data input'!R31-'Data input'!R$108)/('Data input'!R$109-'Data input'!R$108)+1)</f>
        <v/>
      </c>
      <c r="S31" s="16" t="str">
        <f>IF('Data input'!S31="","",4*('Data input'!S31-'Data input'!S$108)/('Data input'!S$109-'Data input'!S$108)+1)</f>
        <v/>
      </c>
      <c r="T31" s="19" t="str">
        <f>IF('Data input'!T31="","",4*('Data input'!T31-'Data input'!T$108)/('Data input'!T$109-'Data input'!T$108)+1)</f>
        <v/>
      </c>
      <c r="U31" s="19" t="str">
        <f>IF('Data input'!U31="","",4*('Data input'!U31-'Data input'!U$108)/('Data input'!U$109-'Data input'!U$108)+1)</f>
        <v/>
      </c>
      <c r="V31" s="19" t="str">
        <f>IF('Data input'!V31="","",4*('Data input'!V31-'Data input'!V$108)/('Data input'!V$109-'Data input'!V$108)+1)</f>
        <v/>
      </c>
      <c r="W31" s="16" t="str">
        <f>IF('Data input'!W31="","",4*('Data input'!W31-'Data input'!W$108)/('Data input'!W$109-'Data input'!W$108)+1)</f>
        <v/>
      </c>
      <c r="X31" s="16" t="str">
        <f>IF('Data input'!X31="","",4*('Data input'!X31-'Data input'!X$108)/('Data input'!X$109-'Data input'!X$108)+1)</f>
        <v/>
      </c>
      <c r="Y31" s="16" t="str">
        <f>IF('Data input'!Y31="","",4*('Data input'!Y31-'Data input'!Y$108)/('Data input'!Y$109-'Data input'!Y$108)+1)</f>
        <v/>
      </c>
      <c r="Z31" s="16" t="str">
        <f>IF('Data input'!Z31="","",4*('Data input'!Z31-'Data input'!Z$108)/('Data input'!Z$109-'Data input'!Z$108)+1)</f>
        <v/>
      </c>
      <c r="AA31" s="62" t="str">
        <f>IF('Data input'!AA31="","",4*('Data input'!AA31-'Data input'!AA$108)/('Data input'!AA$109-'Data input'!AA$108)+1)</f>
        <v/>
      </c>
      <c r="AB31" s="78"/>
      <c r="AC31" s="79">
        <v>0</v>
      </c>
      <c r="AD31" s="80" t="e">
        <f t="shared" si="13"/>
        <v>#DIV/0!</v>
      </c>
      <c r="AE31" s="4"/>
      <c r="AF31" s="59">
        <f t="shared" si="14"/>
        <v>29</v>
      </c>
      <c r="AG31" s="60" t="str">
        <f t="shared" si="14"/>
        <v>Nevada</v>
      </c>
      <c r="AH31">
        <v>0</v>
      </c>
      <c r="AI31" t="s">
        <v>69</v>
      </c>
      <c r="AJ31" t="s">
        <v>69</v>
      </c>
      <c r="AK31" t="s">
        <v>69</v>
      </c>
      <c r="AL31" t="s">
        <v>69</v>
      </c>
      <c r="AM31">
        <v>4.7184478546569143E-16</v>
      </c>
      <c r="AN31">
        <v>0</v>
      </c>
      <c r="AO31" t="s">
        <v>69</v>
      </c>
      <c r="AP31" t="s">
        <v>69</v>
      </c>
      <c r="AQ31" t="s">
        <v>69</v>
      </c>
      <c r="AR31">
        <v>1</v>
      </c>
      <c r="AS31" s="71">
        <f t="shared" si="15"/>
        <v>4.8636441678973181</v>
      </c>
      <c r="AT31" s="71" t="str">
        <f t="shared" si="15"/>
        <v/>
      </c>
      <c r="AU31" s="71" t="str">
        <f t="shared" si="15"/>
        <v/>
      </c>
      <c r="AV31" s="71" t="str">
        <f t="shared" si="15"/>
        <v/>
      </c>
      <c r="AW31" s="71" t="str">
        <f t="shared" si="15"/>
        <v/>
      </c>
      <c r="AX31" s="71">
        <f t="shared" si="16"/>
        <v>1.3263648552313736</v>
      </c>
      <c r="AY31" s="71">
        <f t="shared" si="16"/>
        <v>1.0469580368810802</v>
      </c>
      <c r="AZ31" s="71" t="str">
        <f t="shared" si="16"/>
        <v/>
      </c>
      <c r="BA31" s="71" t="str">
        <f t="shared" si="16"/>
        <v/>
      </c>
      <c r="BB31" s="71" t="str">
        <f t="shared" si="16"/>
        <v/>
      </c>
      <c r="BC31" s="18">
        <f>IF(C31&lt;&gt;"",(('Data input'!C$109-'Data input'!C$108)*(AS31-1)/4)+'Data input'!C$108,"")</f>
        <v>0.99134198676277885</v>
      </c>
      <c r="BD31" s="18" t="str">
        <f>IF(D31&lt;&gt;"",(('Data input'!D$109-'Data input'!D$108)*(AT31-1)/4)+'Data input'!D$108,"")</f>
        <v/>
      </c>
      <c r="BE31" s="18" t="str">
        <f>IF(E31&lt;&gt;"",(('Data input'!E$109-'Data input'!E$108)*(AU31-1)/4)+'Data input'!E$108,"")</f>
        <v/>
      </c>
      <c r="BF31" s="18" t="str">
        <f>IF(F31&lt;&gt;"",(('Data input'!F$109-'Data input'!F$108)*(AV31-1)/4)+'Data input'!F$108,"")</f>
        <v/>
      </c>
      <c r="BG31" s="18" t="str">
        <f>IF(G31&lt;&gt;"",(('Data input'!G$109-'Data input'!G$108)*(AW31-1)/4)+'Data input'!G$108,"")</f>
        <v/>
      </c>
      <c r="BH31" s="19">
        <f>IF(H31&lt;&gt;"",(('Data input'!H$109-'Data input'!H$108)*(AX31-1)/4)+'Data input'!H$108,"")</f>
        <v>7.4032612885176032</v>
      </c>
      <c r="BI31" s="18">
        <f>IF(I31&lt;&gt;"",(('Data input'!I$109-'Data input'!I$108)*(AY31-1)/4)+'Data input'!I$108,"")</f>
        <v>2.0618556701030907E-3</v>
      </c>
      <c r="BJ31" s="19" t="str">
        <f>IF(J31&lt;&gt;"",(('Data input'!J$109-'Data input'!J$108)*(AZ31-1)/4)+'Data input'!J$108,"")</f>
        <v/>
      </c>
      <c r="BK31" s="19" t="str">
        <f>IF(K31&lt;&gt;"",(('Data input'!K$109-'Data input'!K$108)*(BA31-1)/4)+'Data input'!K$108,"")</f>
        <v/>
      </c>
      <c r="BL31" s="19" t="str">
        <f>IF(L31&lt;&gt;"",(('Data input'!L$109-'Data input'!L$108)*(BB31-1)/4)+'Data input'!L$108,"")</f>
        <v/>
      </c>
      <c r="BM31" s="18">
        <f>IF(C31&lt;&gt;"",BC31-'Data input'!C31,"")</f>
        <v>0</v>
      </c>
      <c r="BN31" s="18" t="str">
        <f>IF(D31&lt;&gt;"",BD31-'Data input'!D31,"")</f>
        <v/>
      </c>
      <c r="BO31" s="18" t="str">
        <f>IF(E31&lt;&gt;"",BE31-'Data input'!E31,"")</f>
        <v/>
      </c>
      <c r="BP31" s="18" t="str">
        <f>IF(F31&lt;&gt;"",BF31-'Data input'!F31,"")</f>
        <v/>
      </c>
      <c r="BQ31" s="18" t="str">
        <f>IF(G31&lt;&gt;"",BG31-'Data input'!G31,"")</f>
        <v/>
      </c>
      <c r="BR31" s="19">
        <f>IF(H31&lt;&gt;"",BH31-'Data input'!H31,"")</f>
        <v>-7.1054273576010019E-15</v>
      </c>
      <c r="BS31" s="18">
        <f>IF(I31&lt;&gt;"",BI31-'Data input'!I31,"")</f>
        <v>-2.1684043449710089E-18</v>
      </c>
      <c r="BT31" s="18" t="str">
        <f>IF(J31&lt;&gt;"",BJ31-'Data input'!J31,"")</f>
        <v/>
      </c>
      <c r="BU31" s="18" t="str">
        <f>IF(K31&lt;&gt;"",BK31-'Data input'!K31,"")</f>
        <v/>
      </c>
      <c r="BV31" s="72" t="str">
        <f>IF(L31&lt;&gt;"",BL31-'Data input'!L31,"")</f>
        <v/>
      </c>
      <c r="BW31" s="121" t="str">
        <f t="shared" si="17"/>
        <v xml:space="preserve">Nevada; </v>
      </c>
      <c r="BX31" s="1">
        <v>0</v>
      </c>
      <c r="BY31" s="1">
        <v>0</v>
      </c>
      <c r="BZ31" s="1">
        <v>0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  <c r="CK31" s="1">
        <v>0</v>
      </c>
      <c r="CL31" s="1">
        <v>0</v>
      </c>
      <c r="CM31" s="1">
        <v>0</v>
      </c>
      <c r="CN31" s="1">
        <v>0</v>
      </c>
      <c r="CO31" s="1">
        <v>0</v>
      </c>
      <c r="CP31" s="1">
        <v>0</v>
      </c>
      <c r="CQ31" s="1">
        <v>0</v>
      </c>
      <c r="CR31" s="1">
        <v>0</v>
      </c>
      <c r="CS31" s="1">
        <v>0</v>
      </c>
      <c r="CT31" s="1">
        <v>0</v>
      </c>
      <c r="CU31" s="1">
        <v>0</v>
      </c>
      <c r="CV31" s="1">
        <v>0</v>
      </c>
      <c r="CW31" s="1">
        <v>0</v>
      </c>
      <c r="CX31" s="1">
        <v>0</v>
      </c>
      <c r="CY31" s="1">
        <v>0</v>
      </c>
      <c r="CZ31" s="1">
        <v>0.99999999999999711</v>
      </c>
      <c r="DA31" s="1">
        <v>0</v>
      </c>
      <c r="DB31" s="1">
        <v>0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  <c r="DH31" s="1">
        <v>0</v>
      </c>
      <c r="DI31" s="1">
        <v>0</v>
      </c>
      <c r="DJ31" s="1">
        <v>0</v>
      </c>
      <c r="DK31" s="1">
        <v>0</v>
      </c>
      <c r="DL31" s="1">
        <v>0</v>
      </c>
      <c r="DM31" s="1">
        <v>0</v>
      </c>
      <c r="DN31" s="1">
        <v>2.3314683517128283E-15</v>
      </c>
      <c r="DO31" s="1">
        <v>7.63278329429795E-17</v>
      </c>
      <c r="DP31" s="1">
        <v>0</v>
      </c>
      <c r="DQ31" s="1">
        <v>0</v>
      </c>
      <c r="DR31" s="1">
        <v>0</v>
      </c>
      <c r="DS31" s="1">
        <v>0</v>
      </c>
      <c r="DT31" s="1">
        <v>0</v>
      </c>
      <c r="DU31" s="1">
        <v>0</v>
      </c>
      <c r="DV31" s="1">
        <v>0</v>
      </c>
      <c r="DW31" s="1">
        <v>0</v>
      </c>
      <c r="DX31" s="1">
        <v>0</v>
      </c>
      <c r="DY31" s="1">
        <v>0</v>
      </c>
      <c r="DZ31" s="1">
        <v>0</v>
      </c>
      <c r="FT31" s="1" t="str">
        <f t="shared" si="18"/>
        <v/>
      </c>
      <c r="FU31" s="1" t="str">
        <f t="shared" si="18"/>
        <v/>
      </c>
      <c r="FV31" s="1" t="str">
        <f t="shared" si="18"/>
        <v/>
      </c>
      <c r="FW31" s="1" t="str">
        <f t="shared" si="18"/>
        <v/>
      </c>
      <c r="FX31" s="1" t="str">
        <f t="shared" si="18"/>
        <v/>
      </c>
      <c r="FY31" s="1" t="str">
        <f t="shared" si="18"/>
        <v/>
      </c>
      <c r="FZ31" s="1" t="str">
        <f t="shared" si="18"/>
        <v/>
      </c>
      <c r="GA31" s="1" t="str">
        <f t="shared" si="18"/>
        <v/>
      </c>
      <c r="GB31" s="1" t="str">
        <f t="shared" si="18"/>
        <v/>
      </c>
      <c r="GC31" s="1" t="str">
        <f t="shared" si="18"/>
        <v/>
      </c>
      <c r="GD31" s="1" t="str">
        <f t="shared" si="18"/>
        <v/>
      </c>
      <c r="GE31" s="1" t="str">
        <f t="shared" si="18"/>
        <v/>
      </c>
      <c r="GF31" s="1" t="str">
        <f t="shared" si="18"/>
        <v/>
      </c>
      <c r="GG31" s="1" t="str">
        <f t="shared" si="18"/>
        <v/>
      </c>
      <c r="GH31" s="1" t="str">
        <f t="shared" si="18"/>
        <v/>
      </c>
      <c r="GI31" s="1" t="str">
        <f t="shared" si="18"/>
        <v/>
      </c>
      <c r="GJ31" s="1" t="str">
        <f t="shared" si="19"/>
        <v/>
      </c>
      <c r="GK31" s="1" t="str">
        <f t="shared" si="19"/>
        <v/>
      </c>
      <c r="GL31" s="1" t="str">
        <f t="shared" si="19"/>
        <v/>
      </c>
      <c r="GM31" s="1" t="str">
        <f t="shared" si="19"/>
        <v/>
      </c>
      <c r="GN31" s="1" t="str">
        <f t="shared" si="19"/>
        <v/>
      </c>
      <c r="GO31" s="1" t="str">
        <f t="shared" si="19"/>
        <v/>
      </c>
      <c r="GP31" s="1" t="str">
        <f t="shared" si="19"/>
        <v/>
      </c>
      <c r="GQ31" s="1" t="str">
        <f t="shared" si="19"/>
        <v/>
      </c>
      <c r="GR31" s="1" t="str">
        <f t="shared" si="19"/>
        <v/>
      </c>
      <c r="GS31" s="1" t="str">
        <f t="shared" si="19"/>
        <v/>
      </c>
      <c r="GT31" s="1" t="str">
        <f t="shared" si="19"/>
        <v/>
      </c>
      <c r="GU31" s="1" t="str">
        <f t="shared" si="19"/>
        <v/>
      </c>
      <c r="GV31" s="1" t="str">
        <f t="shared" si="19"/>
        <v xml:space="preserve">Nevada; </v>
      </c>
      <c r="GW31" s="1" t="str">
        <f t="shared" si="19"/>
        <v/>
      </c>
      <c r="GX31" s="1" t="str">
        <f t="shared" si="19"/>
        <v/>
      </c>
      <c r="GY31" s="1" t="str">
        <f t="shared" si="19"/>
        <v/>
      </c>
      <c r="GZ31" s="1" t="str">
        <f t="shared" si="20"/>
        <v/>
      </c>
      <c r="HA31" s="1" t="str">
        <f t="shared" si="20"/>
        <v/>
      </c>
      <c r="HB31" s="1" t="str">
        <f t="shared" si="20"/>
        <v/>
      </c>
      <c r="HC31" s="1" t="str">
        <f t="shared" si="20"/>
        <v/>
      </c>
      <c r="HD31" s="1" t="str">
        <f t="shared" si="20"/>
        <v/>
      </c>
      <c r="HE31" s="1" t="str">
        <f t="shared" si="20"/>
        <v/>
      </c>
      <c r="HF31" s="1" t="str">
        <f t="shared" si="20"/>
        <v/>
      </c>
      <c r="HG31" s="1" t="str">
        <f t="shared" si="20"/>
        <v/>
      </c>
      <c r="HH31" s="1" t="str">
        <f t="shared" si="20"/>
        <v/>
      </c>
      <c r="HI31" s="1" t="str">
        <f t="shared" si="20"/>
        <v/>
      </c>
      <c r="HJ31" s="1" t="str">
        <f t="shared" si="20"/>
        <v/>
      </c>
      <c r="HK31" s="1" t="str">
        <f t="shared" si="20"/>
        <v/>
      </c>
      <c r="HL31" s="1" t="str">
        <f t="shared" si="20"/>
        <v/>
      </c>
      <c r="HM31" s="1" t="str">
        <f t="shared" si="20"/>
        <v/>
      </c>
      <c r="HN31" s="1" t="str">
        <f t="shared" si="20"/>
        <v/>
      </c>
      <c r="HO31" s="1" t="str">
        <f t="shared" si="20"/>
        <v/>
      </c>
      <c r="HP31" s="1" t="str">
        <f t="shared" si="21"/>
        <v/>
      </c>
      <c r="HQ31" s="1" t="str">
        <f t="shared" si="21"/>
        <v/>
      </c>
      <c r="HR31" s="1" t="str">
        <f t="shared" si="21"/>
        <v/>
      </c>
      <c r="HS31" s="1" t="str">
        <f t="shared" si="21"/>
        <v/>
      </c>
      <c r="HT31" s="1" t="str">
        <f t="shared" si="21"/>
        <v/>
      </c>
      <c r="HU31" s="1" t="str">
        <f t="shared" si="21"/>
        <v/>
      </c>
      <c r="HV31" s="1" t="str">
        <f t="shared" si="21"/>
        <v/>
      </c>
      <c r="HW31" s="1" t="str">
        <f t="shared" si="21"/>
        <v/>
      </c>
      <c r="HX31" s="1" t="str">
        <f t="shared" si="21"/>
        <v/>
      </c>
      <c r="HY31" s="1" t="str">
        <f t="shared" si="21"/>
        <v/>
      </c>
      <c r="HZ31" s="1" t="str">
        <f t="shared" si="21"/>
        <v/>
      </c>
      <c r="IA31" s="1" t="str">
        <f t="shared" si="21"/>
        <v/>
      </c>
      <c r="IB31" s="1" t="str">
        <f t="shared" si="21"/>
        <v/>
      </c>
      <c r="IC31" s="1" t="str">
        <f t="shared" si="21"/>
        <v/>
      </c>
      <c r="ID31" s="1" t="str">
        <f t="shared" si="21"/>
        <v/>
      </c>
      <c r="IE31" s="1" t="str">
        <f t="shared" si="21"/>
        <v/>
      </c>
      <c r="IF31" s="1" t="str">
        <f t="shared" si="22"/>
        <v/>
      </c>
      <c r="IG31" s="1" t="str">
        <f t="shared" si="22"/>
        <v/>
      </c>
      <c r="IH31" s="1" t="str">
        <f t="shared" si="22"/>
        <v/>
      </c>
      <c r="II31" s="1" t="str">
        <f t="shared" si="22"/>
        <v/>
      </c>
      <c r="IJ31" s="1" t="str">
        <f t="shared" si="22"/>
        <v/>
      </c>
      <c r="IK31" s="1" t="str">
        <f t="shared" si="22"/>
        <v/>
      </c>
      <c r="IL31" s="1" t="str">
        <f t="shared" si="22"/>
        <v/>
      </c>
      <c r="IM31" s="1" t="str">
        <f t="shared" si="22"/>
        <v/>
      </c>
      <c r="IN31" s="1" t="str">
        <f t="shared" si="22"/>
        <v/>
      </c>
      <c r="IO31" s="1" t="str">
        <f t="shared" si="22"/>
        <v/>
      </c>
      <c r="IP31" s="1" t="str">
        <f t="shared" si="22"/>
        <v/>
      </c>
      <c r="IQ31" s="1" t="str">
        <f t="shared" si="22"/>
        <v/>
      </c>
      <c r="IR31" s="1" t="str">
        <f t="shared" si="22"/>
        <v/>
      </c>
      <c r="IS31" s="1" t="str">
        <f t="shared" si="22"/>
        <v/>
      </c>
      <c r="IT31" s="1" t="str">
        <f t="shared" si="22"/>
        <v/>
      </c>
      <c r="IU31" s="1" t="str">
        <f t="shared" si="22"/>
        <v/>
      </c>
      <c r="IV31" s="1" t="str">
        <f t="shared" si="23"/>
        <v/>
      </c>
      <c r="IW31" s="1" t="str">
        <f t="shared" si="23"/>
        <v/>
      </c>
      <c r="IX31" s="1" t="str">
        <f t="shared" si="23"/>
        <v/>
      </c>
      <c r="IY31" s="1" t="str">
        <f t="shared" si="23"/>
        <v/>
      </c>
      <c r="IZ31" s="1" t="str">
        <f t="shared" si="23"/>
        <v/>
      </c>
      <c r="JA31" s="1" t="str">
        <f t="shared" si="23"/>
        <v/>
      </c>
      <c r="JB31" s="1" t="str">
        <f t="shared" si="23"/>
        <v/>
      </c>
      <c r="JC31" s="1" t="str">
        <f t="shared" si="23"/>
        <v/>
      </c>
      <c r="JD31" s="1" t="str">
        <f t="shared" si="23"/>
        <v/>
      </c>
      <c r="JE31" s="1" t="str">
        <f t="shared" si="23"/>
        <v/>
      </c>
      <c r="JF31" s="1" t="str">
        <f t="shared" si="23"/>
        <v/>
      </c>
      <c r="JG31" s="1" t="str">
        <f t="shared" si="23"/>
        <v/>
      </c>
      <c r="JH31" s="1" t="str">
        <f t="shared" si="23"/>
        <v/>
      </c>
      <c r="JI31" s="1" t="str">
        <f t="shared" si="23"/>
        <v/>
      </c>
      <c r="JJ31" s="1" t="str">
        <f t="shared" si="23"/>
        <v/>
      </c>
      <c r="JK31" s="1" t="str">
        <f t="shared" si="23"/>
        <v/>
      </c>
      <c r="JL31" s="1" t="str">
        <f t="shared" si="24"/>
        <v/>
      </c>
      <c r="JM31" s="1" t="str">
        <f t="shared" si="12"/>
        <v/>
      </c>
      <c r="JN31" s="1" t="str">
        <f t="shared" si="12"/>
        <v/>
      </c>
      <c r="JO31" s="1" t="str">
        <f t="shared" si="12"/>
        <v/>
      </c>
    </row>
    <row r="32" spans="1:275" ht="14.5" x14ac:dyDescent="0.35">
      <c r="A32" s="59">
        <f>IF('Data input'!A32&lt;&gt;"",'Data input'!A32,"")</f>
        <v>30</v>
      </c>
      <c r="B32" s="60" t="str">
        <f>IF('Data input'!B32&lt;&gt;"",'Data input'!B32,"")</f>
        <v>New Hampshire</v>
      </c>
      <c r="C32" s="19">
        <f>IF('Data input'!C32="","",4*('Data input'!C32-'Data input'!C$108)/('Data input'!C$109-'Data input'!C$108)+1)</f>
        <v>3.8518654785811308</v>
      </c>
      <c r="D32" s="19" t="str">
        <f>IF('Data input'!D32="","",4*('Data input'!D32-'Data input'!D$108)/('Data input'!D$109-'Data input'!D$108)+1)</f>
        <v/>
      </c>
      <c r="E32" s="19" t="str">
        <f>IF('Data input'!E32="","",4*('Data input'!E32-'Data input'!E$108)/('Data input'!E$109-'Data input'!E$108)+1)</f>
        <v/>
      </c>
      <c r="F32" s="19" t="str">
        <f>IF('Data input'!F32="","",4*('Data input'!F32-'Data input'!F$108)/('Data input'!F$109-'Data input'!F$108)+1)</f>
        <v/>
      </c>
      <c r="G32" s="19" t="str">
        <f>IF('Data input'!G32="","",4*('Data input'!G32-'Data input'!G$108)/('Data input'!G$109-'Data input'!G$108)+1)</f>
        <v/>
      </c>
      <c r="H32" s="61">
        <f>IF('Data input'!H32="","",4*('Data input'!H32-'Data input'!H$108)/('Data input'!H$109-'Data input'!H$108)+1)</f>
        <v>3.4913844259179605</v>
      </c>
      <c r="I32" s="19">
        <f>IF('Data input'!I32="","",4*('Data input'!I32-'Data input'!I$108)/('Data input'!I$109-'Data input'!I$108)+1)</f>
        <v>1</v>
      </c>
      <c r="J32" s="19" t="str">
        <f>IF('Data input'!J32="","",4*('Data input'!J32-'Data input'!J$108)/('Data input'!J$109-'Data input'!J$108)+1)</f>
        <v/>
      </c>
      <c r="K32" s="19" t="str">
        <f>IF('Data input'!K32="","",4*('Data input'!K32-'Data input'!K$108)/('Data input'!K$109-'Data input'!K$108)+1)</f>
        <v/>
      </c>
      <c r="L32" s="19" t="str">
        <f>IF('Data input'!L32="","",4*('Data input'!L32-'Data input'!L$108)/('Data input'!L$109-'Data input'!L$108)+1)</f>
        <v/>
      </c>
      <c r="M32" s="19">
        <f>IF('Data input'!M32="","",4*('Data input'!M32-'Data input'!M$108)/('Data input'!M$109-'Data input'!M$108)+1)</f>
        <v>2.2362162482148276</v>
      </c>
      <c r="N32" s="16" t="str">
        <f>IF('Data input'!N32="","",4*('Data input'!N32-'Data input'!N$108)/('Data input'!N$109-'Data input'!N$108)+1)</f>
        <v/>
      </c>
      <c r="O32" s="19" t="str">
        <f>IF('Data input'!O32="","",4*('Data input'!O32-'Data input'!O$108)/('Data input'!O$109-'Data input'!O$108)+1)</f>
        <v/>
      </c>
      <c r="P32" s="19" t="str">
        <f>IF('Data input'!P32="","",4*('Data input'!P32-'Data input'!P$108)/('Data input'!P$109-'Data input'!P$108)+1)</f>
        <v/>
      </c>
      <c r="Q32" s="19" t="str">
        <f>IF('Data input'!Q32="","",4*('Data input'!Q32-'Data input'!Q$108)/('Data input'!Q$109-'Data input'!Q$108)+1)</f>
        <v/>
      </c>
      <c r="R32" s="19" t="str">
        <f>IF('Data input'!R32="","",4*('Data input'!R32-'Data input'!R$108)/('Data input'!R$109-'Data input'!R$108)+1)</f>
        <v/>
      </c>
      <c r="S32" s="16" t="str">
        <f>IF('Data input'!S32="","",4*('Data input'!S32-'Data input'!S$108)/('Data input'!S$109-'Data input'!S$108)+1)</f>
        <v/>
      </c>
      <c r="T32" s="19" t="str">
        <f>IF('Data input'!T32="","",4*('Data input'!T32-'Data input'!T$108)/('Data input'!T$109-'Data input'!T$108)+1)</f>
        <v/>
      </c>
      <c r="U32" s="19" t="str">
        <f>IF('Data input'!U32="","",4*('Data input'!U32-'Data input'!U$108)/('Data input'!U$109-'Data input'!U$108)+1)</f>
        <v/>
      </c>
      <c r="V32" s="19" t="str">
        <f>IF('Data input'!V32="","",4*('Data input'!V32-'Data input'!V$108)/('Data input'!V$109-'Data input'!V$108)+1)</f>
        <v/>
      </c>
      <c r="W32" s="16" t="str">
        <f>IF('Data input'!W32="","",4*('Data input'!W32-'Data input'!W$108)/('Data input'!W$109-'Data input'!W$108)+1)</f>
        <v/>
      </c>
      <c r="X32" s="16" t="str">
        <f>IF('Data input'!X32="","",4*('Data input'!X32-'Data input'!X$108)/('Data input'!X$109-'Data input'!X$108)+1)</f>
        <v/>
      </c>
      <c r="Y32" s="16" t="str">
        <f>IF('Data input'!Y32="","",4*('Data input'!Y32-'Data input'!Y$108)/('Data input'!Y$109-'Data input'!Y$108)+1)</f>
        <v/>
      </c>
      <c r="Z32" s="16" t="str">
        <f>IF('Data input'!Z32="","",4*('Data input'!Z32-'Data input'!Z$108)/('Data input'!Z$109-'Data input'!Z$108)+1)</f>
        <v/>
      </c>
      <c r="AA32" s="62" t="str">
        <f>IF('Data input'!AA32="","",4*('Data input'!AA32-'Data input'!AA$108)/('Data input'!AA$109-'Data input'!AA$108)+1)</f>
        <v/>
      </c>
      <c r="AB32" s="78"/>
      <c r="AC32" s="79">
        <v>0</v>
      </c>
      <c r="AD32" s="80" t="e">
        <f t="shared" si="13"/>
        <v>#DIV/0!</v>
      </c>
      <c r="AE32" s="4"/>
      <c r="AF32" s="59">
        <f t="shared" si="14"/>
        <v>30</v>
      </c>
      <c r="AG32" s="60" t="str">
        <f t="shared" si="14"/>
        <v>New Hampshire</v>
      </c>
      <c r="AH32">
        <v>0.92006795563066612</v>
      </c>
      <c r="AI32" t="s">
        <v>69</v>
      </c>
      <c r="AJ32" t="s">
        <v>69</v>
      </c>
      <c r="AK32" t="s">
        <v>69</v>
      </c>
      <c r="AL32" t="s">
        <v>69</v>
      </c>
      <c r="AM32">
        <v>2.4913844259179618</v>
      </c>
      <c r="AN32">
        <v>0</v>
      </c>
      <c r="AO32" t="s">
        <v>69</v>
      </c>
      <c r="AP32" t="s">
        <v>69</v>
      </c>
      <c r="AQ32" t="s">
        <v>69</v>
      </c>
      <c r="AR32">
        <v>0.51732079998159519</v>
      </c>
      <c r="AS32" s="71">
        <f t="shared" si="15"/>
        <v>4.7719334342117969</v>
      </c>
      <c r="AT32" s="71" t="str">
        <f t="shared" si="15"/>
        <v/>
      </c>
      <c r="AU32" s="71" t="str">
        <f t="shared" si="15"/>
        <v/>
      </c>
      <c r="AV32" s="71" t="str">
        <f t="shared" si="15"/>
        <v/>
      </c>
      <c r="AW32" s="71" t="str">
        <f t="shared" si="15"/>
        <v/>
      </c>
      <c r="AX32" s="71">
        <f t="shared" si="16"/>
        <v>0.99999999999999867</v>
      </c>
      <c r="AY32" s="71">
        <f t="shared" si="16"/>
        <v>1</v>
      </c>
      <c r="AZ32" s="71" t="str">
        <f t="shared" si="16"/>
        <v/>
      </c>
      <c r="BA32" s="71" t="str">
        <f t="shared" si="16"/>
        <v/>
      </c>
      <c r="BB32" s="71" t="str">
        <f t="shared" si="16"/>
        <v/>
      </c>
      <c r="BC32" s="18">
        <f>IF(C32&lt;&gt;"",(('Data input'!C$109-'Data input'!C$108)*(AS32-1)/4)+'Data input'!C$108,"")</f>
        <v>0.98801222966115498</v>
      </c>
      <c r="BD32" s="18" t="str">
        <f>IF(D32&lt;&gt;"",(('Data input'!D$109-'Data input'!D$108)*(AT32-1)/4)+'Data input'!D$108,"")</f>
        <v/>
      </c>
      <c r="BE32" s="18" t="str">
        <f>IF(E32&lt;&gt;"",(('Data input'!E$109-'Data input'!E$108)*(AU32-1)/4)+'Data input'!E$108,"")</f>
        <v/>
      </c>
      <c r="BF32" s="18" t="str">
        <f>IF(F32&lt;&gt;"",(('Data input'!F$109-'Data input'!F$108)*(AV32-1)/4)+'Data input'!F$108,"")</f>
        <v/>
      </c>
      <c r="BG32" s="18" t="str">
        <f>IF(G32&lt;&gt;"",(('Data input'!G$109-'Data input'!G$108)*(AW32-1)/4)+'Data input'!G$108,"")</f>
        <v/>
      </c>
      <c r="BH32" s="19">
        <f>IF(H32&lt;&gt;"",(('Data input'!H$109-'Data input'!H$108)*(AX32-1)/4)+'Data input'!H$108,"")</f>
        <v>0.29574268608399812</v>
      </c>
      <c r="BI32" s="18">
        <f>IF(I32&lt;&gt;"",(('Data input'!I$109-'Data input'!I$108)*(AY32-1)/4)+'Data input'!I$108,"")</f>
        <v>0</v>
      </c>
      <c r="BJ32" s="19" t="str">
        <f>IF(J32&lt;&gt;"",(('Data input'!J$109-'Data input'!J$108)*(AZ32-1)/4)+'Data input'!J$108,"")</f>
        <v/>
      </c>
      <c r="BK32" s="19" t="str">
        <f>IF(K32&lt;&gt;"",(('Data input'!K$109-'Data input'!K$108)*(BA32-1)/4)+'Data input'!K$108,"")</f>
        <v/>
      </c>
      <c r="BL32" s="19" t="str">
        <f>IF(L32&lt;&gt;"",(('Data input'!L$109-'Data input'!L$108)*(BB32-1)/4)+'Data input'!L$108,"")</f>
        <v/>
      </c>
      <c r="BM32" s="18">
        <f>IF(C32&lt;&gt;"",BC32-'Data input'!C32,"")</f>
        <v>3.3405062702288935E-2</v>
      </c>
      <c r="BN32" s="18" t="str">
        <f>IF(D32&lt;&gt;"",BD32-'Data input'!D32,"")</f>
        <v/>
      </c>
      <c r="BO32" s="18" t="str">
        <f>IF(E32&lt;&gt;"",BE32-'Data input'!E32,"")</f>
        <v/>
      </c>
      <c r="BP32" s="18" t="str">
        <f>IF(F32&lt;&gt;"",BF32-'Data input'!F32,"")</f>
        <v/>
      </c>
      <c r="BQ32" s="18" t="str">
        <f>IF(G32&lt;&gt;"",BG32-'Data input'!G32,"")</f>
        <v/>
      </c>
      <c r="BR32" s="19">
        <f>IF(H32&lt;&gt;"",BH32-'Data input'!H32,"")</f>
        <v>-54.256948532254135</v>
      </c>
      <c r="BS32" s="18">
        <f>IF(I32&lt;&gt;"",BI32-'Data input'!I32,"")</f>
        <v>0</v>
      </c>
      <c r="BT32" s="18" t="str">
        <f>IF(J32&lt;&gt;"",BJ32-'Data input'!J32,"")</f>
        <v/>
      </c>
      <c r="BU32" s="18" t="str">
        <f>IF(K32&lt;&gt;"",BK32-'Data input'!K32,"")</f>
        <v/>
      </c>
      <c r="BV32" s="72" t="str">
        <f>IF(L32&lt;&gt;"",BL32-'Data input'!L32,"")</f>
        <v/>
      </c>
      <c r="BW32" s="121" t="str">
        <f t="shared" si="17"/>
        <v xml:space="preserve">Nevada; Texas; </v>
      </c>
      <c r="BX32" s="1">
        <v>0</v>
      </c>
      <c r="BY32" s="1">
        <v>0</v>
      </c>
      <c r="BZ32" s="1">
        <v>0</v>
      </c>
      <c r="CA32" s="1">
        <v>0</v>
      </c>
      <c r="CB32" s="1">
        <v>0</v>
      </c>
      <c r="CC32" s="1">
        <v>0</v>
      </c>
      <c r="CD32" s="1">
        <v>0</v>
      </c>
      <c r="CE32" s="1">
        <v>0</v>
      </c>
      <c r="CF32" s="1">
        <v>0</v>
      </c>
      <c r="CG32" s="1">
        <v>0</v>
      </c>
      <c r="CH32" s="1">
        <v>0</v>
      </c>
      <c r="CI32" s="1">
        <v>0</v>
      </c>
      <c r="CJ32" s="1">
        <v>0</v>
      </c>
      <c r="CK32" s="1">
        <v>0</v>
      </c>
      <c r="CL32" s="1">
        <v>0</v>
      </c>
      <c r="CM32" s="1">
        <v>0</v>
      </c>
      <c r="CN32" s="1">
        <v>0</v>
      </c>
      <c r="CO32" s="1">
        <v>0</v>
      </c>
      <c r="CP32" s="1">
        <v>0</v>
      </c>
      <c r="CQ32" s="1">
        <v>0</v>
      </c>
      <c r="CR32" s="1">
        <v>0</v>
      </c>
      <c r="CS32" s="1">
        <v>0</v>
      </c>
      <c r="CT32" s="1">
        <v>0</v>
      </c>
      <c r="CU32" s="1">
        <v>0</v>
      </c>
      <c r="CV32" s="1">
        <v>0</v>
      </c>
      <c r="CW32" s="1">
        <v>0</v>
      </c>
      <c r="CX32" s="1">
        <v>0</v>
      </c>
      <c r="CY32" s="1">
        <v>0</v>
      </c>
      <c r="CZ32" s="1">
        <v>1.4170902543588961E-2</v>
      </c>
      <c r="DA32" s="1">
        <v>0</v>
      </c>
      <c r="DB32" s="1">
        <v>0</v>
      </c>
      <c r="DC32" s="1">
        <v>0</v>
      </c>
      <c r="DD32" s="1">
        <v>0</v>
      </c>
      <c r="DE32" s="1">
        <v>0</v>
      </c>
      <c r="DF32" s="1">
        <v>0</v>
      </c>
      <c r="DG32" s="1">
        <v>0</v>
      </c>
      <c r="DH32" s="1">
        <v>0</v>
      </c>
      <c r="DI32" s="1">
        <v>0</v>
      </c>
      <c r="DJ32" s="1">
        <v>0</v>
      </c>
      <c r="DK32" s="1">
        <v>0</v>
      </c>
      <c r="DL32" s="1">
        <v>0</v>
      </c>
      <c r="DM32" s="1">
        <v>0</v>
      </c>
      <c r="DN32" s="1">
        <v>0.9812042128992704</v>
      </c>
      <c r="DO32" s="1">
        <v>0</v>
      </c>
      <c r="DP32" s="1">
        <v>0</v>
      </c>
      <c r="DQ32" s="1">
        <v>0</v>
      </c>
      <c r="DR32" s="1">
        <v>0</v>
      </c>
      <c r="DS32" s="1">
        <v>0</v>
      </c>
      <c r="DT32" s="1">
        <v>0</v>
      </c>
      <c r="DU32" s="1">
        <v>0</v>
      </c>
      <c r="DV32" s="1">
        <v>0</v>
      </c>
      <c r="DW32" s="1">
        <v>0</v>
      </c>
      <c r="DX32" s="1">
        <v>0</v>
      </c>
      <c r="DY32" s="1">
        <v>0</v>
      </c>
      <c r="DZ32" s="1">
        <v>0</v>
      </c>
      <c r="FT32" s="1" t="str">
        <f t="shared" si="18"/>
        <v/>
      </c>
      <c r="FU32" s="1" t="str">
        <f t="shared" si="18"/>
        <v/>
      </c>
      <c r="FV32" s="1" t="str">
        <f t="shared" si="18"/>
        <v/>
      </c>
      <c r="FW32" s="1" t="str">
        <f t="shared" si="18"/>
        <v/>
      </c>
      <c r="FX32" s="1" t="str">
        <f t="shared" si="18"/>
        <v/>
      </c>
      <c r="FY32" s="1" t="str">
        <f t="shared" si="18"/>
        <v/>
      </c>
      <c r="FZ32" s="1" t="str">
        <f t="shared" si="18"/>
        <v/>
      </c>
      <c r="GA32" s="1" t="str">
        <f t="shared" si="18"/>
        <v/>
      </c>
      <c r="GB32" s="1" t="str">
        <f t="shared" si="18"/>
        <v/>
      </c>
      <c r="GC32" s="1" t="str">
        <f t="shared" si="18"/>
        <v/>
      </c>
      <c r="GD32" s="1" t="str">
        <f t="shared" si="18"/>
        <v/>
      </c>
      <c r="GE32" s="1" t="str">
        <f t="shared" si="18"/>
        <v/>
      </c>
      <c r="GF32" s="1" t="str">
        <f t="shared" si="18"/>
        <v/>
      </c>
      <c r="GG32" s="1" t="str">
        <f t="shared" si="18"/>
        <v/>
      </c>
      <c r="GH32" s="1" t="str">
        <f t="shared" si="18"/>
        <v/>
      </c>
      <c r="GI32" s="1" t="str">
        <f t="shared" si="18"/>
        <v/>
      </c>
      <c r="GJ32" s="1" t="str">
        <f t="shared" si="19"/>
        <v/>
      </c>
      <c r="GK32" s="1" t="str">
        <f t="shared" si="19"/>
        <v/>
      </c>
      <c r="GL32" s="1" t="str">
        <f t="shared" si="19"/>
        <v/>
      </c>
      <c r="GM32" s="1" t="str">
        <f t="shared" si="19"/>
        <v/>
      </c>
      <c r="GN32" s="1" t="str">
        <f t="shared" si="19"/>
        <v/>
      </c>
      <c r="GO32" s="1" t="str">
        <f t="shared" si="19"/>
        <v/>
      </c>
      <c r="GP32" s="1" t="str">
        <f t="shared" si="19"/>
        <v/>
      </c>
      <c r="GQ32" s="1" t="str">
        <f t="shared" si="19"/>
        <v/>
      </c>
      <c r="GR32" s="1" t="str">
        <f t="shared" si="19"/>
        <v/>
      </c>
      <c r="GS32" s="1" t="str">
        <f t="shared" si="19"/>
        <v/>
      </c>
      <c r="GT32" s="1" t="str">
        <f t="shared" si="19"/>
        <v/>
      </c>
      <c r="GU32" s="1" t="str">
        <f t="shared" si="19"/>
        <v/>
      </c>
      <c r="GV32" s="1" t="str">
        <f t="shared" si="19"/>
        <v xml:space="preserve">Nevada; </v>
      </c>
      <c r="GW32" s="1" t="str">
        <f t="shared" si="19"/>
        <v/>
      </c>
      <c r="GX32" s="1" t="str">
        <f t="shared" si="19"/>
        <v/>
      </c>
      <c r="GY32" s="1" t="str">
        <f t="shared" si="19"/>
        <v/>
      </c>
      <c r="GZ32" s="1" t="str">
        <f t="shared" si="20"/>
        <v/>
      </c>
      <c r="HA32" s="1" t="str">
        <f t="shared" si="20"/>
        <v/>
      </c>
      <c r="HB32" s="1" t="str">
        <f t="shared" si="20"/>
        <v/>
      </c>
      <c r="HC32" s="1" t="str">
        <f t="shared" si="20"/>
        <v/>
      </c>
      <c r="HD32" s="1" t="str">
        <f t="shared" si="20"/>
        <v/>
      </c>
      <c r="HE32" s="1" t="str">
        <f t="shared" si="20"/>
        <v/>
      </c>
      <c r="HF32" s="1" t="str">
        <f t="shared" si="20"/>
        <v/>
      </c>
      <c r="HG32" s="1" t="str">
        <f t="shared" si="20"/>
        <v/>
      </c>
      <c r="HH32" s="1" t="str">
        <f t="shared" si="20"/>
        <v/>
      </c>
      <c r="HI32" s="1" t="str">
        <f t="shared" si="20"/>
        <v/>
      </c>
      <c r="HJ32" s="1" t="str">
        <f t="shared" si="20"/>
        <v xml:space="preserve">Texas; </v>
      </c>
      <c r="HK32" s="1" t="str">
        <f t="shared" si="20"/>
        <v/>
      </c>
      <c r="HL32" s="1" t="str">
        <f t="shared" si="20"/>
        <v/>
      </c>
      <c r="HM32" s="1" t="str">
        <f t="shared" si="20"/>
        <v/>
      </c>
      <c r="HN32" s="1" t="str">
        <f t="shared" si="20"/>
        <v/>
      </c>
      <c r="HO32" s="1" t="str">
        <f t="shared" si="20"/>
        <v/>
      </c>
      <c r="HP32" s="1" t="str">
        <f t="shared" si="21"/>
        <v/>
      </c>
      <c r="HQ32" s="1" t="str">
        <f t="shared" si="21"/>
        <v/>
      </c>
      <c r="HR32" s="1" t="str">
        <f t="shared" si="21"/>
        <v/>
      </c>
      <c r="HS32" s="1" t="str">
        <f t="shared" si="21"/>
        <v/>
      </c>
      <c r="HT32" s="1" t="str">
        <f t="shared" si="21"/>
        <v/>
      </c>
      <c r="HU32" s="1" t="str">
        <f t="shared" si="21"/>
        <v/>
      </c>
      <c r="HV32" s="1" t="str">
        <f t="shared" si="21"/>
        <v/>
      </c>
      <c r="HW32" s="1" t="str">
        <f t="shared" si="21"/>
        <v/>
      </c>
      <c r="HX32" s="1" t="str">
        <f t="shared" si="21"/>
        <v/>
      </c>
      <c r="HY32" s="1" t="str">
        <f t="shared" si="21"/>
        <v/>
      </c>
      <c r="HZ32" s="1" t="str">
        <f t="shared" si="21"/>
        <v/>
      </c>
      <c r="IA32" s="1" t="str">
        <f t="shared" si="21"/>
        <v/>
      </c>
      <c r="IB32" s="1" t="str">
        <f t="shared" si="21"/>
        <v/>
      </c>
      <c r="IC32" s="1" t="str">
        <f t="shared" si="21"/>
        <v/>
      </c>
      <c r="ID32" s="1" t="str">
        <f t="shared" si="21"/>
        <v/>
      </c>
      <c r="IE32" s="1" t="str">
        <f t="shared" si="21"/>
        <v/>
      </c>
      <c r="IF32" s="1" t="str">
        <f t="shared" si="22"/>
        <v/>
      </c>
      <c r="IG32" s="1" t="str">
        <f t="shared" si="22"/>
        <v/>
      </c>
      <c r="IH32" s="1" t="str">
        <f t="shared" si="22"/>
        <v/>
      </c>
      <c r="II32" s="1" t="str">
        <f t="shared" si="22"/>
        <v/>
      </c>
      <c r="IJ32" s="1" t="str">
        <f t="shared" si="22"/>
        <v/>
      </c>
      <c r="IK32" s="1" t="str">
        <f t="shared" si="22"/>
        <v/>
      </c>
      <c r="IL32" s="1" t="str">
        <f t="shared" si="22"/>
        <v/>
      </c>
      <c r="IM32" s="1" t="str">
        <f t="shared" si="22"/>
        <v/>
      </c>
      <c r="IN32" s="1" t="str">
        <f t="shared" si="22"/>
        <v/>
      </c>
      <c r="IO32" s="1" t="str">
        <f t="shared" si="22"/>
        <v/>
      </c>
      <c r="IP32" s="1" t="str">
        <f t="shared" si="22"/>
        <v/>
      </c>
      <c r="IQ32" s="1" t="str">
        <f t="shared" si="22"/>
        <v/>
      </c>
      <c r="IR32" s="1" t="str">
        <f t="shared" si="22"/>
        <v/>
      </c>
      <c r="IS32" s="1" t="str">
        <f t="shared" si="22"/>
        <v/>
      </c>
      <c r="IT32" s="1" t="str">
        <f t="shared" si="22"/>
        <v/>
      </c>
      <c r="IU32" s="1" t="str">
        <f t="shared" si="22"/>
        <v/>
      </c>
      <c r="IV32" s="1" t="str">
        <f t="shared" si="23"/>
        <v/>
      </c>
      <c r="IW32" s="1" t="str">
        <f t="shared" si="23"/>
        <v/>
      </c>
      <c r="IX32" s="1" t="str">
        <f t="shared" si="23"/>
        <v/>
      </c>
      <c r="IY32" s="1" t="str">
        <f t="shared" si="23"/>
        <v/>
      </c>
      <c r="IZ32" s="1" t="str">
        <f t="shared" si="23"/>
        <v/>
      </c>
      <c r="JA32" s="1" t="str">
        <f t="shared" si="23"/>
        <v/>
      </c>
      <c r="JB32" s="1" t="str">
        <f t="shared" si="23"/>
        <v/>
      </c>
      <c r="JC32" s="1" t="str">
        <f t="shared" si="23"/>
        <v/>
      </c>
      <c r="JD32" s="1" t="str">
        <f t="shared" si="23"/>
        <v/>
      </c>
      <c r="JE32" s="1" t="str">
        <f t="shared" si="23"/>
        <v/>
      </c>
      <c r="JF32" s="1" t="str">
        <f t="shared" si="23"/>
        <v/>
      </c>
      <c r="JG32" s="1" t="str">
        <f t="shared" si="23"/>
        <v/>
      </c>
      <c r="JH32" s="1" t="str">
        <f t="shared" si="23"/>
        <v/>
      </c>
      <c r="JI32" s="1" t="str">
        <f t="shared" si="23"/>
        <v/>
      </c>
      <c r="JJ32" s="1" t="str">
        <f t="shared" si="23"/>
        <v/>
      </c>
      <c r="JK32" s="1" t="str">
        <f t="shared" si="23"/>
        <v/>
      </c>
      <c r="JL32" s="1" t="str">
        <f t="shared" si="24"/>
        <v/>
      </c>
      <c r="JM32" s="1" t="str">
        <f t="shared" si="12"/>
        <v/>
      </c>
      <c r="JN32" s="1" t="str">
        <f t="shared" si="12"/>
        <v/>
      </c>
      <c r="JO32" s="1" t="str">
        <f t="shared" si="12"/>
        <v/>
      </c>
    </row>
    <row r="33" spans="1:275" ht="14.5" x14ac:dyDescent="0.35">
      <c r="A33" s="59">
        <f>IF('Data input'!A33&lt;&gt;"",'Data input'!A33,"")</f>
        <v>31</v>
      </c>
      <c r="B33" s="60" t="str">
        <f>IF('Data input'!B33&lt;&gt;"",'Data input'!B33,"")</f>
        <v>New Jersey</v>
      </c>
      <c r="C33" s="19">
        <f>IF('Data input'!C33="","",4*('Data input'!C33-'Data input'!C$108)/('Data input'!C$109-'Data input'!C$108)+1)</f>
        <v>2.4892543981258184</v>
      </c>
      <c r="D33" s="19" t="str">
        <f>IF('Data input'!D33="","",4*('Data input'!D33-'Data input'!D$108)/('Data input'!D$109-'Data input'!D$108)+1)</f>
        <v/>
      </c>
      <c r="E33" s="19" t="str">
        <f>IF('Data input'!E33="","",4*('Data input'!E33-'Data input'!E$108)/('Data input'!E$109-'Data input'!E$108)+1)</f>
        <v/>
      </c>
      <c r="F33" s="19" t="str">
        <f>IF('Data input'!F33="","",4*('Data input'!F33-'Data input'!F$108)/('Data input'!F$109-'Data input'!F$108)+1)</f>
        <v/>
      </c>
      <c r="G33" s="19" t="str">
        <f>IF('Data input'!G33="","",4*('Data input'!G33-'Data input'!G$108)/('Data input'!G$109-'Data input'!G$108)+1)</f>
        <v/>
      </c>
      <c r="H33" s="61">
        <f>IF('Data input'!H33="","",4*('Data input'!H33-'Data input'!H$108)/('Data input'!H$109-'Data input'!H$108)+1)</f>
        <v>1.4327555427622494</v>
      </c>
      <c r="I33" s="19">
        <f>IF('Data input'!I33="","",4*('Data input'!I33-'Data input'!I$108)/('Data input'!I$109-'Data input'!I$108)+1)</f>
        <v>1</v>
      </c>
      <c r="J33" s="19" t="str">
        <f>IF('Data input'!J33="","",4*('Data input'!J33-'Data input'!J$108)/('Data input'!J$109-'Data input'!J$108)+1)</f>
        <v/>
      </c>
      <c r="K33" s="19" t="str">
        <f>IF('Data input'!K33="","",4*('Data input'!K33-'Data input'!K$108)/('Data input'!K$109-'Data input'!K$108)+1)</f>
        <v/>
      </c>
      <c r="L33" s="19" t="str">
        <f>IF('Data input'!L33="","",4*('Data input'!L33-'Data input'!L$108)/('Data input'!L$109-'Data input'!L$108)+1)</f>
        <v/>
      </c>
      <c r="M33" s="19">
        <f>IF('Data input'!M33="","",4*('Data input'!M33-'Data input'!M$108)/('Data input'!M$109-'Data input'!M$108)+1)</f>
        <v>3.1638723629394483</v>
      </c>
      <c r="N33" s="16" t="str">
        <f>IF('Data input'!N33="","",4*('Data input'!N33-'Data input'!N$108)/('Data input'!N$109-'Data input'!N$108)+1)</f>
        <v/>
      </c>
      <c r="O33" s="19" t="str">
        <f>IF('Data input'!O33="","",4*('Data input'!O33-'Data input'!O$108)/('Data input'!O$109-'Data input'!O$108)+1)</f>
        <v/>
      </c>
      <c r="P33" s="19" t="str">
        <f>IF('Data input'!P33="","",4*('Data input'!P33-'Data input'!P$108)/('Data input'!P$109-'Data input'!P$108)+1)</f>
        <v/>
      </c>
      <c r="Q33" s="19" t="str">
        <f>IF('Data input'!Q33="","",4*('Data input'!Q33-'Data input'!Q$108)/('Data input'!Q$109-'Data input'!Q$108)+1)</f>
        <v/>
      </c>
      <c r="R33" s="19" t="str">
        <f>IF('Data input'!R33="","",4*('Data input'!R33-'Data input'!R$108)/('Data input'!R$109-'Data input'!R$108)+1)</f>
        <v/>
      </c>
      <c r="S33" s="16" t="str">
        <f>IF('Data input'!S33="","",4*('Data input'!S33-'Data input'!S$108)/('Data input'!S$109-'Data input'!S$108)+1)</f>
        <v/>
      </c>
      <c r="T33" s="19" t="str">
        <f>IF('Data input'!T33="","",4*('Data input'!T33-'Data input'!T$108)/('Data input'!T$109-'Data input'!T$108)+1)</f>
        <v/>
      </c>
      <c r="U33" s="19" t="str">
        <f>IF('Data input'!U33="","",4*('Data input'!U33-'Data input'!U$108)/('Data input'!U$109-'Data input'!U$108)+1)</f>
        <v/>
      </c>
      <c r="V33" s="19" t="str">
        <f>IF('Data input'!V33="","",4*('Data input'!V33-'Data input'!V$108)/('Data input'!V$109-'Data input'!V$108)+1)</f>
        <v/>
      </c>
      <c r="W33" s="16" t="str">
        <f>IF('Data input'!W33="","",4*('Data input'!W33-'Data input'!W$108)/('Data input'!W$109-'Data input'!W$108)+1)</f>
        <v/>
      </c>
      <c r="X33" s="16" t="str">
        <f>IF('Data input'!X33="","",4*('Data input'!X33-'Data input'!X$108)/('Data input'!X$109-'Data input'!X$108)+1)</f>
        <v/>
      </c>
      <c r="Y33" s="16" t="str">
        <f>IF('Data input'!Y33="","",4*('Data input'!Y33-'Data input'!Y$108)/('Data input'!Y$109-'Data input'!Y$108)+1)</f>
        <v/>
      </c>
      <c r="Z33" s="16" t="str">
        <f>IF('Data input'!Z33="","",4*('Data input'!Z33-'Data input'!Z$108)/('Data input'!Z$109-'Data input'!Z$108)+1)</f>
        <v/>
      </c>
      <c r="AA33" s="62" t="str">
        <f>IF('Data input'!AA33="","",4*('Data input'!AA33-'Data input'!AA$108)/('Data input'!AA$109-'Data input'!AA$108)+1)</f>
        <v/>
      </c>
      <c r="AB33" s="78"/>
      <c r="AC33" s="79">
        <v>0</v>
      </c>
      <c r="AD33" s="80" t="e">
        <f t="shared" si="13"/>
        <v>#DIV/0!</v>
      </c>
      <c r="AE33" s="4"/>
      <c r="AF33" s="59">
        <f t="shared" si="14"/>
        <v>31</v>
      </c>
      <c r="AG33" s="60" t="str">
        <f t="shared" si="14"/>
        <v>New Jersey</v>
      </c>
      <c r="AH33">
        <v>2.2487608824334675</v>
      </c>
      <c r="AI33" t="s">
        <v>69</v>
      </c>
      <c r="AJ33" t="s">
        <v>69</v>
      </c>
      <c r="AK33" t="s">
        <v>69</v>
      </c>
      <c r="AL33" t="s">
        <v>69</v>
      </c>
      <c r="AM33">
        <v>0.43275554276224937</v>
      </c>
      <c r="AN33">
        <v>0</v>
      </c>
      <c r="AO33" t="s">
        <v>69</v>
      </c>
      <c r="AP33" t="s">
        <v>69</v>
      </c>
      <c r="AQ33" t="s">
        <v>69</v>
      </c>
      <c r="AR33">
        <v>0.44285776005199473</v>
      </c>
      <c r="AS33" s="71">
        <f t="shared" si="15"/>
        <v>4.7380152805592859</v>
      </c>
      <c r="AT33" s="71" t="str">
        <f t="shared" si="15"/>
        <v/>
      </c>
      <c r="AU33" s="71" t="str">
        <f t="shared" si="15"/>
        <v/>
      </c>
      <c r="AV33" s="71" t="str">
        <f t="shared" si="15"/>
        <v/>
      </c>
      <c r="AW33" s="71" t="str">
        <f t="shared" si="15"/>
        <v/>
      </c>
      <c r="AX33" s="71">
        <f t="shared" si="16"/>
        <v>1</v>
      </c>
      <c r="AY33" s="71">
        <f t="shared" si="16"/>
        <v>1</v>
      </c>
      <c r="AZ33" s="71" t="str">
        <f t="shared" si="16"/>
        <v/>
      </c>
      <c r="BA33" s="71" t="str">
        <f t="shared" si="16"/>
        <v/>
      </c>
      <c r="BB33" s="71" t="str">
        <f t="shared" si="16"/>
        <v/>
      </c>
      <c r="BC33" s="18">
        <f>IF(C33&lt;&gt;"",(('Data input'!C$109-'Data input'!C$108)*(AS33-1)/4)+'Data input'!C$108,"")</f>
        <v>0.98678075752632632</v>
      </c>
      <c r="BD33" s="18" t="str">
        <f>IF(D33&lt;&gt;"",(('Data input'!D$109-'Data input'!D$108)*(AT33-1)/4)+'Data input'!D$108,"")</f>
        <v/>
      </c>
      <c r="BE33" s="18" t="str">
        <f>IF(E33&lt;&gt;"",(('Data input'!E$109-'Data input'!E$108)*(AU33-1)/4)+'Data input'!E$108,"")</f>
        <v/>
      </c>
      <c r="BF33" s="18" t="str">
        <f>IF(F33&lt;&gt;"",(('Data input'!F$109-'Data input'!F$108)*(AV33-1)/4)+'Data input'!F$108,"")</f>
        <v/>
      </c>
      <c r="BG33" s="18" t="str">
        <f>IF(G33&lt;&gt;"",(('Data input'!G$109-'Data input'!G$108)*(AW33-1)/4)+'Data input'!G$108,"")</f>
        <v/>
      </c>
      <c r="BH33" s="19">
        <f>IF(H33&lt;&gt;"",(('Data input'!H$109-'Data input'!H$108)*(AX33-1)/4)+'Data input'!H$108,"")</f>
        <v>0.29574268608402715</v>
      </c>
      <c r="BI33" s="18">
        <f>IF(I33&lt;&gt;"",(('Data input'!I$109-'Data input'!I$108)*(AY33-1)/4)+'Data input'!I$108,"")</f>
        <v>0</v>
      </c>
      <c r="BJ33" s="19" t="str">
        <f>IF(J33&lt;&gt;"",(('Data input'!J$109-'Data input'!J$108)*(AZ33-1)/4)+'Data input'!J$108,"")</f>
        <v/>
      </c>
      <c r="BK33" s="19" t="str">
        <f>IF(K33&lt;&gt;"",(('Data input'!K$109-'Data input'!K$108)*(BA33-1)/4)+'Data input'!K$108,"")</f>
        <v/>
      </c>
      <c r="BL33" s="19" t="str">
        <f>IF(L33&lt;&gt;"",(('Data input'!L$109-'Data input'!L$108)*(BB33-1)/4)+'Data input'!L$108,"")</f>
        <v/>
      </c>
      <c r="BM33" s="18">
        <f>IF(C33&lt;&gt;"",BC33-'Data input'!C33,"")</f>
        <v>8.1646141266438543E-2</v>
      </c>
      <c r="BN33" s="18" t="str">
        <f>IF(D33&lt;&gt;"",BD33-'Data input'!D33,"")</f>
        <v/>
      </c>
      <c r="BO33" s="18" t="str">
        <f>IF(E33&lt;&gt;"",BE33-'Data input'!E33,"")</f>
        <v/>
      </c>
      <c r="BP33" s="18" t="str">
        <f>IF(F33&lt;&gt;"",BF33-'Data input'!F33,"")</f>
        <v/>
      </c>
      <c r="BQ33" s="18" t="str">
        <f>IF(G33&lt;&gt;"",BG33-'Data input'!G33,"")</f>
        <v/>
      </c>
      <c r="BR33" s="19">
        <f>IF(H33&lt;&gt;"",BH33-'Data input'!H33,"")</f>
        <v>-9.4244769961776402</v>
      </c>
      <c r="BS33" s="18">
        <f>IF(I33&lt;&gt;"",BI33-'Data input'!I33,"")</f>
        <v>0</v>
      </c>
      <c r="BT33" s="18" t="str">
        <f>IF(J33&lt;&gt;"",BJ33-'Data input'!J33,"")</f>
        <v/>
      </c>
      <c r="BU33" s="18" t="str">
        <f>IF(K33&lt;&gt;"",BK33-'Data input'!K33,"")</f>
        <v/>
      </c>
      <c r="BV33" s="72" t="str">
        <f>IF(L33&lt;&gt;"",BL33-'Data input'!L33,"")</f>
        <v/>
      </c>
      <c r="BW33" s="121" t="str">
        <f t="shared" si="17"/>
        <v xml:space="preserve">Nevada; Texas; </v>
      </c>
      <c r="BX33" s="1">
        <v>0</v>
      </c>
      <c r="BY33" s="1">
        <v>0</v>
      </c>
      <c r="BZ33" s="1">
        <v>0</v>
      </c>
      <c r="CA33" s="1">
        <v>0</v>
      </c>
      <c r="CB33" s="1">
        <v>0</v>
      </c>
      <c r="CC33" s="1">
        <v>0</v>
      </c>
      <c r="CD33" s="1">
        <v>0</v>
      </c>
      <c r="CE33" s="1">
        <v>0</v>
      </c>
      <c r="CF33" s="1">
        <v>0</v>
      </c>
      <c r="CG33" s="1">
        <v>0</v>
      </c>
      <c r="CH33" s="1">
        <v>0</v>
      </c>
      <c r="CI33" s="1">
        <v>0</v>
      </c>
      <c r="CJ33" s="1">
        <v>0</v>
      </c>
      <c r="CK33" s="1">
        <v>0</v>
      </c>
      <c r="CL33" s="1">
        <v>0</v>
      </c>
      <c r="CM33" s="1">
        <v>0</v>
      </c>
      <c r="CN33" s="1">
        <v>0</v>
      </c>
      <c r="CO33" s="1">
        <v>0</v>
      </c>
      <c r="CP33" s="1">
        <v>0</v>
      </c>
      <c r="CQ33" s="1">
        <v>0</v>
      </c>
      <c r="CR33" s="1">
        <v>0</v>
      </c>
      <c r="CS33" s="1">
        <v>0</v>
      </c>
      <c r="CT33" s="1">
        <v>0</v>
      </c>
      <c r="CU33" s="1">
        <v>0</v>
      </c>
      <c r="CV33" s="1">
        <v>0</v>
      </c>
      <c r="CW33" s="1">
        <v>0</v>
      </c>
      <c r="CX33" s="1">
        <v>0</v>
      </c>
      <c r="CY33" s="1">
        <v>0</v>
      </c>
      <c r="CZ33" s="1">
        <v>1.417090254360993E-2</v>
      </c>
      <c r="DA33" s="1">
        <v>0</v>
      </c>
      <c r="DB33" s="1">
        <v>0</v>
      </c>
      <c r="DC33" s="1">
        <v>0</v>
      </c>
      <c r="DD33" s="1">
        <v>0</v>
      </c>
      <c r="DE33" s="1">
        <v>0</v>
      </c>
      <c r="DF33" s="1">
        <v>0</v>
      </c>
      <c r="DG33" s="1">
        <v>0</v>
      </c>
      <c r="DH33" s="1">
        <v>0</v>
      </c>
      <c r="DI33" s="1">
        <v>0</v>
      </c>
      <c r="DJ33" s="1">
        <v>0</v>
      </c>
      <c r="DK33" s="1">
        <v>0</v>
      </c>
      <c r="DL33" s="1">
        <v>0</v>
      </c>
      <c r="DM33" s="1">
        <v>0</v>
      </c>
      <c r="DN33" s="1">
        <v>0.98120421289924908</v>
      </c>
      <c r="DO33" s="1">
        <v>0</v>
      </c>
      <c r="DP33" s="1">
        <v>0</v>
      </c>
      <c r="DQ33" s="1">
        <v>0</v>
      </c>
      <c r="DR33" s="1">
        <v>0</v>
      </c>
      <c r="DS33" s="1">
        <v>0</v>
      </c>
      <c r="DT33" s="1">
        <v>0</v>
      </c>
      <c r="DU33" s="1">
        <v>0</v>
      </c>
      <c r="DV33" s="1">
        <v>0</v>
      </c>
      <c r="DW33" s="1">
        <v>0</v>
      </c>
      <c r="DX33" s="1">
        <v>0</v>
      </c>
      <c r="DY33" s="1">
        <v>0</v>
      </c>
      <c r="DZ33" s="1">
        <v>0</v>
      </c>
      <c r="FT33" s="1" t="str">
        <f t="shared" si="18"/>
        <v/>
      </c>
      <c r="FU33" s="1" t="str">
        <f t="shared" si="18"/>
        <v/>
      </c>
      <c r="FV33" s="1" t="str">
        <f t="shared" si="18"/>
        <v/>
      </c>
      <c r="FW33" s="1" t="str">
        <f t="shared" si="18"/>
        <v/>
      </c>
      <c r="FX33" s="1" t="str">
        <f t="shared" si="18"/>
        <v/>
      </c>
      <c r="FY33" s="1" t="str">
        <f t="shared" si="18"/>
        <v/>
      </c>
      <c r="FZ33" s="1" t="str">
        <f t="shared" si="18"/>
        <v/>
      </c>
      <c r="GA33" s="1" t="str">
        <f t="shared" si="18"/>
        <v/>
      </c>
      <c r="GB33" s="1" t="str">
        <f t="shared" si="18"/>
        <v/>
      </c>
      <c r="GC33" s="1" t="str">
        <f t="shared" si="18"/>
        <v/>
      </c>
      <c r="GD33" s="1" t="str">
        <f t="shared" si="18"/>
        <v/>
      </c>
      <c r="GE33" s="1" t="str">
        <f t="shared" si="18"/>
        <v/>
      </c>
      <c r="GF33" s="1" t="str">
        <f t="shared" si="18"/>
        <v/>
      </c>
      <c r="GG33" s="1" t="str">
        <f t="shared" si="18"/>
        <v/>
      </c>
      <c r="GH33" s="1" t="str">
        <f t="shared" si="18"/>
        <v/>
      </c>
      <c r="GI33" s="1" t="str">
        <f t="shared" si="18"/>
        <v/>
      </c>
      <c r="GJ33" s="1" t="str">
        <f t="shared" si="19"/>
        <v/>
      </c>
      <c r="GK33" s="1" t="str">
        <f t="shared" si="19"/>
        <v/>
      </c>
      <c r="GL33" s="1" t="str">
        <f t="shared" si="19"/>
        <v/>
      </c>
      <c r="GM33" s="1" t="str">
        <f t="shared" si="19"/>
        <v/>
      </c>
      <c r="GN33" s="1" t="str">
        <f t="shared" si="19"/>
        <v/>
      </c>
      <c r="GO33" s="1" t="str">
        <f t="shared" si="19"/>
        <v/>
      </c>
      <c r="GP33" s="1" t="str">
        <f t="shared" si="19"/>
        <v/>
      </c>
      <c r="GQ33" s="1" t="str">
        <f t="shared" si="19"/>
        <v/>
      </c>
      <c r="GR33" s="1" t="str">
        <f t="shared" si="19"/>
        <v/>
      </c>
      <c r="GS33" s="1" t="str">
        <f t="shared" si="19"/>
        <v/>
      </c>
      <c r="GT33" s="1" t="str">
        <f t="shared" si="19"/>
        <v/>
      </c>
      <c r="GU33" s="1" t="str">
        <f t="shared" si="19"/>
        <v/>
      </c>
      <c r="GV33" s="1" t="str">
        <f t="shared" si="19"/>
        <v xml:space="preserve">Nevada; </v>
      </c>
      <c r="GW33" s="1" t="str">
        <f t="shared" si="19"/>
        <v/>
      </c>
      <c r="GX33" s="1" t="str">
        <f t="shared" si="19"/>
        <v/>
      </c>
      <c r="GY33" s="1" t="str">
        <f t="shared" si="19"/>
        <v/>
      </c>
      <c r="GZ33" s="1" t="str">
        <f t="shared" si="20"/>
        <v/>
      </c>
      <c r="HA33" s="1" t="str">
        <f t="shared" si="20"/>
        <v/>
      </c>
      <c r="HB33" s="1" t="str">
        <f t="shared" si="20"/>
        <v/>
      </c>
      <c r="HC33" s="1" t="str">
        <f t="shared" si="20"/>
        <v/>
      </c>
      <c r="HD33" s="1" t="str">
        <f t="shared" si="20"/>
        <v/>
      </c>
      <c r="HE33" s="1" t="str">
        <f t="shared" si="20"/>
        <v/>
      </c>
      <c r="HF33" s="1" t="str">
        <f t="shared" si="20"/>
        <v/>
      </c>
      <c r="HG33" s="1" t="str">
        <f t="shared" si="20"/>
        <v/>
      </c>
      <c r="HH33" s="1" t="str">
        <f t="shared" si="20"/>
        <v/>
      </c>
      <c r="HI33" s="1" t="str">
        <f t="shared" si="20"/>
        <v/>
      </c>
      <c r="HJ33" s="1" t="str">
        <f t="shared" si="20"/>
        <v xml:space="preserve">Texas; </v>
      </c>
      <c r="HK33" s="1" t="str">
        <f t="shared" si="20"/>
        <v/>
      </c>
      <c r="HL33" s="1" t="str">
        <f t="shared" si="20"/>
        <v/>
      </c>
      <c r="HM33" s="1" t="str">
        <f t="shared" si="20"/>
        <v/>
      </c>
      <c r="HN33" s="1" t="str">
        <f t="shared" si="20"/>
        <v/>
      </c>
      <c r="HO33" s="1" t="str">
        <f t="shared" si="20"/>
        <v/>
      </c>
      <c r="HP33" s="1" t="str">
        <f t="shared" si="21"/>
        <v/>
      </c>
      <c r="HQ33" s="1" t="str">
        <f t="shared" si="21"/>
        <v/>
      </c>
      <c r="HR33" s="1" t="str">
        <f t="shared" si="21"/>
        <v/>
      </c>
      <c r="HS33" s="1" t="str">
        <f t="shared" si="21"/>
        <v/>
      </c>
      <c r="HT33" s="1" t="str">
        <f t="shared" si="21"/>
        <v/>
      </c>
      <c r="HU33" s="1" t="str">
        <f t="shared" si="21"/>
        <v/>
      </c>
      <c r="HV33" s="1" t="str">
        <f t="shared" si="21"/>
        <v/>
      </c>
      <c r="HW33" s="1" t="str">
        <f t="shared" si="21"/>
        <v/>
      </c>
      <c r="HX33" s="1" t="str">
        <f t="shared" si="21"/>
        <v/>
      </c>
      <c r="HY33" s="1" t="str">
        <f t="shared" si="21"/>
        <v/>
      </c>
      <c r="HZ33" s="1" t="str">
        <f t="shared" si="21"/>
        <v/>
      </c>
      <c r="IA33" s="1" t="str">
        <f t="shared" si="21"/>
        <v/>
      </c>
      <c r="IB33" s="1" t="str">
        <f t="shared" si="21"/>
        <v/>
      </c>
      <c r="IC33" s="1" t="str">
        <f t="shared" si="21"/>
        <v/>
      </c>
      <c r="ID33" s="1" t="str">
        <f t="shared" si="21"/>
        <v/>
      </c>
      <c r="IE33" s="1" t="str">
        <f t="shared" si="21"/>
        <v/>
      </c>
      <c r="IF33" s="1" t="str">
        <f t="shared" si="22"/>
        <v/>
      </c>
      <c r="IG33" s="1" t="str">
        <f t="shared" si="22"/>
        <v/>
      </c>
      <c r="IH33" s="1" t="str">
        <f t="shared" si="22"/>
        <v/>
      </c>
      <c r="II33" s="1" t="str">
        <f t="shared" si="22"/>
        <v/>
      </c>
      <c r="IJ33" s="1" t="str">
        <f t="shared" si="22"/>
        <v/>
      </c>
      <c r="IK33" s="1" t="str">
        <f t="shared" si="22"/>
        <v/>
      </c>
      <c r="IL33" s="1" t="str">
        <f t="shared" si="22"/>
        <v/>
      </c>
      <c r="IM33" s="1" t="str">
        <f t="shared" si="22"/>
        <v/>
      </c>
      <c r="IN33" s="1" t="str">
        <f t="shared" si="22"/>
        <v/>
      </c>
      <c r="IO33" s="1" t="str">
        <f t="shared" si="22"/>
        <v/>
      </c>
      <c r="IP33" s="1" t="str">
        <f t="shared" si="22"/>
        <v/>
      </c>
      <c r="IQ33" s="1" t="str">
        <f t="shared" si="22"/>
        <v/>
      </c>
      <c r="IR33" s="1" t="str">
        <f t="shared" si="22"/>
        <v/>
      </c>
      <c r="IS33" s="1" t="str">
        <f t="shared" si="22"/>
        <v/>
      </c>
      <c r="IT33" s="1" t="str">
        <f t="shared" si="22"/>
        <v/>
      </c>
      <c r="IU33" s="1" t="str">
        <f t="shared" si="22"/>
        <v/>
      </c>
      <c r="IV33" s="1" t="str">
        <f t="shared" si="23"/>
        <v/>
      </c>
      <c r="IW33" s="1" t="str">
        <f t="shared" si="23"/>
        <v/>
      </c>
      <c r="IX33" s="1" t="str">
        <f t="shared" si="23"/>
        <v/>
      </c>
      <c r="IY33" s="1" t="str">
        <f t="shared" si="23"/>
        <v/>
      </c>
      <c r="IZ33" s="1" t="str">
        <f t="shared" si="23"/>
        <v/>
      </c>
      <c r="JA33" s="1" t="str">
        <f t="shared" si="23"/>
        <v/>
      </c>
      <c r="JB33" s="1" t="str">
        <f t="shared" si="23"/>
        <v/>
      </c>
      <c r="JC33" s="1" t="str">
        <f t="shared" si="23"/>
        <v/>
      </c>
      <c r="JD33" s="1" t="str">
        <f t="shared" si="23"/>
        <v/>
      </c>
      <c r="JE33" s="1" t="str">
        <f t="shared" si="23"/>
        <v/>
      </c>
      <c r="JF33" s="1" t="str">
        <f t="shared" si="23"/>
        <v/>
      </c>
      <c r="JG33" s="1" t="str">
        <f t="shared" si="23"/>
        <v/>
      </c>
      <c r="JH33" s="1" t="str">
        <f t="shared" si="23"/>
        <v/>
      </c>
      <c r="JI33" s="1" t="str">
        <f t="shared" si="23"/>
        <v/>
      </c>
      <c r="JJ33" s="1" t="str">
        <f t="shared" si="23"/>
        <v/>
      </c>
      <c r="JK33" s="1" t="str">
        <f t="shared" si="23"/>
        <v/>
      </c>
      <c r="JL33" s="1" t="str">
        <f t="shared" si="24"/>
        <v/>
      </c>
      <c r="JM33" s="1" t="str">
        <f t="shared" si="12"/>
        <v/>
      </c>
      <c r="JN33" s="1" t="str">
        <f t="shared" si="12"/>
        <v/>
      </c>
      <c r="JO33" s="1" t="str">
        <f t="shared" si="12"/>
        <v/>
      </c>
    </row>
    <row r="34" spans="1:275" ht="14.5" x14ac:dyDescent="0.35">
      <c r="A34" s="59">
        <f>IF('Data input'!A34&lt;&gt;"",'Data input'!A34,"")</f>
        <v>32</v>
      </c>
      <c r="B34" s="60" t="str">
        <f>IF('Data input'!B34&lt;&gt;"",'Data input'!B34,"")</f>
        <v>New Mexico</v>
      </c>
      <c r="C34" s="19">
        <f>IF('Data input'!C34="","",4*('Data input'!C34-'Data input'!C$108)/('Data input'!C$109-'Data input'!C$108)+1)</f>
        <v>4.3075435307710732</v>
      </c>
      <c r="D34" s="19" t="str">
        <f>IF('Data input'!D34="","",4*('Data input'!D34-'Data input'!D$108)/('Data input'!D$109-'Data input'!D$108)+1)</f>
        <v/>
      </c>
      <c r="E34" s="19" t="str">
        <f>IF('Data input'!E34="","",4*('Data input'!E34-'Data input'!E$108)/('Data input'!E$109-'Data input'!E$108)+1)</f>
        <v/>
      </c>
      <c r="F34" s="19" t="str">
        <f>IF('Data input'!F34="","",4*('Data input'!F34-'Data input'!F$108)/('Data input'!F$109-'Data input'!F$108)+1)</f>
        <v/>
      </c>
      <c r="G34" s="19" t="str">
        <f>IF('Data input'!G34="","",4*('Data input'!G34-'Data input'!G$108)/('Data input'!G$109-'Data input'!G$108)+1)</f>
        <v/>
      </c>
      <c r="H34" s="61">
        <f>IF('Data input'!H34="","",4*('Data input'!H34-'Data input'!H$108)/('Data input'!H$109-'Data input'!H$108)+1)</f>
        <v>1.3418710275949779</v>
      </c>
      <c r="I34" s="19">
        <f>IF('Data input'!I34="","",4*('Data input'!I34-'Data input'!I$108)/('Data input'!I$109-'Data input'!I$108)+1)</f>
        <v>5</v>
      </c>
      <c r="J34" s="19" t="str">
        <f>IF('Data input'!J34="","",4*('Data input'!J34-'Data input'!J$108)/('Data input'!J$109-'Data input'!J$108)+1)</f>
        <v/>
      </c>
      <c r="K34" s="19" t="str">
        <f>IF('Data input'!K34="","",4*('Data input'!K34-'Data input'!K$108)/('Data input'!K$109-'Data input'!K$108)+1)</f>
        <v/>
      </c>
      <c r="L34" s="19" t="str">
        <f>IF('Data input'!L34="","",4*('Data input'!L34-'Data input'!L$108)/('Data input'!L$109-'Data input'!L$108)+1)</f>
        <v/>
      </c>
      <c r="M34" s="19">
        <f>IF('Data input'!M34="","",4*('Data input'!M34-'Data input'!M$108)/('Data input'!M$109-'Data input'!M$108)+1)</f>
        <v>3.40605830206969</v>
      </c>
      <c r="N34" s="16" t="str">
        <f>IF('Data input'!N34="","",4*('Data input'!N34-'Data input'!N$108)/('Data input'!N$109-'Data input'!N$108)+1)</f>
        <v/>
      </c>
      <c r="O34" s="19" t="str">
        <f>IF('Data input'!O34="","",4*('Data input'!O34-'Data input'!O$108)/('Data input'!O$109-'Data input'!O$108)+1)</f>
        <v/>
      </c>
      <c r="P34" s="19" t="str">
        <f>IF('Data input'!P34="","",4*('Data input'!P34-'Data input'!P$108)/('Data input'!P$109-'Data input'!P$108)+1)</f>
        <v/>
      </c>
      <c r="Q34" s="19" t="str">
        <f>IF('Data input'!Q34="","",4*('Data input'!Q34-'Data input'!Q$108)/('Data input'!Q$109-'Data input'!Q$108)+1)</f>
        <v/>
      </c>
      <c r="R34" s="19" t="str">
        <f>IF('Data input'!R34="","",4*('Data input'!R34-'Data input'!R$108)/('Data input'!R$109-'Data input'!R$108)+1)</f>
        <v/>
      </c>
      <c r="S34" s="16" t="str">
        <f>IF('Data input'!S34="","",4*('Data input'!S34-'Data input'!S$108)/('Data input'!S$109-'Data input'!S$108)+1)</f>
        <v/>
      </c>
      <c r="T34" s="19" t="str">
        <f>IF('Data input'!T34="","",4*('Data input'!T34-'Data input'!T$108)/('Data input'!T$109-'Data input'!T$108)+1)</f>
        <v/>
      </c>
      <c r="U34" s="19" t="str">
        <f>IF('Data input'!U34="","",4*('Data input'!U34-'Data input'!U$108)/('Data input'!U$109-'Data input'!U$108)+1)</f>
        <v/>
      </c>
      <c r="V34" s="19" t="str">
        <f>IF('Data input'!V34="","",4*('Data input'!V34-'Data input'!V$108)/('Data input'!V$109-'Data input'!V$108)+1)</f>
        <v/>
      </c>
      <c r="W34" s="16" t="str">
        <f>IF('Data input'!W34="","",4*('Data input'!W34-'Data input'!W$108)/('Data input'!W$109-'Data input'!W$108)+1)</f>
        <v/>
      </c>
      <c r="X34" s="16" t="str">
        <f>IF('Data input'!X34="","",4*('Data input'!X34-'Data input'!X$108)/('Data input'!X$109-'Data input'!X$108)+1)</f>
        <v/>
      </c>
      <c r="Y34" s="16" t="str">
        <f>IF('Data input'!Y34="","",4*('Data input'!Y34-'Data input'!Y$108)/('Data input'!Y$109-'Data input'!Y$108)+1)</f>
        <v/>
      </c>
      <c r="Z34" s="16" t="str">
        <f>IF('Data input'!Z34="","",4*('Data input'!Z34-'Data input'!Z$108)/('Data input'!Z$109-'Data input'!Z$108)+1)</f>
        <v/>
      </c>
      <c r="AA34" s="62" t="str">
        <f>IF('Data input'!AA34="","",4*('Data input'!AA34-'Data input'!AA$108)/('Data input'!AA$109-'Data input'!AA$108)+1)</f>
        <v/>
      </c>
      <c r="AB34" s="78"/>
      <c r="AC34" s="79">
        <v>0</v>
      </c>
      <c r="AD34" s="80" t="e">
        <f t="shared" si="13"/>
        <v>#DIV/0!</v>
      </c>
      <c r="AE34" s="4"/>
      <c r="AF34" s="59">
        <f t="shared" si="14"/>
        <v>32</v>
      </c>
      <c r="AG34" s="60" t="str">
        <f t="shared" si="14"/>
        <v>New Mexico</v>
      </c>
      <c r="AH34">
        <v>0.49692966912481701</v>
      </c>
      <c r="AI34" t="s">
        <v>69</v>
      </c>
      <c r="AJ34" t="s">
        <v>69</v>
      </c>
      <c r="AK34" t="s">
        <v>69</v>
      </c>
      <c r="AL34" t="s">
        <v>69</v>
      </c>
      <c r="AM34">
        <v>0.34187102759497789</v>
      </c>
      <c r="AN34">
        <v>0.69794119382181341</v>
      </c>
      <c r="AO34" t="s">
        <v>69</v>
      </c>
      <c r="AP34" t="s">
        <v>69</v>
      </c>
      <c r="AQ34" t="s">
        <v>69</v>
      </c>
      <c r="AR34">
        <v>0.5973842349484878</v>
      </c>
      <c r="AS34" s="71">
        <f t="shared" si="15"/>
        <v>4.8044731998958898</v>
      </c>
      <c r="AT34" s="71" t="str">
        <f t="shared" si="15"/>
        <v/>
      </c>
      <c r="AU34" s="71" t="str">
        <f t="shared" si="15"/>
        <v/>
      </c>
      <c r="AV34" s="71" t="str">
        <f t="shared" si="15"/>
        <v/>
      </c>
      <c r="AW34" s="71" t="str">
        <f t="shared" si="15"/>
        <v/>
      </c>
      <c r="AX34" s="71">
        <f t="shared" si="16"/>
        <v>1</v>
      </c>
      <c r="AY34" s="71">
        <f t="shared" si="16"/>
        <v>4.3020588061781861</v>
      </c>
      <c r="AZ34" s="71" t="str">
        <f t="shared" si="16"/>
        <v/>
      </c>
      <c r="BA34" s="71" t="str">
        <f t="shared" si="16"/>
        <v/>
      </c>
      <c r="BB34" s="71" t="str">
        <f t="shared" si="16"/>
        <v/>
      </c>
      <c r="BC34" s="18">
        <f>IF(C34&lt;&gt;"",(('Data input'!C$109-'Data input'!C$108)*(AS34-1)/4)+'Data input'!C$108,"")</f>
        <v>0.98919365643114809</v>
      </c>
      <c r="BD34" s="18" t="str">
        <f>IF(D34&lt;&gt;"",(('Data input'!D$109-'Data input'!D$108)*(AT34-1)/4)+'Data input'!D$108,"")</f>
        <v/>
      </c>
      <c r="BE34" s="18" t="str">
        <f>IF(E34&lt;&gt;"",(('Data input'!E$109-'Data input'!E$108)*(AU34-1)/4)+'Data input'!E$108,"")</f>
        <v/>
      </c>
      <c r="BF34" s="18" t="str">
        <f>IF(F34&lt;&gt;"",(('Data input'!F$109-'Data input'!F$108)*(AV34-1)/4)+'Data input'!F$108,"")</f>
        <v/>
      </c>
      <c r="BG34" s="18" t="str">
        <f>IF(G34&lt;&gt;"",(('Data input'!G$109-'Data input'!G$108)*(AW34-1)/4)+'Data input'!G$108,"")</f>
        <v/>
      </c>
      <c r="BH34" s="19">
        <f>IF(H34&lt;&gt;"",(('Data input'!H$109-'Data input'!H$108)*(AX34-1)/4)+'Data input'!H$108,"")</f>
        <v>0.29574268608402715</v>
      </c>
      <c r="BI34" s="18">
        <f>IF(I34&lt;&gt;"",(('Data input'!I$109-'Data input'!I$108)*(AY34-1)/4)+'Data input'!I$108,"")</f>
        <v>0.14498835821808981</v>
      </c>
      <c r="BJ34" s="19" t="str">
        <f>IF(J34&lt;&gt;"",(('Data input'!J$109-'Data input'!J$108)*(AZ34-1)/4)+'Data input'!J$108,"")</f>
        <v/>
      </c>
      <c r="BK34" s="19" t="str">
        <f>IF(K34&lt;&gt;"",(('Data input'!K$109-'Data input'!K$108)*(BA34-1)/4)+'Data input'!K$108,"")</f>
        <v/>
      </c>
      <c r="BL34" s="19" t="str">
        <f>IF(L34&lt;&gt;"",(('Data input'!L$109-'Data input'!L$108)*(BB34-1)/4)+'Data input'!L$108,"")</f>
        <v/>
      </c>
      <c r="BM34" s="18">
        <f>IF(C34&lt;&gt;"",BC34-'Data input'!C34,"")</f>
        <v>1.8042109448713095E-2</v>
      </c>
      <c r="BN34" s="18" t="str">
        <f>IF(D34&lt;&gt;"",BD34-'Data input'!D34,"")</f>
        <v/>
      </c>
      <c r="BO34" s="18" t="str">
        <f>IF(E34&lt;&gt;"",BE34-'Data input'!E34,"")</f>
        <v/>
      </c>
      <c r="BP34" s="18" t="str">
        <f>IF(F34&lt;&gt;"",BF34-'Data input'!F34,"")</f>
        <v/>
      </c>
      <c r="BQ34" s="18" t="str">
        <f>IF(G34&lt;&gt;"",BG34-'Data input'!G34,"")</f>
        <v/>
      </c>
      <c r="BR34" s="19">
        <f>IF(H34&lt;&gt;"",BH34-'Data input'!H34,"")</f>
        <v>-7.4452094008154228</v>
      </c>
      <c r="BS34" s="18">
        <f>IF(I34&lt;&gt;"",BI34-'Data input'!I34,"")</f>
        <v>-3.0645531701514406E-2</v>
      </c>
      <c r="BT34" s="18" t="str">
        <f>IF(J34&lt;&gt;"",BJ34-'Data input'!J34,"")</f>
        <v/>
      </c>
      <c r="BU34" s="18" t="str">
        <f>IF(K34&lt;&gt;"",BK34-'Data input'!K34,"")</f>
        <v/>
      </c>
      <c r="BV34" s="72" t="str">
        <f>IF(L34&lt;&gt;"",BL34-'Data input'!L34,"")</f>
        <v/>
      </c>
      <c r="BW34" s="121" t="str">
        <f t="shared" si="17"/>
        <v xml:space="preserve">Texas; </v>
      </c>
      <c r="BX34" s="1">
        <v>0</v>
      </c>
      <c r="BY34" s="1">
        <v>0</v>
      </c>
      <c r="BZ34" s="1">
        <v>0</v>
      </c>
      <c r="CA34" s="1">
        <v>0</v>
      </c>
      <c r="CB34" s="1">
        <v>0</v>
      </c>
      <c r="CC34" s="1">
        <v>0</v>
      </c>
      <c r="CD34" s="1">
        <v>0</v>
      </c>
      <c r="CE34" s="1">
        <v>0</v>
      </c>
      <c r="CF34" s="1">
        <v>0</v>
      </c>
      <c r="CG34" s="1">
        <v>0</v>
      </c>
      <c r="CH34" s="1">
        <v>0</v>
      </c>
      <c r="CI34" s="1">
        <v>0</v>
      </c>
      <c r="CJ34" s="1">
        <v>0</v>
      </c>
      <c r="CK34" s="1">
        <v>0</v>
      </c>
      <c r="CL34" s="1">
        <v>0</v>
      </c>
      <c r="CM34" s="1">
        <v>0</v>
      </c>
      <c r="CN34" s="1">
        <v>0</v>
      </c>
      <c r="CO34" s="1">
        <v>0</v>
      </c>
      <c r="CP34" s="1">
        <v>0</v>
      </c>
      <c r="CQ34" s="1">
        <v>0</v>
      </c>
      <c r="CR34" s="1">
        <v>0</v>
      </c>
      <c r="CS34" s="1">
        <v>0</v>
      </c>
      <c r="CT34" s="1">
        <v>0</v>
      </c>
      <c r="CU34" s="1">
        <v>0</v>
      </c>
      <c r="CV34" s="1">
        <v>0</v>
      </c>
      <c r="CW34" s="1">
        <v>0</v>
      </c>
      <c r="CX34" s="1">
        <v>0</v>
      </c>
      <c r="CY34" s="1">
        <v>0</v>
      </c>
      <c r="CZ34" s="1">
        <v>0</v>
      </c>
      <c r="DA34" s="1">
        <v>0</v>
      </c>
      <c r="DB34" s="1">
        <v>0</v>
      </c>
      <c r="DC34" s="1">
        <v>0</v>
      </c>
      <c r="DD34" s="1">
        <v>0</v>
      </c>
      <c r="DE34" s="1">
        <v>0</v>
      </c>
      <c r="DF34" s="1">
        <v>0</v>
      </c>
      <c r="DG34" s="1">
        <v>0</v>
      </c>
      <c r="DH34" s="1">
        <v>0</v>
      </c>
      <c r="DI34" s="1">
        <v>0</v>
      </c>
      <c r="DJ34" s="1">
        <v>0</v>
      </c>
      <c r="DK34" s="1">
        <v>0</v>
      </c>
      <c r="DL34" s="1">
        <v>0</v>
      </c>
      <c r="DM34" s="1">
        <v>0</v>
      </c>
      <c r="DN34" s="1">
        <v>0.99999999999999833</v>
      </c>
      <c r="DO34" s="1">
        <v>0</v>
      </c>
      <c r="DP34" s="1">
        <v>0</v>
      </c>
      <c r="DQ34" s="1">
        <v>0</v>
      </c>
      <c r="DR34" s="1">
        <v>0</v>
      </c>
      <c r="DS34" s="1">
        <v>0</v>
      </c>
      <c r="DT34" s="1">
        <v>0</v>
      </c>
      <c r="DU34" s="1">
        <v>0</v>
      </c>
      <c r="DV34" s="1">
        <v>0</v>
      </c>
      <c r="DW34" s="1">
        <v>0</v>
      </c>
      <c r="DX34" s="1">
        <v>0</v>
      </c>
      <c r="DY34" s="1">
        <v>0</v>
      </c>
      <c r="DZ34" s="1">
        <v>0</v>
      </c>
      <c r="FT34" s="1" t="str">
        <f t="shared" ref="FT34:GI49" si="25">IF(BX34&gt;0.0001,CONCATENATE(BX$2,"; "),"")</f>
        <v/>
      </c>
      <c r="FU34" s="1" t="str">
        <f t="shared" si="25"/>
        <v/>
      </c>
      <c r="FV34" s="1" t="str">
        <f t="shared" si="25"/>
        <v/>
      </c>
      <c r="FW34" s="1" t="str">
        <f t="shared" si="25"/>
        <v/>
      </c>
      <c r="FX34" s="1" t="str">
        <f t="shared" si="25"/>
        <v/>
      </c>
      <c r="FY34" s="1" t="str">
        <f t="shared" si="25"/>
        <v/>
      </c>
      <c r="FZ34" s="1" t="str">
        <f t="shared" si="25"/>
        <v/>
      </c>
      <c r="GA34" s="1" t="str">
        <f t="shared" si="25"/>
        <v/>
      </c>
      <c r="GB34" s="1" t="str">
        <f t="shared" si="25"/>
        <v/>
      </c>
      <c r="GC34" s="1" t="str">
        <f t="shared" si="25"/>
        <v/>
      </c>
      <c r="GD34" s="1" t="str">
        <f t="shared" si="25"/>
        <v/>
      </c>
      <c r="GE34" s="1" t="str">
        <f t="shared" si="25"/>
        <v/>
      </c>
      <c r="GF34" s="1" t="str">
        <f t="shared" si="25"/>
        <v/>
      </c>
      <c r="GG34" s="1" t="str">
        <f t="shared" si="25"/>
        <v/>
      </c>
      <c r="GH34" s="1" t="str">
        <f t="shared" si="25"/>
        <v/>
      </c>
      <c r="GI34" s="1" t="str">
        <f t="shared" si="25"/>
        <v/>
      </c>
      <c r="GJ34" s="1" t="str">
        <f t="shared" si="19"/>
        <v/>
      </c>
      <c r="GK34" s="1" t="str">
        <f t="shared" si="19"/>
        <v/>
      </c>
      <c r="GL34" s="1" t="str">
        <f t="shared" si="19"/>
        <v/>
      </c>
      <c r="GM34" s="1" t="str">
        <f t="shared" si="19"/>
        <v/>
      </c>
      <c r="GN34" s="1" t="str">
        <f t="shared" si="19"/>
        <v/>
      </c>
      <c r="GO34" s="1" t="str">
        <f t="shared" si="19"/>
        <v/>
      </c>
      <c r="GP34" s="1" t="str">
        <f t="shared" si="19"/>
        <v/>
      </c>
      <c r="GQ34" s="1" t="str">
        <f t="shared" si="19"/>
        <v/>
      </c>
      <c r="GR34" s="1" t="str">
        <f t="shared" si="19"/>
        <v/>
      </c>
      <c r="GS34" s="1" t="str">
        <f t="shared" si="19"/>
        <v/>
      </c>
      <c r="GT34" s="1" t="str">
        <f t="shared" si="19"/>
        <v/>
      </c>
      <c r="GU34" s="1" t="str">
        <f t="shared" si="19"/>
        <v/>
      </c>
      <c r="GV34" s="1" t="str">
        <f t="shared" si="19"/>
        <v/>
      </c>
      <c r="GW34" s="1" t="str">
        <f t="shared" si="19"/>
        <v/>
      </c>
      <c r="GX34" s="1" t="str">
        <f t="shared" ref="GX34:HM50" si="26">IF(DB34&gt;0.0001,CONCATENATE(DB$2,"; "),"")</f>
        <v/>
      </c>
      <c r="GY34" s="1" t="str">
        <f t="shared" si="26"/>
        <v/>
      </c>
      <c r="GZ34" s="1" t="str">
        <f t="shared" si="20"/>
        <v/>
      </c>
      <c r="HA34" s="1" t="str">
        <f t="shared" si="20"/>
        <v/>
      </c>
      <c r="HB34" s="1" t="str">
        <f t="shared" si="20"/>
        <v/>
      </c>
      <c r="HC34" s="1" t="str">
        <f t="shared" si="20"/>
        <v/>
      </c>
      <c r="HD34" s="1" t="str">
        <f t="shared" si="20"/>
        <v/>
      </c>
      <c r="HE34" s="1" t="str">
        <f t="shared" si="20"/>
        <v/>
      </c>
      <c r="HF34" s="1" t="str">
        <f t="shared" si="20"/>
        <v/>
      </c>
      <c r="HG34" s="1" t="str">
        <f t="shared" si="20"/>
        <v/>
      </c>
      <c r="HH34" s="1" t="str">
        <f t="shared" si="20"/>
        <v/>
      </c>
      <c r="HI34" s="1" t="str">
        <f t="shared" si="20"/>
        <v/>
      </c>
      <c r="HJ34" s="1" t="str">
        <f t="shared" si="20"/>
        <v xml:space="preserve">Texas; </v>
      </c>
      <c r="HK34" s="1" t="str">
        <f t="shared" si="20"/>
        <v/>
      </c>
      <c r="HL34" s="1" t="str">
        <f t="shared" si="20"/>
        <v/>
      </c>
      <c r="HM34" s="1" t="str">
        <f t="shared" si="20"/>
        <v/>
      </c>
      <c r="HN34" s="1" t="str">
        <f t="shared" ref="HN34:IC50" si="27">IF(DR34&gt;0.0001,CONCATENATE(DR$2,"; "),"")</f>
        <v/>
      </c>
      <c r="HO34" s="1" t="str">
        <f t="shared" si="27"/>
        <v/>
      </c>
      <c r="HP34" s="1" t="str">
        <f t="shared" si="21"/>
        <v/>
      </c>
      <c r="HQ34" s="1" t="str">
        <f t="shared" si="21"/>
        <v/>
      </c>
      <c r="HR34" s="1" t="str">
        <f t="shared" si="21"/>
        <v/>
      </c>
      <c r="HS34" s="1" t="str">
        <f t="shared" si="21"/>
        <v/>
      </c>
      <c r="HT34" s="1" t="str">
        <f t="shared" si="21"/>
        <v/>
      </c>
      <c r="HU34" s="1" t="str">
        <f t="shared" si="21"/>
        <v/>
      </c>
      <c r="HV34" s="1" t="str">
        <f t="shared" si="21"/>
        <v/>
      </c>
      <c r="HW34" s="1" t="str">
        <f t="shared" si="21"/>
        <v/>
      </c>
      <c r="HX34" s="1" t="str">
        <f t="shared" si="21"/>
        <v/>
      </c>
      <c r="HY34" s="1" t="str">
        <f t="shared" si="21"/>
        <v/>
      </c>
      <c r="HZ34" s="1" t="str">
        <f t="shared" si="21"/>
        <v/>
      </c>
      <c r="IA34" s="1" t="str">
        <f t="shared" si="21"/>
        <v/>
      </c>
      <c r="IB34" s="1" t="str">
        <f t="shared" si="21"/>
        <v/>
      </c>
      <c r="IC34" s="1" t="str">
        <f t="shared" si="21"/>
        <v/>
      </c>
      <c r="ID34" s="1" t="str">
        <f t="shared" ref="ID34:IS50" si="28">IF(EH34&gt;0.0001,CONCATENATE(EH$2,"; "),"")</f>
        <v/>
      </c>
      <c r="IE34" s="1" t="str">
        <f t="shared" si="28"/>
        <v/>
      </c>
      <c r="IF34" s="1" t="str">
        <f t="shared" si="22"/>
        <v/>
      </c>
      <c r="IG34" s="1" t="str">
        <f t="shared" si="22"/>
        <v/>
      </c>
      <c r="IH34" s="1" t="str">
        <f t="shared" si="22"/>
        <v/>
      </c>
      <c r="II34" s="1" t="str">
        <f t="shared" si="22"/>
        <v/>
      </c>
      <c r="IJ34" s="1" t="str">
        <f t="shared" si="22"/>
        <v/>
      </c>
      <c r="IK34" s="1" t="str">
        <f t="shared" si="22"/>
        <v/>
      </c>
      <c r="IL34" s="1" t="str">
        <f t="shared" si="22"/>
        <v/>
      </c>
      <c r="IM34" s="1" t="str">
        <f t="shared" si="22"/>
        <v/>
      </c>
      <c r="IN34" s="1" t="str">
        <f t="shared" si="22"/>
        <v/>
      </c>
      <c r="IO34" s="1" t="str">
        <f t="shared" si="22"/>
        <v/>
      </c>
      <c r="IP34" s="1" t="str">
        <f t="shared" si="22"/>
        <v/>
      </c>
      <c r="IQ34" s="1" t="str">
        <f t="shared" si="22"/>
        <v/>
      </c>
      <c r="IR34" s="1" t="str">
        <f t="shared" si="22"/>
        <v/>
      </c>
      <c r="IS34" s="1" t="str">
        <f t="shared" si="22"/>
        <v/>
      </c>
      <c r="IT34" s="1" t="str">
        <f t="shared" ref="IT34:JI50" si="29">IF(EX34&gt;0.0001,CONCATENATE(EX$2,"; "),"")</f>
        <v/>
      </c>
      <c r="IU34" s="1" t="str">
        <f t="shared" si="29"/>
        <v/>
      </c>
      <c r="IV34" s="1" t="str">
        <f t="shared" si="23"/>
        <v/>
      </c>
      <c r="IW34" s="1" t="str">
        <f t="shared" si="23"/>
        <v/>
      </c>
      <c r="IX34" s="1" t="str">
        <f t="shared" si="23"/>
        <v/>
      </c>
      <c r="IY34" s="1" t="str">
        <f t="shared" si="23"/>
        <v/>
      </c>
      <c r="IZ34" s="1" t="str">
        <f t="shared" si="23"/>
        <v/>
      </c>
      <c r="JA34" s="1" t="str">
        <f t="shared" si="23"/>
        <v/>
      </c>
      <c r="JB34" s="1" t="str">
        <f t="shared" si="23"/>
        <v/>
      </c>
      <c r="JC34" s="1" t="str">
        <f t="shared" si="23"/>
        <v/>
      </c>
      <c r="JD34" s="1" t="str">
        <f t="shared" si="23"/>
        <v/>
      </c>
      <c r="JE34" s="1" t="str">
        <f t="shared" si="23"/>
        <v/>
      </c>
      <c r="JF34" s="1" t="str">
        <f t="shared" si="23"/>
        <v/>
      </c>
      <c r="JG34" s="1" t="str">
        <f t="shared" si="23"/>
        <v/>
      </c>
      <c r="JH34" s="1" t="str">
        <f t="shared" si="23"/>
        <v/>
      </c>
      <c r="JI34" s="1" t="str">
        <f t="shared" si="23"/>
        <v/>
      </c>
      <c r="JJ34" s="1" t="str">
        <f t="shared" ref="JJ34:JO97" si="30">IF(FN34&gt;0.0001,CONCATENATE(FN$2,"; "),"")</f>
        <v/>
      </c>
      <c r="JK34" s="1" t="str">
        <f t="shared" si="30"/>
        <v/>
      </c>
      <c r="JL34" s="1" t="str">
        <f t="shared" si="24"/>
        <v/>
      </c>
      <c r="JM34" s="1" t="str">
        <f t="shared" si="12"/>
        <v/>
      </c>
      <c r="JN34" s="1" t="str">
        <f t="shared" si="12"/>
        <v/>
      </c>
      <c r="JO34" s="1" t="str">
        <f t="shared" si="12"/>
        <v/>
      </c>
    </row>
    <row r="35" spans="1:275" ht="14.5" x14ac:dyDescent="0.35">
      <c r="A35" s="59">
        <f>IF('Data input'!A35&lt;&gt;"",'Data input'!A35,"")</f>
        <v>33</v>
      </c>
      <c r="B35" s="60" t="str">
        <f>IF('Data input'!B35&lt;&gt;"",'Data input'!B35,"")</f>
        <v>New York</v>
      </c>
      <c r="C35" s="19">
        <f>IF('Data input'!C35="","",4*('Data input'!C35-'Data input'!C$108)/('Data input'!C$109-'Data input'!C$108)+1)</f>
        <v>1.9143066585032089</v>
      </c>
      <c r="D35" s="19" t="str">
        <f>IF('Data input'!D35="","",4*('Data input'!D35-'Data input'!D$108)/('Data input'!D$109-'Data input'!D$108)+1)</f>
        <v/>
      </c>
      <c r="E35" s="19" t="str">
        <f>IF('Data input'!E35="","",4*('Data input'!E35-'Data input'!E$108)/('Data input'!E$109-'Data input'!E$108)+1)</f>
        <v/>
      </c>
      <c r="F35" s="19" t="str">
        <f>IF('Data input'!F35="","",4*('Data input'!F35-'Data input'!F$108)/('Data input'!F$109-'Data input'!F$108)+1)</f>
        <v/>
      </c>
      <c r="G35" s="19" t="str">
        <f>IF('Data input'!G35="","",4*('Data input'!G35-'Data input'!G$108)/('Data input'!G$109-'Data input'!G$108)+1)</f>
        <v/>
      </c>
      <c r="H35" s="61">
        <f>IF('Data input'!H35="","",4*('Data input'!H35-'Data input'!H$108)/('Data input'!H$109-'Data input'!H$108)+1)</f>
        <v>1.2688897510906809</v>
      </c>
      <c r="I35" s="19">
        <f>IF('Data input'!I35="","",4*('Data input'!I35-'Data input'!I$108)/('Data input'!I$109-'Data input'!I$108)+1)</f>
        <v>1.022647820094793</v>
      </c>
      <c r="J35" s="19" t="str">
        <f>IF('Data input'!J35="","",4*('Data input'!J35-'Data input'!J$108)/('Data input'!J$109-'Data input'!J$108)+1)</f>
        <v/>
      </c>
      <c r="K35" s="19" t="str">
        <f>IF('Data input'!K35="","",4*('Data input'!K35-'Data input'!K$108)/('Data input'!K$109-'Data input'!K$108)+1)</f>
        <v/>
      </c>
      <c r="L35" s="19" t="str">
        <f>IF('Data input'!L35="","",4*('Data input'!L35-'Data input'!L$108)/('Data input'!L$109-'Data input'!L$108)+1)</f>
        <v/>
      </c>
      <c r="M35" s="19">
        <f>IF('Data input'!M35="","",4*('Data input'!M35-'Data input'!M$108)/('Data input'!M$109-'Data input'!M$108)+1)</f>
        <v>2.205711072139469</v>
      </c>
      <c r="N35" s="16" t="str">
        <f>IF('Data input'!N35="","",4*('Data input'!N35-'Data input'!N$108)/('Data input'!N$109-'Data input'!N$108)+1)</f>
        <v/>
      </c>
      <c r="O35" s="19" t="str">
        <f>IF('Data input'!O35="","",4*('Data input'!O35-'Data input'!O$108)/('Data input'!O$109-'Data input'!O$108)+1)</f>
        <v/>
      </c>
      <c r="P35" s="19" t="str">
        <f>IF('Data input'!P35="","",4*('Data input'!P35-'Data input'!P$108)/('Data input'!P$109-'Data input'!P$108)+1)</f>
        <v/>
      </c>
      <c r="Q35" s="19" t="str">
        <f>IF('Data input'!Q35="","",4*('Data input'!Q35-'Data input'!Q$108)/('Data input'!Q$109-'Data input'!Q$108)+1)</f>
        <v/>
      </c>
      <c r="R35" s="19" t="str">
        <f>IF('Data input'!R35="","",4*('Data input'!R35-'Data input'!R$108)/('Data input'!R$109-'Data input'!R$108)+1)</f>
        <v/>
      </c>
      <c r="S35" s="16" t="str">
        <f>IF('Data input'!S35="","",4*('Data input'!S35-'Data input'!S$108)/('Data input'!S$109-'Data input'!S$108)+1)</f>
        <v/>
      </c>
      <c r="T35" s="19" t="str">
        <f>IF('Data input'!T35="","",4*('Data input'!T35-'Data input'!T$108)/('Data input'!T$109-'Data input'!T$108)+1)</f>
        <v/>
      </c>
      <c r="U35" s="19" t="str">
        <f>IF('Data input'!U35="","",4*('Data input'!U35-'Data input'!U$108)/('Data input'!U$109-'Data input'!U$108)+1)</f>
        <v/>
      </c>
      <c r="V35" s="19" t="str">
        <f>IF('Data input'!V35="","",4*('Data input'!V35-'Data input'!V$108)/('Data input'!V$109-'Data input'!V$108)+1)</f>
        <v/>
      </c>
      <c r="W35" s="16" t="str">
        <f>IF('Data input'!W35="","",4*('Data input'!W35-'Data input'!W$108)/('Data input'!W$109-'Data input'!W$108)+1)</f>
        <v/>
      </c>
      <c r="X35" s="16" t="str">
        <f>IF('Data input'!X35="","",4*('Data input'!X35-'Data input'!X$108)/('Data input'!X$109-'Data input'!X$108)+1)</f>
        <v/>
      </c>
      <c r="Y35" s="16" t="str">
        <f>IF('Data input'!Y35="","",4*('Data input'!Y35-'Data input'!Y$108)/('Data input'!Y$109-'Data input'!Y$108)+1)</f>
        <v/>
      </c>
      <c r="Z35" s="16" t="str">
        <f>IF('Data input'!Z35="","",4*('Data input'!Z35-'Data input'!Z$108)/('Data input'!Z$109-'Data input'!Z$108)+1)</f>
        <v/>
      </c>
      <c r="AA35" s="62" t="str">
        <f>IF('Data input'!AA35="","",4*('Data input'!AA35-'Data input'!AA$108)/('Data input'!AA$109-'Data input'!AA$108)+1)</f>
        <v/>
      </c>
      <c r="AB35" s="78"/>
      <c r="AC35" s="79">
        <v>0</v>
      </c>
      <c r="AD35" s="80" t="e">
        <f t="shared" si="13"/>
        <v>#DIV/0!</v>
      </c>
      <c r="AE35" s="4"/>
      <c r="AF35" s="59">
        <f t="shared" si="14"/>
        <v>33</v>
      </c>
      <c r="AG35" s="60" t="str">
        <f t="shared" si="14"/>
        <v>New York</v>
      </c>
      <c r="AH35">
        <v>2.8277490256783038</v>
      </c>
      <c r="AI35" t="s">
        <v>69</v>
      </c>
      <c r="AJ35" t="s">
        <v>69</v>
      </c>
      <c r="AK35" t="s">
        <v>69</v>
      </c>
      <c r="AL35" t="s">
        <v>69</v>
      </c>
      <c r="AM35">
        <v>0.26888975109068081</v>
      </c>
      <c r="AN35">
        <v>0</v>
      </c>
      <c r="AO35" t="s">
        <v>69</v>
      </c>
      <c r="AP35" t="s">
        <v>69</v>
      </c>
      <c r="AQ35" t="s">
        <v>69</v>
      </c>
      <c r="AR35">
        <v>0.35834349303998159</v>
      </c>
      <c r="AS35" s="71">
        <f t="shared" si="15"/>
        <v>4.7420556841815129</v>
      </c>
      <c r="AT35" s="71" t="str">
        <f t="shared" si="15"/>
        <v/>
      </c>
      <c r="AU35" s="71" t="str">
        <f t="shared" si="15"/>
        <v/>
      </c>
      <c r="AV35" s="71" t="str">
        <f t="shared" si="15"/>
        <v/>
      </c>
      <c r="AW35" s="71" t="str">
        <f t="shared" si="15"/>
        <v/>
      </c>
      <c r="AX35" s="71">
        <f t="shared" si="16"/>
        <v>1</v>
      </c>
      <c r="AY35" s="71">
        <f t="shared" si="16"/>
        <v>1.022647820094793</v>
      </c>
      <c r="AZ35" s="71" t="str">
        <f t="shared" si="16"/>
        <v/>
      </c>
      <c r="BA35" s="71" t="str">
        <f t="shared" si="16"/>
        <v/>
      </c>
      <c r="BB35" s="71" t="str">
        <f t="shared" si="16"/>
        <v/>
      </c>
      <c r="BC35" s="18">
        <f>IF(C35&lt;&gt;"",(('Data input'!C$109-'Data input'!C$108)*(AS35-1)/4)+'Data input'!C$108,"")</f>
        <v>0.98692745314322838</v>
      </c>
      <c r="BD35" s="18" t="str">
        <f>IF(D35&lt;&gt;"",(('Data input'!D$109-'Data input'!D$108)*(AT35-1)/4)+'Data input'!D$108,"")</f>
        <v/>
      </c>
      <c r="BE35" s="18" t="str">
        <f>IF(E35&lt;&gt;"",(('Data input'!E$109-'Data input'!E$108)*(AU35-1)/4)+'Data input'!E$108,"")</f>
        <v/>
      </c>
      <c r="BF35" s="18" t="str">
        <f>IF(F35&lt;&gt;"",(('Data input'!F$109-'Data input'!F$108)*(AV35-1)/4)+'Data input'!F$108,"")</f>
        <v/>
      </c>
      <c r="BG35" s="18" t="str">
        <f>IF(G35&lt;&gt;"",(('Data input'!G$109-'Data input'!G$108)*(AW35-1)/4)+'Data input'!G$108,"")</f>
        <v/>
      </c>
      <c r="BH35" s="19">
        <f>IF(H35&lt;&gt;"",(('Data input'!H$109-'Data input'!H$108)*(AX35-1)/4)+'Data input'!H$108,"")</f>
        <v>0.29574268608402715</v>
      </c>
      <c r="BI35" s="18">
        <f>IF(I35&lt;&gt;"",(('Data input'!I$109-'Data input'!I$108)*(AY35-1)/4)+'Data input'!I$108,"")</f>
        <v>9.9443118536197061E-4</v>
      </c>
      <c r="BJ35" s="19" t="str">
        <f>IF(J35&lt;&gt;"",(('Data input'!J$109-'Data input'!J$108)*(AZ35-1)/4)+'Data input'!J$108,"")</f>
        <v/>
      </c>
      <c r="BK35" s="19" t="str">
        <f>IF(K35&lt;&gt;"",(('Data input'!K$109-'Data input'!K$108)*(BA35-1)/4)+'Data input'!K$108,"")</f>
        <v/>
      </c>
      <c r="BL35" s="19" t="str">
        <f>IF(L35&lt;&gt;"",(('Data input'!L$109-'Data input'!L$108)*(BB35-1)/4)+'Data input'!L$108,"")</f>
        <v/>
      </c>
      <c r="BM35" s="18">
        <f>IF(C35&lt;&gt;"",BC35-'Data input'!C35,"")</f>
        <v>0.10266756159806845</v>
      </c>
      <c r="BN35" s="18" t="str">
        <f>IF(D35&lt;&gt;"",BD35-'Data input'!D35,"")</f>
        <v/>
      </c>
      <c r="BO35" s="18" t="str">
        <f>IF(E35&lt;&gt;"",BE35-'Data input'!E35,"")</f>
        <v/>
      </c>
      <c r="BP35" s="18" t="str">
        <f>IF(F35&lt;&gt;"",BF35-'Data input'!F35,"")</f>
        <v/>
      </c>
      <c r="BQ35" s="18" t="str">
        <f>IF(G35&lt;&gt;"",BG35-'Data input'!G35,"")</f>
        <v/>
      </c>
      <c r="BR35" s="19">
        <f>IF(H35&lt;&gt;"",BH35-'Data input'!H35,"")</f>
        <v>-5.8558355081642075</v>
      </c>
      <c r="BS35" s="18">
        <f>IF(I35&lt;&gt;"",BI35-'Data input'!I35,"")</f>
        <v>-2.3852447794681098E-18</v>
      </c>
      <c r="BT35" s="18" t="str">
        <f>IF(J35&lt;&gt;"",BJ35-'Data input'!J35,"")</f>
        <v/>
      </c>
      <c r="BU35" s="18" t="str">
        <f>IF(K35&lt;&gt;"",BK35-'Data input'!K35,"")</f>
        <v/>
      </c>
      <c r="BV35" s="72" t="str">
        <f>IF(L35&lt;&gt;"",BL35-'Data input'!L35,"")</f>
        <v/>
      </c>
      <c r="BW35" s="121" t="str">
        <f t="shared" si="17"/>
        <v xml:space="preserve">Nevada; Texas; </v>
      </c>
      <c r="BX35" s="1">
        <v>0</v>
      </c>
      <c r="BY35" s="1">
        <v>0</v>
      </c>
      <c r="BZ35" s="1">
        <v>0</v>
      </c>
      <c r="CA35" s="1">
        <v>0</v>
      </c>
      <c r="CB35" s="1">
        <v>0</v>
      </c>
      <c r="CC35" s="1">
        <v>0</v>
      </c>
      <c r="CD35" s="1">
        <v>0</v>
      </c>
      <c r="CE35" s="1">
        <v>0</v>
      </c>
      <c r="CF35" s="1">
        <v>0</v>
      </c>
      <c r="CG35" s="1">
        <v>0</v>
      </c>
      <c r="CH35" s="1">
        <v>0</v>
      </c>
      <c r="CI35" s="1">
        <v>0</v>
      </c>
      <c r="CJ35" s="1">
        <v>0</v>
      </c>
      <c r="CK35" s="1">
        <v>0</v>
      </c>
      <c r="CL35" s="1">
        <v>0</v>
      </c>
      <c r="CM35" s="1">
        <v>0</v>
      </c>
      <c r="CN35" s="1">
        <v>0</v>
      </c>
      <c r="CO35" s="1">
        <v>0</v>
      </c>
      <c r="CP35" s="1">
        <v>0</v>
      </c>
      <c r="CQ35" s="1">
        <v>0</v>
      </c>
      <c r="CR35" s="1">
        <v>0</v>
      </c>
      <c r="CS35" s="1">
        <v>0</v>
      </c>
      <c r="CT35" s="1">
        <v>0</v>
      </c>
      <c r="CU35" s="1">
        <v>0</v>
      </c>
      <c r="CV35" s="1">
        <v>0</v>
      </c>
      <c r="CW35" s="1">
        <v>0</v>
      </c>
      <c r="CX35" s="1">
        <v>0</v>
      </c>
      <c r="CY35" s="1">
        <v>0</v>
      </c>
      <c r="CZ35" s="1">
        <v>1.9019732907751034E-3</v>
      </c>
      <c r="DA35" s="1">
        <v>0</v>
      </c>
      <c r="DB35" s="1">
        <v>0</v>
      </c>
      <c r="DC35" s="1">
        <v>0</v>
      </c>
      <c r="DD35" s="1">
        <v>0</v>
      </c>
      <c r="DE35" s="1">
        <v>0</v>
      </c>
      <c r="DF35" s="1">
        <v>0</v>
      </c>
      <c r="DG35" s="1">
        <v>0</v>
      </c>
      <c r="DH35" s="1">
        <v>0</v>
      </c>
      <c r="DI35" s="1">
        <v>0</v>
      </c>
      <c r="DJ35" s="1">
        <v>0</v>
      </c>
      <c r="DK35" s="1">
        <v>0</v>
      </c>
      <c r="DL35" s="1">
        <v>0</v>
      </c>
      <c r="DM35" s="1">
        <v>0</v>
      </c>
      <c r="DN35" s="1">
        <v>0.99747728947152858</v>
      </c>
      <c r="DO35" s="1">
        <v>0</v>
      </c>
      <c r="DP35" s="1">
        <v>0</v>
      </c>
      <c r="DQ35" s="1">
        <v>0</v>
      </c>
      <c r="DR35" s="1">
        <v>0</v>
      </c>
      <c r="DS35" s="1">
        <v>0</v>
      </c>
      <c r="DT35" s="1">
        <v>0</v>
      </c>
      <c r="DU35" s="1">
        <v>0</v>
      </c>
      <c r="DV35" s="1">
        <v>0</v>
      </c>
      <c r="DW35" s="1">
        <v>0</v>
      </c>
      <c r="DX35" s="1">
        <v>0</v>
      </c>
      <c r="DY35" s="1">
        <v>0</v>
      </c>
      <c r="DZ35" s="1">
        <v>0</v>
      </c>
      <c r="FT35" s="1" t="str">
        <f t="shared" si="25"/>
        <v/>
      </c>
      <c r="FU35" s="1" t="str">
        <f t="shared" si="25"/>
        <v/>
      </c>
      <c r="FV35" s="1" t="str">
        <f t="shared" si="25"/>
        <v/>
      </c>
      <c r="FW35" s="1" t="str">
        <f t="shared" si="25"/>
        <v/>
      </c>
      <c r="FX35" s="1" t="str">
        <f t="shared" si="25"/>
        <v/>
      </c>
      <c r="FY35" s="1" t="str">
        <f t="shared" si="25"/>
        <v/>
      </c>
      <c r="FZ35" s="1" t="str">
        <f t="shared" si="25"/>
        <v/>
      </c>
      <c r="GA35" s="1" t="str">
        <f t="shared" si="25"/>
        <v/>
      </c>
      <c r="GB35" s="1" t="str">
        <f t="shared" si="25"/>
        <v/>
      </c>
      <c r="GC35" s="1" t="str">
        <f t="shared" si="25"/>
        <v/>
      </c>
      <c r="GD35" s="1" t="str">
        <f t="shared" si="25"/>
        <v/>
      </c>
      <c r="GE35" s="1" t="str">
        <f t="shared" si="25"/>
        <v/>
      </c>
      <c r="GF35" s="1" t="str">
        <f t="shared" si="25"/>
        <v/>
      </c>
      <c r="GG35" s="1" t="str">
        <f t="shared" si="25"/>
        <v/>
      </c>
      <c r="GH35" s="1" t="str">
        <f t="shared" si="25"/>
        <v/>
      </c>
      <c r="GI35" s="1" t="str">
        <f t="shared" si="25"/>
        <v/>
      </c>
      <c r="GJ35" s="1" t="str">
        <f t="shared" ref="GJ35:GY52" si="31">IF(CN35&gt;0.0001,CONCATENATE(CN$2,"; "),"")</f>
        <v/>
      </c>
      <c r="GK35" s="1" t="str">
        <f t="shared" si="31"/>
        <v/>
      </c>
      <c r="GL35" s="1" t="str">
        <f t="shared" si="31"/>
        <v/>
      </c>
      <c r="GM35" s="1" t="str">
        <f t="shared" si="31"/>
        <v/>
      </c>
      <c r="GN35" s="1" t="str">
        <f t="shared" si="31"/>
        <v/>
      </c>
      <c r="GO35" s="1" t="str">
        <f t="shared" si="31"/>
        <v/>
      </c>
      <c r="GP35" s="1" t="str">
        <f t="shared" si="31"/>
        <v/>
      </c>
      <c r="GQ35" s="1" t="str">
        <f t="shared" si="31"/>
        <v/>
      </c>
      <c r="GR35" s="1" t="str">
        <f t="shared" si="31"/>
        <v/>
      </c>
      <c r="GS35" s="1" t="str">
        <f t="shared" si="31"/>
        <v/>
      </c>
      <c r="GT35" s="1" t="str">
        <f t="shared" si="31"/>
        <v/>
      </c>
      <c r="GU35" s="1" t="str">
        <f t="shared" si="31"/>
        <v/>
      </c>
      <c r="GV35" s="1" t="str">
        <f t="shared" si="31"/>
        <v xml:space="preserve">Nevada; </v>
      </c>
      <c r="GW35" s="1" t="str">
        <f t="shared" si="31"/>
        <v/>
      </c>
      <c r="GX35" s="1" t="str">
        <f t="shared" si="26"/>
        <v/>
      </c>
      <c r="GY35" s="1" t="str">
        <f t="shared" si="26"/>
        <v/>
      </c>
      <c r="GZ35" s="1" t="str">
        <f t="shared" si="26"/>
        <v/>
      </c>
      <c r="HA35" s="1" t="str">
        <f t="shared" si="26"/>
        <v/>
      </c>
      <c r="HB35" s="1" t="str">
        <f t="shared" si="26"/>
        <v/>
      </c>
      <c r="HC35" s="1" t="str">
        <f t="shared" si="26"/>
        <v/>
      </c>
      <c r="HD35" s="1" t="str">
        <f t="shared" si="26"/>
        <v/>
      </c>
      <c r="HE35" s="1" t="str">
        <f t="shared" si="26"/>
        <v/>
      </c>
      <c r="HF35" s="1" t="str">
        <f t="shared" si="26"/>
        <v/>
      </c>
      <c r="HG35" s="1" t="str">
        <f t="shared" si="26"/>
        <v/>
      </c>
      <c r="HH35" s="1" t="str">
        <f t="shared" si="26"/>
        <v/>
      </c>
      <c r="HI35" s="1" t="str">
        <f t="shared" si="26"/>
        <v/>
      </c>
      <c r="HJ35" s="1" t="str">
        <f t="shared" si="26"/>
        <v xml:space="preserve">Texas; </v>
      </c>
      <c r="HK35" s="1" t="str">
        <f t="shared" si="26"/>
        <v/>
      </c>
      <c r="HL35" s="1" t="str">
        <f t="shared" si="26"/>
        <v/>
      </c>
      <c r="HM35" s="1" t="str">
        <f t="shared" si="26"/>
        <v/>
      </c>
      <c r="HN35" s="1" t="str">
        <f t="shared" si="27"/>
        <v/>
      </c>
      <c r="HO35" s="1" t="str">
        <f t="shared" si="27"/>
        <v/>
      </c>
      <c r="HP35" s="1" t="str">
        <f t="shared" si="27"/>
        <v/>
      </c>
      <c r="HQ35" s="1" t="str">
        <f t="shared" si="27"/>
        <v/>
      </c>
      <c r="HR35" s="1" t="str">
        <f t="shared" si="27"/>
        <v/>
      </c>
      <c r="HS35" s="1" t="str">
        <f t="shared" si="27"/>
        <v/>
      </c>
      <c r="HT35" s="1" t="str">
        <f t="shared" si="27"/>
        <v/>
      </c>
      <c r="HU35" s="1" t="str">
        <f t="shared" si="27"/>
        <v/>
      </c>
      <c r="HV35" s="1" t="str">
        <f t="shared" si="27"/>
        <v/>
      </c>
      <c r="HW35" s="1" t="str">
        <f t="shared" si="27"/>
        <v/>
      </c>
      <c r="HX35" s="1" t="str">
        <f t="shared" si="27"/>
        <v/>
      </c>
      <c r="HY35" s="1" t="str">
        <f t="shared" si="27"/>
        <v/>
      </c>
      <c r="HZ35" s="1" t="str">
        <f t="shared" si="27"/>
        <v/>
      </c>
      <c r="IA35" s="1" t="str">
        <f t="shared" si="27"/>
        <v/>
      </c>
      <c r="IB35" s="1" t="str">
        <f t="shared" si="27"/>
        <v/>
      </c>
      <c r="IC35" s="1" t="str">
        <f t="shared" si="27"/>
        <v/>
      </c>
      <c r="ID35" s="1" t="str">
        <f t="shared" si="28"/>
        <v/>
      </c>
      <c r="IE35" s="1" t="str">
        <f t="shared" si="28"/>
        <v/>
      </c>
      <c r="IF35" s="1" t="str">
        <f t="shared" si="28"/>
        <v/>
      </c>
      <c r="IG35" s="1" t="str">
        <f t="shared" si="28"/>
        <v/>
      </c>
      <c r="IH35" s="1" t="str">
        <f t="shared" si="28"/>
        <v/>
      </c>
      <c r="II35" s="1" t="str">
        <f t="shared" si="28"/>
        <v/>
      </c>
      <c r="IJ35" s="1" t="str">
        <f t="shared" si="28"/>
        <v/>
      </c>
      <c r="IK35" s="1" t="str">
        <f t="shared" si="28"/>
        <v/>
      </c>
      <c r="IL35" s="1" t="str">
        <f t="shared" si="28"/>
        <v/>
      </c>
      <c r="IM35" s="1" t="str">
        <f t="shared" si="28"/>
        <v/>
      </c>
      <c r="IN35" s="1" t="str">
        <f t="shared" si="28"/>
        <v/>
      </c>
      <c r="IO35" s="1" t="str">
        <f t="shared" si="28"/>
        <v/>
      </c>
      <c r="IP35" s="1" t="str">
        <f t="shared" si="28"/>
        <v/>
      </c>
      <c r="IQ35" s="1" t="str">
        <f t="shared" si="28"/>
        <v/>
      </c>
      <c r="IR35" s="1" t="str">
        <f t="shared" si="28"/>
        <v/>
      </c>
      <c r="IS35" s="1" t="str">
        <f t="shared" si="28"/>
        <v/>
      </c>
      <c r="IT35" s="1" t="str">
        <f t="shared" si="29"/>
        <v/>
      </c>
      <c r="IU35" s="1" t="str">
        <f t="shared" si="29"/>
        <v/>
      </c>
      <c r="IV35" s="1" t="str">
        <f t="shared" si="29"/>
        <v/>
      </c>
      <c r="IW35" s="1" t="str">
        <f t="shared" si="29"/>
        <v/>
      </c>
      <c r="IX35" s="1" t="str">
        <f t="shared" si="29"/>
        <v/>
      </c>
      <c r="IY35" s="1" t="str">
        <f t="shared" si="29"/>
        <v/>
      </c>
      <c r="IZ35" s="1" t="str">
        <f t="shared" si="29"/>
        <v/>
      </c>
      <c r="JA35" s="1" t="str">
        <f t="shared" si="29"/>
        <v/>
      </c>
      <c r="JB35" s="1" t="str">
        <f t="shared" si="29"/>
        <v/>
      </c>
      <c r="JC35" s="1" t="str">
        <f t="shared" si="29"/>
        <v/>
      </c>
      <c r="JD35" s="1" t="str">
        <f t="shared" si="29"/>
        <v/>
      </c>
      <c r="JE35" s="1" t="str">
        <f t="shared" si="29"/>
        <v/>
      </c>
      <c r="JF35" s="1" t="str">
        <f t="shared" si="29"/>
        <v/>
      </c>
      <c r="JG35" s="1" t="str">
        <f t="shared" si="29"/>
        <v/>
      </c>
      <c r="JH35" s="1" t="str">
        <f t="shared" si="29"/>
        <v/>
      </c>
      <c r="JI35" s="1" t="str">
        <f t="shared" si="29"/>
        <v/>
      </c>
      <c r="JJ35" s="1" t="str">
        <f t="shared" si="30"/>
        <v/>
      </c>
      <c r="JK35" s="1" t="str">
        <f t="shared" si="30"/>
        <v/>
      </c>
      <c r="JL35" s="1" t="str">
        <f t="shared" si="24"/>
        <v/>
      </c>
      <c r="JM35" s="1" t="str">
        <f t="shared" si="12"/>
        <v/>
      </c>
      <c r="JN35" s="1" t="str">
        <f t="shared" si="12"/>
        <v/>
      </c>
      <c r="JO35" s="1" t="str">
        <f t="shared" si="12"/>
        <v/>
      </c>
    </row>
    <row r="36" spans="1:275" ht="14.5" x14ac:dyDescent="0.35">
      <c r="A36" s="59">
        <f>IF('Data input'!A36&lt;&gt;"",'Data input'!A36,"")</f>
        <v>34</v>
      </c>
      <c r="B36" s="60" t="str">
        <f>IF('Data input'!B36&lt;&gt;"",'Data input'!B36,"")</f>
        <v>North Carolina</v>
      </c>
      <c r="C36" s="19">
        <f>IF('Data input'!C36="","",4*('Data input'!C36-'Data input'!C$108)/('Data input'!C$109-'Data input'!C$108)+1)</f>
        <v>4.2953236956916605</v>
      </c>
      <c r="D36" s="19" t="str">
        <f>IF('Data input'!D36="","",4*('Data input'!D36-'Data input'!D$108)/('Data input'!D$109-'Data input'!D$108)+1)</f>
        <v/>
      </c>
      <c r="E36" s="19" t="str">
        <f>IF('Data input'!E36="","",4*('Data input'!E36-'Data input'!E$108)/('Data input'!E$109-'Data input'!E$108)+1)</f>
        <v/>
      </c>
      <c r="F36" s="19" t="str">
        <f>IF('Data input'!F36="","",4*('Data input'!F36-'Data input'!F$108)/('Data input'!F$109-'Data input'!F$108)+1)</f>
        <v/>
      </c>
      <c r="G36" s="19" t="str">
        <f>IF('Data input'!G36="","",4*('Data input'!G36-'Data input'!G$108)/('Data input'!G$109-'Data input'!G$108)+1)</f>
        <v/>
      </c>
      <c r="H36" s="61">
        <f>IF('Data input'!H36="","",4*('Data input'!H36-'Data input'!H$108)/('Data input'!H$109-'Data input'!H$108)+1)</f>
        <v>1.3447876352997368</v>
      </c>
      <c r="I36" s="19">
        <f>IF('Data input'!I36="","",4*('Data input'!I36-'Data input'!I$108)/('Data input'!I$109-'Data input'!I$108)+1)</f>
        <v>3.0554955903646177</v>
      </c>
      <c r="J36" s="19" t="str">
        <f>IF('Data input'!J36="","",4*('Data input'!J36-'Data input'!J$108)/('Data input'!J$109-'Data input'!J$108)+1)</f>
        <v/>
      </c>
      <c r="K36" s="19" t="str">
        <f>IF('Data input'!K36="","",4*('Data input'!K36-'Data input'!K$108)/('Data input'!K$109-'Data input'!K$108)+1)</f>
        <v/>
      </c>
      <c r="L36" s="19" t="str">
        <f>IF('Data input'!L36="","",4*('Data input'!L36-'Data input'!L$108)/('Data input'!L$109-'Data input'!L$108)+1)</f>
        <v/>
      </c>
      <c r="M36" s="19">
        <f>IF('Data input'!M36="","",4*('Data input'!M36-'Data input'!M$108)/('Data input'!M$109-'Data input'!M$108)+1)</f>
        <v>2.0802467422913846</v>
      </c>
      <c r="N36" s="16" t="str">
        <f>IF('Data input'!N36="","",4*('Data input'!N36-'Data input'!N$108)/('Data input'!N$109-'Data input'!N$108)+1)</f>
        <v/>
      </c>
      <c r="O36" s="19" t="str">
        <f>IF('Data input'!O36="","",4*('Data input'!O36-'Data input'!O$108)/('Data input'!O$109-'Data input'!O$108)+1)</f>
        <v/>
      </c>
      <c r="P36" s="19" t="str">
        <f>IF('Data input'!P36="","",4*('Data input'!P36-'Data input'!P$108)/('Data input'!P$109-'Data input'!P$108)+1)</f>
        <v/>
      </c>
      <c r="Q36" s="19" t="str">
        <f>IF('Data input'!Q36="","",4*('Data input'!Q36-'Data input'!Q$108)/('Data input'!Q$109-'Data input'!Q$108)+1)</f>
        <v/>
      </c>
      <c r="R36" s="19" t="str">
        <f>IF('Data input'!R36="","",4*('Data input'!R36-'Data input'!R$108)/('Data input'!R$109-'Data input'!R$108)+1)</f>
        <v/>
      </c>
      <c r="S36" s="16" t="str">
        <f>IF('Data input'!S36="","",4*('Data input'!S36-'Data input'!S$108)/('Data input'!S$109-'Data input'!S$108)+1)</f>
        <v/>
      </c>
      <c r="T36" s="19" t="str">
        <f>IF('Data input'!T36="","",4*('Data input'!T36-'Data input'!T$108)/('Data input'!T$109-'Data input'!T$108)+1)</f>
        <v/>
      </c>
      <c r="U36" s="19" t="str">
        <f>IF('Data input'!U36="","",4*('Data input'!U36-'Data input'!U$108)/('Data input'!U$109-'Data input'!U$108)+1)</f>
        <v/>
      </c>
      <c r="V36" s="19" t="str">
        <f>IF('Data input'!V36="","",4*('Data input'!V36-'Data input'!V$108)/('Data input'!V$109-'Data input'!V$108)+1)</f>
        <v/>
      </c>
      <c r="W36" s="16" t="str">
        <f>IF('Data input'!W36="","",4*('Data input'!W36-'Data input'!W$108)/('Data input'!W$109-'Data input'!W$108)+1)</f>
        <v/>
      </c>
      <c r="X36" s="16" t="str">
        <f>IF('Data input'!X36="","",4*('Data input'!X36-'Data input'!X$108)/('Data input'!X$109-'Data input'!X$108)+1)</f>
        <v/>
      </c>
      <c r="Y36" s="16" t="str">
        <f>IF('Data input'!Y36="","",4*('Data input'!Y36-'Data input'!Y$108)/('Data input'!Y$109-'Data input'!Y$108)+1)</f>
        <v/>
      </c>
      <c r="Z36" s="16" t="str">
        <f>IF('Data input'!Z36="","",4*('Data input'!Z36-'Data input'!Z$108)/('Data input'!Z$109-'Data input'!Z$108)+1)</f>
        <v/>
      </c>
      <c r="AA36" s="62" t="str">
        <f>IF('Data input'!AA36="","",4*('Data input'!AA36-'Data input'!AA$108)/('Data input'!AA$109-'Data input'!AA$108)+1)</f>
        <v/>
      </c>
      <c r="AB36" s="78"/>
      <c r="AC36" s="79">
        <v>0</v>
      </c>
      <c r="AD36" s="80" t="e">
        <f t="shared" si="13"/>
        <v>#DIV/0!</v>
      </c>
      <c r="AE36" s="4"/>
      <c r="AF36" s="59">
        <f t="shared" si="14"/>
        <v>34</v>
      </c>
      <c r="AG36" s="60" t="str">
        <f t="shared" si="14"/>
        <v>North Carolina</v>
      </c>
      <c r="AH36">
        <v>0.50884532772295132</v>
      </c>
      <c r="AI36" t="s">
        <v>69</v>
      </c>
      <c r="AJ36" t="s">
        <v>69</v>
      </c>
      <c r="AK36" t="s">
        <v>69</v>
      </c>
      <c r="AL36" t="s">
        <v>69</v>
      </c>
      <c r="AM36">
        <v>0.34478763529973677</v>
      </c>
      <c r="AN36">
        <v>0.35642032039172733</v>
      </c>
      <c r="AO36" t="s">
        <v>69</v>
      </c>
      <c r="AP36" t="s">
        <v>69</v>
      </c>
      <c r="AQ36" t="s">
        <v>69</v>
      </c>
      <c r="AR36">
        <v>0.66103291591560265</v>
      </c>
      <c r="AS36" s="71">
        <f t="shared" si="15"/>
        <v>4.8041690234146115</v>
      </c>
      <c r="AT36" s="71" t="str">
        <f t="shared" si="15"/>
        <v/>
      </c>
      <c r="AU36" s="71" t="str">
        <f t="shared" si="15"/>
        <v/>
      </c>
      <c r="AV36" s="71" t="str">
        <f t="shared" si="15"/>
        <v/>
      </c>
      <c r="AW36" s="71" t="str">
        <f t="shared" si="15"/>
        <v/>
      </c>
      <c r="AX36" s="71">
        <f t="shared" si="16"/>
        <v>1</v>
      </c>
      <c r="AY36" s="71">
        <f t="shared" si="16"/>
        <v>2.6990752699728904</v>
      </c>
      <c r="AZ36" s="71" t="str">
        <f t="shared" si="16"/>
        <v/>
      </c>
      <c r="BA36" s="71" t="str">
        <f t="shared" si="16"/>
        <v/>
      </c>
      <c r="BB36" s="71" t="str">
        <f t="shared" si="16"/>
        <v/>
      </c>
      <c r="BC36" s="18">
        <f>IF(C36&lt;&gt;"",(('Data input'!C$109-'Data input'!C$108)*(AS36-1)/4)+'Data input'!C$108,"")</f>
        <v>0.98918261264425444</v>
      </c>
      <c r="BD36" s="18" t="str">
        <f>IF(D36&lt;&gt;"",(('Data input'!D$109-'Data input'!D$108)*(AT36-1)/4)+'Data input'!D$108,"")</f>
        <v/>
      </c>
      <c r="BE36" s="18" t="str">
        <f>IF(E36&lt;&gt;"",(('Data input'!E$109-'Data input'!E$108)*(AU36-1)/4)+'Data input'!E$108,"")</f>
        <v/>
      </c>
      <c r="BF36" s="18" t="str">
        <f>IF(F36&lt;&gt;"",(('Data input'!F$109-'Data input'!F$108)*(AV36-1)/4)+'Data input'!F$108,"")</f>
        <v/>
      </c>
      <c r="BG36" s="18" t="str">
        <f>IF(G36&lt;&gt;"",(('Data input'!G$109-'Data input'!G$108)*(AW36-1)/4)+'Data input'!G$108,"")</f>
        <v/>
      </c>
      <c r="BH36" s="19">
        <f>IF(H36&lt;&gt;"",(('Data input'!H$109-'Data input'!H$108)*(AX36-1)/4)+'Data input'!H$108,"")</f>
        <v>0.29574268608402715</v>
      </c>
      <c r="BI36" s="18">
        <f>IF(I36&lt;&gt;"",(('Data input'!I$109-'Data input'!I$108)*(AY36-1)/4)+'Data input'!I$108,"")</f>
        <v>7.4603799732885112E-2</v>
      </c>
      <c r="BJ36" s="19" t="str">
        <f>IF(J36&lt;&gt;"",(('Data input'!J$109-'Data input'!J$108)*(AZ36-1)/4)+'Data input'!J$108,"")</f>
        <v/>
      </c>
      <c r="BK36" s="19" t="str">
        <f>IF(K36&lt;&gt;"",(('Data input'!K$109-'Data input'!K$108)*(BA36-1)/4)+'Data input'!K$108,"")</f>
        <v/>
      </c>
      <c r="BL36" s="19" t="str">
        <f>IF(L36&lt;&gt;"",(('Data input'!L$109-'Data input'!L$108)*(BB36-1)/4)+'Data input'!L$108,"")</f>
        <v/>
      </c>
      <c r="BM36" s="18">
        <f>IF(C36&lt;&gt;"",BC36-'Data input'!C36,"")</f>
        <v>1.8474733278478928E-2</v>
      </c>
      <c r="BN36" s="18" t="str">
        <f>IF(D36&lt;&gt;"",BD36-'Data input'!D36,"")</f>
        <v/>
      </c>
      <c r="BO36" s="18" t="str">
        <f>IF(E36&lt;&gt;"",BE36-'Data input'!E36,"")</f>
        <v/>
      </c>
      <c r="BP36" s="18" t="str">
        <f>IF(F36&lt;&gt;"",BF36-'Data input'!F36,"")</f>
        <v/>
      </c>
      <c r="BQ36" s="18" t="str">
        <f>IF(G36&lt;&gt;"",BG36-'Data input'!G36,"")</f>
        <v/>
      </c>
      <c r="BR36" s="19">
        <f>IF(H36&lt;&gt;"",BH36-'Data input'!H36,"")</f>
        <v>-7.5087267899744941</v>
      </c>
      <c r="BS36" s="18">
        <f>IF(I36&lt;&gt;"",BI36-'Data input'!I36,"")</f>
        <v>-1.5649871829197665E-2</v>
      </c>
      <c r="BT36" s="18" t="str">
        <f>IF(J36&lt;&gt;"",BJ36-'Data input'!J36,"")</f>
        <v/>
      </c>
      <c r="BU36" s="18" t="str">
        <f>IF(K36&lt;&gt;"",BK36-'Data input'!K36,"")</f>
        <v/>
      </c>
      <c r="BV36" s="72" t="str">
        <f>IF(L36&lt;&gt;"",BL36-'Data input'!L36,"")</f>
        <v/>
      </c>
      <c r="BW36" s="121" t="str">
        <f t="shared" si="17"/>
        <v xml:space="preserve">Texas; </v>
      </c>
      <c r="BX36" s="1">
        <v>0</v>
      </c>
      <c r="BY36" s="1">
        <v>0</v>
      </c>
      <c r="BZ36" s="1">
        <v>0</v>
      </c>
      <c r="CA36" s="1">
        <v>0</v>
      </c>
      <c r="CB36" s="1">
        <v>0</v>
      </c>
      <c r="CC36" s="1">
        <v>0</v>
      </c>
      <c r="CD36" s="1">
        <v>0</v>
      </c>
      <c r="CE36" s="1">
        <v>0</v>
      </c>
      <c r="CF36" s="1">
        <v>0</v>
      </c>
      <c r="CG36" s="1">
        <v>0</v>
      </c>
      <c r="CH36" s="1">
        <v>0</v>
      </c>
      <c r="CI36" s="1">
        <v>0</v>
      </c>
      <c r="CJ36" s="1">
        <v>0</v>
      </c>
      <c r="CK36" s="1">
        <v>0</v>
      </c>
      <c r="CL36" s="1">
        <v>0</v>
      </c>
      <c r="CM36" s="1">
        <v>0</v>
      </c>
      <c r="CN36" s="1">
        <v>0</v>
      </c>
      <c r="CO36" s="1">
        <v>0</v>
      </c>
      <c r="CP36" s="1">
        <v>0</v>
      </c>
      <c r="CQ36" s="1">
        <v>0</v>
      </c>
      <c r="CR36" s="1">
        <v>0</v>
      </c>
      <c r="CS36" s="1">
        <v>0</v>
      </c>
      <c r="CT36" s="1">
        <v>0</v>
      </c>
      <c r="CU36" s="1">
        <v>0</v>
      </c>
      <c r="CV36" s="1">
        <v>0</v>
      </c>
      <c r="CW36" s="1">
        <v>0</v>
      </c>
      <c r="CX36" s="1">
        <v>0</v>
      </c>
      <c r="CY36" s="1">
        <v>0</v>
      </c>
      <c r="CZ36" s="1">
        <v>8.2095040105734625E-16</v>
      </c>
      <c r="DA36" s="1">
        <v>0</v>
      </c>
      <c r="DB36" s="1">
        <v>0</v>
      </c>
      <c r="DC36" s="1">
        <v>0</v>
      </c>
      <c r="DD36" s="1">
        <v>0</v>
      </c>
      <c r="DE36" s="1">
        <v>0</v>
      </c>
      <c r="DF36" s="1">
        <v>0</v>
      </c>
      <c r="DG36" s="1">
        <v>0</v>
      </c>
      <c r="DH36" s="1">
        <v>0</v>
      </c>
      <c r="DI36" s="1">
        <v>0</v>
      </c>
      <c r="DJ36" s="1">
        <v>0</v>
      </c>
      <c r="DK36" s="1">
        <v>0</v>
      </c>
      <c r="DL36" s="1">
        <v>0</v>
      </c>
      <c r="DM36" s="1">
        <v>0</v>
      </c>
      <c r="DN36" s="1">
        <v>0.99999999999999867</v>
      </c>
      <c r="DO36" s="1">
        <v>0</v>
      </c>
      <c r="DP36" s="1">
        <v>0</v>
      </c>
      <c r="DQ36" s="1">
        <v>0</v>
      </c>
      <c r="DR36" s="1">
        <v>0</v>
      </c>
      <c r="DS36" s="1">
        <v>0</v>
      </c>
      <c r="DT36" s="1">
        <v>0</v>
      </c>
      <c r="DU36" s="1">
        <v>0</v>
      </c>
      <c r="DV36" s="1">
        <v>0</v>
      </c>
      <c r="DW36" s="1">
        <v>0</v>
      </c>
      <c r="DX36" s="1">
        <v>0</v>
      </c>
      <c r="DY36" s="1">
        <v>0</v>
      </c>
      <c r="DZ36" s="1">
        <v>0</v>
      </c>
      <c r="FT36" s="1" t="str">
        <f t="shared" si="25"/>
        <v/>
      </c>
      <c r="FU36" s="1" t="str">
        <f t="shared" si="25"/>
        <v/>
      </c>
      <c r="FV36" s="1" t="str">
        <f t="shared" si="25"/>
        <v/>
      </c>
      <c r="FW36" s="1" t="str">
        <f t="shared" si="25"/>
        <v/>
      </c>
      <c r="FX36" s="1" t="str">
        <f t="shared" si="25"/>
        <v/>
      </c>
      <c r="FY36" s="1" t="str">
        <f t="shared" si="25"/>
        <v/>
      </c>
      <c r="FZ36" s="1" t="str">
        <f t="shared" si="25"/>
        <v/>
      </c>
      <c r="GA36" s="1" t="str">
        <f t="shared" si="25"/>
        <v/>
      </c>
      <c r="GB36" s="1" t="str">
        <f t="shared" si="25"/>
        <v/>
      </c>
      <c r="GC36" s="1" t="str">
        <f t="shared" si="25"/>
        <v/>
      </c>
      <c r="GD36" s="1" t="str">
        <f t="shared" si="25"/>
        <v/>
      </c>
      <c r="GE36" s="1" t="str">
        <f t="shared" si="25"/>
        <v/>
      </c>
      <c r="GF36" s="1" t="str">
        <f t="shared" si="25"/>
        <v/>
      </c>
      <c r="GG36" s="1" t="str">
        <f t="shared" si="25"/>
        <v/>
      </c>
      <c r="GH36" s="1" t="str">
        <f t="shared" si="25"/>
        <v/>
      </c>
      <c r="GI36" s="1" t="str">
        <f t="shared" si="25"/>
        <v/>
      </c>
      <c r="GJ36" s="1" t="str">
        <f t="shared" si="31"/>
        <v/>
      </c>
      <c r="GK36" s="1" t="str">
        <f t="shared" si="31"/>
        <v/>
      </c>
      <c r="GL36" s="1" t="str">
        <f t="shared" si="31"/>
        <v/>
      </c>
      <c r="GM36" s="1" t="str">
        <f t="shared" si="31"/>
        <v/>
      </c>
      <c r="GN36" s="1" t="str">
        <f t="shared" si="31"/>
        <v/>
      </c>
      <c r="GO36" s="1" t="str">
        <f t="shared" si="31"/>
        <v/>
      </c>
      <c r="GP36" s="1" t="str">
        <f t="shared" si="31"/>
        <v/>
      </c>
      <c r="GQ36" s="1" t="str">
        <f t="shared" si="31"/>
        <v/>
      </c>
      <c r="GR36" s="1" t="str">
        <f t="shared" si="31"/>
        <v/>
      </c>
      <c r="GS36" s="1" t="str">
        <f t="shared" si="31"/>
        <v/>
      </c>
      <c r="GT36" s="1" t="str">
        <f t="shared" si="31"/>
        <v/>
      </c>
      <c r="GU36" s="1" t="str">
        <f t="shared" si="31"/>
        <v/>
      </c>
      <c r="GV36" s="1" t="str">
        <f t="shared" si="31"/>
        <v/>
      </c>
      <c r="GW36" s="1" t="str">
        <f t="shared" si="31"/>
        <v/>
      </c>
      <c r="GX36" s="1" t="str">
        <f t="shared" si="26"/>
        <v/>
      </c>
      <c r="GY36" s="1" t="str">
        <f t="shared" si="26"/>
        <v/>
      </c>
      <c r="GZ36" s="1" t="str">
        <f t="shared" si="26"/>
        <v/>
      </c>
      <c r="HA36" s="1" t="str">
        <f t="shared" si="26"/>
        <v/>
      </c>
      <c r="HB36" s="1" t="str">
        <f t="shared" si="26"/>
        <v/>
      </c>
      <c r="HC36" s="1" t="str">
        <f t="shared" si="26"/>
        <v/>
      </c>
      <c r="HD36" s="1" t="str">
        <f t="shared" si="26"/>
        <v/>
      </c>
      <c r="HE36" s="1" t="str">
        <f t="shared" si="26"/>
        <v/>
      </c>
      <c r="HF36" s="1" t="str">
        <f t="shared" si="26"/>
        <v/>
      </c>
      <c r="HG36" s="1" t="str">
        <f t="shared" si="26"/>
        <v/>
      </c>
      <c r="HH36" s="1" t="str">
        <f t="shared" si="26"/>
        <v/>
      </c>
      <c r="HI36" s="1" t="str">
        <f t="shared" si="26"/>
        <v/>
      </c>
      <c r="HJ36" s="1" t="str">
        <f t="shared" si="26"/>
        <v xml:space="preserve">Texas; </v>
      </c>
      <c r="HK36" s="1" t="str">
        <f t="shared" si="26"/>
        <v/>
      </c>
      <c r="HL36" s="1" t="str">
        <f t="shared" si="26"/>
        <v/>
      </c>
      <c r="HM36" s="1" t="str">
        <f t="shared" si="26"/>
        <v/>
      </c>
      <c r="HN36" s="1" t="str">
        <f t="shared" si="27"/>
        <v/>
      </c>
      <c r="HO36" s="1" t="str">
        <f t="shared" si="27"/>
        <v/>
      </c>
      <c r="HP36" s="1" t="str">
        <f t="shared" si="27"/>
        <v/>
      </c>
      <c r="HQ36" s="1" t="str">
        <f t="shared" si="27"/>
        <v/>
      </c>
      <c r="HR36" s="1" t="str">
        <f t="shared" si="27"/>
        <v/>
      </c>
      <c r="HS36" s="1" t="str">
        <f t="shared" si="27"/>
        <v/>
      </c>
      <c r="HT36" s="1" t="str">
        <f t="shared" si="27"/>
        <v/>
      </c>
      <c r="HU36" s="1" t="str">
        <f t="shared" si="27"/>
        <v/>
      </c>
      <c r="HV36" s="1" t="str">
        <f t="shared" si="27"/>
        <v/>
      </c>
      <c r="HW36" s="1" t="str">
        <f t="shared" si="27"/>
        <v/>
      </c>
      <c r="HX36" s="1" t="str">
        <f t="shared" si="27"/>
        <v/>
      </c>
      <c r="HY36" s="1" t="str">
        <f t="shared" si="27"/>
        <v/>
      </c>
      <c r="HZ36" s="1" t="str">
        <f t="shared" si="27"/>
        <v/>
      </c>
      <c r="IA36" s="1" t="str">
        <f t="shared" si="27"/>
        <v/>
      </c>
      <c r="IB36" s="1" t="str">
        <f t="shared" si="27"/>
        <v/>
      </c>
      <c r="IC36" s="1" t="str">
        <f t="shared" si="27"/>
        <v/>
      </c>
      <c r="ID36" s="1" t="str">
        <f t="shared" si="28"/>
        <v/>
      </c>
      <c r="IE36" s="1" t="str">
        <f t="shared" si="28"/>
        <v/>
      </c>
      <c r="IF36" s="1" t="str">
        <f t="shared" si="28"/>
        <v/>
      </c>
      <c r="IG36" s="1" t="str">
        <f t="shared" si="28"/>
        <v/>
      </c>
      <c r="IH36" s="1" t="str">
        <f t="shared" si="28"/>
        <v/>
      </c>
      <c r="II36" s="1" t="str">
        <f t="shared" si="28"/>
        <v/>
      </c>
      <c r="IJ36" s="1" t="str">
        <f t="shared" si="28"/>
        <v/>
      </c>
      <c r="IK36" s="1" t="str">
        <f t="shared" si="28"/>
        <v/>
      </c>
      <c r="IL36" s="1" t="str">
        <f t="shared" si="28"/>
        <v/>
      </c>
      <c r="IM36" s="1" t="str">
        <f t="shared" si="28"/>
        <v/>
      </c>
      <c r="IN36" s="1" t="str">
        <f t="shared" si="28"/>
        <v/>
      </c>
      <c r="IO36" s="1" t="str">
        <f t="shared" si="28"/>
        <v/>
      </c>
      <c r="IP36" s="1" t="str">
        <f t="shared" si="28"/>
        <v/>
      </c>
      <c r="IQ36" s="1" t="str">
        <f t="shared" si="28"/>
        <v/>
      </c>
      <c r="IR36" s="1" t="str">
        <f t="shared" si="28"/>
        <v/>
      </c>
      <c r="IS36" s="1" t="str">
        <f t="shared" si="28"/>
        <v/>
      </c>
      <c r="IT36" s="1" t="str">
        <f t="shared" si="29"/>
        <v/>
      </c>
      <c r="IU36" s="1" t="str">
        <f t="shared" si="29"/>
        <v/>
      </c>
      <c r="IV36" s="1" t="str">
        <f t="shared" si="29"/>
        <v/>
      </c>
      <c r="IW36" s="1" t="str">
        <f t="shared" si="29"/>
        <v/>
      </c>
      <c r="IX36" s="1" t="str">
        <f t="shared" si="29"/>
        <v/>
      </c>
      <c r="IY36" s="1" t="str">
        <f t="shared" si="29"/>
        <v/>
      </c>
      <c r="IZ36" s="1" t="str">
        <f t="shared" si="29"/>
        <v/>
      </c>
      <c r="JA36" s="1" t="str">
        <f t="shared" si="29"/>
        <v/>
      </c>
      <c r="JB36" s="1" t="str">
        <f t="shared" si="29"/>
        <v/>
      </c>
      <c r="JC36" s="1" t="str">
        <f t="shared" si="29"/>
        <v/>
      </c>
      <c r="JD36" s="1" t="str">
        <f t="shared" si="29"/>
        <v/>
      </c>
      <c r="JE36" s="1" t="str">
        <f t="shared" si="29"/>
        <v/>
      </c>
      <c r="JF36" s="1" t="str">
        <f t="shared" si="29"/>
        <v/>
      </c>
      <c r="JG36" s="1" t="str">
        <f t="shared" si="29"/>
        <v/>
      </c>
      <c r="JH36" s="1" t="str">
        <f t="shared" si="29"/>
        <v/>
      </c>
      <c r="JI36" s="1" t="str">
        <f t="shared" si="29"/>
        <v/>
      </c>
      <c r="JJ36" s="1" t="str">
        <f t="shared" si="30"/>
        <v/>
      </c>
      <c r="JK36" s="1" t="str">
        <f t="shared" si="30"/>
        <v/>
      </c>
      <c r="JL36" s="1" t="str">
        <f t="shared" si="24"/>
        <v/>
      </c>
      <c r="JM36" s="1" t="str">
        <f t="shared" si="12"/>
        <v/>
      </c>
      <c r="JN36" s="1" t="str">
        <f t="shared" si="12"/>
        <v/>
      </c>
      <c r="JO36" s="1" t="str">
        <f t="shared" si="12"/>
        <v/>
      </c>
    </row>
    <row r="37" spans="1:275" ht="14.5" x14ac:dyDescent="0.35">
      <c r="A37" s="59">
        <f>IF('Data input'!A37&lt;&gt;"",'Data input'!A37,"")</f>
        <v>35</v>
      </c>
      <c r="B37" s="60" t="str">
        <f>IF('Data input'!B37&lt;&gt;"",'Data input'!B37,"")</f>
        <v>North Dakota</v>
      </c>
      <c r="C37" s="19">
        <f>IF('Data input'!C37="","",4*('Data input'!C37-'Data input'!C$108)/('Data input'!C$109-'Data input'!C$108)+1)</f>
        <v>4.8076046413984717</v>
      </c>
      <c r="D37" s="19" t="str">
        <f>IF('Data input'!D37="","",4*('Data input'!D37-'Data input'!D$108)/('Data input'!D$109-'Data input'!D$108)+1)</f>
        <v/>
      </c>
      <c r="E37" s="19" t="str">
        <f>IF('Data input'!E37="","",4*('Data input'!E37-'Data input'!E$108)/('Data input'!E$109-'Data input'!E$108)+1)</f>
        <v/>
      </c>
      <c r="F37" s="19" t="str">
        <f>IF('Data input'!F37="","",4*('Data input'!F37-'Data input'!F$108)/('Data input'!F$109-'Data input'!F$108)+1)</f>
        <v/>
      </c>
      <c r="G37" s="19" t="str">
        <f>IF('Data input'!G37="","",4*('Data input'!G37-'Data input'!G$108)/('Data input'!G$109-'Data input'!G$108)+1)</f>
        <v/>
      </c>
      <c r="H37" s="61">
        <f>IF('Data input'!H37="","",4*('Data input'!H37-'Data input'!H$108)/('Data input'!H$109-'Data input'!H$108)+1)</f>
        <v>3.0189875372758563</v>
      </c>
      <c r="I37" s="19">
        <f>IF('Data input'!I37="","",4*('Data input'!I37-'Data input'!I$108)/('Data input'!I$109-'Data input'!I$108)+1)</f>
        <v>1</v>
      </c>
      <c r="J37" s="19" t="str">
        <f>IF('Data input'!J37="","",4*('Data input'!J37-'Data input'!J$108)/('Data input'!J$109-'Data input'!J$108)+1)</f>
        <v/>
      </c>
      <c r="K37" s="19" t="str">
        <f>IF('Data input'!K37="","",4*('Data input'!K37-'Data input'!K$108)/('Data input'!K$109-'Data input'!K$108)+1)</f>
        <v/>
      </c>
      <c r="L37" s="19" t="str">
        <f>IF('Data input'!L37="","",4*('Data input'!L37-'Data input'!L$108)/('Data input'!L$109-'Data input'!L$108)+1)</f>
        <v/>
      </c>
      <c r="M37" s="19">
        <f>IF('Data input'!M37="","",4*('Data input'!M37-'Data input'!M$108)/('Data input'!M$109-'Data input'!M$108)+1)</f>
        <v>1.0721181950703338</v>
      </c>
      <c r="N37" s="16" t="str">
        <f>IF('Data input'!N37="","",4*('Data input'!N37-'Data input'!N$108)/('Data input'!N$109-'Data input'!N$108)+1)</f>
        <v/>
      </c>
      <c r="O37" s="19" t="str">
        <f>IF('Data input'!O37="","",4*('Data input'!O37-'Data input'!O$108)/('Data input'!O$109-'Data input'!O$108)+1)</f>
        <v/>
      </c>
      <c r="P37" s="19" t="str">
        <f>IF('Data input'!P37="","",4*('Data input'!P37-'Data input'!P$108)/('Data input'!P$109-'Data input'!P$108)+1)</f>
        <v/>
      </c>
      <c r="Q37" s="19" t="str">
        <f>IF('Data input'!Q37="","",4*('Data input'!Q37-'Data input'!Q$108)/('Data input'!Q$109-'Data input'!Q$108)+1)</f>
        <v/>
      </c>
      <c r="R37" s="19" t="str">
        <f>IF('Data input'!R37="","",4*('Data input'!R37-'Data input'!R$108)/('Data input'!R$109-'Data input'!R$108)+1)</f>
        <v/>
      </c>
      <c r="S37" s="16" t="str">
        <f>IF('Data input'!S37="","",4*('Data input'!S37-'Data input'!S$108)/('Data input'!S$109-'Data input'!S$108)+1)</f>
        <v/>
      </c>
      <c r="T37" s="19" t="str">
        <f>IF('Data input'!T37="","",4*('Data input'!T37-'Data input'!T$108)/('Data input'!T$109-'Data input'!T$108)+1)</f>
        <v/>
      </c>
      <c r="U37" s="19" t="str">
        <f>IF('Data input'!U37="","",4*('Data input'!U37-'Data input'!U$108)/('Data input'!U$109-'Data input'!U$108)+1)</f>
        <v/>
      </c>
      <c r="V37" s="19" t="str">
        <f>IF('Data input'!V37="","",4*('Data input'!V37-'Data input'!V$108)/('Data input'!V$109-'Data input'!V$108)+1)</f>
        <v/>
      </c>
      <c r="W37" s="16" t="str">
        <f>IF('Data input'!W37="","",4*('Data input'!W37-'Data input'!W$108)/('Data input'!W$109-'Data input'!W$108)+1)</f>
        <v/>
      </c>
      <c r="X37" s="16" t="str">
        <f>IF('Data input'!X37="","",4*('Data input'!X37-'Data input'!X$108)/('Data input'!X$109-'Data input'!X$108)+1)</f>
        <v/>
      </c>
      <c r="Y37" s="16" t="str">
        <f>IF('Data input'!Y37="","",4*('Data input'!Y37-'Data input'!Y$108)/('Data input'!Y$109-'Data input'!Y$108)+1)</f>
        <v/>
      </c>
      <c r="Z37" s="16" t="str">
        <f>IF('Data input'!Z37="","",4*('Data input'!Z37-'Data input'!Z$108)/('Data input'!Z$109-'Data input'!Z$108)+1)</f>
        <v/>
      </c>
      <c r="AA37" s="62" t="str">
        <f>IF('Data input'!AA37="","",4*('Data input'!AA37-'Data input'!AA$108)/('Data input'!AA$109-'Data input'!AA$108)+1)</f>
        <v/>
      </c>
      <c r="AB37" s="78"/>
      <c r="AC37" s="79">
        <v>0</v>
      </c>
      <c r="AD37" s="80" t="e">
        <f t="shared" si="13"/>
        <v>#DIV/0!</v>
      </c>
      <c r="AE37" s="4"/>
      <c r="AF37" s="59">
        <f t="shared" si="14"/>
        <v>35</v>
      </c>
      <c r="AG37" s="60" t="str">
        <f t="shared" si="14"/>
        <v>North Dakota</v>
      </c>
      <c r="AH37">
        <v>0</v>
      </c>
      <c r="AI37" t="s">
        <v>69</v>
      </c>
      <c r="AJ37" t="s">
        <v>69</v>
      </c>
      <c r="AK37" t="s">
        <v>69</v>
      </c>
      <c r="AL37" t="s">
        <v>69</v>
      </c>
      <c r="AM37">
        <v>1.8828120393982823</v>
      </c>
      <c r="AN37">
        <v>0</v>
      </c>
      <c r="AO37" t="s">
        <v>69</v>
      </c>
      <c r="AP37" t="s">
        <v>69</v>
      </c>
      <c r="AQ37" t="s">
        <v>69</v>
      </c>
      <c r="AR37">
        <v>0.68817161115258974</v>
      </c>
      <c r="AS37" s="71">
        <f t="shared" si="15"/>
        <v>4.8076046413984717</v>
      </c>
      <c r="AT37" s="71" t="str">
        <f t="shared" si="15"/>
        <v/>
      </c>
      <c r="AU37" s="71" t="str">
        <f t="shared" si="15"/>
        <v/>
      </c>
      <c r="AV37" s="71" t="str">
        <f t="shared" si="15"/>
        <v/>
      </c>
      <c r="AW37" s="71" t="str">
        <f t="shared" si="15"/>
        <v/>
      </c>
      <c r="AX37" s="71">
        <f t="shared" si="16"/>
        <v>1.136175497877574</v>
      </c>
      <c r="AY37" s="71">
        <f t="shared" si="16"/>
        <v>1</v>
      </c>
      <c r="AZ37" s="71" t="str">
        <f t="shared" si="16"/>
        <v/>
      </c>
      <c r="BA37" s="71" t="str">
        <f t="shared" si="16"/>
        <v/>
      </c>
      <c r="BB37" s="71" t="str">
        <f t="shared" si="16"/>
        <v/>
      </c>
      <c r="BC37" s="18">
        <f>IF(C37&lt;&gt;"",(('Data input'!C$109-'Data input'!C$108)*(AS37-1)/4)+'Data input'!C$108,"")</f>
        <v>0.98930735020681126</v>
      </c>
      <c r="BD37" s="18" t="str">
        <f>IF(D37&lt;&gt;"",(('Data input'!D$109-'Data input'!D$108)*(AT37-1)/4)+'Data input'!D$108,"")</f>
        <v/>
      </c>
      <c r="BE37" s="18" t="str">
        <f>IF(E37&lt;&gt;"",(('Data input'!E$109-'Data input'!E$108)*(AU37-1)/4)+'Data input'!E$108,"")</f>
        <v/>
      </c>
      <c r="BF37" s="18" t="str">
        <f>IF(F37&lt;&gt;"",(('Data input'!F$109-'Data input'!F$108)*(AV37-1)/4)+'Data input'!F$108,"")</f>
        <v/>
      </c>
      <c r="BG37" s="18" t="str">
        <f>IF(G37&lt;&gt;"",(('Data input'!G$109-'Data input'!G$108)*(AW37-1)/4)+'Data input'!G$108,"")</f>
        <v/>
      </c>
      <c r="BH37" s="19">
        <f>IF(H37&lt;&gt;"",(('Data input'!H$109-'Data input'!H$108)*(AX37-1)/4)+'Data input'!H$108,"")</f>
        <v>3.2613496405287634</v>
      </c>
      <c r="BI37" s="18">
        <f>IF(I37&lt;&gt;"",(('Data input'!I$109-'Data input'!I$108)*(AY37-1)/4)+'Data input'!I$108,"")</f>
        <v>0</v>
      </c>
      <c r="BJ37" s="19" t="str">
        <f>IF(J37&lt;&gt;"",(('Data input'!J$109-'Data input'!J$108)*(AZ37-1)/4)+'Data input'!J$108,"")</f>
        <v/>
      </c>
      <c r="BK37" s="19" t="str">
        <f>IF(K37&lt;&gt;"",(('Data input'!K$109-'Data input'!K$108)*(BA37-1)/4)+'Data input'!K$108,"")</f>
        <v/>
      </c>
      <c r="BL37" s="19" t="str">
        <f>IF(L37&lt;&gt;"",(('Data input'!L$109-'Data input'!L$108)*(BB37-1)/4)+'Data input'!L$108,"")</f>
        <v/>
      </c>
      <c r="BM37" s="18">
        <f>IF(C37&lt;&gt;"",BC37-'Data input'!C37,"")</f>
        <v>0</v>
      </c>
      <c r="BN37" s="18" t="str">
        <f>IF(D37&lt;&gt;"",BD37-'Data input'!D37,"")</f>
        <v/>
      </c>
      <c r="BO37" s="18" t="str">
        <f>IF(E37&lt;&gt;"",BE37-'Data input'!E37,"")</f>
        <v/>
      </c>
      <c r="BP37" s="18" t="str">
        <f>IF(F37&lt;&gt;"",BF37-'Data input'!F37,"")</f>
        <v/>
      </c>
      <c r="BQ37" s="18" t="str">
        <f>IF(G37&lt;&gt;"",BG37-'Data input'!G37,"")</f>
        <v/>
      </c>
      <c r="BR37" s="19">
        <f>IF(H37&lt;&gt;"",BH37-'Data input'!H37,"")</f>
        <v>-41.003562057630404</v>
      </c>
      <c r="BS37" s="18">
        <f>IF(I37&lt;&gt;"",BI37-'Data input'!I37,"")</f>
        <v>0</v>
      </c>
      <c r="BT37" s="18" t="str">
        <f>IF(J37&lt;&gt;"",BJ37-'Data input'!J37,"")</f>
        <v/>
      </c>
      <c r="BU37" s="18" t="str">
        <f>IF(K37&lt;&gt;"",BK37-'Data input'!K37,"")</f>
        <v/>
      </c>
      <c r="BV37" s="72" t="str">
        <f>IF(L37&lt;&gt;"",BL37-'Data input'!L37,"")</f>
        <v/>
      </c>
      <c r="BW37" s="121" t="str">
        <f t="shared" si="17"/>
        <v xml:space="preserve">Nevada; Texas; </v>
      </c>
      <c r="BX37" s="1">
        <v>0</v>
      </c>
      <c r="BY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F37" s="1">
        <v>0</v>
      </c>
      <c r="CG37" s="1">
        <v>0</v>
      </c>
      <c r="CH37" s="1">
        <v>0</v>
      </c>
      <c r="CI37" s="1">
        <v>0</v>
      </c>
      <c r="CJ37" s="1">
        <v>0</v>
      </c>
      <c r="CK37" s="1">
        <v>0</v>
      </c>
      <c r="CL37" s="1">
        <v>0</v>
      </c>
      <c r="CM37" s="1">
        <v>0</v>
      </c>
      <c r="CN37" s="1">
        <v>0</v>
      </c>
      <c r="CO37" s="1">
        <v>0</v>
      </c>
      <c r="CP37" s="1">
        <v>0</v>
      </c>
      <c r="CQ37" s="1">
        <v>0</v>
      </c>
      <c r="CR37" s="1">
        <v>0</v>
      </c>
      <c r="CS37" s="1">
        <v>0</v>
      </c>
      <c r="CT37" s="1">
        <v>0</v>
      </c>
      <c r="CU37" s="1">
        <v>0</v>
      </c>
      <c r="CV37" s="1">
        <v>0</v>
      </c>
      <c r="CW37" s="1">
        <v>0</v>
      </c>
      <c r="CX37" s="1">
        <v>0</v>
      </c>
      <c r="CY37" s="1">
        <v>0</v>
      </c>
      <c r="CZ37" s="1">
        <v>0.4361215381795619</v>
      </c>
      <c r="DA37" s="1">
        <v>0</v>
      </c>
      <c r="DB37" s="1">
        <v>0</v>
      </c>
      <c r="DC37" s="1">
        <v>0</v>
      </c>
      <c r="DD37" s="1">
        <v>0</v>
      </c>
      <c r="DE37" s="1">
        <v>0</v>
      </c>
      <c r="DF37" s="1">
        <v>0</v>
      </c>
      <c r="DG37" s="1">
        <v>0</v>
      </c>
      <c r="DH37" s="1">
        <v>0</v>
      </c>
      <c r="DI37" s="1">
        <v>0</v>
      </c>
      <c r="DJ37" s="1">
        <v>0</v>
      </c>
      <c r="DK37" s="1">
        <v>0</v>
      </c>
      <c r="DL37" s="1">
        <v>0</v>
      </c>
      <c r="DM37" s="1">
        <v>0</v>
      </c>
      <c r="DN37" s="1">
        <v>0.55771921702675942</v>
      </c>
      <c r="DO37" s="1">
        <v>0</v>
      </c>
      <c r="DP37" s="1">
        <v>0</v>
      </c>
      <c r="DQ37" s="1">
        <v>0</v>
      </c>
      <c r="DR37" s="1">
        <v>0</v>
      </c>
      <c r="DS37" s="1">
        <v>0</v>
      </c>
      <c r="DT37" s="1">
        <v>0</v>
      </c>
      <c r="DU37" s="1">
        <v>0</v>
      </c>
      <c r="DV37" s="1">
        <v>0</v>
      </c>
      <c r="DW37" s="1">
        <v>0</v>
      </c>
      <c r="DX37" s="1">
        <v>0</v>
      </c>
      <c r="DY37" s="1">
        <v>0</v>
      </c>
      <c r="DZ37" s="1">
        <v>0</v>
      </c>
      <c r="FT37" s="1" t="str">
        <f t="shared" si="25"/>
        <v/>
      </c>
      <c r="FU37" s="1" t="str">
        <f t="shared" si="25"/>
        <v/>
      </c>
      <c r="FV37" s="1" t="str">
        <f t="shared" si="25"/>
        <v/>
      </c>
      <c r="FW37" s="1" t="str">
        <f t="shared" si="25"/>
        <v/>
      </c>
      <c r="FX37" s="1" t="str">
        <f t="shared" si="25"/>
        <v/>
      </c>
      <c r="FY37" s="1" t="str">
        <f t="shared" si="25"/>
        <v/>
      </c>
      <c r="FZ37" s="1" t="str">
        <f t="shared" si="25"/>
        <v/>
      </c>
      <c r="GA37" s="1" t="str">
        <f t="shared" si="25"/>
        <v/>
      </c>
      <c r="GB37" s="1" t="str">
        <f t="shared" si="25"/>
        <v/>
      </c>
      <c r="GC37" s="1" t="str">
        <f t="shared" si="25"/>
        <v/>
      </c>
      <c r="GD37" s="1" t="str">
        <f t="shared" si="25"/>
        <v/>
      </c>
      <c r="GE37" s="1" t="str">
        <f t="shared" si="25"/>
        <v/>
      </c>
      <c r="GF37" s="1" t="str">
        <f t="shared" si="25"/>
        <v/>
      </c>
      <c r="GG37" s="1" t="str">
        <f t="shared" si="25"/>
        <v/>
      </c>
      <c r="GH37" s="1" t="str">
        <f t="shared" si="25"/>
        <v/>
      </c>
      <c r="GI37" s="1" t="str">
        <f t="shared" si="25"/>
        <v/>
      </c>
      <c r="GJ37" s="1" t="str">
        <f t="shared" si="31"/>
        <v/>
      </c>
      <c r="GK37" s="1" t="str">
        <f t="shared" si="31"/>
        <v/>
      </c>
      <c r="GL37" s="1" t="str">
        <f t="shared" si="31"/>
        <v/>
      </c>
      <c r="GM37" s="1" t="str">
        <f t="shared" si="31"/>
        <v/>
      </c>
      <c r="GN37" s="1" t="str">
        <f t="shared" si="31"/>
        <v/>
      </c>
      <c r="GO37" s="1" t="str">
        <f t="shared" si="31"/>
        <v/>
      </c>
      <c r="GP37" s="1" t="str">
        <f t="shared" si="31"/>
        <v/>
      </c>
      <c r="GQ37" s="1" t="str">
        <f t="shared" si="31"/>
        <v/>
      </c>
      <c r="GR37" s="1" t="str">
        <f t="shared" si="31"/>
        <v/>
      </c>
      <c r="GS37" s="1" t="str">
        <f t="shared" si="31"/>
        <v/>
      </c>
      <c r="GT37" s="1" t="str">
        <f t="shared" si="31"/>
        <v/>
      </c>
      <c r="GU37" s="1" t="str">
        <f t="shared" si="31"/>
        <v/>
      </c>
      <c r="GV37" s="1" t="str">
        <f t="shared" si="31"/>
        <v xml:space="preserve">Nevada; </v>
      </c>
      <c r="GW37" s="1" t="str">
        <f t="shared" si="31"/>
        <v/>
      </c>
      <c r="GX37" s="1" t="str">
        <f t="shared" si="26"/>
        <v/>
      </c>
      <c r="GY37" s="1" t="str">
        <f t="shared" si="26"/>
        <v/>
      </c>
      <c r="GZ37" s="1" t="str">
        <f t="shared" si="26"/>
        <v/>
      </c>
      <c r="HA37" s="1" t="str">
        <f t="shared" si="26"/>
        <v/>
      </c>
      <c r="HB37" s="1" t="str">
        <f t="shared" si="26"/>
        <v/>
      </c>
      <c r="HC37" s="1" t="str">
        <f t="shared" si="26"/>
        <v/>
      </c>
      <c r="HD37" s="1" t="str">
        <f t="shared" si="26"/>
        <v/>
      </c>
      <c r="HE37" s="1" t="str">
        <f t="shared" si="26"/>
        <v/>
      </c>
      <c r="HF37" s="1" t="str">
        <f t="shared" si="26"/>
        <v/>
      </c>
      <c r="HG37" s="1" t="str">
        <f t="shared" si="26"/>
        <v/>
      </c>
      <c r="HH37" s="1" t="str">
        <f t="shared" si="26"/>
        <v/>
      </c>
      <c r="HI37" s="1" t="str">
        <f t="shared" si="26"/>
        <v/>
      </c>
      <c r="HJ37" s="1" t="str">
        <f t="shared" si="26"/>
        <v xml:space="preserve">Texas; </v>
      </c>
      <c r="HK37" s="1" t="str">
        <f t="shared" si="26"/>
        <v/>
      </c>
      <c r="HL37" s="1" t="str">
        <f t="shared" si="26"/>
        <v/>
      </c>
      <c r="HM37" s="1" t="str">
        <f t="shared" si="26"/>
        <v/>
      </c>
      <c r="HN37" s="1" t="str">
        <f t="shared" si="27"/>
        <v/>
      </c>
      <c r="HO37" s="1" t="str">
        <f t="shared" si="27"/>
        <v/>
      </c>
      <c r="HP37" s="1" t="str">
        <f t="shared" si="27"/>
        <v/>
      </c>
      <c r="HQ37" s="1" t="str">
        <f t="shared" si="27"/>
        <v/>
      </c>
      <c r="HR37" s="1" t="str">
        <f t="shared" si="27"/>
        <v/>
      </c>
      <c r="HS37" s="1" t="str">
        <f t="shared" si="27"/>
        <v/>
      </c>
      <c r="HT37" s="1" t="str">
        <f t="shared" si="27"/>
        <v/>
      </c>
      <c r="HU37" s="1" t="str">
        <f t="shared" si="27"/>
        <v/>
      </c>
      <c r="HV37" s="1" t="str">
        <f t="shared" si="27"/>
        <v/>
      </c>
      <c r="HW37" s="1" t="str">
        <f t="shared" si="27"/>
        <v/>
      </c>
      <c r="HX37" s="1" t="str">
        <f t="shared" si="27"/>
        <v/>
      </c>
      <c r="HY37" s="1" t="str">
        <f t="shared" si="27"/>
        <v/>
      </c>
      <c r="HZ37" s="1" t="str">
        <f t="shared" si="27"/>
        <v/>
      </c>
      <c r="IA37" s="1" t="str">
        <f t="shared" si="27"/>
        <v/>
      </c>
      <c r="IB37" s="1" t="str">
        <f t="shared" si="27"/>
        <v/>
      </c>
      <c r="IC37" s="1" t="str">
        <f t="shared" si="27"/>
        <v/>
      </c>
      <c r="ID37" s="1" t="str">
        <f t="shared" si="28"/>
        <v/>
      </c>
      <c r="IE37" s="1" t="str">
        <f t="shared" si="28"/>
        <v/>
      </c>
      <c r="IF37" s="1" t="str">
        <f t="shared" si="28"/>
        <v/>
      </c>
      <c r="IG37" s="1" t="str">
        <f t="shared" si="28"/>
        <v/>
      </c>
      <c r="IH37" s="1" t="str">
        <f t="shared" si="28"/>
        <v/>
      </c>
      <c r="II37" s="1" t="str">
        <f t="shared" si="28"/>
        <v/>
      </c>
      <c r="IJ37" s="1" t="str">
        <f t="shared" si="28"/>
        <v/>
      </c>
      <c r="IK37" s="1" t="str">
        <f t="shared" si="28"/>
        <v/>
      </c>
      <c r="IL37" s="1" t="str">
        <f t="shared" si="28"/>
        <v/>
      </c>
      <c r="IM37" s="1" t="str">
        <f t="shared" si="28"/>
        <v/>
      </c>
      <c r="IN37" s="1" t="str">
        <f t="shared" si="28"/>
        <v/>
      </c>
      <c r="IO37" s="1" t="str">
        <f t="shared" si="28"/>
        <v/>
      </c>
      <c r="IP37" s="1" t="str">
        <f t="shared" si="28"/>
        <v/>
      </c>
      <c r="IQ37" s="1" t="str">
        <f t="shared" si="28"/>
        <v/>
      </c>
      <c r="IR37" s="1" t="str">
        <f t="shared" si="28"/>
        <v/>
      </c>
      <c r="IS37" s="1" t="str">
        <f t="shared" si="28"/>
        <v/>
      </c>
      <c r="IT37" s="1" t="str">
        <f t="shared" si="29"/>
        <v/>
      </c>
      <c r="IU37" s="1" t="str">
        <f t="shared" si="29"/>
        <v/>
      </c>
      <c r="IV37" s="1" t="str">
        <f t="shared" si="29"/>
        <v/>
      </c>
      <c r="IW37" s="1" t="str">
        <f t="shared" si="29"/>
        <v/>
      </c>
      <c r="IX37" s="1" t="str">
        <f t="shared" si="29"/>
        <v/>
      </c>
      <c r="IY37" s="1" t="str">
        <f t="shared" si="29"/>
        <v/>
      </c>
      <c r="IZ37" s="1" t="str">
        <f t="shared" si="29"/>
        <v/>
      </c>
      <c r="JA37" s="1" t="str">
        <f t="shared" si="29"/>
        <v/>
      </c>
      <c r="JB37" s="1" t="str">
        <f t="shared" si="29"/>
        <v/>
      </c>
      <c r="JC37" s="1" t="str">
        <f t="shared" si="29"/>
        <v/>
      </c>
      <c r="JD37" s="1" t="str">
        <f t="shared" si="29"/>
        <v/>
      </c>
      <c r="JE37" s="1" t="str">
        <f t="shared" si="29"/>
        <v/>
      </c>
      <c r="JF37" s="1" t="str">
        <f t="shared" si="29"/>
        <v/>
      </c>
      <c r="JG37" s="1" t="str">
        <f t="shared" si="29"/>
        <v/>
      </c>
      <c r="JH37" s="1" t="str">
        <f t="shared" si="29"/>
        <v/>
      </c>
      <c r="JI37" s="1" t="str">
        <f t="shared" si="29"/>
        <v/>
      </c>
      <c r="JJ37" s="1" t="str">
        <f t="shared" si="30"/>
        <v/>
      </c>
      <c r="JK37" s="1" t="str">
        <f t="shared" si="30"/>
        <v/>
      </c>
      <c r="JL37" s="1" t="str">
        <f t="shared" si="24"/>
        <v/>
      </c>
      <c r="JM37" s="1" t="str">
        <f t="shared" si="12"/>
        <v/>
      </c>
      <c r="JN37" s="1" t="str">
        <f t="shared" si="12"/>
        <v/>
      </c>
      <c r="JO37" s="1" t="str">
        <f t="shared" si="12"/>
        <v/>
      </c>
    </row>
    <row r="38" spans="1:275" ht="14.5" x14ac:dyDescent="0.35">
      <c r="A38" s="59">
        <f>IF('Data input'!A38&lt;&gt;"",'Data input'!A38,"")</f>
        <v>36</v>
      </c>
      <c r="B38" s="60" t="str">
        <f>IF('Data input'!B38&lt;&gt;"",'Data input'!B38,"")</f>
        <v>Ohio</v>
      </c>
      <c r="C38" s="19">
        <f>IF('Data input'!C38="","",4*('Data input'!C38-'Data input'!C$108)/('Data input'!C$109-'Data input'!C$108)+1)</f>
        <v>4.5357544275060189</v>
      </c>
      <c r="D38" s="19" t="str">
        <f>IF('Data input'!D38="","",4*('Data input'!D38-'Data input'!D$108)/('Data input'!D$109-'Data input'!D$108)+1)</f>
        <v/>
      </c>
      <c r="E38" s="19" t="str">
        <f>IF('Data input'!E38="","",4*('Data input'!E38-'Data input'!E$108)/('Data input'!E$109-'Data input'!E$108)+1)</f>
        <v/>
      </c>
      <c r="F38" s="19" t="str">
        <f>IF('Data input'!F38="","",4*('Data input'!F38-'Data input'!F$108)/('Data input'!F$109-'Data input'!F$108)+1)</f>
        <v/>
      </c>
      <c r="G38" s="19" t="str">
        <f>IF('Data input'!G38="","",4*('Data input'!G38-'Data input'!G$108)/('Data input'!G$109-'Data input'!G$108)+1)</f>
        <v/>
      </c>
      <c r="H38" s="61">
        <f>IF('Data input'!H38="","",4*('Data input'!H38-'Data input'!H$108)/('Data input'!H$109-'Data input'!H$108)+1)</f>
        <v>1.044501320535014</v>
      </c>
      <c r="I38" s="19">
        <f>IF('Data input'!I38="","",4*('Data input'!I38-'Data input'!I$108)/('Data input'!I$109-'Data input'!I$108)+1)</f>
        <v>1.6629195124342342</v>
      </c>
      <c r="J38" s="19" t="str">
        <f>IF('Data input'!J38="","",4*('Data input'!J38-'Data input'!J$108)/('Data input'!J$109-'Data input'!J$108)+1)</f>
        <v/>
      </c>
      <c r="K38" s="19" t="str">
        <f>IF('Data input'!K38="","",4*('Data input'!K38-'Data input'!K$108)/('Data input'!K$109-'Data input'!K$108)+1)</f>
        <v/>
      </c>
      <c r="L38" s="19" t="str">
        <f>IF('Data input'!L38="","",4*('Data input'!L38-'Data input'!L$108)/('Data input'!L$109-'Data input'!L$108)+1)</f>
        <v/>
      </c>
      <c r="M38" s="19">
        <f>IF('Data input'!M38="","",4*('Data input'!M38-'Data input'!M$108)/('Data input'!M$109-'Data input'!M$108)+1)</f>
        <v>2.1750884261623047</v>
      </c>
      <c r="N38" s="16" t="str">
        <f>IF('Data input'!N38="","",4*('Data input'!N38-'Data input'!N$108)/('Data input'!N$109-'Data input'!N$108)+1)</f>
        <v/>
      </c>
      <c r="O38" s="19" t="str">
        <f>IF('Data input'!O38="","",4*('Data input'!O38-'Data input'!O$108)/('Data input'!O$109-'Data input'!O$108)+1)</f>
        <v/>
      </c>
      <c r="P38" s="19" t="str">
        <f>IF('Data input'!P38="","",4*('Data input'!P38-'Data input'!P$108)/('Data input'!P$109-'Data input'!P$108)+1)</f>
        <v/>
      </c>
      <c r="Q38" s="19" t="str">
        <f>IF('Data input'!Q38="","",4*('Data input'!Q38-'Data input'!Q$108)/('Data input'!Q$109-'Data input'!Q$108)+1)</f>
        <v/>
      </c>
      <c r="R38" s="19" t="str">
        <f>IF('Data input'!R38="","",4*('Data input'!R38-'Data input'!R$108)/('Data input'!R$109-'Data input'!R$108)+1)</f>
        <v/>
      </c>
      <c r="S38" s="16" t="str">
        <f>IF('Data input'!S38="","",4*('Data input'!S38-'Data input'!S$108)/('Data input'!S$109-'Data input'!S$108)+1)</f>
        <v/>
      </c>
      <c r="T38" s="19" t="str">
        <f>IF('Data input'!T38="","",4*('Data input'!T38-'Data input'!T$108)/('Data input'!T$109-'Data input'!T$108)+1)</f>
        <v/>
      </c>
      <c r="U38" s="19" t="str">
        <f>IF('Data input'!U38="","",4*('Data input'!U38-'Data input'!U$108)/('Data input'!U$109-'Data input'!U$108)+1)</f>
        <v/>
      </c>
      <c r="V38" s="19" t="str">
        <f>IF('Data input'!V38="","",4*('Data input'!V38-'Data input'!V$108)/('Data input'!V$109-'Data input'!V$108)+1)</f>
        <v/>
      </c>
      <c r="W38" s="16" t="str">
        <f>IF('Data input'!W38="","",4*('Data input'!W38-'Data input'!W$108)/('Data input'!W$109-'Data input'!W$108)+1)</f>
        <v/>
      </c>
      <c r="X38" s="16" t="str">
        <f>IF('Data input'!X38="","",4*('Data input'!X38-'Data input'!X$108)/('Data input'!X$109-'Data input'!X$108)+1)</f>
        <v/>
      </c>
      <c r="Y38" s="16" t="str">
        <f>IF('Data input'!Y38="","",4*('Data input'!Y38-'Data input'!Y$108)/('Data input'!Y$109-'Data input'!Y$108)+1)</f>
        <v/>
      </c>
      <c r="Z38" s="16" t="str">
        <f>IF('Data input'!Z38="","",4*('Data input'!Z38-'Data input'!Z$108)/('Data input'!Z$109-'Data input'!Z$108)+1)</f>
        <v/>
      </c>
      <c r="AA38" s="62" t="str">
        <f>IF('Data input'!AA38="","",4*('Data input'!AA38-'Data input'!AA$108)/('Data input'!AA$109-'Data input'!AA$108)+1)</f>
        <v/>
      </c>
      <c r="AB38" s="78"/>
      <c r="AC38" s="79">
        <v>0</v>
      </c>
      <c r="AD38" s="80" t="e">
        <f t="shared" si="13"/>
        <v>#DIV/0!</v>
      </c>
      <c r="AE38" s="4"/>
      <c r="AF38" s="59">
        <f t="shared" si="14"/>
        <v>36</v>
      </c>
      <c r="AG38" s="60" t="str">
        <f t="shared" si="14"/>
        <v>Ohio</v>
      </c>
      <c r="AH38">
        <v>0.27439940450250405</v>
      </c>
      <c r="AI38" t="s">
        <v>69</v>
      </c>
      <c r="AJ38" t="s">
        <v>69</v>
      </c>
      <c r="AK38" t="s">
        <v>69</v>
      </c>
      <c r="AL38" t="s">
        <v>69</v>
      </c>
      <c r="AM38">
        <v>4.4501320535013988E-2</v>
      </c>
      <c r="AN38">
        <v>0.11183676681582701</v>
      </c>
      <c r="AO38" t="s">
        <v>69</v>
      </c>
      <c r="AP38" t="s">
        <v>69</v>
      </c>
      <c r="AQ38" t="s">
        <v>69</v>
      </c>
      <c r="AR38">
        <v>0.87464988122486864</v>
      </c>
      <c r="AS38" s="71">
        <f t="shared" si="15"/>
        <v>4.8101538320085231</v>
      </c>
      <c r="AT38" s="71" t="str">
        <f t="shared" si="15"/>
        <v/>
      </c>
      <c r="AU38" s="71" t="str">
        <f t="shared" si="15"/>
        <v/>
      </c>
      <c r="AV38" s="71" t="str">
        <f t="shared" si="15"/>
        <v/>
      </c>
      <c r="AW38" s="71" t="str">
        <f t="shared" si="15"/>
        <v/>
      </c>
      <c r="AX38" s="71">
        <f t="shared" si="16"/>
        <v>1</v>
      </c>
      <c r="AY38" s="71">
        <f t="shared" si="16"/>
        <v>1.5510827456184071</v>
      </c>
      <c r="AZ38" s="71" t="str">
        <f t="shared" si="16"/>
        <v/>
      </c>
      <c r="BA38" s="71" t="str">
        <f t="shared" si="16"/>
        <v/>
      </c>
      <c r="BB38" s="71" t="str">
        <f t="shared" si="16"/>
        <v/>
      </c>
      <c r="BC38" s="18">
        <f>IF(C38&lt;&gt;"",(('Data input'!C$109-'Data input'!C$108)*(AS38-1)/4)+'Data input'!C$108,"")</f>
        <v>0.98939990410095324</v>
      </c>
      <c r="BD38" s="18" t="str">
        <f>IF(D38&lt;&gt;"",(('Data input'!D$109-'Data input'!D$108)*(AT38-1)/4)+'Data input'!D$108,"")</f>
        <v/>
      </c>
      <c r="BE38" s="18" t="str">
        <f>IF(E38&lt;&gt;"",(('Data input'!E$109-'Data input'!E$108)*(AU38-1)/4)+'Data input'!E$108,"")</f>
        <v/>
      </c>
      <c r="BF38" s="18" t="str">
        <f>IF(F38&lt;&gt;"",(('Data input'!F$109-'Data input'!F$108)*(AV38-1)/4)+'Data input'!F$108,"")</f>
        <v/>
      </c>
      <c r="BG38" s="18" t="str">
        <f>IF(G38&lt;&gt;"",(('Data input'!G$109-'Data input'!G$108)*(AW38-1)/4)+'Data input'!G$108,"")</f>
        <v/>
      </c>
      <c r="BH38" s="19">
        <f>IF(H38&lt;&gt;"",(('Data input'!H$109-'Data input'!H$108)*(AX38-1)/4)+'Data input'!H$108,"")</f>
        <v>0.29574268608402715</v>
      </c>
      <c r="BI38" s="18">
        <f>IF(I38&lt;&gt;"",(('Data input'!I$109-'Data input'!I$108)*(AY38-1)/4)+'Data input'!I$108,"")</f>
        <v>2.4197201570134139E-2</v>
      </c>
      <c r="BJ38" s="19" t="str">
        <f>IF(J38&lt;&gt;"",(('Data input'!J$109-'Data input'!J$108)*(AZ38-1)/4)+'Data input'!J$108,"")</f>
        <v/>
      </c>
      <c r="BK38" s="19" t="str">
        <f>IF(K38&lt;&gt;"",(('Data input'!K$109-'Data input'!K$108)*(BA38-1)/4)+'Data input'!K$108,"")</f>
        <v/>
      </c>
      <c r="BL38" s="19" t="str">
        <f>IF(L38&lt;&gt;"",(('Data input'!L$109-'Data input'!L$108)*(BB38-1)/4)+'Data input'!L$108,"")</f>
        <v/>
      </c>
      <c r="BM38" s="18">
        <f>IF(C38&lt;&gt;"",BC38-'Data input'!C38,"")</f>
        <v>9.9626655365839811E-3</v>
      </c>
      <c r="BN38" s="18" t="str">
        <f>IF(D38&lt;&gt;"",BD38-'Data input'!D38,"")</f>
        <v/>
      </c>
      <c r="BO38" s="18" t="str">
        <f>IF(E38&lt;&gt;"",BE38-'Data input'!E38,"")</f>
        <v/>
      </c>
      <c r="BP38" s="18" t="str">
        <f>IF(F38&lt;&gt;"",BF38-'Data input'!F38,"")</f>
        <v/>
      </c>
      <c r="BQ38" s="18" t="str">
        <f>IF(G38&lt;&gt;"",BG38-'Data input'!G38,"")</f>
        <v/>
      </c>
      <c r="BR38" s="19">
        <f>IF(H38&lt;&gt;"",BH38-'Data input'!H38,"")</f>
        <v>-0.96914222982507425</v>
      </c>
      <c r="BS38" s="18">
        <f>IF(I38&lt;&gt;"",BI38-'Data input'!I38,"")</f>
        <v>-4.9105815979738551E-3</v>
      </c>
      <c r="BT38" s="18" t="str">
        <f>IF(J38&lt;&gt;"",BJ38-'Data input'!J38,"")</f>
        <v/>
      </c>
      <c r="BU38" s="18" t="str">
        <f>IF(K38&lt;&gt;"",BK38-'Data input'!K38,"")</f>
        <v/>
      </c>
      <c r="BV38" s="72" t="str">
        <f>IF(L38&lt;&gt;"",BL38-'Data input'!L38,"")</f>
        <v/>
      </c>
      <c r="BW38" s="121" t="str">
        <f t="shared" si="17"/>
        <v xml:space="preserve">Texas; </v>
      </c>
      <c r="BX38" s="1">
        <v>0</v>
      </c>
      <c r="BY38" s="1">
        <v>0</v>
      </c>
      <c r="BZ38" s="1">
        <v>0</v>
      </c>
      <c r="CA38" s="1">
        <v>0</v>
      </c>
      <c r="CB38" s="1">
        <v>0</v>
      </c>
      <c r="CC38" s="1">
        <v>0</v>
      </c>
      <c r="CD38" s="1">
        <v>0</v>
      </c>
      <c r="CE38" s="1">
        <v>0</v>
      </c>
      <c r="CF38" s="1">
        <v>0</v>
      </c>
      <c r="CG38" s="1">
        <v>0</v>
      </c>
      <c r="CH38" s="1">
        <v>0</v>
      </c>
      <c r="CI38" s="1">
        <v>0</v>
      </c>
      <c r="CJ38" s="1">
        <v>0</v>
      </c>
      <c r="CK38" s="1">
        <v>0</v>
      </c>
      <c r="CL38" s="1">
        <v>0</v>
      </c>
      <c r="CM38" s="1">
        <v>0</v>
      </c>
      <c r="CN38" s="1">
        <v>0</v>
      </c>
      <c r="CO38" s="1">
        <v>0</v>
      </c>
      <c r="CP38" s="1">
        <v>0</v>
      </c>
      <c r="CQ38" s="1">
        <v>0</v>
      </c>
      <c r="CR38" s="1">
        <v>0</v>
      </c>
      <c r="CS38" s="1">
        <v>0</v>
      </c>
      <c r="CT38" s="1">
        <v>0</v>
      </c>
      <c r="CU38" s="1">
        <v>0</v>
      </c>
      <c r="CV38" s="1">
        <v>0</v>
      </c>
      <c r="CW38" s="1">
        <v>0</v>
      </c>
      <c r="CX38" s="1">
        <v>0</v>
      </c>
      <c r="CY38" s="1">
        <v>0</v>
      </c>
      <c r="CZ38" s="1">
        <v>1.6745702689630312E-14</v>
      </c>
      <c r="DA38" s="1">
        <v>0</v>
      </c>
      <c r="DB38" s="1">
        <v>0</v>
      </c>
      <c r="DC38" s="1">
        <v>0</v>
      </c>
      <c r="DD38" s="1">
        <v>0</v>
      </c>
      <c r="DE38" s="1">
        <v>0</v>
      </c>
      <c r="DF38" s="1">
        <v>0</v>
      </c>
      <c r="DG38" s="1">
        <v>0</v>
      </c>
      <c r="DH38" s="1">
        <v>0</v>
      </c>
      <c r="DI38" s="1">
        <v>0</v>
      </c>
      <c r="DJ38" s="1">
        <v>0</v>
      </c>
      <c r="DK38" s="1">
        <v>0</v>
      </c>
      <c r="DL38" s="1">
        <v>0</v>
      </c>
      <c r="DM38" s="1">
        <v>0</v>
      </c>
      <c r="DN38" s="1">
        <v>0.99999999999998301</v>
      </c>
      <c r="DO38" s="1">
        <v>0</v>
      </c>
      <c r="DP38" s="1">
        <v>0</v>
      </c>
      <c r="DQ38" s="1">
        <v>0</v>
      </c>
      <c r="DR38" s="1">
        <v>0</v>
      </c>
      <c r="DS38" s="1">
        <v>0</v>
      </c>
      <c r="DT38" s="1">
        <v>0</v>
      </c>
      <c r="DU38" s="1">
        <v>0</v>
      </c>
      <c r="DV38" s="1">
        <v>0</v>
      </c>
      <c r="DW38" s="1">
        <v>0</v>
      </c>
      <c r="DX38" s="1">
        <v>0</v>
      </c>
      <c r="DY38" s="1">
        <v>0</v>
      </c>
      <c r="DZ38" s="1">
        <v>0</v>
      </c>
      <c r="FT38" s="1" t="str">
        <f t="shared" si="25"/>
        <v/>
      </c>
      <c r="FU38" s="1" t="str">
        <f t="shared" si="25"/>
        <v/>
      </c>
      <c r="FV38" s="1" t="str">
        <f t="shared" si="25"/>
        <v/>
      </c>
      <c r="FW38" s="1" t="str">
        <f t="shared" si="25"/>
        <v/>
      </c>
      <c r="FX38" s="1" t="str">
        <f t="shared" si="25"/>
        <v/>
      </c>
      <c r="FY38" s="1" t="str">
        <f t="shared" si="25"/>
        <v/>
      </c>
      <c r="FZ38" s="1" t="str">
        <f t="shared" si="25"/>
        <v/>
      </c>
      <c r="GA38" s="1" t="str">
        <f t="shared" si="25"/>
        <v/>
      </c>
      <c r="GB38" s="1" t="str">
        <f t="shared" si="25"/>
        <v/>
      </c>
      <c r="GC38" s="1" t="str">
        <f t="shared" si="25"/>
        <v/>
      </c>
      <c r="GD38" s="1" t="str">
        <f t="shared" si="25"/>
        <v/>
      </c>
      <c r="GE38" s="1" t="str">
        <f t="shared" si="25"/>
        <v/>
      </c>
      <c r="GF38" s="1" t="str">
        <f t="shared" si="25"/>
        <v/>
      </c>
      <c r="GG38" s="1" t="str">
        <f t="shared" si="25"/>
        <v/>
      </c>
      <c r="GH38" s="1" t="str">
        <f t="shared" si="25"/>
        <v/>
      </c>
      <c r="GI38" s="1" t="str">
        <f t="shared" si="25"/>
        <v/>
      </c>
      <c r="GJ38" s="1" t="str">
        <f t="shared" si="31"/>
        <v/>
      </c>
      <c r="GK38" s="1" t="str">
        <f t="shared" si="31"/>
        <v/>
      </c>
      <c r="GL38" s="1" t="str">
        <f t="shared" si="31"/>
        <v/>
      </c>
      <c r="GM38" s="1" t="str">
        <f t="shared" si="31"/>
        <v/>
      </c>
      <c r="GN38" s="1" t="str">
        <f t="shared" si="31"/>
        <v/>
      </c>
      <c r="GO38" s="1" t="str">
        <f t="shared" si="31"/>
        <v/>
      </c>
      <c r="GP38" s="1" t="str">
        <f t="shared" si="31"/>
        <v/>
      </c>
      <c r="GQ38" s="1" t="str">
        <f t="shared" si="31"/>
        <v/>
      </c>
      <c r="GR38" s="1" t="str">
        <f t="shared" si="31"/>
        <v/>
      </c>
      <c r="GS38" s="1" t="str">
        <f t="shared" si="31"/>
        <v/>
      </c>
      <c r="GT38" s="1" t="str">
        <f t="shared" si="31"/>
        <v/>
      </c>
      <c r="GU38" s="1" t="str">
        <f t="shared" si="31"/>
        <v/>
      </c>
      <c r="GV38" s="1" t="str">
        <f t="shared" si="31"/>
        <v/>
      </c>
      <c r="GW38" s="1" t="str">
        <f t="shared" si="31"/>
        <v/>
      </c>
      <c r="GX38" s="1" t="str">
        <f t="shared" si="26"/>
        <v/>
      </c>
      <c r="GY38" s="1" t="str">
        <f t="shared" si="26"/>
        <v/>
      </c>
      <c r="GZ38" s="1" t="str">
        <f t="shared" si="26"/>
        <v/>
      </c>
      <c r="HA38" s="1" t="str">
        <f t="shared" si="26"/>
        <v/>
      </c>
      <c r="HB38" s="1" t="str">
        <f t="shared" si="26"/>
        <v/>
      </c>
      <c r="HC38" s="1" t="str">
        <f t="shared" si="26"/>
        <v/>
      </c>
      <c r="HD38" s="1" t="str">
        <f t="shared" si="26"/>
        <v/>
      </c>
      <c r="HE38" s="1" t="str">
        <f t="shared" si="26"/>
        <v/>
      </c>
      <c r="HF38" s="1" t="str">
        <f t="shared" si="26"/>
        <v/>
      </c>
      <c r="HG38" s="1" t="str">
        <f t="shared" si="26"/>
        <v/>
      </c>
      <c r="HH38" s="1" t="str">
        <f t="shared" si="26"/>
        <v/>
      </c>
      <c r="HI38" s="1" t="str">
        <f t="shared" si="26"/>
        <v/>
      </c>
      <c r="HJ38" s="1" t="str">
        <f t="shared" si="26"/>
        <v xml:space="preserve">Texas; </v>
      </c>
      <c r="HK38" s="1" t="str">
        <f t="shared" si="26"/>
        <v/>
      </c>
      <c r="HL38" s="1" t="str">
        <f t="shared" si="26"/>
        <v/>
      </c>
      <c r="HM38" s="1" t="str">
        <f t="shared" si="26"/>
        <v/>
      </c>
      <c r="HN38" s="1" t="str">
        <f t="shared" si="27"/>
        <v/>
      </c>
      <c r="HO38" s="1" t="str">
        <f t="shared" si="27"/>
        <v/>
      </c>
      <c r="HP38" s="1" t="str">
        <f t="shared" si="27"/>
        <v/>
      </c>
      <c r="HQ38" s="1" t="str">
        <f t="shared" si="27"/>
        <v/>
      </c>
      <c r="HR38" s="1" t="str">
        <f t="shared" si="27"/>
        <v/>
      </c>
      <c r="HS38" s="1" t="str">
        <f t="shared" si="27"/>
        <v/>
      </c>
      <c r="HT38" s="1" t="str">
        <f t="shared" si="27"/>
        <v/>
      </c>
      <c r="HU38" s="1" t="str">
        <f t="shared" si="27"/>
        <v/>
      </c>
      <c r="HV38" s="1" t="str">
        <f t="shared" si="27"/>
        <v/>
      </c>
      <c r="HW38" s="1" t="str">
        <f t="shared" si="27"/>
        <v/>
      </c>
      <c r="HX38" s="1" t="str">
        <f t="shared" si="27"/>
        <v/>
      </c>
      <c r="HY38" s="1" t="str">
        <f t="shared" si="27"/>
        <v/>
      </c>
      <c r="HZ38" s="1" t="str">
        <f t="shared" si="27"/>
        <v/>
      </c>
      <c r="IA38" s="1" t="str">
        <f t="shared" si="27"/>
        <v/>
      </c>
      <c r="IB38" s="1" t="str">
        <f t="shared" si="27"/>
        <v/>
      </c>
      <c r="IC38" s="1" t="str">
        <f t="shared" si="27"/>
        <v/>
      </c>
      <c r="ID38" s="1" t="str">
        <f t="shared" si="28"/>
        <v/>
      </c>
      <c r="IE38" s="1" t="str">
        <f t="shared" si="28"/>
        <v/>
      </c>
      <c r="IF38" s="1" t="str">
        <f t="shared" si="28"/>
        <v/>
      </c>
      <c r="IG38" s="1" t="str">
        <f t="shared" si="28"/>
        <v/>
      </c>
      <c r="IH38" s="1" t="str">
        <f t="shared" si="28"/>
        <v/>
      </c>
      <c r="II38" s="1" t="str">
        <f t="shared" si="28"/>
        <v/>
      </c>
      <c r="IJ38" s="1" t="str">
        <f t="shared" si="28"/>
        <v/>
      </c>
      <c r="IK38" s="1" t="str">
        <f t="shared" si="28"/>
        <v/>
      </c>
      <c r="IL38" s="1" t="str">
        <f t="shared" si="28"/>
        <v/>
      </c>
      <c r="IM38" s="1" t="str">
        <f t="shared" si="28"/>
        <v/>
      </c>
      <c r="IN38" s="1" t="str">
        <f t="shared" si="28"/>
        <v/>
      </c>
      <c r="IO38" s="1" t="str">
        <f t="shared" si="28"/>
        <v/>
      </c>
      <c r="IP38" s="1" t="str">
        <f t="shared" si="28"/>
        <v/>
      </c>
      <c r="IQ38" s="1" t="str">
        <f t="shared" si="28"/>
        <v/>
      </c>
      <c r="IR38" s="1" t="str">
        <f t="shared" si="28"/>
        <v/>
      </c>
      <c r="IS38" s="1" t="str">
        <f t="shared" si="28"/>
        <v/>
      </c>
      <c r="IT38" s="1" t="str">
        <f t="shared" si="29"/>
        <v/>
      </c>
      <c r="IU38" s="1" t="str">
        <f t="shared" si="29"/>
        <v/>
      </c>
      <c r="IV38" s="1" t="str">
        <f t="shared" si="29"/>
        <v/>
      </c>
      <c r="IW38" s="1" t="str">
        <f t="shared" si="29"/>
        <v/>
      </c>
      <c r="IX38" s="1" t="str">
        <f t="shared" si="29"/>
        <v/>
      </c>
      <c r="IY38" s="1" t="str">
        <f t="shared" si="29"/>
        <v/>
      </c>
      <c r="IZ38" s="1" t="str">
        <f t="shared" si="29"/>
        <v/>
      </c>
      <c r="JA38" s="1" t="str">
        <f t="shared" si="29"/>
        <v/>
      </c>
      <c r="JB38" s="1" t="str">
        <f t="shared" si="29"/>
        <v/>
      </c>
      <c r="JC38" s="1" t="str">
        <f t="shared" si="29"/>
        <v/>
      </c>
      <c r="JD38" s="1" t="str">
        <f t="shared" si="29"/>
        <v/>
      </c>
      <c r="JE38" s="1" t="str">
        <f t="shared" si="29"/>
        <v/>
      </c>
      <c r="JF38" s="1" t="str">
        <f t="shared" si="29"/>
        <v/>
      </c>
      <c r="JG38" s="1" t="str">
        <f t="shared" si="29"/>
        <v/>
      </c>
      <c r="JH38" s="1" t="str">
        <f t="shared" si="29"/>
        <v/>
      </c>
      <c r="JI38" s="1" t="str">
        <f t="shared" si="29"/>
        <v/>
      </c>
      <c r="JJ38" s="1" t="str">
        <f t="shared" si="30"/>
        <v/>
      </c>
      <c r="JK38" s="1" t="str">
        <f t="shared" si="30"/>
        <v/>
      </c>
      <c r="JL38" s="1" t="str">
        <f t="shared" si="24"/>
        <v/>
      </c>
      <c r="JM38" s="1" t="str">
        <f t="shared" si="12"/>
        <v/>
      </c>
      <c r="JN38" s="1" t="str">
        <f t="shared" si="12"/>
        <v/>
      </c>
      <c r="JO38" s="1" t="str">
        <f t="shared" si="12"/>
        <v/>
      </c>
    </row>
    <row r="39" spans="1:275" ht="14.5" x14ac:dyDescent="0.35">
      <c r="A39" s="59">
        <f>IF('Data input'!A39&lt;&gt;"",'Data input'!A39,"")</f>
        <v>37</v>
      </c>
      <c r="B39" s="60" t="str">
        <f>IF('Data input'!B39&lt;&gt;"",'Data input'!B39,"")</f>
        <v>Oklahoma</v>
      </c>
      <c r="C39" s="19">
        <f>IF('Data input'!C39="","",4*('Data input'!C39-'Data input'!C$108)/('Data input'!C$109-'Data input'!C$108)+1)</f>
        <v>4.6951979206734915</v>
      </c>
      <c r="D39" s="19" t="str">
        <f>IF('Data input'!D39="","",4*('Data input'!D39-'Data input'!D$108)/('Data input'!D$109-'Data input'!D$108)+1)</f>
        <v/>
      </c>
      <c r="E39" s="19" t="str">
        <f>IF('Data input'!E39="","",4*('Data input'!E39-'Data input'!E$108)/('Data input'!E$109-'Data input'!E$108)+1)</f>
        <v/>
      </c>
      <c r="F39" s="19" t="str">
        <f>IF('Data input'!F39="","",4*('Data input'!F39-'Data input'!F$108)/('Data input'!F$109-'Data input'!F$108)+1)</f>
        <v/>
      </c>
      <c r="G39" s="19" t="str">
        <f>IF('Data input'!G39="","",4*('Data input'!G39-'Data input'!G$108)/('Data input'!G$109-'Data input'!G$108)+1)</f>
        <v/>
      </c>
      <c r="H39" s="61">
        <f>IF('Data input'!H39="","",4*('Data input'!H39-'Data input'!H$108)/('Data input'!H$109-'Data input'!H$108)+1)</f>
        <v>1.4490200820212698</v>
      </c>
      <c r="I39" s="19">
        <f>IF('Data input'!I39="","",4*('Data input'!I39-'Data input'!I$108)/('Data input'!I$109-'Data input'!I$108)+1)</f>
        <v>1.1383425839776702</v>
      </c>
      <c r="J39" s="19" t="str">
        <f>IF('Data input'!J39="","",4*('Data input'!J39-'Data input'!J$108)/('Data input'!J$109-'Data input'!J$108)+1)</f>
        <v/>
      </c>
      <c r="K39" s="19" t="str">
        <f>IF('Data input'!K39="","",4*('Data input'!K39-'Data input'!K$108)/('Data input'!K$109-'Data input'!K$108)+1)</f>
        <v/>
      </c>
      <c r="L39" s="19" t="str">
        <f>IF('Data input'!L39="","",4*('Data input'!L39-'Data input'!L$108)/('Data input'!L$109-'Data input'!L$108)+1)</f>
        <v/>
      </c>
      <c r="M39" s="19">
        <f>IF('Data input'!M39="","",4*('Data input'!M39-'Data input'!M$108)/('Data input'!M$109-'Data input'!M$108)+1)</f>
        <v>1.9634021133482806</v>
      </c>
      <c r="N39" s="16" t="str">
        <f>IF('Data input'!N39="","",4*('Data input'!N39-'Data input'!N$108)/('Data input'!N$109-'Data input'!N$108)+1)</f>
        <v/>
      </c>
      <c r="O39" s="19" t="str">
        <f>IF('Data input'!O39="","",4*('Data input'!O39-'Data input'!O$108)/('Data input'!O$109-'Data input'!O$108)+1)</f>
        <v/>
      </c>
      <c r="P39" s="19" t="str">
        <f>IF('Data input'!P39="","",4*('Data input'!P39-'Data input'!P$108)/('Data input'!P$109-'Data input'!P$108)+1)</f>
        <v/>
      </c>
      <c r="Q39" s="19" t="str">
        <f>IF('Data input'!Q39="","",4*('Data input'!Q39-'Data input'!Q$108)/('Data input'!Q$109-'Data input'!Q$108)+1)</f>
        <v/>
      </c>
      <c r="R39" s="19" t="str">
        <f>IF('Data input'!R39="","",4*('Data input'!R39-'Data input'!R$108)/('Data input'!R$109-'Data input'!R$108)+1)</f>
        <v/>
      </c>
      <c r="S39" s="16" t="str">
        <f>IF('Data input'!S39="","",4*('Data input'!S39-'Data input'!S$108)/('Data input'!S$109-'Data input'!S$108)+1)</f>
        <v/>
      </c>
      <c r="T39" s="19" t="str">
        <f>IF('Data input'!T39="","",4*('Data input'!T39-'Data input'!T$108)/('Data input'!T$109-'Data input'!T$108)+1)</f>
        <v/>
      </c>
      <c r="U39" s="19" t="str">
        <f>IF('Data input'!U39="","",4*('Data input'!U39-'Data input'!U$108)/('Data input'!U$109-'Data input'!U$108)+1)</f>
        <v/>
      </c>
      <c r="V39" s="19" t="str">
        <f>IF('Data input'!V39="","",4*('Data input'!V39-'Data input'!V$108)/('Data input'!V$109-'Data input'!V$108)+1)</f>
        <v/>
      </c>
      <c r="W39" s="16" t="str">
        <f>IF('Data input'!W39="","",4*('Data input'!W39-'Data input'!W$108)/('Data input'!W$109-'Data input'!W$108)+1)</f>
        <v/>
      </c>
      <c r="X39" s="16" t="str">
        <f>IF('Data input'!X39="","",4*('Data input'!X39-'Data input'!X$108)/('Data input'!X$109-'Data input'!X$108)+1)</f>
        <v/>
      </c>
      <c r="Y39" s="16" t="str">
        <f>IF('Data input'!Y39="","",4*('Data input'!Y39-'Data input'!Y$108)/('Data input'!Y$109-'Data input'!Y$108)+1)</f>
        <v/>
      </c>
      <c r="Z39" s="16" t="str">
        <f>IF('Data input'!Z39="","",4*('Data input'!Z39-'Data input'!Z$108)/('Data input'!Z$109-'Data input'!Z$108)+1)</f>
        <v/>
      </c>
      <c r="AA39" s="62" t="str">
        <f>IF('Data input'!AA39="","",4*('Data input'!AA39-'Data input'!AA$108)/('Data input'!AA$109-'Data input'!AA$108)+1)</f>
        <v/>
      </c>
      <c r="AB39" s="78"/>
      <c r="AC39" s="79">
        <v>0</v>
      </c>
      <c r="AD39" s="80" t="e">
        <f t="shared" si="13"/>
        <v>#DIV/0!</v>
      </c>
      <c r="AE39" s="4"/>
      <c r="AF39" s="59">
        <f t="shared" si="14"/>
        <v>37</v>
      </c>
      <c r="AG39" s="60" t="str">
        <f t="shared" si="14"/>
        <v>Oklahoma</v>
      </c>
      <c r="AH39">
        <v>0.11892478328806455</v>
      </c>
      <c r="AI39" t="s">
        <v>69</v>
      </c>
      <c r="AJ39" t="s">
        <v>69</v>
      </c>
      <c r="AK39" t="s">
        <v>69</v>
      </c>
      <c r="AL39" t="s">
        <v>69</v>
      </c>
      <c r="AM39">
        <v>0.44902008202126981</v>
      </c>
      <c r="AN39">
        <v>1.9703280308930458E-2</v>
      </c>
      <c r="AO39" t="s">
        <v>69</v>
      </c>
      <c r="AP39" t="s">
        <v>69</v>
      </c>
      <c r="AQ39" t="s">
        <v>69</v>
      </c>
      <c r="AR39">
        <v>0.81440262259818663</v>
      </c>
      <c r="AS39" s="71">
        <f t="shared" si="15"/>
        <v>4.8141227039615559</v>
      </c>
      <c r="AT39" s="71" t="str">
        <f t="shared" si="15"/>
        <v/>
      </c>
      <c r="AU39" s="71" t="str">
        <f t="shared" si="15"/>
        <v/>
      </c>
      <c r="AV39" s="71" t="str">
        <f t="shared" si="15"/>
        <v/>
      </c>
      <c r="AW39" s="71" t="str">
        <f t="shared" si="15"/>
        <v/>
      </c>
      <c r="AX39" s="71">
        <f t="shared" si="16"/>
        <v>1</v>
      </c>
      <c r="AY39" s="71">
        <f t="shared" si="16"/>
        <v>1.1186393036687396</v>
      </c>
      <c r="AZ39" s="71" t="str">
        <f t="shared" si="16"/>
        <v/>
      </c>
      <c r="BA39" s="71" t="str">
        <f t="shared" si="16"/>
        <v/>
      </c>
      <c r="BB39" s="71" t="str">
        <f t="shared" si="16"/>
        <v/>
      </c>
      <c r="BC39" s="18">
        <f>IF(C39&lt;&gt;"",(('Data input'!C$109-'Data input'!C$108)*(AS39-1)/4)+'Data input'!C$108,"")</f>
        <v>0.98954400260545716</v>
      </c>
      <c r="BD39" s="18" t="str">
        <f>IF(D39&lt;&gt;"",(('Data input'!D$109-'Data input'!D$108)*(AT39-1)/4)+'Data input'!D$108,"")</f>
        <v/>
      </c>
      <c r="BE39" s="18" t="str">
        <f>IF(E39&lt;&gt;"",(('Data input'!E$109-'Data input'!E$108)*(AU39-1)/4)+'Data input'!E$108,"")</f>
        <v/>
      </c>
      <c r="BF39" s="18" t="str">
        <f>IF(F39&lt;&gt;"",(('Data input'!F$109-'Data input'!F$108)*(AV39-1)/4)+'Data input'!F$108,"")</f>
        <v/>
      </c>
      <c r="BG39" s="18" t="str">
        <f>IF(G39&lt;&gt;"",(('Data input'!G$109-'Data input'!G$108)*(AW39-1)/4)+'Data input'!G$108,"")</f>
        <v/>
      </c>
      <c r="BH39" s="19">
        <f>IF(H39&lt;&gt;"",(('Data input'!H$109-'Data input'!H$108)*(AX39-1)/4)+'Data input'!H$108,"")</f>
        <v>0.29574268608402715</v>
      </c>
      <c r="BI39" s="18">
        <f>IF(I39&lt;&gt;"",(('Data input'!I$109-'Data input'!I$108)*(AY39-1)/4)+'Data input'!I$108,"")</f>
        <v>5.2092706001734788E-3</v>
      </c>
      <c r="BJ39" s="19" t="str">
        <f>IF(J39&lt;&gt;"",(('Data input'!J$109-'Data input'!J$108)*(AZ39-1)/4)+'Data input'!J$108,"")</f>
        <v/>
      </c>
      <c r="BK39" s="19" t="str">
        <f>IF(K39&lt;&gt;"",(('Data input'!K$109-'Data input'!K$108)*(BA39-1)/4)+'Data input'!K$108,"")</f>
        <v/>
      </c>
      <c r="BL39" s="19" t="str">
        <f>IF(L39&lt;&gt;"",(('Data input'!L$109-'Data input'!L$108)*(BB39-1)/4)+'Data input'!L$108,"")</f>
        <v/>
      </c>
      <c r="BM39" s="18">
        <f>IF(C39&lt;&gt;"",BC39-'Data input'!C39,"")</f>
        <v>4.3178221981122755E-3</v>
      </c>
      <c r="BN39" s="18" t="str">
        <f>IF(D39&lt;&gt;"",BD39-'Data input'!D39,"")</f>
        <v/>
      </c>
      <c r="BO39" s="18" t="str">
        <f>IF(E39&lt;&gt;"",BE39-'Data input'!E39,"")</f>
        <v/>
      </c>
      <c r="BP39" s="18" t="str">
        <f>IF(F39&lt;&gt;"",BF39-'Data input'!F39,"")</f>
        <v/>
      </c>
      <c r="BQ39" s="18" t="str">
        <f>IF(G39&lt;&gt;"",BG39-'Data input'!G39,"")</f>
        <v/>
      </c>
      <c r="BR39" s="19">
        <f>IF(H39&lt;&gt;"",BH39-'Data input'!H39,"")</f>
        <v>-9.7786833805064433</v>
      </c>
      <c r="BS39" s="18">
        <f>IF(I39&lt;&gt;"",BI39-'Data input'!I39,"")</f>
        <v>-8.6514094120845007E-4</v>
      </c>
      <c r="BT39" s="18" t="str">
        <f>IF(J39&lt;&gt;"",BJ39-'Data input'!J39,"")</f>
        <v/>
      </c>
      <c r="BU39" s="18" t="str">
        <f>IF(K39&lt;&gt;"",BK39-'Data input'!K39,"")</f>
        <v/>
      </c>
      <c r="BV39" s="72" t="str">
        <f>IF(L39&lt;&gt;"",BL39-'Data input'!L39,"")</f>
        <v/>
      </c>
      <c r="BW39" s="121" t="str">
        <f t="shared" si="17"/>
        <v xml:space="preserve">Texas; </v>
      </c>
      <c r="BX39" s="1">
        <v>0</v>
      </c>
      <c r="BY39" s="1">
        <v>0</v>
      </c>
      <c r="BZ39" s="1">
        <v>0</v>
      </c>
      <c r="CA39" s="1">
        <v>0</v>
      </c>
      <c r="CB39" s="1">
        <v>0</v>
      </c>
      <c r="CC39" s="1">
        <v>0</v>
      </c>
      <c r="CD39" s="1">
        <v>0</v>
      </c>
      <c r="CE39" s="1">
        <v>0</v>
      </c>
      <c r="CF39" s="1">
        <v>0</v>
      </c>
      <c r="CG39" s="1">
        <v>0</v>
      </c>
      <c r="CH39" s="1">
        <v>0</v>
      </c>
      <c r="CI39" s="1">
        <v>0</v>
      </c>
      <c r="CJ39" s="1">
        <v>0</v>
      </c>
      <c r="CK39" s="1">
        <v>0</v>
      </c>
      <c r="CL39" s="1">
        <v>0</v>
      </c>
      <c r="CM39" s="1">
        <v>0</v>
      </c>
      <c r="CN39" s="1">
        <v>0</v>
      </c>
      <c r="CO39" s="1">
        <v>0</v>
      </c>
      <c r="CP39" s="1">
        <v>0</v>
      </c>
      <c r="CQ39" s="1">
        <v>0</v>
      </c>
      <c r="CR39" s="1">
        <v>0</v>
      </c>
      <c r="CS39" s="1">
        <v>0</v>
      </c>
      <c r="CT39" s="1">
        <v>0</v>
      </c>
      <c r="CU39" s="1">
        <v>0</v>
      </c>
      <c r="CV39" s="1">
        <v>0</v>
      </c>
      <c r="CW39" s="1">
        <v>0</v>
      </c>
      <c r="CX39" s="1">
        <v>0</v>
      </c>
      <c r="CY39" s="1">
        <v>0</v>
      </c>
      <c r="CZ39" s="1">
        <v>0</v>
      </c>
      <c r="DA39" s="1">
        <v>0</v>
      </c>
      <c r="DB39" s="1">
        <v>0</v>
      </c>
      <c r="DC39" s="1">
        <v>0</v>
      </c>
      <c r="DD39" s="1">
        <v>0</v>
      </c>
      <c r="DE39" s="1">
        <v>0</v>
      </c>
      <c r="DF39" s="1">
        <v>0</v>
      </c>
      <c r="DG39" s="1">
        <v>0</v>
      </c>
      <c r="DH39" s="1">
        <v>0</v>
      </c>
      <c r="DI39" s="1">
        <v>0</v>
      </c>
      <c r="DJ39" s="1">
        <v>0</v>
      </c>
      <c r="DK39" s="1">
        <v>0</v>
      </c>
      <c r="DL39" s="1">
        <v>0</v>
      </c>
      <c r="DM39" s="1">
        <v>0</v>
      </c>
      <c r="DN39" s="1">
        <v>0.99999999999999378</v>
      </c>
      <c r="DO39" s="1">
        <v>0</v>
      </c>
      <c r="DP39" s="1">
        <v>0</v>
      </c>
      <c r="DQ39" s="1">
        <v>0</v>
      </c>
      <c r="DR39" s="1">
        <v>0</v>
      </c>
      <c r="DS39" s="1">
        <v>0</v>
      </c>
      <c r="DT39" s="1">
        <v>0</v>
      </c>
      <c r="DU39" s="1">
        <v>0</v>
      </c>
      <c r="DV39" s="1">
        <v>0</v>
      </c>
      <c r="DW39" s="1">
        <v>0</v>
      </c>
      <c r="DX39" s="1">
        <v>0</v>
      </c>
      <c r="DY39" s="1">
        <v>0</v>
      </c>
      <c r="DZ39" s="1">
        <v>0</v>
      </c>
      <c r="FT39" s="1" t="str">
        <f t="shared" si="25"/>
        <v/>
      </c>
      <c r="FU39" s="1" t="str">
        <f t="shared" si="25"/>
        <v/>
      </c>
      <c r="FV39" s="1" t="str">
        <f t="shared" si="25"/>
        <v/>
      </c>
      <c r="FW39" s="1" t="str">
        <f t="shared" si="25"/>
        <v/>
      </c>
      <c r="FX39" s="1" t="str">
        <f t="shared" si="25"/>
        <v/>
      </c>
      <c r="FY39" s="1" t="str">
        <f t="shared" si="25"/>
        <v/>
      </c>
      <c r="FZ39" s="1" t="str">
        <f t="shared" si="25"/>
        <v/>
      </c>
      <c r="GA39" s="1" t="str">
        <f t="shared" si="25"/>
        <v/>
      </c>
      <c r="GB39" s="1" t="str">
        <f t="shared" si="25"/>
        <v/>
      </c>
      <c r="GC39" s="1" t="str">
        <f t="shared" si="25"/>
        <v/>
      </c>
      <c r="GD39" s="1" t="str">
        <f t="shared" si="25"/>
        <v/>
      </c>
      <c r="GE39" s="1" t="str">
        <f t="shared" si="25"/>
        <v/>
      </c>
      <c r="GF39" s="1" t="str">
        <f t="shared" si="25"/>
        <v/>
      </c>
      <c r="GG39" s="1" t="str">
        <f t="shared" si="25"/>
        <v/>
      </c>
      <c r="GH39" s="1" t="str">
        <f t="shared" si="25"/>
        <v/>
      </c>
      <c r="GI39" s="1" t="str">
        <f t="shared" si="25"/>
        <v/>
      </c>
      <c r="GJ39" s="1" t="str">
        <f t="shared" si="31"/>
        <v/>
      </c>
      <c r="GK39" s="1" t="str">
        <f t="shared" si="31"/>
        <v/>
      </c>
      <c r="GL39" s="1" t="str">
        <f t="shared" si="31"/>
        <v/>
      </c>
      <c r="GM39" s="1" t="str">
        <f t="shared" si="31"/>
        <v/>
      </c>
      <c r="GN39" s="1" t="str">
        <f t="shared" si="31"/>
        <v/>
      </c>
      <c r="GO39" s="1" t="str">
        <f t="shared" si="31"/>
        <v/>
      </c>
      <c r="GP39" s="1" t="str">
        <f t="shared" si="31"/>
        <v/>
      </c>
      <c r="GQ39" s="1" t="str">
        <f t="shared" si="31"/>
        <v/>
      </c>
      <c r="GR39" s="1" t="str">
        <f t="shared" si="31"/>
        <v/>
      </c>
      <c r="GS39" s="1" t="str">
        <f t="shared" si="31"/>
        <v/>
      </c>
      <c r="GT39" s="1" t="str">
        <f t="shared" si="31"/>
        <v/>
      </c>
      <c r="GU39" s="1" t="str">
        <f t="shared" si="31"/>
        <v/>
      </c>
      <c r="GV39" s="1" t="str">
        <f t="shared" si="31"/>
        <v/>
      </c>
      <c r="GW39" s="1" t="str">
        <f t="shared" si="31"/>
        <v/>
      </c>
      <c r="GX39" s="1" t="str">
        <f t="shared" si="26"/>
        <v/>
      </c>
      <c r="GY39" s="1" t="str">
        <f t="shared" si="26"/>
        <v/>
      </c>
      <c r="GZ39" s="1" t="str">
        <f t="shared" si="26"/>
        <v/>
      </c>
      <c r="HA39" s="1" t="str">
        <f t="shared" si="26"/>
        <v/>
      </c>
      <c r="HB39" s="1" t="str">
        <f t="shared" si="26"/>
        <v/>
      </c>
      <c r="HC39" s="1" t="str">
        <f t="shared" si="26"/>
        <v/>
      </c>
      <c r="HD39" s="1" t="str">
        <f t="shared" si="26"/>
        <v/>
      </c>
      <c r="HE39" s="1" t="str">
        <f t="shared" si="26"/>
        <v/>
      </c>
      <c r="HF39" s="1" t="str">
        <f t="shared" si="26"/>
        <v/>
      </c>
      <c r="HG39" s="1" t="str">
        <f t="shared" si="26"/>
        <v/>
      </c>
      <c r="HH39" s="1" t="str">
        <f t="shared" si="26"/>
        <v/>
      </c>
      <c r="HI39" s="1" t="str">
        <f t="shared" si="26"/>
        <v/>
      </c>
      <c r="HJ39" s="1" t="str">
        <f t="shared" si="26"/>
        <v xml:space="preserve">Texas; </v>
      </c>
      <c r="HK39" s="1" t="str">
        <f t="shared" si="26"/>
        <v/>
      </c>
      <c r="HL39" s="1" t="str">
        <f t="shared" si="26"/>
        <v/>
      </c>
      <c r="HM39" s="1" t="str">
        <f t="shared" si="26"/>
        <v/>
      </c>
      <c r="HN39" s="1" t="str">
        <f t="shared" si="27"/>
        <v/>
      </c>
      <c r="HO39" s="1" t="str">
        <f t="shared" si="27"/>
        <v/>
      </c>
      <c r="HP39" s="1" t="str">
        <f t="shared" si="27"/>
        <v/>
      </c>
      <c r="HQ39" s="1" t="str">
        <f t="shared" si="27"/>
        <v/>
      </c>
      <c r="HR39" s="1" t="str">
        <f t="shared" si="27"/>
        <v/>
      </c>
      <c r="HS39" s="1" t="str">
        <f t="shared" si="27"/>
        <v/>
      </c>
      <c r="HT39" s="1" t="str">
        <f t="shared" si="27"/>
        <v/>
      </c>
      <c r="HU39" s="1" t="str">
        <f t="shared" si="27"/>
        <v/>
      </c>
      <c r="HV39" s="1" t="str">
        <f t="shared" si="27"/>
        <v/>
      </c>
      <c r="HW39" s="1" t="str">
        <f t="shared" si="27"/>
        <v/>
      </c>
      <c r="HX39" s="1" t="str">
        <f t="shared" si="27"/>
        <v/>
      </c>
      <c r="HY39" s="1" t="str">
        <f t="shared" si="27"/>
        <v/>
      </c>
      <c r="HZ39" s="1" t="str">
        <f t="shared" si="27"/>
        <v/>
      </c>
      <c r="IA39" s="1" t="str">
        <f t="shared" si="27"/>
        <v/>
      </c>
      <c r="IB39" s="1" t="str">
        <f t="shared" si="27"/>
        <v/>
      </c>
      <c r="IC39" s="1" t="str">
        <f t="shared" si="27"/>
        <v/>
      </c>
      <c r="ID39" s="1" t="str">
        <f t="shared" si="28"/>
        <v/>
      </c>
      <c r="IE39" s="1" t="str">
        <f t="shared" si="28"/>
        <v/>
      </c>
      <c r="IF39" s="1" t="str">
        <f t="shared" si="28"/>
        <v/>
      </c>
      <c r="IG39" s="1" t="str">
        <f t="shared" si="28"/>
        <v/>
      </c>
      <c r="IH39" s="1" t="str">
        <f t="shared" si="28"/>
        <v/>
      </c>
      <c r="II39" s="1" t="str">
        <f t="shared" si="28"/>
        <v/>
      </c>
      <c r="IJ39" s="1" t="str">
        <f t="shared" si="28"/>
        <v/>
      </c>
      <c r="IK39" s="1" t="str">
        <f t="shared" si="28"/>
        <v/>
      </c>
      <c r="IL39" s="1" t="str">
        <f t="shared" si="28"/>
        <v/>
      </c>
      <c r="IM39" s="1" t="str">
        <f t="shared" si="28"/>
        <v/>
      </c>
      <c r="IN39" s="1" t="str">
        <f t="shared" si="28"/>
        <v/>
      </c>
      <c r="IO39" s="1" t="str">
        <f t="shared" si="28"/>
        <v/>
      </c>
      <c r="IP39" s="1" t="str">
        <f t="shared" si="28"/>
        <v/>
      </c>
      <c r="IQ39" s="1" t="str">
        <f t="shared" si="28"/>
        <v/>
      </c>
      <c r="IR39" s="1" t="str">
        <f t="shared" si="28"/>
        <v/>
      </c>
      <c r="IS39" s="1" t="str">
        <f t="shared" si="28"/>
        <v/>
      </c>
      <c r="IT39" s="1" t="str">
        <f t="shared" si="29"/>
        <v/>
      </c>
      <c r="IU39" s="1" t="str">
        <f t="shared" si="29"/>
        <v/>
      </c>
      <c r="IV39" s="1" t="str">
        <f t="shared" si="29"/>
        <v/>
      </c>
      <c r="IW39" s="1" t="str">
        <f t="shared" si="29"/>
        <v/>
      </c>
      <c r="IX39" s="1" t="str">
        <f t="shared" si="29"/>
        <v/>
      </c>
      <c r="IY39" s="1" t="str">
        <f t="shared" si="29"/>
        <v/>
      </c>
      <c r="IZ39" s="1" t="str">
        <f t="shared" si="29"/>
        <v/>
      </c>
      <c r="JA39" s="1" t="str">
        <f t="shared" si="29"/>
        <v/>
      </c>
      <c r="JB39" s="1" t="str">
        <f t="shared" si="29"/>
        <v/>
      </c>
      <c r="JC39" s="1" t="str">
        <f t="shared" si="29"/>
        <v/>
      </c>
      <c r="JD39" s="1" t="str">
        <f t="shared" si="29"/>
        <v/>
      </c>
      <c r="JE39" s="1" t="str">
        <f t="shared" si="29"/>
        <v/>
      </c>
      <c r="JF39" s="1" t="str">
        <f t="shared" si="29"/>
        <v/>
      </c>
      <c r="JG39" s="1" t="str">
        <f t="shared" si="29"/>
        <v/>
      </c>
      <c r="JH39" s="1" t="str">
        <f t="shared" si="29"/>
        <v/>
      </c>
      <c r="JI39" s="1" t="str">
        <f t="shared" si="29"/>
        <v/>
      </c>
      <c r="JJ39" s="1" t="str">
        <f t="shared" si="30"/>
        <v/>
      </c>
      <c r="JK39" s="1" t="str">
        <f t="shared" si="30"/>
        <v/>
      </c>
      <c r="JL39" s="1" t="str">
        <f t="shared" si="24"/>
        <v/>
      </c>
      <c r="JM39" s="1" t="str">
        <f t="shared" si="12"/>
        <v/>
      </c>
      <c r="JN39" s="1" t="str">
        <f t="shared" si="12"/>
        <v/>
      </c>
      <c r="JO39" s="1" t="str">
        <f t="shared" si="12"/>
        <v/>
      </c>
    </row>
    <row r="40" spans="1:275" ht="14.5" x14ac:dyDescent="0.35">
      <c r="A40" s="59">
        <f>IF('Data input'!A40&lt;&gt;"",'Data input'!A40,"")</f>
        <v>38</v>
      </c>
      <c r="B40" s="60" t="str">
        <f>IF('Data input'!B40&lt;&gt;"",'Data input'!B40,"")</f>
        <v>Oregon</v>
      </c>
      <c r="C40" s="19">
        <f>IF('Data input'!C40="","",4*('Data input'!C40-'Data input'!C$108)/('Data input'!C$109-'Data input'!C$108)+1)</f>
        <v>4.7087241374755813</v>
      </c>
      <c r="D40" s="19" t="str">
        <f>IF('Data input'!D40="","",4*('Data input'!D40-'Data input'!D$108)/('Data input'!D$109-'Data input'!D$108)+1)</f>
        <v/>
      </c>
      <c r="E40" s="19" t="str">
        <f>IF('Data input'!E40="","",4*('Data input'!E40-'Data input'!E$108)/('Data input'!E$109-'Data input'!E$108)+1)</f>
        <v/>
      </c>
      <c r="F40" s="19" t="str">
        <f>IF('Data input'!F40="","",4*('Data input'!F40-'Data input'!F$108)/('Data input'!F$109-'Data input'!F$108)+1)</f>
        <v/>
      </c>
      <c r="G40" s="19" t="str">
        <f>IF('Data input'!G40="","",4*('Data input'!G40-'Data input'!G$108)/('Data input'!G$109-'Data input'!G$108)+1)</f>
        <v/>
      </c>
      <c r="H40" s="61">
        <f>IF('Data input'!H40="","",4*('Data input'!H40-'Data input'!H$108)/('Data input'!H$109-'Data input'!H$108)+1)</f>
        <v>1.1236121325643358</v>
      </c>
      <c r="I40" s="19">
        <f>IF('Data input'!I40="","",4*('Data input'!I40-'Data input'!I$108)/('Data input'!I$109-'Data input'!I$108)+1)</f>
        <v>2.6637323943661984</v>
      </c>
      <c r="J40" s="19" t="str">
        <f>IF('Data input'!J40="","",4*('Data input'!J40-'Data input'!J$108)/('Data input'!J$109-'Data input'!J$108)+1)</f>
        <v/>
      </c>
      <c r="K40" s="19" t="str">
        <f>IF('Data input'!K40="","",4*('Data input'!K40-'Data input'!K$108)/('Data input'!K$109-'Data input'!K$108)+1)</f>
        <v/>
      </c>
      <c r="L40" s="19" t="str">
        <f>IF('Data input'!L40="","",4*('Data input'!L40-'Data input'!L$108)/('Data input'!L$109-'Data input'!L$108)+1)</f>
        <v/>
      </c>
      <c r="M40" s="19">
        <f>IF('Data input'!M40="","",4*('Data input'!M40-'Data input'!M$108)/('Data input'!M$109-'Data input'!M$108)+1)</f>
        <v>1.7271608912173213</v>
      </c>
      <c r="N40" s="16" t="str">
        <f>IF('Data input'!N40="","",4*('Data input'!N40-'Data input'!N$108)/('Data input'!N$109-'Data input'!N$108)+1)</f>
        <v/>
      </c>
      <c r="O40" s="19" t="str">
        <f>IF('Data input'!O40="","",4*('Data input'!O40-'Data input'!O$108)/('Data input'!O$109-'Data input'!O$108)+1)</f>
        <v/>
      </c>
      <c r="P40" s="19" t="str">
        <f>IF('Data input'!P40="","",4*('Data input'!P40-'Data input'!P$108)/('Data input'!P$109-'Data input'!P$108)+1)</f>
        <v/>
      </c>
      <c r="Q40" s="19" t="str">
        <f>IF('Data input'!Q40="","",4*('Data input'!Q40-'Data input'!Q$108)/('Data input'!Q$109-'Data input'!Q$108)+1)</f>
        <v/>
      </c>
      <c r="R40" s="19" t="str">
        <f>IF('Data input'!R40="","",4*('Data input'!R40-'Data input'!R$108)/('Data input'!R$109-'Data input'!R$108)+1)</f>
        <v/>
      </c>
      <c r="S40" s="16" t="str">
        <f>IF('Data input'!S40="","",4*('Data input'!S40-'Data input'!S$108)/('Data input'!S$109-'Data input'!S$108)+1)</f>
        <v/>
      </c>
      <c r="T40" s="19" t="str">
        <f>IF('Data input'!T40="","",4*('Data input'!T40-'Data input'!T$108)/('Data input'!T$109-'Data input'!T$108)+1)</f>
        <v/>
      </c>
      <c r="U40" s="19" t="str">
        <f>IF('Data input'!U40="","",4*('Data input'!U40-'Data input'!U$108)/('Data input'!U$109-'Data input'!U$108)+1)</f>
        <v/>
      </c>
      <c r="V40" s="19" t="str">
        <f>IF('Data input'!V40="","",4*('Data input'!V40-'Data input'!V$108)/('Data input'!V$109-'Data input'!V$108)+1)</f>
        <v/>
      </c>
      <c r="W40" s="16" t="str">
        <f>IF('Data input'!W40="","",4*('Data input'!W40-'Data input'!W$108)/('Data input'!W$109-'Data input'!W$108)+1)</f>
        <v/>
      </c>
      <c r="X40" s="16" t="str">
        <f>IF('Data input'!X40="","",4*('Data input'!X40-'Data input'!X$108)/('Data input'!X$109-'Data input'!X$108)+1)</f>
        <v/>
      </c>
      <c r="Y40" s="16" t="str">
        <f>IF('Data input'!Y40="","",4*('Data input'!Y40-'Data input'!Y$108)/('Data input'!Y$109-'Data input'!Y$108)+1)</f>
        <v/>
      </c>
      <c r="Z40" s="16" t="str">
        <f>IF('Data input'!Z40="","",4*('Data input'!Z40-'Data input'!Z$108)/('Data input'!Z$109-'Data input'!Z$108)+1)</f>
        <v/>
      </c>
      <c r="AA40" s="62" t="str">
        <f>IF('Data input'!AA40="","",4*('Data input'!AA40-'Data input'!AA$108)/('Data input'!AA$109-'Data input'!AA$108)+1)</f>
        <v/>
      </c>
      <c r="AB40" s="78"/>
      <c r="AC40" s="79">
        <v>0</v>
      </c>
      <c r="AD40" s="80" t="e">
        <f t="shared" si="13"/>
        <v>#DIV/0!</v>
      </c>
      <c r="AE40" s="4"/>
      <c r="AF40" s="59">
        <f t="shared" si="14"/>
        <v>38</v>
      </c>
      <c r="AG40" s="60" t="str">
        <f t="shared" si="14"/>
        <v>Oregon</v>
      </c>
      <c r="AH40">
        <v>0.10573526145814828</v>
      </c>
      <c r="AI40" t="s">
        <v>69</v>
      </c>
      <c r="AJ40" t="s">
        <v>69</v>
      </c>
      <c r="AK40" t="s">
        <v>69</v>
      </c>
      <c r="AL40" t="s">
        <v>69</v>
      </c>
      <c r="AM40">
        <v>0.1236121325643358</v>
      </c>
      <c r="AN40">
        <v>0.28761342635118936</v>
      </c>
      <c r="AO40" t="s">
        <v>69</v>
      </c>
      <c r="AP40" t="s">
        <v>69</v>
      </c>
      <c r="AQ40" t="s">
        <v>69</v>
      </c>
      <c r="AR40">
        <v>0.8150379857620077</v>
      </c>
      <c r="AS40" s="71">
        <f t="shared" si="15"/>
        <v>4.8144593989337299</v>
      </c>
      <c r="AT40" s="71" t="str">
        <f t="shared" si="15"/>
        <v/>
      </c>
      <c r="AU40" s="71" t="str">
        <f t="shared" si="15"/>
        <v/>
      </c>
      <c r="AV40" s="71" t="str">
        <f t="shared" si="15"/>
        <v/>
      </c>
      <c r="AW40" s="71" t="str">
        <f t="shared" si="15"/>
        <v/>
      </c>
      <c r="AX40" s="71">
        <f t="shared" si="16"/>
        <v>1</v>
      </c>
      <c r="AY40" s="71">
        <f t="shared" si="16"/>
        <v>2.376118968015009</v>
      </c>
      <c r="AZ40" s="71" t="str">
        <f t="shared" si="16"/>
        <v/>
      </c>
      <c r="BA40" s="71" t="str">
        <f t="shared" si="16"/>
        <v/>
      </c>
      <c r="BB40" s="71" t="str">
        <f t="shared" si="16"/>
        <v/>
      </c>
      <c r="BC40" s="18">
        <f>IF(C40&lt;&gt;"",(('Data input'!C$109-'Data input'!C$108)*(AS40-1)/4)+'Data input'!C$108,"")</f>
        <v>0.98955622704669355</v>
      </c>
      <c r="BD40" s="18" t="str">
        <f>IF(D40&lt;&gt;"",(('Data input'!D$109-'Data input'!D$108)*(AT40-1)/4)+'Data input'!D$108,"")</f>
        <v/>
      </c>
      <c r="BE40" s="18" t="str">
        <f>IF(E40&lt;&gt;"",(('Data input'!E$109-'Data input'!E$108)*(AU40-1)/4)+'Data input'!E$108,"")</f>
        <v/>
      </c>
      <c r="BF40" s="18" t="str">
        <f>IF(F40&lt;&gt;"",(('Data input'!F$109-'Data input'!F$108)*(AV40-1)/4)+'Data input'!F$108,"")</f>
        <v/>
      </c>
      <c r="BG40" s="18" t="str">
        <f>IF(G40&lt;&gt;"",(('Data input'!G$109-'Data input'!G$108)*(AW40-1)/4)+'Data input'!G$108,"")</f>
        <v/>
      </c>
      <c r="BH40" s="19">
        <f>IF(H40&lt;&gt;"",(('Data input'!H$109-'Data input'!H$108)*(AX40-1)/4)+'Data input'!H$108,"")</f>
        <v>0.29574268608402715</v>
      </c>
      <c r="BI40" s="18">
        <f>IF(I40&lt;&gt;"",(('Data input'!I$109-'Data input'!I$108)*(AY40-1)/4)+'Data input'!I$108,"")</f>
        <v>6.0423281836156861E-2</v>
      </c>
      <c r="BJ40" s="19" t="str">
        <f>IF(J40&lt;&gt;"",(('Data input'!J$109-'Data input'!J$108)*(AZ40-1)/4)+'Data input'!J$108,"")</f>
        <v/>
      </c>
      <c r="BK40" s="19" t="str">
        <f>IF(K40&lt;&gt;"",(('Data input'!K$109-'Data input'!K$108)*(BA40-1)/4)+'Data input'!K$108,"")</f>
        <v/>
      </c>
      <c r="BL40" s="19" t="str">
        <f>IF(L40&lt;&gt;"",(('Data input'!L$109-'Data input'!L$108)*(BB40-1)/4)+'Data input'!L$108,"")</f>
        <v/>
      </c>
      <c r="BM40" s="18">
        <f>IF(C40&lt;&gt;"",BC40-'Data input'!C40,"")</f>
        <v>3.8389480007825494E-3</v>
      </c>
      <c r="BN40" s="18" t="str">
        <f>IF(D40&lt;&gt;"",BD40-'Data input'!D40,"")</f>
        <v/>
      </c>
      <c r="BO40" s="18" t="str">
        <f>IF(E40&lt;&gt;"",BE40-'Data input'!E40,"")</f>
        <v/>
      </c>
      <c r="BP40" s="18" t="str">
        <f>IF(F40&lt;&gt;"",BF40-'Data input'!F40,"")</f>
        <v/>
      </c>
      <c r="BQ40" s="18" t="str">
        <f>IF(G40&lt;&gt;"",BG40-'Data input'!G40,"")</f>
        <v/>
      </c>
      <c r="BR40" s="19">
        <f>IF(H40&lt;&gt;"",BH40-'Data input'!H40,"")</f>
        <v>-2.6920041101381575</v>
      </c>
      <c r="BS40" s="18">
        <f>IF(I40&lt;&gt;"",BI40-'Data input'!I40,"")</f>
        <v>-1.2628666215791243E-2</v>
      </c>
      <c r="BT40" s="18" t="str">
        <f>IF(J40&lt;&gt;"",BJ40-'Data input'!J40,"")</f>
        <v/>
      </c>
      <c r="BU40" s="18" t="str">
        <f>IF(K40&lt;&gt;"",BK40-'Data input'!K40,"")</f>
        <v/>
      </c>
      <c r="BV40" s="72" t="str">
        <f>IF(L40&lt;&gt;"",BL40-'Data input'!L40,"")</f>
        <v/>
      </c>
      <c r="BW40" s="121" t="str">
        <f t="shared" si="17"/>
        <v xml:space="preserve">Texas; </v>
      </c>
      <c r="BX40" s="1">
        <v>0</v>
      </c>
      <c r="BY40" s="1">
        <v>0</v>
      </c>
      <c r="BZ40" s="1">
        <v>0</v>
      </c>
      <c r="CA40" s="1">
        <v>0</v>
      </c>
      <c r="CB40" s="1">
        <v>0</v>
      </c>
      <c r="CC40" s="1">
        <v>0</v>
      </c>
      <c r="CD40" s="1">
        <v>0</v>
      </c>
      <c r="CE40" s="1">
        <v>0</v>
      </c>
      <c r="CF40" s="1">
        <v>0</v>
      </c>
      <c r="CG40" s="1">
        <v>0</v>
      </c>
      <c r="CH40" s="1">
        <v>0</v>
      </c>
      <c r="CI40" s="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0</v>
      </c>
      <c r="CO40" s="1">
        <v>0</v>
      </c>
      <c r="CP40" s="1">
        <v>0</v>
      </c>
      <c r="CQ40" s="1">
        <v>0</v>
      </c>
      <c r="CR40" s="1">
        <v>0</v>
      </c>
      <c r="CS40" s="1">
        <v>0</v>
      </c>
      <c r="CT40" s="1">
        <v>0</v>
      </c>
      <c r="CU40" s="1">
        <v>0</v>
      </c>
      <c r="CV40" s="1">
        <v>0</v>
      </c>
      <c r="CW40" s="1">
        <v>0</v>
      </c>
      <c r="CX40" s="1">
        <v>0</v>
      </c>
      <c r="CY40" s="1">
        <v>0</v>
      </c>
      <c r="CZ40" s="1">
        <v>0</v>
      </c>
      <c r="DA40" s="1">
        <v>0</v>
      </c>
      <c r="DB40" s="1">
        <v>0</v>
      </c>
      <c r="DC40" s="1">
        <v>0</v>
      </c>
      <c r="DD40" s="1">
        <v>0</v>
      </c>
      <c r="DE40" s="1">
        <v>0</v>
      </c>
      <c r="DF40" s="1">
        <v>0</v>
      </c>
      <c r="DG40" s="1">
        <v>0</v>
      </c>
      <c r="DH40" s="1">
        <v>0</v>
      </c>
      <c r="DI40" s="1">
        <v>0</v>
      </c>
      <c r="DJ40" s="1">
        <v>0</v>
      </c>
      <c r="DK40" s="1">
        <v>0</v>
      </c>
      <c r="DL40" s="1">
        <v>0</v>
      </c>
      <c r="DM40" s="1">
        <v>0</v>
      </c>
      <c r="DN40" s="1">
        <v>0.99999999999999656</v>
      </c>
      <c r="DO40" s="1">
        <v>0</v>
      </c>
      <c r="DP40" s="1">
        <v>0</v>
      </c>
      <c r="DQ40" s="1">
        <v>0</v>
      </c>
      <c r="DR40" s="1">
        <v>0</v>
      </c>
      <c r="DS40" s="1">
        <v>0</v>
      </c>
      <c r="DT40" s="1">
        <v>0</v>
      </c>
      <c r="DU40" s="1">
        <v>0</v>
      </c>
      <c r="DV40" s="1">
        <v>0</v>
      </c>
      <c r="DW40" s="1">
        <v>0</v>
      </c>
      <c r="DX40" s="1">
        <v>0</v>
      </c>
      <c r="DY40" s="1">
        <v>0</v>
      </c>
      <c r="DZ40" s="1">
        <v>0</v>
      </c>
      <c r="FT40" s="1" t="str">
        <f t="shared" si="25"/>
        <v/>
      </c>
      <c r="FU40" s="1" t="str">
        <f t="shared" si="25"/>
        <v/>
      </c>
      <c r="FV40" s="1" t="str">
        <f t="shared" si="25"/>
        <v/>
      </c>
      <c r="FW40" s="1" t="str">
        <f t="shared" si="25"/>
        <v/>
      </c>
      <c r="FX40" s="1" t="str">
        <f t="shared" si="25"/>
        <v/>
      </c>
      <c r="FY40" s="1" t="str">
        <f t="shared" si="25"/>
        <v/>
      </c>
      <c r="FZ40" s="1" t="str">
        <f t="shared" si="25"/>
        <v/>
      </c>
      <c r="GA40" s="1" t="str">
        <f t="shared" si="25"/>
        <v/>
      </c>
      <c r="GB40" s="1" t="str">
        <f t="shared" si="25"/>
        <v/>
      </c>
      <c r="GC40" s="1" t="str">
        <f t="shared" si="25"/>
        <v/>
      </c>
      <c r="GD40" s="1" t="str">
        <f t="shared" si="25"/>
        <v/>
      </c>
      <c r="GE40" s="1" t="str">
        <f t="shared" si="25"/>
        <v/>
      </c>
      <c r="GF40" s="1" t="str">
        <f t="shared" si="25"/>
        <v/>
      </c>
      <c r="GG40" s="1" t="str">
        <f t="shared" si="25"/>
        <v/>
      </c>
      <c r="GH40" s="1" t="str">
        <f t="shared" si="25"/>
        <v/>
      </c>
      <c r="GI40" s="1" t="str">
        <f t="shared" si="25"/>
        <v/>
      </c>
      <c r="GJ40" s="1" t="str">
        <f t="shared" si="31"/>
        <v/>
      </c>
      <c r="GK40" s="1" t="str">
        <f t="shared" si="31"/>
        <v/>
      </c>
      <c r="GL40" s="1" t="str">
        <f t="shared" si="31"/>
        <v/>
      </c>
      <c r="GM40" s="1" t="str">
        <f t="shared" si="31"/>
        <v/>
      </c>
      <c r="GN40" s="1" t="str">
        <f t="shared" si="31"/>
        <v/>
      </c>
      <c r="GO40" s="1" t="str">
        <f t="shared" si="31"/>
        <v/>
      </c>
      <c r="GP40" s="1" t="str">
        <f t="shared" si="31"/>
        <v/>
      </c>
      <c r="GQ40" s="1" t="str">
        <f t="shared" si="31"/>
        <v/>
      </c>
      <c r="GR40" s="1" t="str">
        <f t="shared" si="31"/>
        <v/>
      </c>
      <c r="GS40" s="1" t="str">
        <f t="shared" si="31"/>
        <v/>
      </c>
      <c r="GT40" s="1" t="str">
        <f t="shared" si="31"/>
        <v/>
      </c>
      <c r="GU40" s="1" t="str">
        <f t="shared" si="31"/>
        <v/>
      </c>
      <c r="GV40" s="1" t="str">
        <f t="shared" si="31"/>
        <v/>
      </c>
      <c r="GW40" s="1" t="str">
        <f t="shared" si="31"/>
        <v/>
      </c>
      <c r="GX40" s="1" t="str">
        <f t="shared" si="26"/>
        <v/>
      </c>
      <c r="GY40" s="1" t="str">
        <f t="shared" si="26"/>
        <v/>
      </c>
      <c r="GZ40" s="1" t="str">
        <f t="shared" si="26"/>
        <v/>
      </c>
      <c r="HA40" s="1" t="str">
        <f t="shared" si="26"/>
        <v/>
      </c>
      <c r="HB40" s="1" t="str">
        <f t="shared" si="26"/>
        <v/>
      </c>
      <c r="HC40" s="1" t="str">
        <f t="shared" si="26"/>
        <v/>
      </c>
      <c r="HD40" s="1" t="str">
        <f t="shared" si="26"/>
        <v/>
      </c>
      <c r="HE40" s="1" t="str">
        <f t="shared" si="26"/>
        <v/>
      </c>
      <c r="HF40" s="1" t="str">
        <f t="shared" si="26"/>
        <v/>
      </c>
      <c r="HG40" s="1" t="str">
        <f t="shared" si="26"/>
        <v/>
      </c>
      <c r="HH40" s="1" t="str">
        <f t="shared" si="26"/>
        <v/>
      </c>
      <c r="HI40" s="1" t="str">
        <f t="shared" si="26"/>
        <v/>
      </c>
      <c r="HJ40" s="1" t="str">
        <f t="shared" si="26"/>
        <v xml:space="preserve">Texas; </v>
      </c>
      <c r="HK40" s="1" t="str">
        <f t="shared" si="26"/>
        <v/>
      </c>
      <c r="HL40" s="1" t="str">
        <f t="shared" si="26"/>
        <v/>
      </c>
      <c r="HM40" s="1" t="str">
        <f t="shared" si="26"/>
        <v/>
      </c>
      <c r="HN40" s="1" t="str">
        <f t="shared" si="27"/>
        <v/>
      </c>
      <c r="HO40" s="1" t="str">
        <f t="shared" si="27"/>
        <v/>
      </c>
      <c r="HP40" s="1" t="str">
        <f t="shared" si="27"/>
        <v/>
      </c>
      <c r="HQ40" s="1" t="str">
        <f t="shared" si="27"/>
        <v/>
      </c>
      <c r="HR40" s="1" t="str">
        <f t="shared" si="27"/>
        <v/>
      </c>
      <c r="HS40" s="1" t="str">
        <f t="shared" si="27"/>
        <v/>
      </c>
      <c r="HT40" s="1" t="str">
        <f t="shared" si="27"/>
        <v/>
      </c>
      <c r="HU40" s="1" t="str">
        <f t="shared" si="27"/>
        <v/>
      </c>
      <c r="HV40" s="1" t="str">
        <f t="shared" si="27"/>
        <v/>
      </c>
      <c r="HW40" s="1" t="str">
        <f t="shared" si="27"/>
        <v/>
      </c>
      <c r="HX40" s="1" t="str">
        <f t="shared" si="27"/>
        <v/>
      </c>
      <c r="HY40" s="1" t="str">
        <f t="shared" si="27"/>
        <v/>
      </c>
      <c r="HZ40" s="1" t="str">
        <f t="shared" si="27"/>
        <v/>
      </c>
      <c r="IA40" s="1" t="str">
        <f t="shared" si="27"/>
        <v/>
      </c>
      <c r="IB40" s="1" t="str">
        <f t="shared" si="27"/>
        <v/>
      </c>
      <c r="IC40" s="1" t="str">
        <f t="shared" si="27"/>
        <v/>
      </c>
      <c r="ID40" s="1" t="str">
        <f t="shared" si="28"/>
        <v/>
      </c>
      <c r="IE40" s="1" t="str">
        <f t="shared" si="28"/>
        <v/>
      </c>
      <c r="IF40" s="1" t="str">
        <f t="shared" si="28"/>
        <v/>
      </c>
      <c r="IG40" s="1" t="str">
        <f t="shared" si="28"/>
        <v/>
      </c>
      <c r="IH40" s="1" t="str">
        <f t="shared" si="28"/>
        <v/>
      </c>
      <c r="II40" s="1" t="str">
        <f t="shared" si="28"/>
        <v/>
      </c>
      <c r="IJ40" s="1" t="str">
        <f t="shared" si="28"/>
        <v/>
      </c>
      <c r="IK40" s="1" t="str">
        <f t="shared" si="28"/>
        <v/>
      </c>
      <c r="IL40" s="1" t="str">
        <f t="shared" si="28"/>
        <v/>
      </c>
      <c r="IM40" s="1" t="str">
        <f t="shared" si="28"/>
        <v/>
      </c>
      <c r="IN40" s="1" t="str">
        <f t="shared" si="28"/>
        <v/>
      </c>
      <c r="IO40" s="1" t="str">
        <f t="shared" si="28"/>
        <v/>
      </c>
      <c r="IP40" s="1" t="str">
        <f t="shared" si="28"/>
        <v/>
      </c>
      <c r="IQ40" s="1" t="str">
        <f t="shared" si="28"/>
        <v/>
      </c>
      <c r="IR40" s="1" t="str">
        <f t="shared" si="28"/>
        <v/>
      </c>
      <c r="IS40" s="1" t="str">
        <f t="shared" si="28"/>
        <v/>
      </c>
      <c r="IT40" s="1" t="str">
        <f t="shared" si="29"/>
        <v/>
      </c>
      <c r="IU40" s="1" t="str">
        <f t="shared" si="29"/>
        <v/>
      </c>
      <c r="IV40" s="1" t="str">
        <f t="shared" si="29"/>
        <v/>
      </c>
      <c r="IW40" s="1" t="str">
        <f t="shared" si="29"/>
        <v/>
      </c>
      <c r="IX40" s="1" t="str">
        <f t="shared" si="29"/>
        <v/>
      </c>
      <c r="IY40" s="1" t="str">
        <f t="shared" si="29"/>
        <v/>
      </c>
      <c r="IZ40" s="1" t="str">
        <f t="shared" si="29"/>
        <v/>
      </c>
      <c r="JA40" s="1" t="str">
        <f t="shared" si="29"/>
        <v/>
      </c>
      <c r="JB40" s="1" t="str">
        <f t="shared" si="29"/>
        <v/>
      </c>
      <c r="JC40" s="1" t="str">
        <f t="shared" si="29"/>
        <v/>
      </c>
      <c r="JD40" s="1" t="str">
        <f t="shared" si="29"/>
        <v/>
      </c>
      <c r="JE40" s="1" t="str">
        <f t="shared" si="29"/>
        <v/>
      </c>
      <c r="JF40" s="1" t="str">
        <f t="shared" si="29"/>
        <v/>
      </c>
      <c r="JG40" s="1" t="str">
        <f t="shared" si="29"/>
        <v/>
      </c>
      <c r="JH40" s="1" t="str">
        <f t="shared" si="29"/>
        <v/>
      </c>
      <c r="JI40" s="1" t="str">
        <f t="shared" si="29"/>
        <v/>
      </c>
      <c r="JJ40" s="1" t="str">
        <f t="shared" si="30"/>
        <v/>
      </c>
      <c r="JK40" s="1" t="str">
        <f t="shared" si="30"/>
        <v/>
      </c>
      <c r="JL40" s="1" t="str">
        <f t="shared" si="24"/>
        <v/>
      </c>
      <c r="JM40" s="1" t="str">
        <f t="shared" si="12"/>
        <v/>
      </c>
      <c r="JN40" s="1" t="str">
        <f t="shared" si="12"/>
        <v/>
      </c>
      <c r="JO40" s="1" t="str">
        <f t="shared" si="12"/>
        <v/>
      </c>
    </row>
    <row r="41" spans="1:275" ht="14.5" x14ac:dyDescent="0.35">
      <c r="A41" s="59">
        <f>IF('Data input'!A41&lt;&gt;"",'Data input'!A41,"")</f>
        <v>39</v>
      </c>
      <c r="B41" s="60" t="str">
        <f>IF('Data input'!B41&lt;&gt;"",'Data input'!B41,"")</f>
        <v>Pennsylvania</v>
      </c>
      <c r="C41" s="19">
        <f>IF('Data input'!C41="","",4*('Data input'!C41-'Data input'!C$108)/('Data input'!C$109-'Data input'!C$108)+1)</f>
        <v>3.5902511199049516</v>
      </c>
      <c r="D41" s="19" t="str">
        <f>IF('Data input'!D41="","",4*('Data input'!D41-'Data input'!D$108)/('Data input'!D$109-'Data input'!D$108)+1)</f>
        <v/>
      </c>
      <c r="E41" s="19" t="str">
        <f>IF('Data input'!E41="","",4*('Data input'!E41-'Data input'!E$108)/('Data input'!E$109-'Data input'!E$108)+1)</f>
        <v/>
      </c>
      <c r="F41" s="19" t="str">
        <f>IF('Data input'!F41="","",4*('Data input'!F41-'Data input'!F$108)/('Data input'!F$109-'Data input'!F$108)+1)</f>
        <v/>
      </c>
      <c r="G41" s="19" t="str">
        <f>IF('Data input'!G41="","",4*('Data input'!G41-'Data input'!G$108)/('Data input'!G$109-'Data input'!G$108)+1)</f>
        <v/>
      </c>
      <c r="H41" s="61">
        <f>IF('Data input'!H41="","",4*('Data input'!H41-'Data input'!H$108)/('Data input'!H$109-'Data input'!H$108)+1)</f>
        <v>1.2204099237761081</v>
      </c>
      <c r="I41" s="19">
        <f>IF('Data input'!I41="","",4*('Data input'!I41-'Data input'!I$108)/('Data input'!I$109-'Data input'!I$108)+1)</f>
        <v>1</v>
      </c>
      <c r="J41" s="19" t="str">
        <f>IF('Data input'!J41="","",4*('Data input'!J41-'Data input'!J$108)/('Data input'!J$109-'Data input'!J$108)+1)</f>
        <v/>
      </c>
      <c r="K41" s="19" t="str">
        <f>IF('Data input'!K41="","",4*('Data input'!K41-'Data input'!K$108)/('Data input'!K$109-'Data input'!K$108)+1)</f>
        <v/>
      </c>
      <c r="L41" s="19" t="str">
        <f>IF('Data input'!L41="","",4*('Data input'!L41-'Data input'!L$108)/('Data input'!L$109-'Data input'!L$108)+1)</f>
        <v/>
      </c>
      <c r="M41" s="19">
        <f>IF('Data input'!M41="","",4*('Data input'!M41-'Data input'!M$108)/('Data input'!M$109-'Data input'!M$108)+1)</f>
        <v>2.0051483265626269</v>
      </c>
      <c r="N41" s="16" t="str">
        <f>IF('Data input'!N41="","",4*('Data input'!N41-'Data input'!N$108)/('Data input'!N$109-'Data input'!N$108)+1)</f>
        <v/>
      </c>
      <c r="O41" s="19" t="str">
        <f>IF('Data input'!O41="","",4*('Data input'!O41-'Data input'!O$108)/('Data input'!O$109-'Data input'!O$108)+1)</f>
        <v/>
      </c>
      <c r="P41" s="19" t="str">
        <f>IF('Data input'!P41="","",4*('Data input'!P41-'Data input'!P$108)/('Data input'!P$109-'Data input'!P$108)+1)</f>
        <v/>
      </c>
      <c r="Q41" s="19" t="str">
        <f>IF('Data input'!Q41="","",4*('Data input'!Q41-'Data input'!Q$108)/('Data input'!Q$109-'Data input'!Q$108)+1)</f>
        <v/>
      </c>
      <c r="R41" s="19" t="str">
        <f>IF('Data input'!R41="","",4*('Data input'!R41-'Data input'!R$108)/('Data input'!R$109-'Data input'!R$108)+1)</f>
        <v/>
      </c>
      <c r="S41" s="16" t="str">
        <f>IF('Data input'!S41="","",4*('Data input'!S41-'Data input'!S$108)/('Data input'!S$109-'Data input'!S$108)+1)</f>
        <v/>
      </c>
      <c r="T41" s="19" t="str">
        <f>IF('Data input'!T41="","",4*('Data input'!T41-'Data input'!T$108)/('Data input'!T$109-'Data input'!T$108)+1)</f>
        <v/>
      </c>
      <c r="U41" s="19" t="str">
        <f>IF('Data input'!U41="","",4*('Data input'!U41-'Data input'!U$108)/('Data input'!U$109-'Data input'!U$108)+1)</f>
        <v/>
      </c>
      <c r="V41" s="19" t="str">
        <f>IF('Data input'!V41="","",4*('Data input'!V41-'Data input'!V$108)/('Data input'!V$109-'Data input'!V$108)+1)</f>
        <v/>
      </c>
      <c r="W41" s="16" t="str">
        <f>IF('Data input'!W41="","",4*('Data input'!W41-'Data input'!W$108)/('Data input'!W$109-'Data input'!W$108)+1)</f>
        <v/>
      </c>
      <c r="X41" s="16" t="str">
        <f>IF('Data input'!X41="","",4*('Data input'!X41-'Data input'!X$108)/('Data input'!X$109-'Data input'!X$108)+1)</f>
        <v/>
      </c>
      <c r="Y41" s="16" t="str">
        <f>IF('Data input'!Y41="","",4*('Data input'!Y41-'Data input'!Y$108)/('Data input'!Y$109-'Data input'!Y$108)+1)</f>
        <v/>
      </c>
      <c r="Z41" s="16" t="str">
        <f>IF('Data input'!Z41="","",4*('Data input'!Z41-'Data input'!Z$108)/('Data input'!Z$109-'Data input'!Z$108)+1)</f>
        <v/>
      </c>
      <c r="AA41" s="62" t="str">
        <f>IF('Data input'!AA41="","",4*('Data input'!AA41-'Data input'!AA$108)/('Data input'!AA$109-'Data input'!AA$108)+1)</f>
        <v/>
      </c>
      <c r="AB41" s="78"/>
      <c r="AC41" s="79">
        <v>0</v>
      </c>
      <c r="AD41" s="80" t="e">
        <f t="shared" si="13"/>
        <v>#DIV/0!</v>
      </c>
      <c r="AE41" s="4"/>
      <c r="AF41" s="59">
        <f t="shared" si="14"/>
        <v>39</v>
      </c>
      <c r="AG41" s="60" t="str">
        <f t="shared" si="14"/>
        <v>Pennsylvania</v>
      </c>
      <c r="AH41">
        <v>1.1751702022724266</v>
      </c>
      <c r="AI41" t="s">
        <v>69</v>
      </c>
      <c r="AJ41" t="s">
        <v>69</v>
      </c>
      <c r="AK41" t="s">
        <v>69</v>
      </c>
      <c r="AL41" t="s">
        <v>69</v>
      </c>
      <c r="AM41">
        <v>0.22040992377610738</v>
      </c>
      <c r="AN41">
        <v>0</v>
      </c>
      <c r="AO41" t="s">
        <v>69</v>
      </c>
      <c r="AP41" t="s">
        <v>69</v>
      </c>
      <c r="AQ41" t="s">
        <v>69</v>
      </c>
      <c r="AR41">
        <v>0.68228657173816165</v>
      </c>
      <c r="AS41" s="71">
        <f t="shared" si="15"/>
        <v>4.765421322177378</v>
      </c>
      <c r="AT41" s="71" t="str">
        <f t="shared" si="15"/>
        <v/>
      </c>
      <c r="AU41" s="71" t="str">
        <f t="shared" si="15"/>
        <v/>
      </c>
      <c r="AV41" s="71" t="str">
        <f t="shared" si="15"/>
        <v/>
      </c>
      <c r="AW41" s="71" t="str">
        <f t="shared" si="15"/>
        <v/>
      </c>
      <c r="AX41" s="71">
        <f t="shared" si="16"/>
        <v>1.0000000000000007</v>
      </c>
      <c r="AY41" s="71">
        <f t="shared" si="16"/>
        <v>1</v>
      </c>
      <c r="AZ41" s="71" t="str">
        <f t="shared" si="16"/>
        <v/>
      </c>
      <c r="BA41" s="71" t="str">
        <f t="shared" si="16"/>
        <v/>
      </c>
      <c r="BB41" s="71" t="str">
        <f t="shared" si="16"/>
        <v/>
      </c>
      <c r="BC41" s="18">
        <f>IF(C41&lt;&gt;"",(('Data input'!C$109-'Data input'!C$108)*(AS41-1)/4)+'Data input'!C$108,"")</f>
        <v>0.98777579330935861</v>
      </c>
      <c r="BD41" s="18" t="str">
        <f>IF(D41&lt;&gt;"",(('Data input'!D$109-'Data input'!D$108)*(AT41-1)/4)+'Data input'!D$108,"")</f>
        <v/>
      </c>
      <c r="BE41" s="18" t="str">
        <f>IF(E41&lt;&gt;"",(('Data input'!E$109-'Data input'!E$108)*(AU41-1)/4)+'Data input'!E$108,"")</f>
        <v/>
      </c>
      <c r="BF41" s="18" t="str">
        <f>IF(F41&lt;&gt;"",(('Data input'!F$109-'Data input'!F$108)*(AV41-1)/4)+'Data input'!F$108,"")</f>
        <v/>
      </c>
      <c r="BG41" s="18" t="str">
        <f>IF(G41&lt;&gt;"",(('Data input'!G$109-'Data input'!G$108)*(AW41-1)/4)+'Data input'!G$108,"")</f>
        <v/>
      </c>
      <c r="BH41" s="19">
        <f>IF(H41&lt;&gt;"",(('Data input'!H$109-'Data input'!H$108)*(AX41-1)/4)+'Data input'!H$108,"")</f>
        <v>0.29574268608404164</v>
      </c>
      <c r="BI41" s="18">
        <f>IF(I41&lt;&gt;"",(('Data input'!I$109-'Data input'!I$108)*(AY41-1)/4)+'Data input'!I$108,"")</f>
        <v>0</v>
      </c>
      <c r="BJ41" s="19" t="str">
        <f>IF(J41&lt;&gt;"",(('Data input'!J$109-'Data input'!J$108)*(AZ41-1)/4)+'Data input'!J$108,"")</f>
        <v/>
      </c>
      <c r="BK41" s="19" t="str">
        <f>IF(K41&lt;&gt;"",(('Data input'!K$109-'Data input'!K$108)*(BA41-1)/4)+'Data input'!K$108,"")</f>
        <v/>
      </c>
      <c r="BL41" s="19" t="str">
        <f>IF(L41&lt;&gt;"",(('Data input'!L$109-'Data input'!L$108)*(BB41-1)/4)+'Data input'!L$108,"")</f>
        <v/>
      </c>
      <c r="BM41" s="18">
        <f>IF(C41&lt;&gt;"",BC41-'Data input'!C41,"")</f>
        <v>4.266710306834165E-2</v>
      </c>
      <c r="BN41" s="18" t="str">
        <f>IF(D41&lt;&gt;"",BD41-'Data input'!D41,"")</f>
        <v/>
      </c>
      <c r="BO41" s="18" t="str">
        <f>IF(E41&lt;&gt;"",BE41-'Data input'!E41,"")</f>
        <v/>
      </c>
      <c r="BP41" s="18" t="str">
        <f>IF(F41&lt;&gt;"",BF41-'Data input'!F41,"")</f>
        <v/>
      </c>
      <c r="BQ41" s="18" t="str">
        <f>IF(G41&lt;&gt;"",BG41-'Data input'!G41,"")</f>
        <v/>
      </c>
      <c r="BR41" s="19">
        <f>IF(H41&lt;&gt;"",BH41-'Data input'!H41,"")</f>
        <v>-4.8000500307824057</v>
      </c>
      <c r="BS41" s="18">
        <f>IF(I41&lt;&gt;"",BI41-'Data input'!I41,"")</f>
        <v>0</v>
      </c>
      <c r="BT41" s="18" t="str">
        <f>IF(J41&lt;&gt;"",BJ41-'Data input'!J41,"")</f>
        <v/>
      </c>
      <c r="BU41" s="18" t="str">
        <f>IF(K41&lt;&gt;"",BK41-'Data input'!K41,"")</f>
        <v/>
      </c>
      <c r="BV41" s="72" t="str">
        <f>IF(L41&lt;&gt;"",BL41-'Data input'!L41,"")</f>
        <v/>
      </c>
      <c r="BW41" s="121" t="str">
        <f t="shared" si="17"/>
        <v xml:space="preserve">Nevada; Texas; </v>
      </c>
      <c r="BX41" s="1">
        <v>0</v>
      </c>
      <c r="BY41" s="1">
        <v>0</v>
      </c>
      <c r="BZ41" s="1">
        <v>0</v>
      </c>
      <c r="CA41" s="1">
        <v>0</v>
      </c>
      <c r="CB41" s="1">
        <v>0</v>
      </c>
      <c r="CC41" s="1">
        <v>0</v>
      </c>
      <c r="CD41" s="1">
        <v>0</v>
      </c>
      <c r="CE41" s="1">
        <v>0</v>
      </c>
      <c r="CF41" s="1">
        <v>0</v>
      </c>
      <c r="CG41" s="1">
        <v>0</v>
      </c>
      <c r="CH41" s="1">
        <v>0</v>
      </c>
      <c r="CI41" s="1">
        <v>0</v>
      </c>
      <c r="CJ41" s="1">
        <v>0</v>
      </c>
      <c r="CK41" s="1">
        <v>0</v>
      </c>
      <c r="CL41" s="1">
        <v>0</v>
      </c>
      <c r="CM41" s="1">
        <v>0</v>
      </c>
      <c r="CN41" s="1">
        <v>0</v>
      </c>
      <c r="CO41" s="1">
        <v>0</v>
      </c>
      <c r="CP41" s="1">
        <v>0</v>
      </c>
      <c r="CQ41" s="1">
        <v>0</v>
      </c>
      <c r="CR41" s="1">
        <v>0</v>
      </c>
      <c r="CS41" s="1">
        <v>0</v>
      </c>
      <c r="CT41" s="1">
        <v>0</v>
      </c>
      <c r="CU41" s="1">
        <v>0</v>
      </c>
      <c r="CV41" s="1">
        <v>0</v>
      </c>
      <c r="CW41" s="1">
        <v>0</v>
      </c>
      <c r="CX41" s="1">
        <v>0</v>
      </c>
      <c r="CY41" s="1">
        <v>0</v>
      </c>
      <c r="CZ41" s="1">
        <v>1.4170902543581507E-2</v>
      </c>
      <c r="DA41" s="1">
        <v>0</v>
      </c>
      <c r="DB41" s="1">
        <v>0</v>
      </c>
      <c r="DC41" s="1">
        <v>0</v>
      </c>
      <c r="DD41" s="1">
        <v>0</v>
      </c>
      <c r="DE41" s="1">
        <v>0</v>
      </c>
      <c r="DF41" s="1">
        <v>0</v>
      </c>
      <c r="DG41" s="1">
        <v>0</v>
      </c>
      <c r="DH41" s="1">
        <v>0</v>
      </c>
      <c r="DI41" s="1">
        <v>0</v>
      </c>
      <c r="DJ41" s="1">
        <v>0</v>
      </c>
      <c r="DK41" s="1">
        <v>0</v>
      </c>
      <c r="DL41" s="1">
        <v>0</v>
      </c>
      <c r="DM41" s="1">
        <v>0</v>
      </c>
      <c r="DN41" s="1">
        <v>0.98120421289927118</v>
      </c>
      <c r="DO41" s="1">
        <v>0</v>
      </c>
      <c r="DP41" s="1">
        <v>0</v>
      </c>
      <c r="DQ41" s="1">
        <v>0</v>
      </c>
      <c r="DR41" s="1">
        <v>0</v>
      </c>
      <c r="DS41" s="1">
        <v>0</v>
      </c>
      <c r="DT41" s="1">
        <v>0</v>
      </c>
      <c r="DU41" s="1">
        <v>0</v>
      </c>
      <c r="DV41" s="1">
        <v>0</v>
      </c>
      <c r="DW41" s="1">
        <v>0</v>
      </c>
      <c r="DX41" s="1">
        <v>0</v>
      </c>
      <c r="DY41" s="1">
        <v>0</v>
      </c>
      <c r="DZ41" s="1">
        <v>0</v>
      </c>
      <c r="FT41" s="1" t="str">
        <f t="shared" si="25"/>
        <v/>
      </c>
      <c r="FU41" s="1" t="str">
        <f t="shared" si="25"/>
        <v/>
      </c>
      <c r="FV41" s="1" t="str">
        <f t="shared" si="25"/>
        <v/>
      </c>
      <c r="FW41" s="1" t="str">
        <f t="shared" si="25"/>
        <v/>
      </c>
      <c r="FX41" s="1" t="str">
        <f t="shared" si="25"/>
        <v/>
      </c>
      <c r="FY41" s="1" t="str">
        <f t="shared" si="25"/>
        <v/>
      </c>
      <c r="FZ41" s="1" t="str">
        <f t="shared" si="25"/>
        <v/>
      </c>
      <c r="GA41" s="1" t="str">
        <f t="shared" si="25"/>
        <v/>
      </c>
      <c r="GB41" s="1" t="str">
        <f t="shared" si="25"/>
        <v/>
      </c>
      <c r="GC41" s="1" t="str">
        <f t="shared" si="25"/>
        <v/>
      </c>
      <c r="GD41" s="1" t="str">
        <f t="shared" si="25"/>
        <v/>
      </c>
      <c r="GE41" s="1" t="str">
        <f t="shared" si="25"/>
        <v/>
      </c>
      <c r="GF41" s="1" t="str">
        <f t="shared" si="25"/>
        <v/>
      </c>
      <c r="GG41" s="1" t="str">
        <f t="shared" si="25"/>
        <v/>
      </c>
      <c r="GH41" s="1" t="str">
        <f t="shared" si="25"/>
        <v/>
      </c>
      <c r="GI41" s="1" t="str">
        <f t="shared" si="25"/>
        <v/>
      </c>
      <c r="GJ41" s="1" t="str">
        <f t="shared" si="31"/>
        <v/>
      </c>
      <c r="GK41" s="1" t="str">
        <f t="shared" si="31"/>
        <v/>
      </c>
      <c r="GL41" s="1" t="str">
        <f t="shared" si="31"/>
        <v/>
      </c>
      <c r="GM41" s="1" t="str">
        <f t="shared" si="31"/>
        <v/>
      </c>
      <c r="GN41" s="1" t="str">
        <f t="shared" si="31"/>
        <v/>
      </c>
      <c r="GO41" s="1" t="str">
        <f t="shared" si="31"/>
        <v/>
      </c>
      <c r="GP41" s="1" t="str">
        <f t="shared" si="31"/>
        <v/>
      </c>
      <c r="GQ41" s="1" t="str">
        <f t="shared" si="31"/>
        <v/>
      </c>
      <c r="GR41" s="1" t="str">
        <f t="shared" si="31"/>
        <v/>
      </c>
      <c r="GS41" s="1" t="str">
        <f t="shared" si="31"/>
        <v/>
      </c>
      <c r="GT41" s="1" t="str">
        <f t="shared" si="31"/>
        <v/>
      </c>
      <c r="GU41" s="1" t="str">
        <f t="shared" si="31"/>
        <v/>
      </c>
      <c r="GV41" s="1" t="str">
        <f t="shared" si="31"/>
        <v xml:space="preserve">Nevada; </v>
      </c>
      <c r="GW41" s="1" t="str">
        <f t="shared" si="31"/>
        <v/>
      </c>
      <c r="GX41" s="1" t="str">
        <f t="shared" si="26"/>
        <v/>
      </c>
      <c r="GY41" s="1" t="str">
        <f t="shared" si="26"/>
        <v/>
      </c>
      <c r="GZ41" s="1" t="str">
        <f t="shared" si="26"/>
        <v/>
      </c>
      <c r="HA41" s="1" t="str">
        <f t="shared" si="26"/>
        <v/>
      </c>
      <c r="HB41" s="1" t="str">
        <f t="shared" si="26"/>
        <v/>
      </c>
      <c r="HC41" s="1" t="str">
        <f t="shared" si="26"/>
        <v/>
      </c>
      <c r="HD41" s="1" t="str">
        <f t="shared" si="26"/>
        <v/>
      </c>
      <c r="HE41" s="1" t="str">
        <f t="shared" si="26"/>
        <v/>
      </c>
      <c r="HF41" s="1" t="str">
        <f t="shared" si="26"/>
        <v/>
      </c>
      <c r="HG41" s="1" t="str">
        <f t="shared" si="26"/>
        <v/>
      </c>
      <c r="HH41" s="1" t="str">
        <f t="shared" si="26"/>
        <v/>
      </c>
      <c r="HI41" s="1" t="str">
        <f t="shared" si="26"/>
        <v/>
      </c>
      <c r="HJ41" s="1" t="str">
        <f t="shared" si="26"/>
        <v xml:space="preserve">Texas; </v>
      </c>
      <c r="HK41" s="1" t="str">
        <f t="shared" si="26"/>
        <v/>
      </c>
      <c r="HL41" s="1" t="str">
        <f t="shared" si="26"/>
        <v/>
      </c>
      <c r="HM41" s="1" t="str">
        <f t="shared" si="26"/>
        <v/>
      </c>
      <c r="HN41" s="1" t="str">
        <f t="shared" si="27"/>
        <v/>
      </c>
      <c r="HO41" s="1" t="str">
        <f t="shared" si="27"/>
        <v/>
      </c>
      <c r="HP41" s="1" t="str">
        <f t="shared" si="27"/>
        <v/>
      </c>
      <c r="HQ41" s="1" t="str">
        <f t="shared" si="27"/>
        <v/>
      </c>
      <c r="HR41" s="1" t="str">
        <f t="shared" si="27"/>
        <v/>
      </c>
      <c r="HS41" s="1" t="str">
        <f t="shared" si="27"/>
        <v/>
      </c>
      <c r="HT41" s="1" t="str">
        <f t="shared" si="27"/>
        <v/>
      </c>
      <c r="HU41" s="1" t="str">
        <f t="shared" si="27"/>
        <v/>
      </c>
      <c r="HV41" s="1" t="str">
        <f t="shared" si="27"/>
        <v/>
      </c>
      <c r="HW41" s="1" t="str">
        <f t="shared" si="27"/>
        <v/>
      </c>
      <c r="HX41" s="1" t="str">
        <f t="shared" si="27"/>
        <v/>
      </c>
      <c r="HY41" s="1" t="str">
        <f t="shared" si="27"/>
        <v/>
      </c>
      <c r="HZ41" s="1" t="str">
        <f t="shared" si="27"/>
        <v/>
      </c>
      <c r="IA41" s="1" t="str">
        <f t="shared" si="27"/>
        <v/>
      </c>
      <c r="IB41" s="1" t="str">
        <f t="shared" si="27"/>
        <v/>
      </c>
      <c r="IC41" s="1" t="str">
        <f t="shared" si="27"/>
        <v/>
      </c>
      <c r="ID41" s="1" t="str">
        <f t="shared" si="28"/>
        <v/>
      </c>
      <c r="IE41" s="1" t="str">
        <f t="shared" si="28"/>
        <v/>
      </c>
      <c r="IF41" s="1" t="str">
        <f t="shared" si="28"/>
        <v/>
      </c>
      <c r="IG41" s="1" t="str">
        <f t="shared" si="28"/>
        <v/>
      </c>
      <c r="IH41" s="1" t="str">
        <f t="shared" si="28"/>
        <v/>
      </c>
      <c r="II41" s="1" t="str">
        <f t="shared" si="28"/>
        <v/>
      </c>
      <c r="IJ41" s="1" t="str">
        <f t="shared" si="28"/>
        <v/>
      </c>
      <c r="IK41" s="1" t="str">
        <f t="shared" si="28"/>
        <v/>
      </c>
      <c r="IL41" s="1" t="str">
        <f t="shared" si="28"/>
        <v/>
      </c>
      <c r="IM41" s="1" t="str">
        <f t="shared" si="28"/>
        <v/>
      </c>
      <c r="IN41" s="1" t="str">
        <f t="shared" si="28"/>
        <v/>
      </c>
      <c r="IO41" s="1" t="str">
        <f t="shared" si="28"/>
        <v/>
      </c>
      <c r="IP41" s="1" t="str">
        <f t="shared" si="28"/>
        <v/>
      </c>
      <c r="IQ41" s="1" t="str">
        <f t="shared" si="28"/>
        <v/>
      </c>
      <c r="IR41" s="1" t="str">
        <f t="shared" si="28"/>
        <v/>
      </c>
      <c r="IS41" s="1" t="str">
        <f t="shared" si="28"/>
        <v/>
      </c>
      <c r="IT41" s="1" t="str">
        <f t="shared" si="29"/>
        <v/>
      </c>
      <c r="IU41" s="1" t="str">
        <f t="shared" si="29"/>
        <v/>
      </c>
      <c r="IV41" s="1" t="str">
        <f t="shared" si="29"/>
        <v/>
      </c>
      <c r="IW41" s="1" t="str">
        <f t="shared" si="29"/>
        <v/>
      </c>
      <c r="IX41" s="1" t="str">
        <f t="shared" si="29"/>
        <v/>
      </c>
      <c r="IY41" s="1" t="str">
        <f t="shared" si="29"/>
        <v/>
      </c>
      <c r="IZ41" s="1" t="str">
        <f t="shared" si="29"/>
        <v/>
      </c>
      <c r="JA41" s="1" t="str">
        <f t="shared" si="29"/>
        <v/>
      </c>
      <c r="JB41" s="1" t="str">
        <f t="shared" si="29"/>
        <v/>
      </c>
      <c r="JC41" s="1" t="str">
        <f t="shared" si="29"/>
        <v/>
      </c>
      <c r="JD41" s="1" t="str">
        <f t="shared" si="29"/>
        <v/>
      </c>
      <c r="JE41" s="1" t="str">
        <f t="shared" si="29"/>
        <v/>
      </c>
      <c r="JF41" s="1" t="str">
        <f t="shared" si="29"/>
        <v/>
      </c>
      <c r="JG41" s="1" t="str">
        <f t="shared" si="29"/>
        <v/>
      </c>
      <c r="JH41" s="1" t="str">
        <f t="shared" si="29"/>
        <v/>
      </c>
      <c r="JI41" s="1" t="str">
        <f t="shared" si="29"/>
        <v/>
      </c>
      <c r="JJ41" s="1" t="str">
        <f t="shared" si="30"/>
        <v/>
      </c>
      <c r="JK41" s="1" t="str">
        <f t="shared" si="30"/>
        <v/>
      </c>
      <c r="JL41" s="1" t="str">
        <f t="shared" si="24"/>
        <v/>
      </c>
      <c r="JM41" s="1" t="str">
        <f t="shared" si="12"/>
        <v/>
      </c>
      <c r="JN41" s="1" t="str">
        <f t="shared" si="12"/>
        <v/>
      </c>
      <c r="JO41" s="1" t="str">
        <f t="shared" si="12"/>
        <v/>
      </c>
    </row>
    <row r="42" spans="1:275" ht="14.5" x14ac:dyDescent="0.35">
      <c r="A42" s="59">
        <f>IF('Data input'!A42&lt;&gt;"",'Data input'!A42,"")</f>
        <v>40</v>
      </c>
      <c r="B42" s="60" t="str">
        <f>IF('Data input'!B42&lt;&gt;"",'Data input'!B42,"")</f>
        <v>South Carolina</v>
      </c>
      <c r="C42" s="19">
        <f>IF('Data input'!C42="","",4*('Data input'!C42-'Data input'!C$108)/('Data input'!C$109-'Data input'!C$108)+1)</f>
        <v>4.1687639173668085</v>
      </c>
      <c r="D42" s="19" t="str">
        <f>IF('Data input'!D42="","",4*('Data input'!D42-'Data input'!D$108)/('Data input'!D$109-'Data input'!D$108)+1)</f>
        <v/>
      </c>
      <c r="E42" s="19" t="str">
        <f>IF('Data input'!E42="","",4*('Data input'!E42-'Data input'!E$108)/('Data input'!E$109-'Data input'!E$108)+1)</f>
        <v/>
      </c>
      <c r="F42" s="19" t="str">
        <f>IF('Data input'!F42="","",4*('Data input'!F42-'Data input'!F$108)/('Data input'!F$109-'Data input'!F$108)+1)</f>
        <v/>
      </c>
      <c r="G42" s="19" t="str">
        <f>IF('Data input'!G42="","",4*('Data input'!G42-'Data input'!G$108)/('Data input'!G$109-'Data input'!G$108)+1)</f>
        <v/>
      </c>
      <c r="H42" s="61">
        <f>IF('Data input'!H42="","",4*('Data input'!H42-'Data input'!H$108)/('Data input'!H$109-'Data input'!H$108)+1)</f>
        <v>1.3266332564858823</v>
      </c>
      <c r="I42" s="19">
        <f>IF('Data input'!I42="","",4*('Data input'!I42-'Data input'!I$108)/('Data input'!I$109-'Data input'!I$108)+1)</f>
        <v>1.1176646561342798</v>
      </c>
      <c r="J42" s="19" t="str">
        <f>IF('Data input'!J42="","",4*('Data input'!J42-'Data input'!J$108)/('Data input'!J$109-'Data input'!J$108)+1)</f>
        <v/>
      </c>
      <c r="K42" s="19" t="str">
        <f>IF('Data input'!K42="","",4*('Data input'!K42-'Data input'!K$108)/('Data input'!K$109-'Data input'!K$108)+1)</f>
        <v/>
      </c>
      <c r="L42" s="19" t="str">
        <f>IF('Data input'!L42="","",4*('Data input'!L42-'Data input'!L$108)/('Data input'!L$109-'Data input'!L$108)+1)</f>
        <v/>
      </c>
      <c r="M42" s="19">
        <f>IF('Data input'!M42="","",4*('Data input'!M42-'Data input'!M$108)/('Data input'!M$109-'Data input'!M$108)+1)</f>
        <v>1.4579513249124987</v>
      </c>
      <c r="N42" s="16" t="str">
        <f>IF('Data input'!N42="","",4*('Data input'!N42-'Data input'!N$108)/('Data input'!N$109-'Data input'!N$108)+1)</f>
        <v/>
      </c>
      <c r="O42" s="19" t="str">
        <f>IF('Data input'!O42="","",4*('Data input'!O42-'Data input'!O$108)/('Data input'!O$109-'Data input'!O$108)+1)</f>
        <v/>
      </c>
      <c r="P42" s="19" t="str">
        <f>IF('Data input'!P42="","",4*('Data input'!P42-'Data input'!P$108)/('Data input'!P$109-'Data input'!P$108)+1)</f>
        <v/>
      </c>
      <c r="Q42" s="19" t="str">
        <f>IF('Data input'!Q42="","",4*('Data input'!Q42-'Data input'!Q$108)/('Data input'!Q$109-'Data input'!Q$108)+1)</f>
        <v/>
      </c>
      <c r="R42" s="19" t="str">
        <f>IF('Data input'!R42="","",4*('Data input'!R42-'Data input'!R$108)/('Data input'!R$109-'Data input'!R$108)+1)</f>
        <v/>
      </c>
      <c r="S42" s="16" t="str">
        <f>IF('Data input'!S42="","",4*('Data input'!S42-'Data input'!S$108)/('Data input'!S$109-'Data input'!S$108)+1)</f>
        <v/>
      </c>
      <c r="T42" s="19" t="str">
        <f>IF('Data input'!T42="","",4*('Data input'!T42-'Data input'!T$108)/('Data input'!T$109-'Data input'!T$108)+1)</f>
        <v/>
      </c>
      <c r="U42" s="19" t="str">
        <f>IF('Data input'!U42="","",4*('Data input'!U42-'Data input'!U$108)/('Data input'!U$109-'Data input'!U$108)+1)</f>
        <v/>
      </c>
      <c r="V42" s="19" t="str">
        <f>IF('Data input'!V42="","",4*('Data input'!V42-'Data input'!V$108)/('Data input'!V$109-'Data input'!V$108)+1)</f>
        <v/>
      </c>
      <c r="W42" s="16" t="str">
        <f>IF('Data input'!W42="","",4*('Data input'!W42-'Data input'!W$108)/('Data input'!W$109-'Data input'!W$108)+1)</f>
        <v/>
      </c>
      <c r="X42" s="16" t="str">
        <f>IF('Data input'!X42="","",4*('Data input'!X42-'Data input'!X$108)/('Data input'!X$109-'Data input'!X$108)+1)</f>
        <v/>
      </c>
      <c r="Y42" s="16" t="str">
        <f>IF('Data input'!Y42="","",4*('Data input'!Y42-'Data input'!Y$108)/('Data input'!Y$109-'Data input'!Y$108)+1)</f>
        <v/>
      </c>
      <c r="Z42" s="16" t="str">
        <f>IF('Data input'!Z42="","",4*('Data input'!Z42-'Data input'!Z$108)/('Data input'!Z$109-'Data input'!Z$108)+1)</f>
        <v/>
      </c>
      <c r="AA42" s="62" t="str">
        <f>IF('Data input'!AA42="","",4*('Data input'!AA42-'Data input'!AA$108)/('Data input'!AA$109-'Data input'!AA$108)+1)</f>
        <v/>
      </c>
      <c r="AB42" s="78"/>
      <c r="AC42" s="79">
        <v>0</v>
      </c>
      <c r="AD42" s="80" t="e">
        <f t="shared" si="13"/>
        <v>#DIV/0!</v>
      </c>
      <c r="AE42" s="4"/>
      <c r="AF42" s="59">
        <f t="shared" si="14"/>
        <v>40</v>
      </c>
      <c r="AG42" s="60" t="str">
        <f t="shared" si="14"/>
        <v>South Carolina</v>
      </c>
      <c r="AH42">
        <v>0.63225477645702133</v>
      </c>
      <c r="AI42" t="s">
        <v>69</v>
      </c>
      <c r="AJ42" t="s">
        <v>69</v>
      </c>
      <c r="AK42" t="s">
        <v>69</v>
      </c>
      <c r="AL42" t="s">
        <v>69</v>
      </c>
      <c r="AM42">
        <v>0.32663325648588226</v>
      </c>
      <c r="AN42">
        <v>1.6071535406316673E-2</v>
      </c>
      <c r="AO42" t="s">
        <v>69</v>
      </c>
      <c r="AP42" t="s">
        <v>69</v>
      </c>
      <c r="AQ42" t="s">
        <v>69</v>
      </c>
      <c r="AR42">
        <v>0.75266631961749497</v>
      </c>
      <c r="AS42" s="71">
        <f t="shared" si="15"/>
        <v>4.8010186938238295</v>
      </c>
      <c r="AT42" s="71" t="str">
        <f t="shared" si="15"/>
        <v/>
      </c>
      <c r="AU42" s="71" t="str">
        <f t="shared" si="15"/>
        <v/>
      </c>
      <c r="AV42" s="71" t="str">
        <f t="shared" si="15"/>
        <v/>
      </c>
      <c r="AW42" s="71" t="str">
        <f t="shared" si="15"/>
        <v/>
      </c>
      <c r="AX42" s="71">
        <f t="shared" si="16"/>
        <v>1</v>
      </c>
      <c r="AY42" s="71">
        <f t="shared" si="16"/>
        <v>1.101593120727963</v>
      </c>
      <c r="AZ42" s="71" t="str">
        <f t="shared" si="16"/>
        <v/>
      </c>
      <c r="BA42" s="71" t="str">
        <f t="shared" si="16"/>
        <v/>
      </c>
      <c r="BB42" s="71" t="str">
        <f t="shared" si="16"/>
        <v/>
      </c>
      <c r="BC42" s="18">
        <f>IF(C42&lt;&gt;"",(('Data input'!C$109-'Data input'!C$108)*(AS42-1)/4)+'Data input'!C$108,"")</f>
        <v>0.98906823309558212</v>
      </c>
      <c r="BD42" s="18" t="str">
        <f>IF(D42&lt;&gt;"",(('Data input'!D$109-'Data input'!D$108)*(AT42-1)/4)+'Data input'!D$108,"")</f>
        <v/>
      </c>
      <c r="BE42" s="18" t="str">
        <f>IF(E42&lt;&gt;"",(('Data input'!E$109-'Data input'!E$108)*(AU42-1)/4)+'Data input'!E$108,"")</f>
        <v/>
      </c>
      <c r="BF42" s="18" t="str">
        <f>IF(F42&lt;&gt;"",(('Data input'!F$109-'Data input'!F$108)*(AV42-1)/4)+'Data input'!F$108,"")</f>
        <v/>
      </c>
      <c r="BG42" s="18" t="str">
        <f>IF(G42&lt;&gt;"",(('Data input'!G$109-'Data input'!G$108)*(AW42-1)/4)+'Data input'!G$108,"")</f>
        <v/>
      </c>
      <c r="BH42" s="19">
        <f>IF(H42&lt;&gt;"",(('Data input'!H$109-'Data input'!H$108)*(AX42-1)/4)+'Data input'!H$108,"")</f>
        <v>0.29574268608402715</v>
      </c>
      <c r="BI42" s="18">
        <f>IF(I42&lt;&gt;"",(('Data input'!I$109-'Data input'!I$108)*(AY42-1)/4)+'Data input'!I$108,"")</f>
        <v>4.4607987456310285E-3</v>
      </c>
      <c r="BJ42" s="19" t="str">
        <f>IF(J42&lt;&gt;"",(('Data input'!J$109-'Data input'!J$108)*(AZ42-1)/4)+'Data input'!J$108,"")</f>
        <v/>
      </c>
      <c r="BK42" s="19" t="str">
        <f>IF(K42&lt;&gt;"",(('Data input'!K$109-'Data input'!K$108)*(BA42-1)/4)+'Data input'!K$108,"")</f>
        <v/>
      </c>
      <c r="BL42" s="19" t="str">
        <f>IF(L42&lt;&gt;"",(('Data input'!L$109-'Data input'!L$108)*(BB42-1)/4)+'Data input'!L$108,"")</f>
        <v/>
      </c>
      <c r="BM42" s="18">
        <f>IF(C42&lt;&gt;"",BC42-'Data input'!C42,"")</f>
        <v>2.2955380982583318E-2</v>
      </c>
      <c r="BN42" s="18" t="str">
        <f>IF(D42&lt;&gt;"",BD42-'Data input'!D42,"")</f>
        <v/>
      </c>
      <c r="BO42" s="18" t="str">
        <f>IF(E42&lt;&gt;"",BE42-'Data input'!E42,"")</f>
        <v/>
      </c>
      <c r="BP42" s="18" t="str">
        <f>IF(F42&lt;&gt;"",BF42-'Data input'!F42,"")</f>
        <v/>
      </c>
      <c r="BQ42" s="18" t="str">
        <f>IF(G42&lt;&gt;"",BG42-'Data input'!G42,"")</f>
        <v/>
      </c>
      <c r="BR42" s="19">
        <f>IF(H42&lt;&gt;"",BH42-'Data input'!H42,"")</f>
        <v>-7.1133637995458212</v>
      </c>
      <c r="BS42" s="18">
        <f>IF(I42&lt;&gt;"",BI42-'Data input'!I42,"")</f>
        <v>-7.0567657009801884E-4</v>
      </c>
      <c r="BT42" s="18" t="str">
        <f>IF(J42&lt;&gt;"",BJ42-'Data input'!J42,"")</f>
        <v/>
      </c>
      <c r="BU42" s="18" t="str">
        <f>IF(K42&lt;&gt;"",BK42-'Data input'!K42,"")</f>
        <v/>
      </c>
      <c r="BV42" s="72" t="str">
        <f>IF(L42&lt;&gt;"",BL42-'Data input'!L42,"")</f>
        <v/>
      </c>
      <c r="BW42" s="121" t="str">
        <f t="shared" si="17"/>
        <v xml:space="preserve">Texas; </v>
      </c>
      <c r="BX42" s="1">
        <v>0</v>
      </c>
      <c r="BY42" s="1">
        <v>0</v>
      </c>
      <c r="BZ42" s="1">
        <v>0</v>
      </c>
      <c r="CA42" s="1">
        <v>0</v>
      </c>
      <c r="CB42" s="1">
        <v>0</v>
      </c>
      <c r="CC42" s="1">
        <v>0</v>
      </c>
      <c r="CD42" s="1">
        <v>0</v>
      </c>
      <c r="CE42" s="1">
        <v>0</v>
      </c>
      <c r="CF42" s="1">
        <v>0</v>
      </c>
      <c r="CG42" s="1">
        <v>0</v>
      </c>
      <c r="CH42" s="1">
        <v>0</v>
      </c>
      <c r="CI42" s="1">
        <v>0</v>
      </c>
      <c r="CJ42" s="1">
        <v>0</v>
      </c>
      <c r="CK42" s="1">
        <v>0</v>
      </c>
      <c r="CL42" s="1">
        <v>0</v>
      </c>
      <c r="CM42" s="1">
        <v>0</v>
      </c>
      <c r="CN42" s="1">
        <v>0</v>
      </c>
      <c r="CO42" s="1">
        <v>0</v>
      </c>
      <c r="CP42" s="1">
        <v>0</v>
      </c>
      <c r="CQ42" s="1">
        <v>0</v>
      </c>
      <c r="CR42" s="1">
        <v>0</v>
      </c>
      <c r="CS42" s="1">
        <v>0</v>
      </c>
      <c r="CT42" s="1">
        <v>0</v>
      </c>
      <c r="CU42" s="1">
        <v>0</v>
      </c>
      <c r="CV42" s="1">
        <v>0</v>
      </c>
      <c r="CW42" s="1">
        <v>0</v>
      </c>
      <c r="CX42" s="1">
        <v>0</v>
      </c>
      <c r="CY42" s="1">
        <v>0</v>
      </c>
      <c r="CZ42" s="1">
        <v>0</v>
      </c>
      <c r="DA42" s="1">
        <v>0</v>
      </c>
      <c r="DB42" s="1">
        <v>0</v>
      </c>
      <c r="DC42" s="1">
        <v>0</v>
      </c>
      <c r="DD42" s="1">
        <v>0</v>
      </c>
      <c r="DE42" s="1">
        <v>0</v>
      </c>
      <c r="DF42" s="1">
        <v>0</v>
      </c>
      <c r="DG42" s="1">
        <v>0</v>
      </c>
      <c r="DH42" s="1">
        <v>0</v>
      </c>
      <c r="DI42" s="1">
        <v>0</v>
      </c>
      <c r="DJ42" s="1">
        <v>0</v>
      </c>
      <c r="DK42" s="1">
        <v>0</v>
      </c>
      <c r="DL42" s="1">
        <v>0</v>
      </c>
      <c r="DM42" s="1">
        <v>0</v>
      </c>
      <c r="DN42" s="1">
        <v>0.99999999999999512</v>
      </c>
      <c r="DO42" s="1">
        <v>0</v>
      </c>
      <c r="DP42" s="1">
        <v>0</v>
      </c>
      <c r="DQ42" s="1">
        <v>0</v>
      </c>
      <c r="DR42" s="1">
        <v>0</v>
      </c>
      <c r="DS42" s="1">
        <v>0</v>
      </c>
      <c r="DT42" s="1">
        <v>0</v>
      </c>
      <c r="DU42" s="1">
        <v>0</v>
      </c>
      <c r="DV42" s="1">
        <v>0</v>
      </c>
      <c r="DW42" s="1">
        <v>0</v>
      </c>
      <c r="DX42" s="1">
        <v>0</v>
      </c>
      <c r="DY42" s="1">
        <v>0</v>
      </c>
      <c r="DZ42" s="1">
        <v>0</v>
      </c>
      <c r="FT42" s="1" t="str">
        <f t="shared" si="25"/>
        <v/>
      </c>
      <c r="FU42" s="1" t="str">
        <f t="shared" si="25"/>
        <v/>
      </c>
      <c r="FV42" s="1" t="str">
        <f t="shared" si="25"/>
        <v/>
      </c>
      <c r="FW42" s="1" t="str">
        <f t="shared" si="25"/>
        <v/>
      </c>
      <c r="FX42" s="1" t="str">
        <f t="shared" si="25"/>
        <v/>
      </c>
      <c r="FY42" s="1" t="str">
        <f t="shared" si="25"/>
        <v/>
      </c>
      <c r="FZ42" s="1" t="str">
        <f t="shared" si="25"/>
        <v/>
      </c>
      <c r="GA42" s="1" t="str">
        <f t="shared" si="25"/>
        <v/>
      </c>
      <c r="GB42" s="1" t="str">
        <f t="shared" si="25"/>
        <v/>
      </c>
      <c r="GC42" s="1" t="str">
        <f t="shared" si="25"/>
        <v/>
      </c>
      <c r="GD42" s="1" t="str">
        <f t="shared" si="25"/>
        <v/>
      </c>
      <c r="GE42" s="1" t="str">
        <f t="shared" si="25"/>
        <v/>
      </c>
      <c r="GF42" s="1" t="str">
        <f t="shared" si="25"/>
        <v/>
      </c>
      <c r="GG42" s="1" t="str">
        <f t="shared" si="25"/>
        <v/>
      </c>
      <c r="GH42" s="1" t="str">
        <f t="shared" si="25"/>
        <v/>
      </c>
      <c r="GI42" s="1" t="str">
        <f t="shared" si="25"/>
        <v/>
      </c>
      <c r="GJ42" s="1" t="str">
        <f t="shared" si="31"/>
        <v/>
      </c>
      <c r="GK42" s="1" t="str">
        <f t="shared" si="31"/>
        <v/>
      </c>
      <c r="GL42" s="1" t="str">
        <f t="shared" si="31"/>
        <v/>
      </c>
      <c r="GM42" s="1" t="str">
        <f t="shared" si="31"/>
        <v/>
      </c>
      <c r="GN42" s="1" t="str">
        <f t="shared" si="31"/>
        <v/>
      </c>
      <c r="GO42" s="1" t="str">
        <f t="shared" si="31"/>
        <v/>
      </c>
      <c r="GP42" s="1" t="str">
        <f t="shared" si="31"/>
        <v/>
      </c>
      <c r="GQ42" s="1" t="str">
        <f t="shared" si="31"/>
        <v/>
      </c>
      <c r="GR42" s="1" t="str">
        <f t="shared" si="31"/>
        <v/>
      </c>
      <c r="GS42" s="1" t="str">
        <f t="shared" si="31"/>
        <v/>
      </c>
      <c r="GT42" s="1" t="str">
        <f t="shared" si="31"/>
        <v/>
      </c>
      <c r="GU42" s="1" t="str">
        <f t="shared" si="31"/>
        <v/>
      </c>
      <c r="GV42" s="1" t="str">
        <f t="shared" si="31"/>
        <v/>
      </c>
      <c r="GW42" s="1" t="str">
        <f t="shared" si="31"/>
        <v/>
      </c>
      <c r="GX42" s="1" t="str">
        <f t="shared" si="26"/>
        <v/>
      </c>
      <c r="GY42" s="1" t="str">
        <f t="shared" si="26"/>
        <v/>
      </c>
      <c r="GZ42" s="1" t="str">
        <f t="shared" si="26"/>
        <v/>
      </c>
      <c r="HA42" s="1" t="str">
        <f t="shared" si="26"/>
        <v/>
      </c>
      <c r="HB42" s="1" t="str">
        <f t="shared" si="26"/>
        <v/>
      </c>
      <c r="HC42" s="1" t="str">
        <f t="shared" si="26"/>
        <v/>
      </c>
      <c r="HD42" s="1" t="str">
        <f t="shared" si="26"/>
        <v/>
      </c>
      <c r="HE42" s="1" t="str">
        <f t="shared" si="26"/>
        <v/>
      </c>
      <c r="HF42" s="1" t="str">
        <f t="shared" si="26"/>
        <v/>
      </c>
      <c r="HG42" s="1" t="str">
        <f t="shared" si="26"/>
        <v/>
      </c>
      <c r="HH42" s="1" t="str">
        <f t="shared" si="26"/>
        <v/>
      </c>
      <c r="HI42" s="1" t="str">
        <f t="shared" si="26"/>
        <v/>
      </c>
      <c r="HJ42" s="1" t="str">
        <f t="shared" si="26"/>
        <v xml:space="preserve">Texas; </v>
      </c>
      <c r="HK42" s="1" t="str">
        <f t="shared" si="26"/>
        <v/>
      </c>
      <c r="HL42" s="1" t="str">
        <f t="shared" si="26"/>
        <v/>
      </c>
      <c r="HM42" s="1" t="str">
        <f t="shared" si="26"/>
        <v/>
      </c>
      <c r="HN42" s="1" t="str">
        <f t="shared" si="27"/>
        <v/>
      </c>
      <c r="HO42" s="1" t="str">
        <f t="shared" si="27"/>
        <v/>
      </c>
      <c r="HP42" s="1" t="str">
        <f t="shared" si="27"/>
        <v/>
      </c>
      <c r="HQ42" s="1" t="str">
        <f t="shared" si="27"/>
        <v/>
      </c>
      <c r="HR42" s="1" t="str">
        <f t="shared" si="27"/>
        <v/>
      </c>
      <c r="HS42" s="1" t="str">
        <f t="shared" si="27"/>
        <v/>
      </c>
      <c r="HT42" s="1" t="str">
        <f t="shared" si="27"/>
        <v/>
      </c>
      <c r="HU42" s="1" t="str">
        <f t="shared" si="27"/>
        <v/>
      </c>
      <c r="HV42" s="1" t="str">
        <f t="shared" si="27"/>
        <v/>
      </c>
      <c r="HW42" s="1" t="str">
        <f t="shared" si="27"/>
        <v/>
      </c>
      <c r="HX42" s="1" t="str">
        <f t="shared" si="27"/>
        <v/>
      </c>
      <c r="HY42" s="1" t="str">
        <f t="shared" si="27"/>
        <v/>
      </c>
      <c r="HZ42" s="1" t="str">
        <f t="shared" si="27"/>
        <v/>
      </c>
      <c r="IA42" s="1" t="str">
        <f t="shared" si="27"/>
        <v/>
      </c>
      <c r="IB42" s="1" t="str">
        <f t="shared" si="27"/>
        <v/>
      </c>
      <c r="IC42" s="1" t="str">
        <f t="shared" si="27"/>
        <v/>
      </c>
      <c r="ID42" s="1" t="str">
        <f t="shared" si="28"/>
        <v/>
      </c>
      <c r="IE42" s="1" t="str">
        <f t="shared" si="28"/>
        <v/>
      </c>
      <c r="IF42" s="1" t="str">
        <f t="shared" si="28"/>
        <v/>
      </c>
      <c r="IG42" s="1" t="str">
        <f t="shared" si="28"/>
        <v/>
      </c>
      <c r="IH42" s="1" t="str">
        <f t="shared" si="28"/>
        <v/>
      </c>
      <c r="II42" s="1" t="str">
        <f t="shared" si="28"/>
        <v/>
      </c>
      <c r="IJ42" s="1" t="str">
        <f t="shared" si="28"/>
        <v/>
      </c>
      <c r="IK42" s="1" t="str">
        <f t="shared" si="28"/>
        <v/>
      </c>
      <c r="IL42" s="1" t="str">
        <f t="shared" si="28"/>
        <v/>
      </c>
      <c r="IM42" s="1" t="str">
        <f t="shared" si="28"/>
        <v/>
      </c>
      <c r="IN42" s="1" t="str">
        <f t="shared" si="28"/>
        <v/>
      </c>
      <c r="IO42" s="1" t="str">
        <f t="shared" si="28"/>
        <v/>
      </c>
      <c r="IP42" s="1" t="str">
        <f t="shared" si="28"/>
        <v/>
      </c>
      <c r="IQ42" s="1" t="str">
        <f t="shared" si="28"/>
        <v/>
      </c>
      <c r="IR42" s="1" t="str">
        <f t="shared" si="28"/>
        <v/>
      </c>
      <c r="IS42" s="1" t="str">
        <f t="shared" si="28"/>
        <v/>
      </c>
      <c r="IT42" s="1" t="str">
        <f t="shared" si="29"/>
        <v/>
      </c>
      <c r="IU42" s="1" t="str">
        <f t="shared" si="29"/>
        <v/>
      </c>
      <c r="IV42" s="1" t="str">
        <f t="shared" si="29"/>
        <v/>
      </c>
      <c r="IW42" s="1" t="str">
        <f t="shared" si="29"/>
        <v/>
      </c>
      <c r="IX42" s="1" t="str">
        <f t="shared" si="29"/>
        <v/>
      </c>
      <c r="IY42" s="1" t="str">
        <f t="shared" si="29"/>
        <v/>
      </c>
      <c r="IZ42" s="1" t="str">
        <f t="shared" si="29"/>
        <v/>
      </c>
      <c r="JA42" s="1" t="str">
        <f t="shared" si="29"/>
        <v/>
      </c>
      <c r="JB42" s="1" t="str">
        <f t="shared" si="29"/>
        <v/>
      </c>
      <c r="JC42" s="1" t="str">
        <f t="shared" si="29"/>
        <v/>
      </c>
      <c r="JD42" s="1" t="str">
        <f t="shared" si="29"/>
        <v/>
      </c>
      <c r="JE42" s="1" t="str">
        <f t="shared" si="29"/>
        <v/>
      </c>
      <c r="JF42" s="1" t="str">
        <f t="shared" si="29"/>
        <v/>
      </c>
      <c r="JG42" s="1" t="str">
        <f t="shared" si="29"/>
        <v/>
      </c>
      <c r="JH42" s="1" t="str">
        <f t="shared" si="29"/>
        <v/>
      </c>
      <c r="JI42" s="1" t="str">
        <f t="shared" si="29"/>
        <v/>
      </c>
      <c r="JJ42" s="1" t="str">
        <f t="shared" si="30"/>
        <v/>
      </c>
      <c r="JK42" s="1" t="str">
        <f t="shared" si="30"/>
        <v/>
      </c>
      <c r="JL42" s="1" t="str">
        <f t="shared" si="24"/>
        <v/>
      </c>
      <c r="JM42" s="1" t="str">
        <f t="shared" si="12"/>
        <v/>
      </c>
      <c r="JN42" s="1" t="str">
        <f t="shared" si="12"/>
        <v/>
      </c>
      <c r="JO42" s="1" t="str">
        <f t="shared" si="12"/>
        <v/>
      </c>
    </row>
    <row r="43" spans="1:275" ht="14.5" x14ac:dyDescent="0.35">
      <c r="A43" s="59">
        <f>IF('Data input'!A43&lt;&gt;"",'Data input'!A43,"")</f>
        <v>41</v>
      </c>
      <c r="B43" s="60" t="str">
        <f>IF('Data input'!B43&lt;&gt;"",'Data input'!B43,"")</f>
        <v>South Dakota</v>
      </c>
      <c r="C43" s="19">
        <f>IF('Data input'!C43="","",4*('Data input'!C43-'Data input'!C$108)/('Data input'!C$109-'Data input'!C$108)+1)</f>
        <v>4.3501956438083944</v>
      </c>
      <c r="D43" s="19" t="str">
        <f>IF('Data input'!D43="","",4*('Data input'!D43-'Data input'!D$108)/('Data input'!D$109-'Data input'!D$108)+1)</f>
        <v/>
      </c>
      <c r="E43" s="19" t="str">
        <f>IF('Data input'!E43="","",4*('Data input'!E43-'Data input'!E$108)/('Data input'!E$109-'Data input'!E$108)+1)</f>
        <v/>
      </c>
      <c r="F43" s="19" t="str">
        <f>IF('Data input'!F43="","",4*('Data input'!F43-'Data input'!F$108)/('Data input'!F$109-'Data input'!F$108)+1)</f>
        <v/>
      </c>
      <c r="G43" s="19" t="str">
        <f>IF('Data input'!G43="","",4*('Data input'!G43-'Data input'!G$108)/('Data input'!G$109-'Data input'!G$108)+1)</f>
        <v/>
      </c>
      <c r="H43" s="61">
        <f>IF('Data input'!H43="","",4*('Data input'!H43-'Data input'!H$108)/('Data input'!H$109-'Data input'!H$108)+1)</f>
        <v>3.3444685413747308</v>
      </c>
      <c r="I43" s="19">
        <f>IF('Data input'!I43="","",4*('Data input'!I43-'Data input'!I$108)/('Data input'!I$109-'Data input'!I$108)+1)</f>
        <v>2.55229034430387</v>
      </c>
      <c r="J43" s="19" t="str">
        <f>IF('Data input'!J43="","",4*('Data input'!J43-'Data input'!J$108)/('Data input'!J$109-'Data input'!J$108)+1)</f>
        <v/>
      </c>
      <c r="K43" s="19" t="str">
        <f>IF('Data input'!K43="","",4*('Data input'!K43-'Data input'!K$108)/('Data input'!K$109-'Data input'!K$108)+1)</f>
        <v/>
      </c>
      <c r="L43" s="19" t="str">
        <f>IF('Data input'!L43="","",4*('Data input'!L43-'Data input'!L$108)/('Data input'!L$109-'Data input'!L$108)+1)</f>
        <v/>
      </c>
      <c r="M43" s="19">
        <f>IF('Data input'!M43="","",4*('Data input'!M43-'Data input'!M$108)/('Data input'!M$109-'Data input'!M$108)+1)</f>
        <v>1.2404423898002825</v>
      </c>
      <c r="N43" s="16" t="str">
        <f>IF('Data input'!N43="","",4*('Data input'!N43-'Data input'!N$108)/('Data input'!N$109-'Data input'!N$108)+1)</f>
        <v/>
      </c>
      <c r="O43" s="19" t="str">
        <f>IF('Data input'!O43="","",4*('Data input'!O43-'Data input'!O$108)/('Data input'!O$109-'Data input'!O$108)+1)</f>
        <v/>
      </c>
      <c r="P43" s="19" t="str">
        <f>IF('Data input'!P43="","",4*('Data input'!P43-'Data input'!P$108)/('Data input'!P$109-'Data input'!P$108)+1)</f>
        <v/>
      </c>
      <c r="Q43" s="19" t="str">
        <f>IF('Data input'!Q43="","",4*('Data input'!Q43-'Data input'!Q$108)/('Data input'!Q$109-'Data input'!Q$108)+1)</f>
        <v/>
      </c>
      <c r="R43" s="19" t="str">
        <f>IF('Data input'!R43="","",4*('Data input'!R43-'Data input'!R$108)/('Data input'!R$109-'Data input'!R$108)+1)</f>
        <v/>
      </c>
      <c r="S43" s="16" t="str">
        <f>IF('Data input'!S43="","",4*('Data input'!S43-'Data input'!S$108)/('Data input'!S$109-'Data input'!S$108)+1)</f>
        <v/>
      </c>
      <c r="T43" s="19" t="str">
        <f>IF('Data input'!T43="","",4*('Data input'!T43-'Data input'!T$108)/('Data input'!T$109-'Data input'!T$108)+1)</f>
        <v/>
      </c>
      <c r="U43" s="19" t="str">
        <f>IF('Data input'!U43="","",4*('Data input'!U43-'Data input'!U$108)/('Data input'!U$109-'Data input'!U$108)+1)</f>
        <v/>
      </c>
      <c r="V43" s="19" t="str">
        <f>IF('Data input'!V43="","",4*('Data input'!V43-'Data input'!V$108)/('Data input'!V$109-'Data input'!V$108)+1)</f>
        <v/>
      </c>
      <c r="W43" s="16" t="str">
        <f>IF('Data input'!W43="","",4*('Data input'!W43-'Data input'!W$108)/('Data input'!W$109-'Data input'!W$108)+1)</f>
        <v/>
      </c>
      <c r="X43" s="16" t="str">
        <f>IF('Data input'!X43="","",4*('Data input'!X43-'Data input'!X$108)/('Data input'!X$109-'Data input'!X$108)+1)</f>
        <v/>
      </c>
      <c r="Y43" s="16" t="str">
        <f>IF('Data input'!Y43="","",4*('Data input'!Y43-'Data input'!Y$108)/('Data input'!Y$109-'Data input'!Y$108)+1)</f>
        <v/>
      </c>
      <c r="Z43" s="16" t="str">
        <f>IF('Data input'!Z43="","",4*('Data input'!Z43-'Data input'!Z$108)/('Data input'!Z$109-'Data input'!Z$108)+1)</f>
        <v/>
      </c>
      <c r="AA43" s="62" t="str">
        <f>IF('Data input'!AA43="","",4*('Data input'!AA43-'Data input'!AA$108)/('Data input'!AA$109-'Data input'!AA$108)+1)</f>
        <v/>
      </c>
      <c r="AB43" s="78"/>
      <c r="AC43" s="79">
        <v>0</v>
      </c>
      <c r="AD43" s="80" t="e">
        <f t="shared" si="13"/>
        <v>#DIV/0!</v>
      </c>
      <c r="AE43" s="4"/>
      <c r="AF43" s="59">
        <f t="shared" si="14"/>
        <v>41</v>
      </c>
      <c r="AG43" s="60" t="str">
        <f t="shared" si="14"/>
        <v>South Dakota</v>
      </c>
      <c r="AH43">
        <v>0.4553392536946228</v>
      </c>
      <c r="AI43" t="s">
        <v>69</v>
      </c>
      <c r="AJ43" t="s">
        <v>69</v>
      </c>
      <c r="AK43" t="s">
        <v>69</v>
      </c>
      <c r="AL43" t="s">
        <v>69</v>
      </c>
      <c r="AM43">
        <v>2.3444685413747308</v>
      </c>
      <c r="AN43">
        <v>0.26804042559813102</v>
      </c>
      <c r="AO43" t="s">
        <v>69</v>
      </c>
      <c r="AP43" t="s">
        <v>69</v>
      </c>
      <c r="AQ43" t="s">
        <v>69</v>
      </c>
      <c r="AR43">
        <v>0.49171691004173873</v>
      </c>
      <c r="AS43" s="71">
        <f t="shared" si="15"/>
        <v>4.8055348975030174</v>
      </c>
      <c r="AT43" s="71" t="str">
        <f t="shared" si="15"/>
        <v/>
      </c>
      <c r="AU43" s="71" t="str">
        <f t="shared" si="15"/>
        <v/>
      </c>
      <c r="AV43" s="71" t="str">
        <f t="shared" si="15"/>
        <v/>
      </c>
      <c r="AW43" s="71" t="str">
        <f t="shared" si="15"/>
        <v/>
      </c>
      <c r="AX43" s="71">
        <f t="shared" si="16"/>
        <v>1</v>
      </c>
      <c r="AY43" s="71">
        <f t="shared" si="16"/>
        <v>2.284249918705739</v>
      </c>
      <c r="AZ43" s="71" t="str">
        <f t="shared" si="16"/>
        <v/>
      </c>
      <c r="BA43" s="71" t="str">
        <f t="shared" si="16"/>
        <v/>
      </c>
      <c r="BB43" s="71" t="str">
        <f t="shared" si="16"/>
        <v/>
      </c>
      <c r="BC43" s="18">
        <f>IF(C43&lt;&gt;"",(('Data input'!C$109-'Data input'!C$108)*(AS43-1)/4)+'Data input'!C$108,"")</f>
        <v>0.98923220366553433</v>
      </c>
      <c r="BD43" s="18" t="str">
        <f>IF(D43&lt;&gt;"",(('Data input'!D$109-'Data input'!D$108)*(AT43-1)/4)+'Data input'!D$108,"")</f>
        <v/>
      </c>
      <c r="BE43" s="18" t="str">
        <f>IF(E43&lt;&gt;"",(('Data input'!E$109-'Data input'!E$108)*(AU43-1)/4)+'Data input'!E$108,"")</f>
        <v/>
      </c>
      <c r="BF43" s="18" t="str">
        <f>IF(F43&lt;&gt;"",(('Data input'!F$109-'Data input'!F$108)*(AV43-1)/4)+'Data input'!F$108,"")</f>
        <v/>
      </c>
      <c r="BG43" s="18" t="str">
        <f>IF(G43&lt;&gt;"",(('Data input'!G$109-'Data input'!G$108)*(AW43-1)/4)+'Data input'!G$108,"")</f>
        <v/>
      </c>
      <c r="BH43" s="19">
        <f>IF(H43&lt;&gt;"",(('Data input'!H$109-'Data input'!H$108)*(AX43-1)/4)+'Data input'!H$108,"")</f>
        <v>0.29574268608402715</v>
      </c>
      <c r="BI43" s="18">
        <f>IF(I43&lt;&gt;"",(('Data input'!I$109-'Data input'!I$108)*(AY43-1)/4)+'Data input'!I$108,"")</f>
        <v>5.6389452212806106E-2</v>
      </c>
      <c r="BJ43" s="19" t="str">
        <f>IF(J43&lt;&gt;"",(('Data input'!J$109-'Data input'!J$108)*(AZ43-1)/4)+'Data input'!J$108,"")</f>
        <v/>
      </c>
      <c r="BK43" s="19" t="str">
        <f>IF(K43&lt;&gt;"",(('Data input'!K$109-'Data input'!K$108)*(BA43-1)/4)+'Data input'!K$108,"")</f>
        <v/>
      </c>
      <c r="BL43" s="19" t="str">
        <f>IF(L43&lt;&gt;"",(('Data input'!L$109-'Data input'!L$108)*(BB43-1)/4)+'Data input'!L$108,"")</f>
        <v/>
      </c>
      <c r="BM43" s="18">
        <f>IF(C43&lt;&gt;"",BC43-'Data input'!C43,"")</f>
        <v>1.6532079209362394E-2</v>
      </c>
      <c r="BN43" s="18" t="str">
        <f>IF(D43&lt;&gt;"",BD43-'Data input'!D43,"")</f>
        <v/>
      </c>
      <c r="BO43" s="18" t="str">
        <f>IF(E43&lt;&gt;"",BE43-'Data input'!E43,"")</f>
        <v/>
      </c>
      <c r="BP43" s="18" t="str">
        <f>IF(F43&lt;&gt;"",BF43-'Data input'!F43,"")</f>
        <v/>
      </c>
      <c r="BQ43" s="18" t="str">
        <f>IF(G43&lt;&gt;"",BG43-'Data input'!G43,"")</f>
        <v/>
      </c>
      <c r="BR43" s="19">
        <f>IF(H43&lt;&gt;"",BH43-'Data input'!H43,"")</f>
        <v>-51.057439254076137</v>
      </c>
      <c r="BS43" s="18">
        <f>IF(I43&lt;&gt;"",BI43-'Data input'!I43,"")</f>
        <v>-1.1769245650876496E-2</v>
      </c>
      <c r="BT43" s="18" t="str">
        <f>IF(J43&lt;&gt;"",BJ43-'Data input'!J43,"")</f>
        <v/>
      </c>
      <c r="BU43" s="18" t="str">
        <f>IF(K43&lt;&gt;"",BK43-'Data input'!K43,"")</f>
        <v/>
      </c>
      <c r="BV43" s="72" t="str">
        <f>IF(L43&lt;&gt;"",BL43-'Data input'!L43,"")</f>
        <v/>
      </c>
      <c r="BW43" s="121" t="str">
        <f t="shared" si="17"/>
        <v xml:space="preserve">Texas; </v>
      </c>
      <c r="BX43" s="1">
        <v>0</v>
      </c>
      <c r="BY43" s="1">
        <v>0</v>
      </c>
      <c r="BZ43" s="1">
        <v>0</v>
      </c>
      <c r="CA43" s="1">
        <v>0</v>
      </c>
      <c r="CB43" s="1">
        <v>0</v>
      </c>
      <c r="CC43" s="1">
        <v>0</v>
      </c>
      <c r="CD43" s="1">
        <v>0</v>
      </c>
      <c r="CE43" s="1">
        <v>0</v>
      </c>
      <c r="CF43" s="1">
        <v>0</v>
      </c>
      <c r="CG43" s="1">
        <v>0</v>
      </c>
      <c r="CH43" s="1">
        <v>0</v>
      </c>
      <c r="CI43" s="1">
        <v>0</v>
      </c>
      <c r="CJ43" s="1">
        <v>0</v>
      </c>
      <c r="CK43" s="1">
        <v>0</v>
      </c>
      <c r="CL43" s="1">
        <v>0</v>
      </c>
      <c r="CM43" s="1">
        <v>0</v>
      </c>
      <c r="CN43" s="1">
        <v>0</v>
      </c>
      <c r="CO43" s="1">
        <v>0</v>
      </c>
      <c r="CP43" s="1">
        <v>0</v>
      </c>
      <c r="CQ43" s="1">
        <v>0</v>
      </c>
      <c r="CR43" s="1">
        <v>0</v>
      </c>
      <c r="CS43" s="1">
        <v>0</v>
      </c>
      <c r="CT43" s="1">
        <v>0</v>
      </c>
      <c r="CU43" s="1">
        <v>0</v>
      </c>
      <c r="CV43" s="1">
        <v>0</v>
      </c>
      <c r="CW43" s="1">
        <v>0</v>
      </c>
      <c r="CX43" s="1">
        <v>0</v>
      </c>
      <c r="CY43" s="1">
        <v>0</v>
      </c>
      <c r="CZ43" s="1">
        <v>0</v>
      </c>
      <c r="DA43" s="1">
        <v>0</v>
      </c>
      <c r="DB43" s="1">
        <v>0</v>
      </c>
      <c r="DC43" s="1">
        <v>0</v>
      </c>
      <c r="DD43" s="1">
        <v>0</v>
      </c>
      <c r="DE43" s="1">
        <v>0</v>
      </c>
      <c r="DF43" s="1">
        <v>0</v>
      </c>
      <c r="DG43" s="1">
        <v>0</v>
      </c>
      <c r="DH43" s="1">
        <v>0</v>
      </c>
      <c r="DI43" s="1">
        <v>0</v>
      </c>
      <c r="DJ43" s="1">
        <v>0</v>
      </c>
      <c r="DK43" s="1">
        <v>0</v>
      </c>
      <c r="DL43" s="1">
        <v>0</v>
      </c>
      <c r="DM43" s="1">
        <v>0</v>
      </c>
      <c r="DN43" s="1">
        <v>0.99999999999999212</v>
      </c>
      <c r="DO43" s="1">
        <v>0</v>
      </c>
      <c r="DP43" s="1">
        <v>0</v>
      </c>
      <c r="DQ43" s="1">
        <v>0</v>
      </c>
      <c r="DR43" s="1">
        <v>0</v>
      </c>
      <c r="DS43" s="1">
        <v>0</v>
      </c>
      <c r="DT43" s="1">
        <v>0</v>
      </c>
      <c r="DU43" s="1">
        <v>0</v>
      </c>
      <c r="DV43" s="1">
        <v>0</v>
      </c>
      <c r="DW43" s="1">
        <v>0</v>
      </c>
      <c r="DX43" s="1">
        <v>0</v>
      </c>
      <c r="DY43" s="1">
        <v>0</v>
      </c>
      <c r="DZ43" s="1">
        <v>0</v>
      </c>
      <c r="FT43" s="1" t="str">
        <f t="shared" si="25"/>
        <v/>
      </c>
      <c r="FU43" s="1" t="str">
        <f t="shared" si="25"/>
        <v/>
      </c>
      <c r="FV43" s="1" t="str">
        <f t="shared" si="25"/>
        <v/>
      </c>
      <c r="FW43" s="1" t="str">
        <f t="shared" si="25"/>
        <v/>
      </c>
      <c r="FX43" s="1" t="str">
        <f t="shared" si="25"/>
        <v/>
      </c>
      <c r="FY43" s="1" t="str">
        <f t="shared" si="25"/>
        <v/>
      </c>
      <c r="FZ43" s="1" t="str">
        <f t="shared" si="25"/>
        <v/>
      </c>
      <c r="GA43" s="1" t="str">
        <f t="shared" si="25"/>
        <v/>
      </c>
      <c r="GB43" s="1" t="str">
        <f t="shared" si="25"/>
        <v/>
      </c>
      <c r="GC43" s="1" t="str">
        <f t="shared" si="25"/>
        <v/>
      </c>
      <c r="GD43" s="1" t="str">
        <f t="shared" si="25"/>
        <v/>
      </c>
      <c r="GE43" s="1" t="str">
        <f t="shared" si="25"/>
        <v/>
      </c>
      <c r="GF43" s="1" t="str">
        <f t="shared" si="25"/>
        <v/>
      </c>
      <c r="GG43" s="1" t="str">
        <f t="shared" si="25"/>
        <v/>
      </c>
      <c r="GH43" s="1" t="str">
        <f t="shared" si="25"/>
        <v/>
      </c>
      <c r="GI43" s="1" t="str">
        <f t="shared" si="25"/>
        <v/>
      </c>
      <c r="GJ43" s="1" t="str">
        <f t="shared" si="31"/>
        <v/>
      </c>
      <c r="GK43" s="1" t="str">
        <f t="shared" si="31"/>
        <v/>
      </c>
      <c r="GL43" s="1" t="str">
        <f t="shared" si="31"/>
        <v/>
      </c>
      <c r="GM43" s="1" t="str">
        <f t="shared" si="31"/>
        <v/>
      </c>
      <c r="GN43" s="1" t="str">
        <f t="shared" si="31"/>
        <v/>
      </c>
      <c r="GO43" s="1" t="str">
        <f t="shared" si="31"/>
        <v/>
      </c>
      <c r="GP43" s="1" t="str">
        <f t="shared" si="31"/>
        <v/>
      </c>
      <c r="GQ43" s="1" t="str">
        <f t="shared" si="31"/>
        <v/>
      </c>
      <c r="GR43" s="1" t="str">
        <f t="shared" si="31"/>
        <v/>
      </c>
      <c r="GS43" s="1" t="str">
        <f t="shared" si="31"/>
        <v/>
      </c>
      <c r="GT43" s="1" t="str">
        <f t="shared" si="31"/>
        <v/>
      </c>
      <c r="GU43" s="1" t="str">
        <f t="shared" si="31"/>
        <v/>
      </c>
      <c r="GV43" s="1" t="str">
        <f t="shared" si="31"/>
        <v/>
      </c>
      <c r="GW43" s="1" t="str">
        <f t="shared" si="31"/>
        <v/>
      </c>
      <c r="GX43" s="1" t="str">
        <f t="shared" si="26"/>
        <v/>
      </c>
      <c r="GY43" s="1" t="str">
        <f t="shared" si="26"/>
        <v/>
      </c>
      <c r="GZ43" s="1" t="str">
        <f t="shared" si="26"/>
        <v/>
      </c>
      <c r="HA43" s="1" t="str">
        <f t="shared" si="26"/>
        <v/>
      </c>
      <c r="HB43" s="1" t="str">
        <f t="shared" si="26"/>
        <v/>
      </c>
      <c r="HC43" s="1" t="str">
        <f t="shared" si="26"/>
        <v/>
      </c>
      <c r="HD43" s="1" t="str">
        <f t="shared" si="26"/>
        <v/>
      </c>
      <c r="HE43" s="1" t="str">
        <f t="shared" si="26"/>
        <v/>
      </c>
      <c r="HF43" s="1" t="str">
        <f t="shared" si="26"/>
        <v/>
      </c>
      <c r="HG43" s="1" t="str">
        <f t="shared" si="26"/>
        <v/>
      </c>
      <c r="HH43" s="1" t="str">
        <f t="shared" si="26"/>
        <v/>
      </c>
      <c r="HI43" s="1" t="str">
        <f t="shared" si="26"/>
        <v/>
      </c>
      <c r="HJ43" s="1" t="str">
        <f t="shared" si="26"/>
        <v xml:space="preserve">Texas; </v>
      </c>
      <c r="HK43" s="1" t="str">
        <f t="shared" si="26"/>
        <v/>
      </c>
      <c r="HL43" s="1" t="str">
        <f t="shared" si="26"/>
        <v/>
      </c>
      <c r="HM43" s="1" t="str">
        <f t="shared" si="26"/>
        <v/>
      </c>
      <c r="HN43" s="1" t="str">
        <f t="shared" si="27"/>
        <v/>
      </c>
      <c r="HO43" s="1" t="str">
        <f t="shared" si="27"/>
        <v/>
      </c>
      <c r="HP43" s="1" t="str">
        <f t="shared" si="27"/>
        <v/>
      </c>
      <c r="HQ43" s="1" t="str">
        <f t="shared" si="27"/>
        <v/>
      </c>
      <c r="HR43" s="1" t="str">
        <f t="shared" si="27"/>
        <v/>
      </c>
      <c r="HS43" s="1" t="str">
        <f t="shared" si="27"/>
        <v/>
      </c>
      <c r="HT43" s="1" t="str">
        <f t="shared" si="27"/>
        <v/>
      </c>
      <c r="HU43" s="1" t="str">
        <f t="shared" si="27"/>
        <v/>
      </c>
      <c r="HV43" s="1" t="str">
        <f t="shared" si="27"/>
        <v/>
      </c>
      <c r="HW43" s="1" t="str">
        <f t="shared" si="27"/>
        <v/>
      </c>
      <c r="HX43" s="1" t="str">
        <f t="shared" si="27"/>
        <v/>
      </c>
      <c r="HY43" s="1" t="str">
        <f t="shared" si="27"/>
        <v/>
      </c>
      <c r="HZ43" s="1" t="str">
        <f t="shared" si="27"/>
        <v/>
      </c>
      <c r="IA43" s="1" t="str">
        <f t="shared" si="27"/>
        <v/>
      </c>
      <c r="IB43" s="1" t="str">
        <f t="shared" si="27"/>
        <v/>
      </c>
      <c r="IC43" s="1" t="str">
        <f t="shared" si="27"/>
        <v/>
      </c>
      <c r="ID43" s="1" t="str">
        <f t="shared" si="28"/>
        <v/>
      </c>
      <c r="IE43" s="1" t="str">
        <f t="shared" si="28"/>
        <v/>
      </c>
      <c r="IF43" s="1" t="str">
        <f t="shared" si="28"/>
        <v/>
      </c>
      <c r="IG43" s="1" t="str">
        <f t="shared" si="28"/>
        <v/>
      </c>
      <c r="IH43" s="1" t="str">
        <f t="shared" si="28"/>
        <v/>
      </c>
      <c r="II43" s="1" t="str">
        <f t="shared" si="28"/>
        <v/>
      </c>
      <c r="IJ43" s="1" t="str">
        <f t="shared" si="28"/>
        <v/>
      </c>
      <c r="IK43" s="1" t="str">
        <f t="shared" si="28"/>
        <v/>
      </c>
      <c r="IL43" s="1" t="str">
        <f t="shared" si="28"/>
        <v/>
      </c>
      <c r="IM43" s="1" t="str">
        <f t="shared" si="28"/>
        <v/>
      </c>
      <c r="IN43" s="1" t="str">
        <f t="shared" si="28"/>
        <v/>
      </c>
      <c r="IO43" s="1" t="str">
        <f t="shared" si="28"/>
        <v/>
      </c>
      <c r="IP43" s="1" t="str">
        <f t="shared" si="28"/>
        <v/>
      </c>
      <c r="IQ43" s="1" t="str">
        <f t="shared" si="28"/>
        <v/>
      </c>
      <c r="IR43" s="1" t="str">
        <f t="shared" si="28"/>
        <v/>
      </c>
      <c r="IS43" s="1" t="str">
        <f t="shared" si="28"/>
        <v/>
      </c>
      <c r="IT43" s="1" t="str">
        <f t="shared" si="29"/>
        <v/>
      </c>
      <c r="IU43" s="1" t="str">
        <f t="shared" si="29"/>
        <v/>
      </c>
      <c r="IV43" s="1" t="str">
        <f t="shared" si="29"/>
        <v/>
      </c>
      <c r="IW43" s="1" t="str">
        <f t="shared" si="29"/>
        <v/>
      </c>
      <c r="IX43" s="1" t="str">
        <f t="shared" si="29"/>
        <v/>
      </c>
      <c r="IY43" s="1" t="str">
        <f t="shared" si="29"/>
        <v/>
      </c>
      <c r="IZ43" s="1" t="str">
        <f t="shared" si="29"/>
        <v/>
      </c>
      <c r="JA43" s="1" t="str">
        <f t="shared" si="29"/>
        <v/>
      </c>
      <c r="JB43" s="1" t="str">
        <f t="shared" si="29"/>
        <v/>
      </c>
      <c r="JC43" s="1" t="str">
        <f t="shared" si="29"/>
        <v/>
      </c>
      <c r="JD43" s="1" t="str">
        <f t="shared" si="29"/>
        <v/>
      </c>
      <c r="JE43" s="1" t="str">
        <f t="shared" si="29"/>
        <v/>
      </c>
      <c r="JF43" s="1" t="str">
        <f t="shared" si="29"/>
        <v/>
      </c>
      <c r="JG43" s="1" t="str">
        <f t="shared" si="29"/>
        <v/>
      </c>
      <c r="JH43" s="1" t="str">
        <f t="shared" si="29"/>
        <v/>
      </c>
      <c r="JI43" s="1" t="str">
        <f t="shared" si="29"/>
        <v/>
      </c>
      <c r="JJ43" s="1" t="str">
        <f t="shared" si="30"/>
        <v/>
      </c>
      <c r="JK43" s="1" t="str">
        <f t="shared" si="30"/>
        <v/>
      </c>
      <c r="JL43" s="1" t="str">
        <f t="shared" si="24"/>
        <v/>
      </c>
      <c r="JM43" s="1" t="str">
        <f t="shared" si="12"/>
        <v/>
      </c>
      <c r="JN43" s="1" t="str">
        <f t="shared" si="12"/>
        <v/>
      </c>
      <c r="JO43" s="1" t="str">
        <f t="shared" si="12"/>
        <v/>
      </c>
    </row>
    <row r="44" spans="1:275" ht="14.5" x14ac:dyDescent="0.35">
      <c r="A44" s="59">
        <f>IF('Data input'!A44&lt;&gt;"",'Data input'!A44,"")</f>
        <v>42</v>
      </c>
      <c r="B44" s="60" t="str">
        <f>IF('Data input'!B44&lt;&gt;"",'Data input'!B44,"")</f>
        <v>Tennessee</v>
      </c>
      <c r="C44" s="19">
        <f>IF('Data input'!C44="","",4*('Data input'!C44-'Data input'!C$108)/('Data input'!C$109-'Data input'!C$108)+1)</f>
        <v>3.8340522985527117</v>
      </c>
      <c r="D44" s="19" t="str">
        <f>IF('Data input'!D44="","",4*('Data input'!D44-'Data input'!D$108)/('Data input'!D$109-'Data input'!D$108)+1)</f>
        <v/>
      </c>
      <c r="E44" s="19" t="str">
        <f>IF('Data input'!E44="","",4*('Data input'!E44-'Data input'!E$108)/('Data input'!E$109-'Data input'!E$108)+1)</f>
        <v/>
      </c>
      <c r="F44" s="19" t="str">
        <f>IF('Data input'!F44="","",4*('Data input'!F44-'Data input'!F$108)/('Data input'!F$109-'Data input'!F$108)+1)</f>
        <v/>
      </c>
      <c r="G44" s="19" t="str">
        <f>IF('Data input'!G44="","",4*('Data input'!G44-'Data input'!G$108)/('Data input'!G$109-'Data input'!G$108)+1)</f>
        <v/>
      </c>
      <c r="H44" s="61">
        <f>IF('Data input'!H44="","",4*('Data input'!H44-'Data input'!H$108)/('Data input'!H$109-'Data input'!H$108)+1)</f>
        <v>1.057907429210976</v>
      </c>
      <c r="I44" s="19">
        <f>IF('Data input'!I44="","",4*('Data input'!I44-'Data input'!I$108)/('Data input'!I$109-'Data input'!I$108)+1)</f>
        <v>2.8550710580270984</v>
      </c>
      <c r="J44" s="19" t="str">
        <f>IF('Data input'!J44="","",4*('Data input'!J44-'Data input'!J$108)/('Data input'!J$109-'Data input'!J$108)+1)</f>
        <v/>
      </c>
      <c r="K44" s="19" t="str">
        <f>IF('Data input'!K44="","",4*('Data input'!K44-'Data input'!K$108)/('Data input'!K$109-'Data input'!K$108)+1)</f>
        <v/>
      </c>
      <c r="L44" s="19" t="str">
        <f>IF('Data input'!L44="","",4*('Data input'!L44-'Data input'!L$108)/('Data input'!L$109-'Data input'!L$108)+1)</f>
        <v/>
      </c>
      <c r="M44" s="19">
        <f>IF('Data input'!M44="","",4*('Data input'!M44-'Data input'!M$108)/('Data input'!M$109-'Data input'!M$108)+1)</f>
        <v>2.9274812973116968</v>
      </c>
      <c r="N44" s="16" t="str">
        <f>IF('Data input'!N44="","",4*('Data input'!N44-'Data input'!N$108)/('Data input'!N$109-'Data input'!N$108)+1)</f>
        <v/>
      </c>
      <c r="O44" s="19" t="str">
        <f>IF('Data input'!O44="","",4*('Data input'!O44-'Data input'!O$108)/('Data input'!O$109-'Data input'!O$108)+1)</f>
        <v/>
      </c>
      <c r="P44" s="19" t="str">
        <f>IF('Data input'!P44="","",4*('Data input'!P44-'Data input'!P$108)/('Data input'!P$109-'Data input'!P$108)+1)</f>
        <v/>
      </c>
      <c r="Q44" s="19" t="str">
        <f>IF('Data input'!Q44="","",4*('Data input'!Q44-'Data input'!Q$108)/('Data input'!Q$109-'Data input'!Q$108)+1)</f>
        <v/>
      </c>
      <c r="R44" s="19" t="str">
        <f>IF('Data input'!R44="","",4*('Data input'!R44-'Data input'!R$108)/('Data input'!R$109-'Data input'!R$108)+1)</f>
        <v/>
      </c>
      <c r="S44" s="16" t="str">
        <f>IF('Data input'!S44="","",4*('Data input'!S44-'Data input'!S$108)/('Data input'!S$109-'Data input'!S$108)+1)</f>
        <v/>
      </c>
      <c r="T44" s="19" t="str">
        <f>IF('Data input'!T44="","",4*('Data input'!T44-'Data input'!T$108)/('Data input'!T$109-'Data input'!T$108)+1)</f>
        <v/>
      </c>
      <c r="U44" s="19" t="str">
        <f>IF('Data input'!U44="","",4*('Data input'!U44-'Data input'!U$108)/('Data input'!U$109-'Data input'!U$108)+1)</f>
        <v/>
      </c>
      <c r="V44" s="19" t="str">
        <f>IF('Data input'!V44="","",4*('Data input'!V44-'Data input'!V$108)/('Data input'!V$109-'Data input'!V$108)+1)</f>
        <v/>
      </c>
      <c r="W44" s="16" t="str">
        <f>IF('Data input'!W44="","",4*('Data input'!W44-'Data input'!W$108)/('Data input'!W$109-'Data input'!W$108)+1)</f>
        <v/>
      </c>
      <c r="X44" s="16" t="str">
        <f>IF('Data input'!X44="","",4*('Data input'!X44-'Data input'!X$108)/('Data input'!X$109-'Data input'!X$108)+1)</f>
        <v/>
      </c>
      <c r="Y44" s="16" t="str">
        <f>IF('Data input'!Y44="","",4*('Data input'!Y44-'Data input'!Y$108)/('Data input'!Y$109-'Data input'!Y$108)+1)</f>
        <v/>
      </c>
      <c r="Z44" s="16" t="str">
        <f>IF('Data input'!Z44="","",4*('Data input'!Z44-'Data input'!Z$108)/('Data input'!Z$109-'Data input'!Z$108)+1)</f>
        <v/>
      </c>
      <c r="AA44" s="62" t="str">
        <f>IF('Data input'!AA44="","",4*('Data input'!AA44-'Data input'!AA$108)/('Data input'!AA$109-'Data input'!AA$108)+1)</f>
        <v/>
      </c>
      <c r="AB44" s="78"/>
      <c r="AC44" s="79">
        <v>0</v>
      </c>
      <c r="AD44" s="80" t="e">
        <f t="shared" si="13"/>
        <v>#DIV/0!</v>
      </c>
      <c r="AE44" s="4"/>
      <c r="AF44" s="59">
        <f t="shared" si="14"/>
        <v>42</v>
      </c>
      <c r="AG44" s="60" t="str">
        <f t="shared" si="14"/>
        <v>Tennessee</v>
      </c>
      <c r="AH44">
        <v>0.95863474416458838</v>
      </c>
      <c r="AI44" t="s">
        <v>69</v>
      </c>
      <c r="AJ44" t="s">
        <v>69</v>
      </c>
      <c r="AK44" t="s">
        <v>69</v>
      </c>
      <c r="AL44" t="s">
        <v>69</v>
      </c>
      <c r="AM44">
        <v>5.7907429210976004E-2</v>
      </c>
      <c r="AN44">
        <v>0.32121898014197608</v>
      </c>
      <c r="AO44" t="s">
        <v>69</v>
      </c>
      <c r="AP44" t="s">
        <v>69</v>
      </c>
      <c r="AQ44" t="s">
        <v>69</v>
      </c>
      <c r="AR44">
        <v>0.67863095777459681</v>
      </c>
      <c r="AS44" s="71">
        <f t="shared" si="15"/>
        <v>4.7926870427172998</v>
      </c>
      <c r="AT44" s="71" t="str">
        <f t="shared" si="15"/>
        <v/>
      </c>
      <c r="AU44" s="71" t="str">
        <f t="shared" si="15"/>
        <v/>
      </c>
      <c r="AV44" s="71" t="str">
        <f t="shared" si="15"/>
        <v/>
      </c>
      <c r="AW44" s="71" t="str">
        <f t="shared" si="15"/>
        <v/>
      </c>
      <c r="AX44" s="71">
        <f t="shared" si="16"/>
        <v>1</v>
      </c>
      <c r="AY44" s="71">
        <f t="shared" si="16"/>
        <v>2.5338520778851223</v>
      </c>
      <c r="AZ44" s="71" t="str">
        <f t="shared" si="16"/>
        <v/>
      </c>
      <c r="BA44" s="71" t="str">
        <f t="shared" si="16"/>
        <v/>
      </c>
      <c r="BB44" s="71" t="str">
        <f t="shared" si="16"/>
        <v/>
      </c>
      <c r="BC44" s="18">
        <f>IF(C44&lt;&gt;"",(('Data input'!C$109-'Data input'!C$108)*(AS44-1)/4)+'Data input'!C$108,"")</f>
        <v>0.98876573443129978</v>
      </c>
      <c r="BD44" s="18" t="str">
        <f>IF(D44&lt;&gt;"",(('Data input'!D$109-'Data input'!D$108)*(AT44-1)/4)+'Data input'!D$108,"")</f>
        <v/>
      </c>
      <c r="BE44" s="18" t="str">
        <f>IF(E44&lt;&gt;"",(('Data input'!E$109-'Data input'!E$108)*(AU44-1)/4)+'Data input'!E$108,"")</f>
        <v/>
      </c>
      <c r="BF44" s="18" t="str">
        <f>IF(F44&lt;&gt;"",(('Data input'!F$109-'Data input'!F$108)*(AV44-1)/4)+'Data input'!F$108,"")</f>
        <v/>
      </c>
      <c r="BG44" s="18" t="str">
        <f>IF(G44&lt;&gt;"",(('Data input'!G$109-'Data input'!G$108)*(AW44-1)/4)+'Data input'!G$108,"")</f>
        <v/>
      </c>
      <c r="BH44" s="19">
        <f>IF(H44&lt;&gt;"",(('Data input'!H$109-'Data input'!H$108)*(AX44-1)/4)+'Data input'!H$108,"")</f>
        <v>0.29574268608402715</v>
      </c>
      <c r="BI44" s="18">
        <f>IF(I44&lt;&gt;"",(('Data input'!I$109-'Data input'!I$108)*(AY44-1)/4)+'Data input'!I$108,"")</f>
        <v>6.7349101750057941E-2</v>
      </c>
      <c r="BJ44" s="19" t="str">
        <f>IF(J44&lt;&gt;"",(('Data input'!J$109-'Data input'!J$108)*(AZ44-1)/4)+'Data input'!J$108,"")</f>
        <v/>
      </c>
      <c r="BK44" s="19" t="str">
        <f>IF(K44&lt;&gt;"",(('Data input'!K$109-'Data input'!K$108)*(BA44-1)/4)+'Data input'!K$108,"")</f>
        <v/>
      </c>
      <c r="BL44" s="19" t="str">
        <f>IF(L44&lt;&gt;"",(('Data input'!L$109-'Data input'!L$108)*(BB44-1)/4)+'Data input'!L$108,"")</f>
        <v/>
      </c>
      <c r="BM44" s="18">
        <f>IF(C44&lt;&gt;"",BC44-'Data input'!C44,"")</f>
        <v>3.4805313609102106E-2</v>
      </c>
      <c r="BN44" s="18" t="str">
        <f>IF(D44&lt;&gt;"",BD44-'Data input'!D44,"")</f>
        <v/>
      </c>
      <c r="BO44" s="18" t="str">
        <f>IF(E44&lt;&gt;"",BE44-'Data input'!E44,"")</f>
        <v/>
      </c>
      <c r="BP44" s="18" t="str">
        <f>IF(F44&lt;&gt;"",BF44-'Data input'!F44,"")</f>
        <v/>
      </c>
      <c r="BQ44" s="18" t="str">
        <f>IF(G44&lt;&gt;"",BG44-'Data input'!G44,"")</f>
        <v/>
      </c>
      <c r="BR44" s="19">
        <f>IF(H44&lt;&gt;"",BH44-'Data input'!H44,"")</f>
        <v>-1.2610981965087276</v>
      </c>
      <c r="BS44" s="18">
        <f>IF(I44&lt;&gt;"",BI44-'Data input'!I44,"")</f>
        <v>-1.4104234749585845E-2</v>
      </c>
      <c r="BT44" s="18" t="str">
        <f>IF(J44&lt;&gt;"",BJ44-'Data input'!J44,"")</f>
        <v/>
      </c>
      <c r="BU44" s="18" t="str">
        <f>IF(K44&lt;&gt;"",BK44-'Data input'!K44,"")</f>
        <v/>
      </c>
      <c r="BV44" s="72" t="str">
        <f>IF(L44&lt;&gt;"",BL44-'Data input'!L44,"")</f>
        <v/>
      </c>
      <c r="BW44" s="121" t="str">
        <f t="shared" si="17"/>
        <v xml:space="preserve">Texas; </v>
      </c>
      <c r="BX44" s="1">
        <v>0</v>
      </c>
      <c r="BY44" s="1">
        <v>0</v>
      </c>
      <c r="BZ44" s="1">
        <v>0</v>
      </c>
      <c r="CA44" s="1">
        <v>0</v>
      </c>
      <c r="CB44" s="1">
        <v>0</v>
      </c>
      <c r="CC44" s="1">
        <v>0</v>
      </c>
      <c r="CD44" s="1">
        <v>0</v>
      </c>
      <c r="CE44" s="1">
        <v>0</v>
      </c>
      <c r="CF44" s="1">
        <v>0</v>
      </c>
      <c r="CG44" s="1">
        <v>0</v>
      </c>
      <c r="CH44" s="1">
        <v>0</v>
      </c>
      <c r="CI44" s="1">
        <v>0</v>
      </c>
      <c r="CJ44" s="1">
        <v>0</v>
      </c>
      <c r="CK44" s="1">
        <v>0</v>
      </c>
      <c r="CL44" s="1">
        <v>0</v>
      </c>
      <c r="CM44" s="1">
        <v>0</v>
      </c>
      <c r="CN44" s="1">
        <v>0</v>
      </c>
      <c r="CO44" s="1">
        <v>0</v>
      </c>
      <c r="CP44" s="1">
        <v>0</v>
      </c>
      <c r="CQ44" s="1">
        <v>0</v>
      </c>
      <c r="CR44" s="1">
        <v>0</v>
      </c>
      <c r="CS44" s="1">
        <v>0</v>
      </c>
      <c r="CT44" s="1">
        <v>0</v>
      </c>
      <c r="CU44" s="1">
        <v>0</v>
      </c>
      <c r="CV44" s="1">
        <v>0</v>
      </c>
      <c r="CW44" s="1">
        <v>0</v>
      </c>
      <c r="CX44" s="1">
        <v>0</v>
      </c>
      <c r="CY44" s="1">
        <v>0</v>
      </c>
      <c r="CZ44" s="1">
        <v>0</v>
      </c>
      <c r="DA44" s="1">
        <v>0</v>
      </c>
      <c r="DB44" s="1">
        <v>0</v>
      </c>
      <c r="DC44" s="1">
        <v>0</v>
      </c>
      <c r="DD44" s="1">
        <v>0</v>
      </c>
      <c r="DE44" s="1">
        <v>0</v>
      </c>
      <c r="DF44" s="1">
        <v>0</v>
      </c>
      <c r="DG44" s="1">
        <v>0</v>
      </c>
      <c r="DH44" s="1">
        <v>0</v>
      </c>
      <c r="DI44" s="1">
        <v>0</v>
      </c>
      <c r="DJ44" s="1">
        <v>0</v>
      </c>
      <c r="DK44" s="1">
        <v>0</v>
      </c>
      <c r="DL44" s="1">
        <v>0</v>
      </c>
      <c r="DM44" s="1">
        <v>0</v>
      </c>
      <c r="DN44" s="1">
        <v>0.99999999999999489</v>
      </c>
      <c r="DO44" s="1">
        <v>0</v>
      </c>
      <c r="DP44" s="1">
        <v>0</v>
      </c>
      <c r="DQ44" s="1">
        <v>0</v>
      </c>
      <c r="DR44" s="1">
        <v>0</v>
      </c>
      <c r="DS44" s="1">
        <v>0</v>
      </c>
      <c r="DT44" s="1">
        <v>0</v>
      </c>
      <c r="DU44" s="1">
        <v>0</v>
      </c>
      <c r="DV44" s="1">
        <v>0</v>
      </c>
      <c r="DW44" s="1">
        <v>0</v>
      </c>
      <c r="DX44" s="1">
        <v>0</v>
      </c>
      <c r="DY44" s="1">
        <v>0</v>
      </c>
      <c r="DZ44" s="1">
        <v>0</v>
      </c>
      <c r="FT44" s="1" t="str">
        <f t="shared" si="25"/>
        <v/>
      </c>
      <c r="FU44" s="1" t="str">
        <f t="shared" si="25"/>
        <v/>
      </c>
      <c r="FV44" s="1" t="str">
        <f t="shared" si="25"/>
        <v/>
      </c>
      <c r="FW44" s="1" t="str">
        <f t="shared" si="25"/>
        <v/>
      </c>
      <c r="FX44" s="1" t="str">
        <f t="shared" si="25"/>
        <v/>
      </c>
      <c r="FY44" s="1" t="str">
        <f t="shared" si="25"/>
        <v/>
      </c>
      <c r="FZ44" s="1" t="str">
        <f t="shared" si="25"/>
        <v/>
      </c>
      <c r="GA44" s="1" t="str">
        <f t="shared" si="25"/>
        <v/>
      </c>
      <c r="GB44" s="1" t="str">
        <f t="shared" si="25"/>
        <v/>
      </c>
      <c r="GC44" s="1" t="str">
        <f t="shared" si="25"/>
        <v/>
      </c>
      <c r="GD44" s="1" t="str">
        <f t="shared" si="25"/>
        <v/>
      </c>
      <c r="GE44" s="1" t="str">
        <f t="shared" si="25"/>
        <v/>
      </c>
      <c r="GF44" s="1" t="str">
        <f t="shared" si="25"/>
        <v/>
      </c>
      <c r="GG44" s="1" t="str">
        <f t="shared" si="25"/>
        <v/>
      </c>
      <c r="GH44" s="1" t="str">
        <f t="shared" si="25"/>
        <v/>
      </c>
      <c r="GI44" s="1" t="str">
        <f t="shared" si="25"/>
        <v/>
      </c>
      <c r="GJ44" s="1" t="str">
        <f t="shared" si="31"/>
        <v/>
      </c>
      <c r="GK44" s="1" t="str">
        <f t="shared" si="31"/>
        <v/>
      </c>
      <c r="GL44" s="1" t="str">
        <f t="shared" si="31"/>
        <v/>
      </c>
      <c r="GM44" s="1" t="str">
        <f t="shared" si="31"/>
        <v/>
      </c>
      <c r="GN44" s="1" t="str">
        <f t="shared" si="31"/>
        <v/>
      </c>
      <c r="GO44" s="1" t="str">
        <f t="shared" si="31"/>
        <v/>
      </c>
      <c r="GP44" s="1" t="str">
        <f t="shared" si="31"/>
        <v/>
      </c>
      <c r="GQ44" s="1" t="str">
        <f t="shared" si="31"/>
        <v/>
      </c>
      <c r="GR44" s="1" t="str">
        <f t="shared" si="31"/>
        <v/>
      </c>
      <c r="GS44" s="1" t="str">
        <f t="shared" si="31"/>
        <v/>
      </c>
      <c r="GT44" s="1" t="str">
        <f t="shared" si="31"/>
        <v/>
      </c>
      <c r="GU44" s="1" t="str">
        <f t="shared" si="31"/>
        <v/>
      </c>
      <c r="GV44" s="1" t="str">
        <f t="shared" si="31"/>
        <v/>
      </c>
      <c r="GW44" s="1" t="str">
        <f t="shared" si="31"/>
        <v/>
      </c>
      <c r="GX44" s="1" t="str">
        <f t="shared" si="26"/>
        <v/>
      </c>
      <c r="GY44" s="1" t="str">
        <f t="shared" si="26"/>
        <v/>
      </c>
      <c r="GZ44" s="1" t="str">
        <f t="shared" si="26"/>
        <v/>
      </c>
      <c r="HA44" s="1" t="str">
        <f t="shared" si="26"/>
        <v/>
      </c>
      <c r="HB44" s="1" t="str">
        <f t="shared" si="26"/>
        <v/>
      </c>
      <c r="HC44" s="1" t="str">
        <f t="shared" si="26"/>
        <v/>
      </c>
      <c r="HD44" s="1" t="str">
        <f t="shared" si="26"/>
        <v/>
      </c>
      <c r="HE44" s="1" t="str">
        <f t="shared" si="26"/>
        <v/>
      </c>
      <c r="HF44" s="1" t="str">
        <f t="shared" si="26"/>
        <v/>
      </c>
      <c r="HG44" s="1" t="str">
        <f t="shared" si="26"/>
        <v/>
      </c>
      <c r="HH44" s="1" t="str">
        <f t="shared" si="26"/>
        <v/>
      </c>
      <c r="HI44" s="1" t="str">
        <f t="shared" si="26"/>
        <v/>
      </c>
      <c r="HJ44" s="1" t="str">
        <f t="shared" si="26"/>
        <v xml:space="preserve">Texas; </v>
      </c>
      <c r="HK44" s="1" t="str">
        <f t="shared" si="26"/>
        <v/>
      </c>
      <c r="HL44" s="1" t="str">
        <f t="shared" si="26"/>
        <v/>
      </c>
      <c r="HM44" s="1" t="str">
        <f t="shared" si="26"/>
        <v/>
      </c>
      <c r="HN44" s="1" t="str">
        <f t="shared" si="27"/>
        <v/>
      </c>
      <c r="HO44" s="1" t="str">
        <f t="shared" si="27"/>
        <v/>
      </c>
      <c r="HP44" s="1" t="str">
        <f t="shared" si="27"/>
        <v/>
      </c>
      <c r="HQ44" s="1" t="str">
        <f t="shared" si="27"/>
        <v/>
      </c>
      <c r="HR44" s="1" t="str">
        <f t="shared" si="27"/>
        <v/>
      </c>
      <c r="HS44" s="1" t="str">
        <f t="shared" si="27"/>
        <v/>
      </c>
      <c r="HT44" s="1" t="str">
        <f t="shared" si="27"/>
        <v/>
      </c>
      <c r="HU44" s="1" t="str">
        <f t="shared" si="27"/>
        <v/>
      </c>
      <c r="HV44" s="1" t="str">
        <f t="shared" si="27"/>
        <v/>
      </c>
      <c r="HW44" s="1" t="str">
        <f t="shared" si="27"/>
        <v/>
      </c>
      <c r="HX44" s="1" t="str">
        <f t="shared" si="27"/>
        <v/>
      </c>
      <c r="HY44" s="1" t="str">
        <f t="shared" si="27"/>
        <v/>
      </c>
      <c r="HZ44" s="1" t="str">
        <f t="shared" si="27"/>
        <v/>
      </c>
      <c r="IA44" s="1" t="str">
        <f t="shared" si="27"/>
        <v/>
      </c>
      <c r="IB44" s="1" t="str">
        <f t="shared" si="27"/>
        <v/>
      </c>
      <c r="IC44" s="1" t="str">
        <f t="shared" si="27"/>
        <v/>
      </c>
      <c r="ID44" s="1" t="str">
        <f t="shared" si="28"/>
        <v/>
      </c>
      <c r="IE44" s="1" t="str">
        <f t="shared" si="28"/>
        <v/>
      </c>
      <c r="IF44" s="1" t="str">
        <f t="shared" si="28"/>
        <v/>
      </c>
      <c r="IG44" s="1" t="str">
        <f t="shared" si="28"/>
        <v/>
      </c>
      <c r="IH44" s="1" t="str">
        <f t="shared" si="28"/>
        <v/>
      </c>
      <c r="II44" s="1" t="str">
        <f t="shared" si="28"/>
        <v/>
      </c>
      <c r="IJ44" s="1" t="str">
        <f t="shared" si="28"/>
        <v/>
      </c>
      <c r="IK44" s="1" t="str">
        <f t="shared" si="28"/>
        <v/>
      </c>
      <c r="IL44" s="1" t="str">
        <f t="shared" si="28"/>
        <v/>
      </c>
      <c r="IM44" s="1" t="str">
        <f t="shared" si="28"/>
        <v/>
      </c>
      <c r="IN44" s="1" t="str">
        <f t="shared" si="28"/>
        <v/>
      </c>
      <c r="IO44" s="1" t="str">
        <f t="shared" si="28"/>
        <v/>
      </c>
      <c r="IP44" s="1" t="str">
        <f t="shared" si="28"/>
        <v/>
      </c>
      <c r="IQ44" s="1" t="str">
        <f t="shared" si="28"/>
        <v/>
      </c>
      <c r="IR44" s="1" t="str">
        <f t="shared" si="28"/>
        <v/>
      </c>
      <c r="IS44" s="1" t="str">
        <f t="shared" si="28"/>
        <v/>
      </c>
      <c r="IT44" s="1" t="str">
        <f t="shared" si="29"/>
        <v/>
      </c>
      <c r="IU44" s="1" t="str">
        <f t="shared" si="29"/>
        <v/>
      </c>
      <c r="IV44" s="1" t="str">
        <f t="shared" si="29"/>
        <v/>
      </c>
      <c r="IW44" s="1" t="str">
        <f t="shared" si="29"/>
        <v/>
      </c>
      <c r="IX44" s="1" t="str">
        <f t="shared" si="29"/>
        <v/>
      </c>
      <c r="IY44" s="1" t="str">
        <f t="shared" si="29"/>
        <v/>
      </c>
      <c r="IZ44" s="1" t="str">
        <f t="shared" si="29"/>
        <v/>
      </c>
      <c r="JA44" s="1" t="str">
        <f t="shared" si="29"/>
        <v/>
      </c>
      <c r="JB44" s="1" t="str">
        <f t="shared" si="29"/>
        <v/>
      </c>
      <c r="JC44" s="1" t="str">
        <f t="shared" si="29"/>
        <v/>
      </c>
      <c r="JD44" s="1" t="str">
        <f t="shared" si="29"/>
        <v/>
      </c>
      <c r="JE44" s="1" t="str">
        <f t="shared" si="29"/>
        <v/>
      </c>
      <c r="JF44" s="1" t="str">
        <f t="shared" si="29"/>
        <v/>
      </c>
      <c r="JG44" s="1" t="str">
        <f t="shared" si="29"/>
        <v/>
      </c>
      <c r="JH44" s="1" t="str">
        <f t="shared" si="29"/>
        <v/>
      </c>
      <c r="JI44" s="1" t="str">
        <f t="shared" si="29"/>
        <v/>
      </c>
      <c r="JJ44" s="1" t="str">
        <f t="shared" si="30"/>
        <v/>
      </c>
      <c r="JK44" s="1" t="str">
        <f t="shared" si="30"/>
        <v/>
      </c>
      <c r="JL44" s="1" t="str">
        <f t="shared" si="24"/>
        <v/>
      </c>
      <c r="JM44" s="1" t="str">
        <f t="shared" si="12"/>
        <v/>
      </c>
      <c r="JN44" s="1" t="str">
        <f t="shared" si="12"/>
        <v/>
      </c>
      <c r="JO44" s="1" t="str">
        <f t="shared" si="12"/>
        <v/>
      </c>
    </row>
    <row r="45" spans="1:275" ht="14.5" x14ac:dyDescent="0.35">
      <c r="A45" s="59">
        <f>IF('Data input'!A45&lt;&gt;"",'Data input'!A45,"")</f>
        <v>43</v>
      </c>
      <c r="B45" s="60" t="str">
        <f>IF('Data input'!B45&lt;&gt;"",'Data input'!B45,"")</f>
        <v>Texas</v>
      </c>
      <c r="C45" s="19">
        <f>IF('Data input'!C45="","",4*('Data input'!C45-'Data input'!C$108)/('Data input'!C$109-'Data input'!C$108)+1)</f>
        <v>4.8171585514409268</v>
      </c>
      <c r="D45" s="19" t="str">
        <f>IF('Data input'!D45="","",4*('Data input'!D45-'Data input'!D$108)/('Data input'!D$109-'Data input'!D$108)+1)</f>
        <v/>
      </c>
      <c r="E45" s="19" t="str">
        <f>IF('Data input'!E45="","",4*('Data input'!E45-'Data input'!E$108)/('Data input'!E$109-'Data input'!E$108)+1)</f>
        <v/>
      </c>
      <c r="F45" s="19" t="str">
        <f>IF('Data input'!F45="","",4*('Data input'!F45-'Data input'!F$108)/('Data input'!F$109-'Data input'!F$108)+1)</f>
        <v/>
      </c>
      <c r="G45" s="19" t="str">
        <f>IF('Data input'!G45="","",4*('Data input'!G45-'Data input'!G$108)/('Data input'!G$109-'Data input'!G$108)+1)</f>
        <v/>
      </c>
      <c r="H45" s="61">
        <f>IF('Data input'!H45="","",4*('Data input'!H45-'Data input'!H$108)/('Data input'!H$109-'Data input'!H$108)+1)</f>
        <v>1</v>
      </c>
      <c r="I45" s="19">
        <f>IF('Data input'!I45="","",4*('Data input'!I45-'Data input'!I$108)/('Data input'!I$109-'Data input'!I$108)+1)</f>
        <v>1.0261587661624443</v>
      </c>
      <c r="J45" s="19" t="str">
        <f>IF('Data input'!J45="","",4*('Data input'!J45-'Data input'!J$108)/('Data input'!J$109-'Data input'!J$108)+1)</f>
        <v/>
      </c>
      <c r="K45" s="19" t="str">
        <f>IF('Data input'!K45="","",4*('Data input'!K45-'Data input'!K$108)/('Data input'!K$109-'Data input'!K$108)+1)</f>
        <v/>
      </c>
      <c r="L45" s="19" t="str">
        <f>IF('Data input'!L45="","",4*('Data input'!L45-'Data input'!L$108)/('Data input'!L$109-'Data input'!L$108)+1)</f>
        <v/>
      </c>
      <c r="M45" s="19">
        <f>IF('Data input'!M45="","",4*('Data input'!M45-'Data input'!M$108)/('Data input'!M$109-'Data input'!M$108)+1)</f>
        <v>1.9925873717080678</v>
      </c>
      <c r="N45" s="16" t="str">
        <f>IF('Data input'!N45="","",4*('Data input'!N45-'Data input'!N$108)/('Data input'!N$109-'Data input'!N$108)+1)</f>
        <v/>
      </c>
      <c r="O45" s="19" t="str">
        <f>IF('Data input'!O45="","",4*('Data input'!O45-'Data input'!O$108)/('Data input'!O$109-'Data input'!O$108)+1)</f>
        <v/>
      </c>
      <c r="P45" s="19" t="str">
        <f>IF('Data input'!P45="","",4*('Data input'!P45-'Data input'!P$108)/('Data input'!P$109-'Data input'!P$108)+1)</f>
        <v/>
      </c>
      <c r="Q45" s="19" t="str">
        <f>IF('Data input'!Q45="","",4*('Data input'!Q45-'Data input'!Q$108)/('Data input'!Q$109-'Data input'!Q$108)+1)</f>
        <v/>
      </c>
      <c r="R45" s="19" t="str">
        <f>IF('Data input'!R45="","",4*('Data input'!R45-'Data input'!R$108)/('Data input'!R$109-'Data input'!R$108)+1)</f>
        <v/>
      </c>
      <c r="S45" s="16" t="str">
        <f>IF('Data input'!S45="","",4*('Data input'!S45-'Data input'!S$108)/('Data input'!S$109-'Data input'!S$108)+1)</f>
        <v/>
      </c>
      <c r="T45" s="19" t="str">
        <f>IF('Data input'!T45="","",4*('Data input'!T45-'Data input'!T$108)/('Data input'!T$109-'Data input'!T$108)+1)</f>
        <v/>
      </c>
      <c r="U45" s="19" t="str">
        <f>IF('Data input'!U45="","",4*('Data input'!U45-'Data input'!U$108)/('Data input'!U$109-'Data input'!U$108)+1)</f>
        <v/>
      </c>
      <c r="V45" s="19" t="str">
        <f>IF('Data input'!V45="","",4*('Data input'!V45-'Data input'!V$108)/('Data input'!V$109-'Data input'!V$108)+1)</f>
        <v/>
      </c>
      <c r="W45" s="16" t="str">
        <f>IF('Data input'!W45="","",4*('Data input'!W45-'Data input'!W$108)/('Data input'!W$109-'Data input'!W$108)+1)</f>
        <v/>
      </c>
      <c r="X45" s="16" t="str">
        <f>IF('Data input'!X45="","",4*('Data input'!X45-'Data input'!X$108)/('Data input'!X$109-'Data input'!X$108)+1)</f>
        <v/>
      </c>
      <c r="Y45" s="16" t="str">
        <f>IF('Data input'!Y45="","",4*('Data input'!Y45-'Data input'!Y$108)/('Data input'!Y$109-'Data input'!Y$108)+1)</f>
        <v/>
      </c>
      <c r="Z45" s="16" t="str">
        <f>IF('Data input'!Z45="","",4*('Data input'!Z45-'Data input'!Z$108)/('Data input'!Z$109-'Data input'!Z$108)+1)</f>
        <v/>
      </c>
      <c r="AA45" s="62" t="str">
        <f>IF('Data input'!AA45="","",4*('Data input'!AA45-'Data input'!AA$108)/('Data input'!AA$109-'Data input'!AA$108)+1)</f>
        <v/>
      </c>
      <c r="AB45" s="78"/>
      <c r="AC45" s="79">
        <v>0</v>
      </c>
      <c r="AD45" s="80" t="e">
        <f t="shared" si="13"/>
        <v>#DIV/0!</v>
      </c>
      <c r="AE45" s="4"/>
      <c r="AF45" s="59">
        <f t="shared" si="14"/>
        <v>43</v>
      </c>
      <c r="AG45" s="60" t="str">
        <f t="shared" si="14"/>
        <v>Texas</v>
      </c>
      <c r="AH45">
        <v>0</v>
      </c>
      <c r="AI45" t="s">
        <v>69</v>
      </c>
      <c r="AJ45" t="s">
        <v>69</v>
      </c>
      <c r="AK45" t="s">
        <v>69</v>
      </c>
      <c r="AL45" t="s">
        <v>69</v>
      </c>
      <c r="AM45">
        <v>0</v>
      </c>
      <c r="AN45">
        <v>2.7755575615628914E-17</v>
      </c>
      <c r="AO45" t="s">
        <v>69</v>
      </c>
      <c r="AP45" t="s">
        <v>69</v>
      </c>
      <c r="AQ45" t="s">
        <v>69</v>
      </c>
      <c r="AR45">
        <v>1</v>
      </c>
      <c r="AS45" s="71">
        <f t="shared" si="15"/>
        <v>4.8171585514409268</v>
      </c>
      <c r="AT45" s="71" t="str">
        <f t="shared" si="15"/>
        <v/>
      </c>
      <c r="AU45" s="71" t="str">
        <f t="shared" si="15"/>
        <v/>
      </c>
      <c r="AV45" s="71" t="str">
        <f t="shared" si="15"/>
        <v/>
      </c>
      <c r="AW45" s="71" t="str">
        <f t="shared" si="15"/>
        <v/>
      </c>
      <c r="AX45" s="71">
        <f t="shared" si="16"/>
        <v>1</v>
      </c>
      <c r="AY45" s="71">
        <f t="shared" si="16"/>
        <v>1.0261587661624443</v>
      </c>
      <c r="AZ45" s="71" t="str">
        <f t="shared" si="16"/>
        <v/>
      </c>
      <c r="BA45" s="71" t="str">
        <f t="shared" si="16"/>
        <v/>
      </c>
      <c r="BB45" s="71" t="str">
        <f t="shared" si="16"/>
        <v/>
      </c>
      <c r="BC45" s="18">
        <f>IF(C45&lt;&gt;"",(('Data input'!C$109-'Data input'!C$108)*(AS45-1)/4)+'Data input'!C$108,"")</f>
        <v>0.98965422563276984</v>
      </c>
      <c r="BD45" s="18" t="str">
        <f>IF(D45&lt;&gt;"",(('Data input'!D$109-'Data input'!D$108)*(AT45-1)/4)+'Data input'!D$108,"")</f>
        <v/>
      </c>
      <c r="BE45" s="18" t="str">
        <f>IF(E45&lt;&gt;"",(('Data input'!E$109-'Data input'!E$108)*(AU45-1)/4)+'Data input'!E$108,"")</f>
        <v/>
      </c>
      <c r="BF45" s="18" t="str">
        <f>IF(F45&lt;&gt;"",(('Data input'!F$109-'Data input'!F$108)*(AV45-1)/4)+'Data input'!F$108,"")</f>
        <v/>
      </c>
      <c r="BG45" s="18" t="str">
        <f>IF(G45&lt;&gt;"",(('Data input'!G$109-'Data input'!G$108)*(AW45-1)/4)+'Data input'!G$108,"")</f>
        <v/>
      </c>
      <c r="BH45" s="19">
        <f>IF(H45&lt;&gt;"",(('Data input'!H$109-'Data input'!H$108)*(AX45-1)/4)+'Data input'!H$108,"")</f>
        <v>0.29574268608402715</v>
      </c>
      <c r="BI45" s="18">
        <f>IF(I45&lt;&gt;"",(('Data input'!I$109-'Data input'!I$108)*(AY45-1)/4)+'Data input'!I$108,"")</f>
        <v>1.1485914641518515E-3</v>
      </c>
      <c r="BJ45" s="19" t="str">
        <f>IF(J45&lt;&gt;"",(('Data input'!J$109-'Data input'!J$108)*(AZ45-1)/4)+'Data input'!J$108,"")</f>
        <v/>
      </c>
      <c r="BK45" s="19" t="str">
        <f>IF(K45&lt;&gt;"",(('Data input'!K$109-'Data input'!K$108)*(BA45-1)/4)+'Data input'!K$108,"")</f>
        <v/>
      </c>
      <c r="BL45" s="19" t="str">
        <f>IF(L45&lt;&gt;"",(('Data input'!L$109-'Data input'!L$108)*(BB45-1)/4)+'Data input'!L$108,"")</f>
        <v/>
      </c>
      <c r="BM45" s="18">
        <f>IF(C45&lt;&gt;"",BC45-'Data input'!C45,"")</f>
        <v>0</v>
      </c>
      <c r="BN45" s="18" t="str">
        <f>IF(D45&lt;&gt;"",BD45-'Data input'!D45,"")</f>
        <v/>
      </c>
      <c r="BO45" s="18" t="str">
        <f>IF(E45&lt;&gt;"",BE45-'Data input'!E45,"")</f>
        <v/>
      </c>
      <c r="BP45" s="18" t="str">
        <f>IF(F45&lt;&gt;"",BF45-'Data input'!F45,"")</f>
        <v/>
      </c>
      <c r="BQ45" s="18" t="str">
        <f>IF(G45&lt;&gt;"",BG45-'Data input'!G45,"")</f>
        <v/>
      </c>
      <c r="BR45" s="19">
        <f>IF(H45&lt;&gt;"",BH45-'Data input'!H45,"")</f>
        <v>0</v>
      </c>
      <c r="BS45" s="18">
        <f>IF(I45&lt;&gt;"",BI45-'Data input'!I45,"")</f>
        <v>-4.3368086899420177E-18</v>
      </c>
      <c r="BT45" s="18" t="str">
        <f>IF(J45&lt;&gt;"",BJ45-'Data input'!J45,"")</f>
        <v/>
      </c>
      <c r="BU45" s="18" t="str">
        <f>IF(K45&lt;&gt;"",BK45-'Data input'!K45,"")</f>
        <v/>
      </c>
      <c r="BV45" s="72" t="str">
        <f>IF(L45&lt;&gt;"",BL45-'Data input'!L45,"")</f>
        <v/>
      </c>
      <c r="BW45" s="121" t="str">
        <f t="shared" si="17"/>
        <v xml:space="preserve">Texas; 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0</v>
      </c>
      <c r="CE45" s="1">
        <v>0</v>
      </c>
      <c r="CF45" s="1">
        <v>0</v>
      </c>
      <c r="CG45" s="1">
        <v>0</v>
      </c>
      <c r="CH45" s="1">
        <v>0</v>
      </c>
      <c r="CI45" s="1">
        <v>0</v>
      </c>
      <c r="CJ45" s="1">
        <v>0</v>
      </c>
      <c r="CK45" s="1">
        <v>0</v>
      </c>
      <c r="CL45" s="1">
        <v>0</v>
      </c>
      <c r="CM45" s="1">
        <v>0</v>
      </c>
      <c r="CN45" s="1">
        <v>0</v>
      </c>
      <c r="CO45" s="1">
        <v>0</v>
      </c>
      <c r="CP45" s="1">
        <v>0</v>
      </c>
      <c r="CQ45" s="1">
        <v>0</v>
      </c>
      <c r="CR45" s="1">
        <v>0</v>
      </c>
      <c r="CS45" s="1">
        <v>0</v>
      </c>
      <c r="CT45" s="1">
        <v>0</v>
      </c>
      <c r="CU45" s="1">
        <v>0</v>
      </c>
      <c r="CV45" s="1">
        <v>0</v>
      </c>
      <c r="CW45" s="1">
        <v>0</v>
      </c>
      <c r="CX45" s="1">
        <v>0</v>
      </c>
      <c r="CY45" s="1">
        <v>0</v>
      </c>
      <c r="CZ45" s="1">
        <v>0</v>
      </c>
      <c r="DA45" s="1">
        <v>0</v>
      </c>
      <c r="DB45" s="1">
        <v>0</v>
      </c>
      <c r="DC45" s="1">
        <v>0</v>
      </c>
      <c r="DD45" s="1">
        <v>0</v>
      </c>
      <c r="DE45" s="1">
        <v>0</v>
      </c>
      <c r="DF45" s="1">
        <v>0</v>
      </c>
      <c r="DG45" s="1">
        <v>0</v>
      </c>
      <c r="DH45" s="1">
        <v>0</v>
      </c>
      <c r="DI45" s="1">
        <v>0</v>
      </c>
      <c r="DJ45" s="1">
        <v>0</v>
      </c>
      <c r="DK45" s="1">
        <v>0</v>
      </c>
      <c r="DL45" s="1">
        <v>0</v>
      </c>
      <c r="DM45" s="1">
        <v>0</v>
      </c>
      <c r="DN45" s="1">
        <v>0.99999999999999989</v>
      </c>
      <c r="DO45" s="1">
        <v>0</v>
      </c>
      <c r="DP45" s="1">
        <v>0</v>
      </c>
      <c r="DQ45" s="1">
        <v>0</v>
      </c>
      <c r="DR45" s="1">
        <v>0</v>
      </c>
      <c r="DS45" s="1">
        <v>0</v>
      </c>
      <c r="DT45" s="1">
        <v>0</v>
      </c>
      <c r="DU45" s="1">
        <v>0</v>
      </c>
      <c r="DV45" s="1">
        <v>0</v>
      </c>
      <c r="DW45" s="1">
        <v>0</v>
      </c>
      <c r="DX45" s="1">
        <v>0</v>
      </c>
      <c r="DY45" s="1">
        <v>0</v>
      </c>
      <c r="DZ45" s="1">
        <v>0</v>
      </c>
      <c r="FT45" s="1" t="str">
        <f t="shared" si="25"/>
        <v/>
      </c>
      <c r="FU45" s="1" t="str">
        <f t="shared" si="25"/>
        <v/>
      </c>
      <c r="FV45" s="1" t="str">
        <f t="shared" si="25"/>
        <v/>
      </c>
      <c r="FW45" s="1" t="str">
        <f t="shared" si="25"/>
        <v/>
      </c>
      <c r="FX45" s="1" t="str">
        <f t="shared" si="25"/>
        <v/>
      </c>
      <c r="FY45" s="1" t="str">
        <f t="shared" si="25"/>
        <v/>
      </c>
      <c r="FZ45" s="1" t="str">
        <f t="shared" si="25"/>
        <v/>
      </c>
      <c r="GA45" s="1" t="str">
        <f t="shared" si="25"/>
        <v/>
      </c>
      <c r="GB45" s="1" t="str">
        <f t="shared" si="25"/>
        <v/>
      </c>
      <c r="GC45" s="1" t="str">
        <f t="shared" si="25"/>
        <v/>
      </c>
      <c r="GD45" s="1" t="str">
        <f t="shared" si="25"/>
        <v/>
      </c>
      <c r="GE45" s="1" t="str">
        <f t="shared" si="25"/>
        <v/>
      </c>
      <c r="GF45" s="1" t="str">
        <f t="shared" si="25"/>
        <v/>
      </c>
      <c r="GG45" s="1" t="str">
        <f t="shared" si="25"/>
        <v/>
      </c>
      <c r="GH45" s="1" t="str">
        <f t="shared" si="25"/>
        <v/>
      </c>
      <c r="GI45" s="1" t="str">
        <f t="shared" si="25"/>
        <v/>
      </c>
      <c r="GJ45" s="1" t="str">
        <f t="shared" si="31"/>
        <v/>
      </c>
      <c r="GK45" s="1" t="str">
        <f t="shared" si="31"/>
        <v/>
      </c>
      <c r="GL45" s="1" t="str">
        <f t="shared" si="31"/>
        <v/>
      </c>
      <c r="GM45" s="1" t="str">
        <f t="shared" si="31"/>
        <v/>
      </c>
      <c r="GN45" s="1" t="str">
        <f t="shared" si="31"/>
        <v/>
      </c>
      <c r="GO45" s="1" t="str">
        <f t="shared" si="31"/>
        <v/>
      </c>
      <c r="GP45" s="1" t="str">
        <f t="shared" si="31"/>
        <v/>
      </c>
      <c r="GQ45" s="1" t="str">
        <f t="shared" si="31"/>
        <v/>
      </c>
      <c r="GR45" s="1" t="str">
        <f t="shared" si="31"/>
        <v/>
      </c>
      <c r="GS45" s="1" t="str">
        <f t="shared" si="31"/>
        <v/>
      </c>
      <c r="GT45" s="1" t="str">
        <f t="shared" si="31"/>
        <v/>
      </c>
      <c r="GU45" s="1" t="str">
        <f t="shared" si="31"/>
        <v/>
      </c>
      <c r="GV45" s="1" t="str">
        <f t="shared" si="31"/>
        <v/>
      </c>
      <c r="GW45" s="1" t="str">
        <f t="shared" si="31"/>
        <v/>
      </c>
      <c r="GX45" s="1" t="str">
        <f t="shared" si="26"/>
        <v/>
      </c>
      <c r="GY45" s="1" t="str">
        <f t="shared" si="26"/>
        <v/>
      </c>
      <c r="GZ45" s="1" t="str">
        <f t="shared" si="26"/>
        <v/>
      </c>
      <c r="HA45" s="1" t="str">
        <f t="shared" si="26"/>
        <v/>
      </c>
      <c r="HB45" s="1" t="str">
        <f t="shared" si="26"/>
        <v/>
      </c>
      <c r="HC45" s="1" t="str">
        <f t="shared" si="26"/>
        <v/>
      </c>
      <c r="HD45" s="1" t="str">
        <f t="shared" si="26"/>
        <v/>
      </c>
      <c r="HE45" s="1" t="str">
        <f t="shared" si="26"/>
        <v/>
      </c>
      <c r="HF45" s="1" t="str">
        <f t="shared" si="26"/>
        <v/>
      </c>
      <c r="HG45" s="1" t="str">
        <f t="shared" si="26"/>
        <v/>
      </c>
      <c r="HH45" s="1" t="str">
        <f t="shared" si="26"/>
        <v/>
      </c>
      <c r="HI45" s="1" t="str">
        <f t="shared" si="26"/>
        <v/>
      </c>
      <c r="HJ45" s="1" t="str">
        <f t="shared" si="26"/>
        <v xml:space="preserve">Texas; </v>
      </c>
      <c r="HK45" s="1" t="str">
        <f t="shared" si="26"/>
        <v/>
      </c>
      <c r="HL45" s="1" t="str">
        <f t="shared" si="26"/>
        <v/>
      </c>
      <c r="HM45" s="1" t="str">
        <f t="shared" si="26"/>
        <v/>
      </c>
      <c r="HN45" s="1" t="str">
        <f t="shared" si="27"/>
        <v/>
      </c>
      <c r="HO45" s="1" t="str">
        <f t="shared" si="27"/>
        <v/>
      </c>
      <c r="HP45" s="1" t="str">
        <f t="shared" si="27"/>
        <v/>
      </c>
      <c r="HQ45" s="1" t="str">
        <f t="shared" si="27"/>
        <v/>
      </c>
      <c r="HR45" s="1" t="str">
        <f t="shared" si="27"/>
        <v/>
      </c>
      <c r="HS45" s="1" t="str">
        <f t="shared" si="27"/>
        <v/>
      </c>
      <c r="HT45" s="1" t="str">
        <f t="shared" si="27"/>
        <v/>
      </c>
      <c r="HU45" s="1" t="str">
        <f t="shared" si="27"/>
        <v/>
      </c>
      <c r="HV45" s="1" t="str">
        <f t="shared" si="27"/>
        <v/>
      </c>
      <c r="HW45" s="1" t="str">
        <f t="shared" si="27"/>
        <v/>
      </c>
      <c r="HX45" s="1" t="str">
        <f t="shared" si="27"/>
        <v/>
      </c>
      <c r="HY45" s="1" t="str">
        <f t="shared" si="27"/>
        <v/>
      </c>
      <c r="HZ45" s="1" t="str">
        <f t="shared" si="27"/>
        <v/>
      </c>
      <c r="IA45" s="1" t="str">
        <f t="shared" si="27"/>
        <v/>
      </c>
      <c r="IB45" s="1" t="str">
        <f t="shared" si="27"/>
        <v/>
      </c>
      <c r="IC45" s="1" t="str">
        <f t="shared" si="27"/>
        <v/>
      </c>
      <c r="ID45" s="1" t="str">
        <f t="shared" si="28"/>
        <v/>
      </c>
      <c r="IE45" s="1" t="str">
        <f t="shared" si="28"/>
        <v/>
      </c>
      <c r="IF45" s="1" t="str">
        <f t="shared" si="28"/>
        <v/>
      </c>
      <c r="IG45" s="1" t="str">
        <f t="shared" si="28"/>
        <v/>
      </c>
      <c r="IH45" s="1" t="str">
        <f t="shared" si="28"/>
        <v/>
      </c>
      <c r="II45" s="1" t="str">
        <f t="shared" si="28"/>
        <v/>
      </c>
      <c r="IJ45" s="1" t="str">
        <f t="shared" si="28"/>
        <v/>
      </c>
      <c r="IK45" s="1" t="str">
        <f t="shared" si="28"/>
        <v/>
      </c>
      <c r="IL45" s="1" t="str">
        <f t="shared" si="28"/>
        <v/>
      </c>
      <c r="IM45" s="1" t="str">
        <f t="shared" si="28"/>
        <v/>
      </c>
      <c r="IN45" s="1" t="str">
        <f t="shared" si="28"/>
        <v/>
      </c>
      <c r="IO45" s="1" t="str">
        <f t="shared" si="28"/>
        <v/>
      </c>
      <c r="IP45" s="1" t="str">
        <f t="shared" si="28"/>
        <v/>
      </c>
      <c r="IQ45" s="1" t="str">
        <f t="shared" si="28"/>
        <v/>
      </c>
      <c r="IR45" s="1" t="str">
        <f t="shared" si="28"/>
        <v/>
      </c>
      <c r="IS45" s="1" t="str">
        <f t="shared" si="28"/>
        <v/>
      </c>
      <c r="IT45" s="1" t="str">
        <f t="shared" si="29"/>
        <v/>
      </c>
      <c r="IU45" s="1" t="str">
        <f t="shared" si="29"/>
        <v/>
      </c>
      <c r="IV45" s="1" t="str">
        <f t="shared" si="29"/>
        <v/>
      </c>
      <c r="IW45" s="1" t="str">
        <f t="shared" si="29"/>
        <v/>
      </c>
      <c r="IX45" s="1" t="str">
        <f t="shared" si="29"/>
        <v/>
      </c>
      <c r="IY45" s="1" t="str">
        <f t="shared" si="29"/>
        <v/>
      </c>
      <c r="IZ45" s="1" t="str">
        <f t="shared" si="29"/>
        <v/>
      </c>
      <c r="JA45" s="1" t="str">
        <f t="shared" si="29"/>
        <v/>
      </c>
      <c r="JB45" s="1" t="str">
        <f t="shared" si="29"/>
        <v/>
      </c>
      <c r="JC45" s="1" t="str">
        <f t="shared" si="29"/>
        <v/>
      </c>
      <c r="JD45" s="1" t="str">
        <f t="shared" si="29"/>
        <v/>
      </c>
      <c r="JE45" s="1" t="str">
        <f t="shared" si="29"/>
        <v/>
      </c>
      <c r="JF45" s="1" t="str">
        <f t="shared" si="29"/>
        <v/>
      </c>
      <c r="JG45" s="1" t="str">
        <f t="shared" si="29"/>
        <v/>
      </c>
      <c r="JH45" s="1" t="str">
        <f t="shared" si="29"/>
        <v/>
      </c>
      <c r="JI45" s="1" t="str">
        <f t="shared" si="29"/>
        <v/>
      </c>
      <c r="JJ45" s="1" t="str">
        <f t="shared" si="30"/>
        <v/>
      </c>
      <c r="JK45" s="1" t="str">
        <f t="shared" si="30"/>
        <v/>
      </c>
      <c r="JL45" s="1" t="str">
        <f t="shared" si="24"/>
        <v/>
      </c>
      <c r="JM45" s="1" t="str">
        <f t="shared" si="12"/>
        <v/>
      </c>
      <c r="JN45" s="1" t="str">
        <f t="shared" si="12"/>
        <v/>
      </c>
      <c r="JO45" s="1" t="str">
        <f t="shared" si="12"/>
        <v/>
      </c>
    </row>
    <row r="46" spans="1:275" ht="14.5" x14ac:dyDescent="0.35">
      <c r="A46" s="59">
        <f>IF('Data input'!A46&lt;&gt;"",'Data input'!A46,"")</f>
        <v>44</v>
      </c>
      <c r="B46" s="60" t="str">
        <f>IF('Data input'!B46&lt;&gt;"",'Data input'!B46,"")</f>
        <v>Utah</v>
      </c>
      <c r="C46" s="19">
        <f>IF('Data input'!C46="","",4*('Data input'!C46-'Data input'!C$108)/('Data input'!C$109-'Data input'!C$108)+1)</f>
        <v>5</v>
      </c>
      <c r="D46" s="19" t="str">
        <f>IF('Data input'!D46="","",4*('Data input'!D46-'Data input'!D$108)/('Data input'!D$109-'Data input'!D$108)+1)</f>
        <v/>
      </c>
      <c r="E46" s="19" t="str">
        <f>IF('Data input'!E46="","",4*('Data input'!E46-'Data input'!E$108)/('Data input'!E$109-'Data input'!E$108)+1)</f>
        <v/>
      </c>
      <c r="F46" s="19" t="str">
        <f>IF('Data input'!F46="","",4*('Data input'!F46-'Data input'!F$108)/('Data input'!F$109-'Data input'!F$108)+1)</f>
        <v/>
      </c>
      <c r="G46" s="19" t="str">
        <f>IF('Data input'!G46="","",4*('Data input'!G46-'Data input'!G$108)/('Data input'!G$109-'Data input'!G$108)+1)</f>
        <v/>
      </c>
      <c r="H46" s="61">
        <f>IF('Data input'!H46="","",4*('Data input'!H46-'Data input'!H$108)/('Data input'!H$109-'Data input'!H$108)+1)</f>
        <v>1.0731282555329211</v>
      </c>
      <c r="I46" s="19">
        <f>IF('Data input'!I46="","",4*('Data input'!I46-'Data input'!I$108)/('Data input'!I$109-'Data input'!I$108)+1)</f>
        <v>1.8996569026448376</v>
      </c>
      <c r="J46" s="19" t="str">
        <f>IF('Data input'!J46="","",4*('Data input'!J46-'Data input'!J$108)/('Data input'!J$109-'Data input'!J$108)+1)</f>
        <v/>
      </c>
      <c r="K46" s="19" t="str">
        <f>IF('Data input'!K46="","",4*('Data input'!K46-'Data input'!K$108)/('Data input'!K$109-'Data input'!K$108)+1)</f>
        <v/>
      </c>
      <c r="L46" s="19" t="str">
        <f>IF('Data input'!L46="","",4*('Data input'!L46-'Data input'!L$108)/('Data input'!L$109-'Data input'!L$108)+1)</f>
        <v/>
      </c>
      <c r="M46" s="19">
        <f>IF('Data input'!M46="","",4*('Data input'!M46-'Data input'!M$108)/('Data input'!M$109-'Data input'!M$108)+1)</f>
        <v>5</v>
      </c>
      <c r="N46" s="16" t="str">
        <f>IF('Data input'!N46="","",4*('Data input'!N46-'Data input'!N$108)/('Data input'!N$109-'Data input'!N$108)+1)</f>
        <v/>
      </c>
      <c r="O46" s="19" t="str">
        <f>IF('Data input'!O46="","",4*('Data input'!O46-'Data input'!O$108)/('Data input'!O$109-'Data input'!O$108)+1)</f>
        <v/>
      </c>
      <c r="P46" s="19" t="str">
        <f>IF('Data input'!P46="","",4*('Data input'!P46-'Data input'!P$108)/('Data input'!P$109-'Data input'!P$108)+1)</f>
        <v/>
      </c>
      <c r="Q46" s="19" t="str">
        <f>IF('Data input'!Q46="","",4*('Data input'!Q46-'Data input'!Q$108)/('Data input'!Q$109-'Data input'!Q$108)+1)</f>
        <v/>
      </c>
      <c r="R46" s="19" t="str">
        <f>IF('Data input'!R46="","",4*('Data input'!R46-'Data input'!R$108)/('Data input'!R$109-'Data input'!R$108)+1)</f>
        <v/>
      </c>
      <c r="S46" s="16" t="str">
        <f>IF('Data input'!S46="","",4*('Data input'!S46-'Data input'!S$108)/('Data input'!S$109-'Data input'!S$108)+1)</f>
        <v/>
      </c>
      <c r="T46" s="19" t="str">
        <f>IF('Data input'!T46="","",4*('Data input'!T46-'Data input'!T$108)/('Data input'!T$109-'Data input'!T$108)+1)</f>
        <v/>
      </c>
      <c r="U46" s="19" t="str">
        <f>IF('Data input'!U46="","",4*('Data input'!U46-'Data input'!U$108)/('Data input'!U$109-'Data input'!U$108)+1)</f>
        <v/>
      </c>
      <c r="V46" s="19" t="str">
        <f>IF('Data input'!V46="","",4*('Data input'!V46-'Data input'!V$108)/('Data input'!V$109-'Data input'!V$108)+1)</f>
        <v/>
      </c>
      <c r="W46" s="16" t="str">
        <f>IF('Data input'!W46="","",4*('Data input'!W46-'Data input'!W$108)/('Data input'!W$109-'Data input'!W$108)+1)</f>
        <v/>
      </c>
      <c r="X46" s="16" t="str">
        <f>IF('Data input'!X46="","",4*('Data input'!X46-'Data input'!X$108)/('Data input'!X$109-'Data input'!X$108)+1)</f>
        <v/>
      </c>
      <c r="Y46" s="16" t="str">
        <f>IF('Data input'!Y46="","",4*('Data input'!Y46-'Data input'!Y$108)/('Data input'!Y$109-'Data input'!Y$108)+1)</f>
        <v/>
      </c>
      <c r="Z46" s="16" t="str">
        <f>IF('Data input'!Z46="","",4*('Data input'!Z46-'Data input'!Z$108)/('Data input'!Z$109-'Data input'!Z$108)+1)</f>
        <v/>
      </c>
      <c r="AA46" s="62" t="str">
        <f>IF('Data input'!AA46="","",4*('Data input'!AA46-'Data input'!AA$108)/('Data input'!AA$109-'Data input'!AA$108)+1)</f>
        <v/>
      </c>
      <c r="AB46" s="78"/>
      <c r="AC46" s="79">
        <v>0</v>
      </c>
      <c r="AD46" s="80" t="e">
        <f t="shared" si="13"/>
        <v>#DIV/0!</v>
      </c>
      <c r="AE46" s="4"/>
      <c r="AF46" s="59">
        <f t="shared" si="14"/>
        <v>44</v>
      </c>
      <c r="AG46" s="60" t="str">
        <f t="shared" si="14"/>
        <v>Utah</v>
      </c>
      <c r="AH46">
        <v>0</v>
      </c>
      <c r="AI46" t="s">
        <v>69</v>
      </c>
      <c r="AJ46" t="s">
        <v>69</v>
      </c>
      <c r="AK46" t="s">
        <v>69</v>
      </c>
      <c r="AL46" t="s">
        <v>69</v>
      </c>
      <c r="AM46">
        <v>0</v>
      </c>
      <c r="AN46">
        <v>0</v>
      </c>
      <c r="AO46" t="s">
        <v>69</v>
      </c>
      <c r="AP46" t="s">
        <v>69</v>
      </c>
      <c r="AQ46" t="s">
        <v>69</v>
      </c>
      <c r="AR46">
        <v>1</v>
      </c>
      <c r="AS46" s="71">
        <f t="shared" si="15"/>
        <v>5</v>
      </c>
      <c r="AT46" s="71" t="str">
        <f t="shared" si="15"/>
        <v/>
      </c>
      <c r="AU46" s="71" t="str">
        <f t="shared" si="15"/>
        <v/>
      </c>
      <c r="AV46" s="71" t="str">
        <f t="shared" si="15"/>
        <v/>
      </c>
      <c r="AW46" s="71" t="str">
        <f t="shared" si="15"/>
        <v/>
      </c>
      <c r="AX46" s="71">
        <f t="shared" si="16"/>
        <v>1.0731282555329211</v>
      </c>
      <c r="AY46" s="71">
        <f t="shared" si="16"/>
        <v>1.8996569026448376</v>
      </c>
      <c r="AZ46" s="71" t="str">
        <f t="shared" si="16"/>
        <v/>
      </c>
      <c r="BA46" s="71" t="str">
        <f t="shared" si="16"/>
        <v/>
      </c>
      <c r="BB46" s="71" t="str">
        <f t="shared" si="16"/>
        <v/>
      </c>
      <c r="BC46" s="18">
        <f>IF(C46&lt;&gt;"",(('Data input'!C$109-'Data input'!C$108)*(AS46-1)/4)+'Data input'!C$108,"")</f>
        <v>0.99629268099502244</v>
      </c>
      <c r="BD46" s="18" t="str">
        <f>IF(D46&lt;&gt;"",(('Data input'!D$109-'Data input'!D$108)*(AT46-1)/4)+'Data input'!D$108,"")</f>
        <v/>
      </c>
      <c r="BE46" s="18" t="str">
        <f>IF(E46&lt;&gt;"",(('Data input'!E$109-'Data input'!E$108)*(AU46-1)/4)+'Data input'!E$108,"")</f>
        <v/>
      </c>
      <c r="BF46" s="18" t="str">
        <f>IF(F46&lt;&gt;"",(('Data input'!F$109-'Data input'!F$108)*(AV46-1)/4)+'Data input'!F$108,"")</f>
        <v/>
      </c>
      <c r="BG46" s="18" t="str">
        <f>IF(G46&lt;&gt;"",(('Data input'!G$109-'Data input'!G$108)*(AW46-1)/4)+'Data input'!G$108,"")</f>
        <v/>
      </c>
      <c r="BH46" s="19">
        <f>IF(H46&lt;&gt;"",(('Data input'!H$109-'Data input'!H$108)*(AX46-1)/4)+'Data input'!H$108,"")</f>
        <v>1.8883174631545339</v>
      </c>
      <c r="BI46" s="18">
        <f>IF(I46&lt;&gt;"",(('Data input'!I$109-'Data input'!I$108)*(AY46-1)/4)+'Data input'!I$108,"")</f>
        <v>3.9502560351133871E-2</v>
      </c>
      <c r="BJ46" s="19" t="str">
        <f>IF(J46&lt;&gt;"",(('Data input'!J$109-'Data input'!J$108)*(AZ46-1)/4)+'Data input'!J$108,"")</f>
        <v/>
      </c>
      <c r="BK46" s="19" t="str">
        <f>IF(K46&lt;&gt;"",(('Data input'!K$109-'Data input'!K$108)*(BA46-1)/4)+'Data input'!K$108,"")</f>
        <v/>
      </c>
      <c r="BL46" s="19" t="str">
        <f>IF(L46&lt;&gt;"",(('Data input'!L$109-'Data input'!L$108)*(BB46-1)/4)+'Data input'!L$108,"")</f>
        <v/>
      </c>
      <c r="BM46" s="18">
        <f>IF(C46&lt;&gt;"",BC46-'Data input'!C46,"")</f>
        <v>0</v>
      </c>
      <c r="BN46" s="18" t="str">
        <f>IF(D46&lt;&gt;"",BD46-'Data input'!D46,"")</f>
        <v/>
      </c>
      <c r="BO46" s="18" t="str">
        <f>IF(E46&lt;&gt;"",BE46-'Data input'!E46,"")</f>
        <v/>
      </c>
      <c r="BP46" s="18" t="str">
        <f>IF(F46&lt;&gt;"",BF46-'Data input'!F46,"")</f>
        <v/>
      </c>
      <c r="BQ46" s="18" t="str">
        <f>IF(G46&lt;&gt;"",BG46-'Data input'!G46,"")</f>
        <v/>
      </c>
      <c r="BR46" s="19">
        <f>IF(H46&lt;&gt;"",BH46-'Data input'!H46,"")</f>
        <v>1.7763568394002505E-15</v>
      </c>
      <c r="BS46" s="18">
        <f>IF(I46&lt;&gt;"",BI46-'Data input'!I46,"")</f>
        <v>0</v>
      </c>
      <c r="BT46" s="18" t="str">
        <f>IF(J46&lt;&gt;"",BJ46-'Data input'!J46,"")</f>
        <v/>
      </c>
      <c r="BU46" s="18" t="str">
        <f>IF(K46&lt;&gt;"",BK46-'Data input'!K46,"")</f>
        <v/>
      </c>
      <c r="BV46" s="72" t="str">
        <f>IF(L46&lt;&gt;"",BL46-'Data input'!L46,"")</f>
        <v/>
      </c>
      <c r="BW46" s="121" t="str">
        <f t="shared" si="17"/>
        <v xml:space="preserve">Utah; </v>
      </c>
      <c r="BX46" s="1">
        <v>0</v>
      </c>
      <c r="BY46" s="1">
        <v>0</v>
      </c>
      <c r="BZ46" s="1">
        <v>0</v>
      </c>
      <c r="CA46" s="1">
        <v>0</v>
      </c>
      <c r="CB46" s="1">
        <v>0</v>
      </c>
      <c r="CC46" s="1">
        <v>0</v>
      </c>
      <c r="CD46" s="1">
        <v>0</v>
      </c>
      <c r="CE46" s="1">
        <v>0</v>
      </c>
      <c r="CF46" s="1">
        <v>0</v>
      </c>
      <c r="CG46" s="1">
        <v>0</v>
      </c>
      <c r="CH46" s="1">
        <v>0</v>
      </c>
      <c r="CI46" s="1">
        <v>0</v>
      </c>
      <c r="CJ46" s="1">
        <v>0</v>
      </c>
      <c r="CK46" s="1">
        <v>0</v>
      </c>
      <c r="CL46" s="1">
        <v>0</v>
      </c>
      <c r="CM46" s="1">
        <v>0</v>
      </c>
      <c r="CN46" s="1">
        <v>0</v>
      </c>
      <c r="CO46" s="1">
        <v>0</v>
      </c>
      <c r="CP46" s="1">
        <v>0</v>
      </c>
      <c r="CQ46" s="1">
        <v>0</v>
      </c>
      <c r="CR46" s="1">
        <v>0</v>
      </c>
      <c r="CS46" s="1">
        <v>0</v>
      </c>
      <c r="CT46" s="1">
        <v>0</v>
      </c>
      <c r="CU46" s="1">
        <v>0</v>
      </c>
      <c r="CV46" s="1">
        <v>0</v>
      </c>
      <c r="CW46" s="1">
        <v>0</v>
      </c>
      <c r="CX46" s="1">
        <v>0</v>
      </c>
      <c r="CY46" s="1">
        <v>0</v>
      </c>
      <c r="CZ46" s="1">
        <v>0</v>
      </c>
      <c r="DA46" s="1">
        <v>0</v>
      </c>
      <c r="DB46" s="1">
        <v>0</v>
      </c>
      <c r="DC46" s="1">
        <v>0</v>
      </c>
      <c r="DD46" s="1">
        <v>0</v>
      </c>
      <c r="DE46" s="1">
        <v>0</v>
      </c>
      <c r="DF46" s="1">
        <v>0</v>
      </c>
      <c r="DG46" s="1">
        <v>0</v>
      </c>
      <c r="DH46" s="1">
        <v>0</v>
      </c>
      <c r="DI46" s="1">
        <v>0</v>
      </c>
      <c r="DJ46" s="1">
        <v>0</v>
      </c>
      <c r="DK46" s="1">
        <v>0</v>
      </c>
      <c r="DL46" s="1">
        <v>0</v>
      </c>
      <c r="DM46" s="1">
        <v>0</v>
      </c>
      <c r="DN46" s="1">
        <v>0</v>
      </c>
      <c r="DO46" s="1">
        <v>1</v>
      </c>
      <c r="DP46" s="1">
        <v>0</v>
      </c>
      <c r="DQ46" s="1">
        <v>0</v>
      </c>
      <c r="DR46" s="1">
        <v>0</v>
      </c>
      <c r="DS46" s="1">
        <v>0</v>
      </c>
      <c r="DT46" s="1">
        <v>0</v>
      </c>
      <c r="DU46" s="1">
        <v>0</v>
      </c>
      <c r="DV46" s="1">
        <v>0</v>
      </c>
      <c r="DW46" s="1">
        <v>0</v>
      </c>
      <c r="DX46" s="1">
        <v>0</v>
      </c>
      <c r="DY46" s="1">
        <v>0</v>
      </c>
      <c r="DZ46" s="1">
        <v>0</v>
      </c>
      <c r="FT46" s="1" t="str">
        <f t="shared" si="25"/>
        <v/>
      </c>
      <c r="FU46" s="1" t="str">
        <f t="shared" si="25"/>
        <v/>
      </c>
      <c r="FV46" s="1" t="str">
        <f t="shared" si="25"/>
        <v/>
      </c>
      <c r="FW46" s="1" t="str">
        <f t="shared" si="25"/>
        <v/>
      </c>
      <c r="FX46" s="1" t="str">
        <f t="shared" si="25"/>
        <v/>
      </c>
      <c r="FY46" s="1" t="str">
        <f t="shared" si="25"/>
        <v/>
      </c>
      <c r="FZ46" s="1" t="str">
        <f t="shared" si="25"/>
        <v/>
      </c>
      <c r="GA46" s="1" t="str">
        <f t="shared" si="25"/>
        <v/>
      </c>
      <c r="GB46" s="1" t="str">
        <f t="shared" si="25"/>
        <v/>
      </c>
      <c r="GC46" s="1" t="str">
        <f t="shared" si="25"/>
        <v/>
      </c>
      <c r="GD46" s="1" t="str">
        <f t="shared" si="25"/>
        <v/>
      </c>
      <c r="GE46" s="1" t="str">
        <f t="shared" si="25"/>
        <v/>
      </c>
      <c r="GF46" s="1" t="str">
        <f t="shared" si="25"/>
        <v/>
      </c>
      <c r="GG46" s="1" t="str">
        <f t="shared" si="25"/>
        <v/>
      </c>
      <c r="GH46" s="1" t="str">
        <f t="shared" si="25"/>
        <v/>
      </c>
      <c r="GI46" s="1" t="str">
        <f t="shared" si="25"/>
        <v/>
      </c>
      <c r="GJ46" s="1" t="str">
        <f t="shared" si="31"/>
        <v/>
      </c>
      <c r="GK46" s="1" t="str">
        <f t="shared" si="31"/>
        <v/>
      </c>
      <c r="GL46" s="1" t="str">
        <f t="shared" si="31"/>
        <v/>
      </c>
      <c r="GM46" s="1" t="str">
        <f t="shared" si="31"/>
        <v/>
      </c>
      <c r="GN46" s="1" t="str">
        <f t="shared" si="31"/>
        <v/>
      </c>
      <c r="GO46" s="1" t="str">
        <f t="shared" si="31"/>
        <v/>
      </c>
      <c r="GP46" s="1" t="str">
        <f t="shared" si="31"/>
        <v/>
      </c>
      <c r="GQ46" s="1" t="str">
        <f t="shared" si="31"/>
        <v/>
      </c>
      <c r="GR46" s="1" t="str">
        <f t="shared" si="31"/>
        <v/>
      </c>
      <c r="GS46" s="1" t="str">
        <f t="shared" si="31"/>
        <v/>
      </c>
      <c r="GT46" s="1" t="str">
        <f t="shared" si="31"/>
        <v/>
      </c>
      <c r="GU46" s="1" t="str">
        <f t="shared" si="31"/>
        <v/>
      </c>
      <c r="GV46" s="1" t="str">
        <f t="shared" si="31"/>
        <v/>
      </c>
      <c r="GW46" s="1" t="str">
        <f t="shared" si="31"/>
        <v/>
      </c>
      <c r="GX46" s="1" t="str">
        <f t="shared" si="26"/>
        <v/>
      </c>
      <c r="GY46" s="1" t="str">
        <f t="shared" si="26"/>
        <v/>
      </c>
      <c r="GZ46" s="1" t="str">
        <f t="shared" si="26"/>
        <v/>
      </c>
      <c r="HA46" s="1" t="str">
        <f t="shared" si="26"/>
        <v/>
      </c>
      <c r="HB46" s="1" t="str">
        <f t="shared" si="26"/>
        <v/>
      </c>
      <c r="HC46" s="1" t="str">
        <f t="shared" si="26"/>
        <v/>
      </c>
      <c r="HD46" s="1" t="str">
        <f t="shared" si="26"/>
        <v/>
      </c>
      <c r="HE46" s="1" t="str">
        <f t="shared" si="26"/>
        <v/>
      </c>
      <c r="HF46" s="1" t="str">
        <f t="shared" si="26"/>
        <v/>
      </c>
      <c r="HG46" s="1" t="str">
        <f t="shared" si="26"/>
        <v/>
      </c>
      <c r="HH46" s="1" t="str">
        <f t="shared" si="26"/>
        <v/>
      </c>
      <c r="HI46" s="1" t="str">
        <f t="shared" si="26"/>
        <v/>
      </c>
      <c r="HJ46" s="1" t="str">
        <f t="shared" si="26"/>
        <v/>
      </c>
      <c r="HK46" s="1" t="str">
        <f t="shared" si="26"/>
        <v xml:space="preserve">Utah; </v>
      </c>
      <c r="HL46" s="1" t="str">
        <f t="shared" si="26"/>
        <v/>
      </c>
      <c r="HM46" s="1" t="str">
        <f t="shared" si="26"/>
        <v/>
      </c>
      <c r="HN46" s="1" t="str">
        <f t="shared" si="27"/>
        <v/>
      </c>
      <c r="HO46" s="1" t="str">
        <f t="shared" si="27"/>
        <v/>
      </c>
      <c r="HP46" s="1" t="str">
        <f t="shared" si="27"/>
        <v/>
      </c>
      <c r="HQ46" s="1" t="str">
        <f t="shared" si="27"/>
        <v/>
      </c>
      <c r="HR46" s="1" t="str">
        <f t="shared" si="27"/>
        <v/>
      </c>
      <c r="HS46" s="1" t="str">
        <f t="shared" si="27"/>
        <v/>
      </c>
      <c r="HT46" s="1" t="str">
        <f t="shared" si="27"/>
        <v/>
      </c>
      <c r="HU46" s="1" t="str">
        <f t="shared" si="27"/>
        <v/>
      </c>
      <c r="HV46" s="1" t="str">
        <f t="shared" si="27"/>
        <v/>
      </c>
      <c r="HW46" s="1" t="str">
        <f t="shared" si="27"/>
        <v/>
      </c>
      <c r="HX46" s="1" t="str">
        <f t="shared" si="27"/>
        <v/>
      </c>
      <c r="HY46" s="1" t="str">
        <f t="shared" si="27"/>
        <v/>
      </c>
      <c r="HZ46" s="1" t="str">
        <f t="shared" si="27"/>
        <v/>
      </c>
      <c r="IA46" s="1" t="str">
        <f t="shared" si="27"/>
        <v/>
      </c>
      <c r="IB46" s="1" t="str">
        <f t="shared" si="27"/>
        <v/>
      </c>
      <c r="IC46" s="1" t="str">
        <f t="shared" si="27"/>
        <v/>
      </c>
      <c r="ID46" s="1" t="str">
        <f t="shared" si="28"/>
        <v/>
      </c>
      <c r="IE46" s="1" t="str">
        <f t="shared" si="28"/>
        <v/>
      </c>
      <c r="IF46" s="1" t="str">
        <f t="shared" si="28"/>
        <v/>
      </c>
      <c r="IG46" s="1" t="str">
        <f t="shared" si="28"/>
        <v/>
      </c>
      <c r="IH46" s="1" t="str">
        <f t="shared" si="28"/>
        <v/>
      </c>
      <c r="II46" s="1" t="str">
        <f t="shared" si="28"/>
        <v/>
      </c>
      <c r="IJ46" s="1" t="str">
        <f t="shared" si="28"/>
        <v/>
      </c>
      <c r="IK46" s="1" t="str">
        <f t="shared" si="28"/>
        <v/>
      </c>
      <c r="IL46" s="1" t="str">
        <f t="shared" si="28"/>
        <v/>
      </c>
      <c r="IM46" s="1" t="str">
        <f t="shared" si="28"/>
        <v/>
      </c>
      <c r="IN46" s="1" t="str">
        <f t="shared" si="28"/>
        <v/>
      </c>
      <c r="IO46" s="1" t="str">
        <f t="shared" si="28"/>
        <v/>
      </c>
      <c r="IP46" s="1" t="str">
        <f t="shared" si="28"/>
        <v/>
      </c>
      <c r="IQ46" s="1" t="str">
        <f t="shared" si="28"/>
        <v/>
      </c>
      <c r="IR46" s="1" t="str">
        <f t="shared" si="28"/>
        <v/>
      </c>
      <c r="IS46" s="1" t="str">
        <f t="shared" si="28"/>
        <v/>
      </c>
      <c r="IT46" s="1" t="str">
        <f t="shared" si="29"/>
        <v/>
      </c>
      <c r="IU46" s="1" t="str">
        <f t="shared" si="29"/>
        <v/>
      </c>
      <c r="IV46" s="1" t="str">
        <f t="shared" si="29"/>
        <v/>
      </c>
      <c r="IW46" s="1" t="str">
        <f t="shared" si="29"/>
        <v/>
      </c>
      <c r="IX46" s="1" t="str">
        <f t="shared" si="29"/>
        <v/>
      </c>
      <c r="IY46" s="1" t="str">
        <f t="shared" si="29"/>
        <v/>
      </c>
      <c r="IZ46" s="1" t="str">
        <f t="shared" si="29"/>
        <v/>
      </c>
      <c r="JA46" s="1" t="str">
        <f t="shared" si="29"/>
        <v/>
      </c>
      <c r="JB46" s="1" t="str">
        <f t="shared" si="29"/>
        <v/>
      </c>
      <c r="JC46" s="1" t="str">
        <f t="shared" si="29"/>
        <v/>
      </c>
      <c r="JD46" s="1" t="str">
        <f t="shared" si="29"/>
        <v/>
      </c>
      <c r="JE46" s="1" t="str">
        <f t="shared" si="29"/>
        <v/>
      </c>
      <c r="JF46" s="1" t="str">
        <f t="shared" si="29"/>
        <v/>
      </c>
      <c r="JG46" s="1" t="str">
        <f t="shared" si="29"/>
        <v/>
      </c>
      <c r="JH46" s="1" t="str">
        <f t="shared" si="29"/>
        <v/>
      </c>
      <c r="JI46" s="1" t="str">
        <f t="shared" si="29"/>
        <v/>
      </c>
      <c r="JJ46" s="1" t="str">
        <f t="shared" si="30"/>
        <v/>
      </c>
      <c r="JK46" s="1" t="str">
        <f t="shared" si="30"/>
        <v/>
      </c>
      <c r="JL46" s="1" t="str">
        <f t="shared" si="24"/>
        <v/>
      </c>
      <c r="JM46" s="1" t="str">
        <f t="shared" si="12"/>
        <v/>
      </c>
      <c r="JN46" s="1" t="str">
        <f t="shared" si="12"/>
        <v/>
      </c>
      <c r="JO46" s="1" t="str">
        <f t="shared" si="12"/>
        <v/>
      </c>
    </row>
    <row r="47" spans="1:275" ht="14.5" x14ac:dyDescent="0.35">
      <c r="A47" s="59">
        <f>IF('Data input'!A47&lt;&gt;"",'Data input'!A47,"")</f>
        <v>45</v>
      </c>
      <c r="B47" s="60" t="str">
        <f>IF('Data input'!B47&lt;&gt;"",'Data input'!B47,"")</f>
        <v>Vermont</v>
      </c>
      <c r="C47" s="19">
        <f>IF('Data input'!C47="","",4*('Data input'!C47-'Data input'!C$108)/('Data input'!C$109-'Data input'!C$108)+1)</f>
        <v>4.1685000527906677</v>
      </c>
      <c r="D47" s="19" t="str">
        <f>IF('Data input'!D47="","",4*('Data input'!D47-'Data input'!D$108)/('Data input'!D$109-'Data input'!D$108)+1)</f>
        <v/>
      </c>
      <c r="E47" s="19" t="str">
        <f>IF('Data input'!E47="","",4*('Data input'!E47-'Data input'!E$108)/('Data input'!E$109-'Data input'!E$108)+1)</f>
        <v/>
      </c>
      <c r="F47" s="19" t="str">
        <f>IF('Data input'!F47="","",4*('Data input'!F47-'Data input'!F$108)/('Data input'!F$109-'Data input'!F$108)+1)</f>
        <v/>
      </c>
      <c r="G47" s="19" t="str">
        <f>IF('Data input'!G47="","",4*('Data input'!G47-'Data input'!G$108)/('Data input'!G$109-'Data input'!G$108)+1)</f>
        <v/>
      </c>
      <c r="H47" s="61">
        <f>IF('Data input'!H47="","",4*('Data input'!H47-'Data input'!H$108)/('Data input'!H$109-'Data input'!H$108)+1)</f>
        <v>1.9087911594104545</v>
      </c>
      <c r="I47" s="19">
        <f>IF('Data input'!I47="","",4*('Data input'!I47-'Data input'!I$108)/('Data input'!I$109-'Data input'!I$108)+1)</f>
        <v>1</v>
      </c>
      <c r="J47" s="19" t="str">
        <f>IF('Data input'!J47="","",4*('Data input'!J47-'Data input'!J$108)/('Data input'!J$109-'Data input'!J$108)+1)</f>
        <v/>
      </c>
      <c r="K47" s="19" t="str">
        <f>IF('Data input'!K47="","",4*('Data input'!K47-'Data input'!K$108)/('Data input'!K$109-'Data input'!K$108)+1)</f>
        <v/>
      </c>
      <c r="L47" s="19" t="str">
        <f>IF('Data input'!L47="","",4*('Data input'!L47-'Data input'!L$108)/('Data input'!L$109-'Data input'!L$108)+1)</f>
        <v/>
      </c>
      <c r="M47" s="19">
        <f>IF('Data input'!M47="","",4*('Data input'!M47-'Data input'!M$108)/('Data input'!M$109-'Data input'!M$108)+1)</f>
        <v>2.0557982033579743</v>
      </c>
      <c r="N47" s="16" t="str">
        <f>IF('Data input'!N47="","",4*('Data input'!N47-'Data input'!N$108)/('Data input'!N$109-'Data input'!N$108)+1)</f>
        <v/>
      </c>
      <c r="O47" s="19" t="str">
        <f>IF('Data input'!O47="","",4*('Data input'!O47-'Data input'!O$108)/('Data input'!O$109-'Data input'!O$108)+1)</f>
        <v/>
      </c>
      <c r="P47" s="19" t="str">
        <f>IF('Data input'!P47="","",4*('Data input'!P47-'Data input'!P$108)/('Data input'!P$109-'Data input'!P$108)+1)</f>
        <v/>
      </c>
      <c r="Q47" s="19" t="str">
        <f>IF('Data input'!Q47="","",4*('Data input'!Q47-'Data input'!Q$108)/('Data input'!Q$109-'Data input'!Q$108)+1)</f>
        <v/>
      </c>
      <c r="R47" s="19" t="str">
        <f>IF('Data input'!R47="","",4*('Data input'!R47-'Data input'!R$108)/('Data input'!R$109-'Data input'!R$108)+1)</f>
        <v/>
      </c>
      <c r="S47" s="16" t="str">
        <f>IF('Data input'!S47="","",4*('Data input'!S47-'Data input'!S$108)/('Data input'!S$109-'Data input'!S$108)+1)</f>
        <v/>
      </c>
      <c r="T47" s="19" t="str">
        <f>IF('Data input'!T47="","",4*('Data input'!T47-'Data input'!T$108)/('Data input'!T$109-'Data input'!T$108)+1)</f>
        <v/>
      </c>
      <c r="U47" s="19" t="str">
        <f>IF('Data input'!U47="","",4*('Data input'!U47-'Data input'!U$108)/('Data input'!U$109-'Data input'!U$108)+1)</f>
        <v/>
      </c>
      <c r="V47" s="19" t="str">
        <f>IF('Data input'!V47="","",4*('Data input'!V47-'Data input'!V$108)/('Data input'!V$109-'Data input'!V$108)+1)</f>
        <v/>
      </c>
      <c r="W47" s="16" t="str">
        <f>IF('Data input'!W47="","",4*('Data input'!W47-'Data input'!W$108)/('Data input'!W$109-'Data input'!W$108)+1)</f>
        <v/>
      </c>
      <c r="X47" s="16" t="str">
        <f>IF('Data input'!X47="","",4*('Data input'!X47-'Data input'!X$108)/('Data input'!X$109-'Data input'!X$108)+1)</f>
        <v/>
      </c>
      <c r="Y47" s="16" t="str">
        <f>IF('Data input'!Y47="","",4*('Data input'!Y47-'Data input'!Y$108)/('Data input'!Y$109-'Data input'!Y$108)+1)</f>
        <v/>
      </c>
      <c r="Z47" s="16" t="str">
        <f>IF('Data input'!Z47="","",4*('Data input'!Z47-'Data input'!Z$108)/('Data input'!Z$109-'Data input'!Z$108)+1)</f>
        <v/>
      </c>
      <c r="AA47" s="62" t="str">
        <f>IF('Data input'!AA47="","",4*('Data input'!AA47-'Data input'!AA$108)/('Data input'!AA$109-'Data input'!AA$108)+1)</f>
        <v/>
      </c>
      <c r="AB47" s="78"/>
      <c r="AC47" s="79">
        <v>0</v>
      </c>
      <c r="AD47" s="80" t="e">
        <f t="shared" si="13"/>
        <v>#DIV/0!</v>
      </c>
      <c r="AE47" s="4"/>
      <c r="AF47" s="59">
        <f t="shared" si="14"/>
        <v>45</v>
      </c>
      <c r="AG47" s="60" t="str">
        <f t="shared" si="14"/>
        <v>Vermont</v>
      </c>
      <c r="AH47">
        <v>0.61131505822076349</v>
      </c>
      <c r="AI47" t="s">
        <v>69</v>
      </c>
      <c r="AJ47" t="s">
        <v>69</v>
      </c>
      <c r="AK47" t="s">
        <v>69</v>
      </c>
      <c r="AL47" t="s">
        <v>69</v>
      </c>
      <c r="AM47">
        <v>0.90879115941045474</v>
      </c>
      <c r="AN47">
        <v>0</v>
      </c>
      <c r="AO47" t="s">
        <v>69</v>
      </c>
      <c r="AP47" t="s">
        <v>69</v>
      </c>
      <c r="AQ47" t="s">
        <v>69</v>
      </c>
      <c r="AR47">
        <v>0.66286176498196958</v>
      </c>
      <c r="AS47" s="71">
        <f t="shared" si="15"/>
        <v>4.7798151110114313</v>
      </c>
      <c r="AT47" s="71" t="str">
        <f t="shared" si="15"/>
        <v/>
      </c>
      <c r="AU47" s="71" t="str">
        <f t="shared" si="15"/>
        <v/>
      </c>
      <c r="AV47" s="71" t="str">
        <f t="shared" si="15"/>
        <v/>
      </c>
      <c r="AW47" s="71" t="str">
        <f t="shared" si="15"/>
        <v/>
      </c>
      <c r="AX47" s="71">
        <f t="shared" si="16"/>
        <v>0.99999999999999978</v>
      </c>
      <c r="AY47" s="71">
        <f t="shared" si="16"/>
        <v>1</v>
      </c>
      <c r="AZ47" s="71" t="str">
        <f t="shared" si="16"/>
        <v/>
      </c>
      <c r="BA47" s="71" t="str">
        <f t="shared" si="16"/>
        <v/>
      </c>
      <c r="BB47" s="71" t="str">
        <f t="shared" si="16"/>
        <v/>
      </c>
      <c r="BC47" s="18">
        <f>IF(C47&lt;&gt;"",(('Data input'!C$109-'Data input'!C$108)*(AS47-1)/4)+'Data input'!C$108,"")</f>
        <v>0.98829839103225781</v>
      </c>
      <c r="BD47" s="18" t="str">
        <f>IF(D47&lt;&gt;"",(('Data input'!D$109-'Data input'!D$108)*(AT47-1)/4)+'Data input'!D$108,"")</f>
        <v/>
      </c>
      <c r="BE47" s="18" t="str">
        <f>IF(E47&lt;&gt;"",(('Data input'!E$109-'Data input'!E$108)*(AU47-1)/4)+'Data input'!E$108,"")</f>
        <v/>
      </c>
      <c r="BF47" s="18" t="str">
        <f>IF(F47&lt;&gt;"",(('Data input'!F$109-'Data input'!F$108)*(AV47-1)/4)+'Data input'!F$108,"")</f>
        <v/>
      </c>
      <c r="BG47" s="18" t="str">
        <f>IF(G47&lt;&gt;"",(('Data input'!G$109-'Data input'!G$108)*(AW47-1)/4)+'Data input'!G$108,"")</f>
        <v/>
      </c>
      <c r="BH47" s="19">
        <f>IF(H47&lt;&gt;"",(('Data input'!H$109-'Data input'!H$108)*(AX47-1)/4)+'Data input'!H$108,"")</f>
        <v>0.29574268608402232</v>
      </c>
      <c r="BI47" s="18">
        <f>IF(I47&lt;&gt;"",(('Data input'!I$109-'Data input'!I$108)*(AY47-1)/4)+'Data input'!I$108,"")</f>
        <v>0</v>
      </c>
      <c r="BJ47" s="19" t="str">
        <f>IF(J47&lt;&gt;"",(('Data input'!J$109-'Data input'!J$108)*(AZ47-1)/4)+'Data input'!J$108,"")</f>
        <v/>
      </c>
      <c r="BK47" s="19" t="str">
        <f>IF(K47&lt;&gt;"",(('Data input'!K$109-'Data input'!K$108)*(BA47-1)/4)+'Data input'!K$108,"")</f>
        <v/>
      </c>
      <c r="BL47" s="19" t="str">
        <f>IF(L47&lt;&gt;"",(('Data input'!L$109-'Data input'!L$108)*(BB47-1)/4)+'Data input'!L$108,"")</f>
        <v/>
      </c>
      <c r="BM47" s="18">
        <f>IF(C47&lt;&gt;"",BC47-'Data input'!C47,"")</f>
        <v>2.2195119095002491E-2</v>
      </c>
      <c r="BN47" s="18" t="str">
        <f>IF(D47&lt;&gt;"",BD47-'Data input'!D47,"")</f>
        <v/>
      </c>
      <c r="BO47" s="18" t="str">
        <f>IF(E47&lt;&gt;"",BE47-'Data input'!E47,"")</f>
        <v/>
      </c>
      <c r="BP47" s="18" t="str">
        <f>IF(F47&lt;&gt;"",BF47-'Data input'!F47,"")</f>
        <v/>
      </c>
      <c r="BQ47" s="18" t="str">
        <f>IF(G47&lt;&gt;"",BG47-'Data input'!G47,"")</f>
        <v/>
      </c>
      <c r="BR47" s="19">
        <f>IF(H47&lt;&gt;"",BH47-'Data input'!H47,"")</f>
        <v>-19.791500119269134</v>
      </c>
      <c r="BS47" s="18">
        <f>IF(I47&lt;&gt;"",BI47-'Data input'!I47,"")</f>
        <v>0</v>
      </c>
      <c r="BT47" s="18" t="str">
        <f>IF(J47&lt;&gt;"",BJ47-'Data input'!J47,"")</f>
        <v/>
      </c>
      <c r="BU47" s="18" t="str">
        <f>IF(K47&lt;&gt;"",BK47-'Data input'!K47,"")</f>
        <v/>
      </c>
      <c r="BV47" s="72" t="str">
        <f>IF(L47&lt;&gt;"",BL47-'Data input'!L47,"")</f>
        <v/>
      </c>
      <c r="BW47" s="121" t="str">
        <f t="shared" si="17"/>
        <v xml:space="preserve">Nevada; Texas; </v>
      </c>
      <c r="BX47" s="1">
        <v>0</v>
      </c>
      <c r="BY47" s="1">
        <v>0</v>
      </c>
      <c r="BZ47" s="1">
        <v>0</v>
      </c>
      <c r="CA47" s="1">
        <v>0</v>
      </c>
      <c r="CB47" s="1">
        <v>0</v>
      </c>
      <c r="CC47" s="1">
        <v>0</v>
      </c>
      <c r="CD47" s="1">
        <v>0</v>
      </c>
      <c r="CE47" s="1">
        <v>0</v>
      </c>
      <c r="CF47" s="1">
        <v>0</v>
      </c>
      <c r="CG47" s="1">
        <v>0</v>
      </c>
      <c r="CH47" s="1">
        <v>0</v>
      </c>
      <c r="CI47" s="1">
        <v>0</v>
      </c>
      <c r="CJ47" s="1">
        <v>0</v>
      </c>
      <c r="CK47" s="1">
        <v>0</v>
      </c>
      <c r="CL47" s="1">
        <v>0</v>
      </c>
      <c r="CM47" s="1">
        <v>0</v>
      </c>
      <c r="CN47" s="1">
        <v>0</v>
      </c>
      <c r="CO47" s="1">
        <v>0</v>
      </c>
      <c r="CP47" s="1">
        <v>0</v>
      </c>
      <c r="CQ47" s="1">
        <v>0</v>
      </c>
      <c r="CR47" s="1">
        <v>0</v>
      </c>
      <c r="CS47" s="1">
        <v>0</v>
      </c>
      <c r="CT47" s="1">
        <v>0</v>
      </c>
      <c r="CU47" s="1">
        <v>0</v>
      </c>
      <c r="CV47" s="1">
        <v>0</v>
      </c>
      <c r="CW47" s="1">
        <v>0</v>
      </c>
      <c r="CX47" s="1">
        <v>0</v>
      </c>
      <c r="CY47" s="1">
        <v>0</v>
      </c>
      <c r="CZ47" s="1">
        <v>1.4170902543606105E-2</v>
      </c>
      <c r="DA47" s="1">
        <v>0</v>
      </c>
      <c r="DB47" s="1">
        <v>0</v>
      </c>
      <c r="DC47" s="1">
        <v>0</v>
      </c>
      <c r="DD47" s="1">
        <v>0</v>
      </c>
      <c r="DE47" s="1">
        <v>0</v>
      </c>
      <c r="DF47" s="1">
        <v>0</v>
      </c>
      <c r="DG47" s="1">
        <v>0</v>
      </c>
      <c r="DH47" s="1">
        <v>0</v>
      </c>
      <c r="DI47" s="1">
        <v>0</v>
      </c>
      <c r="DJ47" s="1">
        <v>0</v>
      </c>
      <c r="DK47" s="1">
        <v>0</v>
      </c>
      <c r="DL47" s="1">
        <v>0</v>
      </c>
      <c r="DM47" s="1">
        <v>0</v>
      </c>
      <c r="DN47" s="1">
        <v>0.98120421289925308</v>
      </c>
      <c r="DO47" s="1">
        <v>0</v>
      </c>
      <c r="DP47" s="1">
        <v>0</v>
      </c>
      <c r="DQ47" s="1">
        <v>0</v>
      </c>
      <c r="DR47" s="1">
        <v>0</v>
      </c>
      <c r="DS47" s="1">
        <v>0</v>
      </c>
      <c r="DT47" s="1">
        <v>0</v>
      </c>
      <c r="DU47" s="1">
        <v>0</v>
      </c>
      <c r="DV47" s="1">
        <v>0</v>
      </c>
      <c r="DW47" s="1">
        <v>0</v>
      </c>
      <c r="DX47" s="1">
        <v>0</v>
      </c>
      <c r="DY47" s="1">
        <v>0</v>
      </c>
      <c r="DZ47" s="1">
        <v>0</v>
      </c>
      <c r="FT47" s="1" t="str">
        <f t="shared" si="25"/>
        <v/>
      </c>
      <c r="FU47" s="1" t="str">
        <f t="shared" si="25"/>
        <v/>
      </c>
      <c r="FV47" s="1" t="str">
        <f t="shared" si="25"/>
        <v/>
      </c>
      <c r="FW47" s="1" t="str">
        <f t="shared" si="25"/>
        <v/>
      </c>
      <c r="FX47" s="1" t="str">
        <f t="shared" si="25"/>
        <v/>
      </c>
      <c r="FY47" s="1" t="str">
        <f t="shared" si="25"/>
        <v/>
      </c>
      <c r="FZ47" s="1" t="str">
        <f t="shared" si="25"/>
        <v/>
      </c>
      <c r="GA47" s="1" t="str">
        <f t="shared" si="25"/>
        <v/>
      </c>
      <c r="GB47" s="1" t="str">
        <f t="shared" si="25"/>
        <v/>
      </c>
      <c r="GC47" s="1" t="str">
        <f t="shared" si="25"/>
        <v/>
      </c>
      <c r="GD47" s="1" t="str">
        <f t="shared" si="25"/>
        <v/>
      </c>
      <c r="GE47" s="1" t="str">
        <f t="shared" si="25"/>
        <v/>
      </c>
      <c r="GF47" s="1" t="str">
        <f t="shared" si="25"/>
        <v/>
      </c>
      <c r="GG47" s="1" t="str">
        <f t="shared" si="25"/>
        <v/>
      </c>
      <c r="GH47" s="1" t="str">
        <f t="shared" si="25"/>
        <v/>
      </c>
      <c r="GI47" s="1" t="str">
        <f t="shared" si="25"/>
        <v/>
      </c>
      <c r="GJ47" s="1" t="str">
        <f t="shared" si="31"/>
        <v/>
      </c>
      <c r="GK47" s="1" t="str">
        <f t="shared" si="31"/>
        <v/>
      </c>
      <c r="GL47" s="1" t="str">
        <f t="shared" si="31"/>
        <v/>
      </c>
      <c r="GM47" s="1" t="str">
        <f t="shared" si="31"/>
        <v/>
      </c>
      <c r="GN47" s="1" t="str">
        <f t="shared" si="31"/>
        <v/>
      </c>
      <c r="GO47" s="1" t="str">
        <f t="shared" si="31"/>
        <v/>
      </c>
      <c r="GP47" s="1" t="str">
        <f t="shared" si="31"/>
        <v/>
      </c>
      <c r="GQ47" s="1" t="str">
        <f t="shared" si="31"/>
        <v/>
      </c>
      <c r="GR47" s="1" t="str">
        <f t="shared" si="31"/>
        <v/>
      </c>
      <c r="GS47" s="1" t="str">
        <f t="shared" si="31"/>
        <v/>
      </c>
      <c r="GT47" s="1" t="str">
        <f t="shared" si="31"/>
        <v/>
      </c>
      <c r="GU47" s="1" t="str">
        <f t="shared" si="31"/>
        <v/>
      </c>
      <c r="GV47" s="1" t="str">
        <f t="shared" si="31"/>
        <v xml:space="preserve">Nevada; </v>
      </c>
      <c r="GW47" s="1" t="str">
        <f t="shared" si="31"/>
        <v/>
      </c>
      <c r="GX47" s="1" t="str">
        <f t="shared" si="26"/>
        <v/>
      </c>
      <c r="GY47" s="1" t="str">
        <f t="shared" si="26"/>
        <v/>
      </c>
      <c r="GZ47" s="1" t="str">
        <f t="shared" si="26"/>
        <v/>
      </c>
      <c r="HA47" s="1" t="str">
        <f t="shared" si="26"/>
        <v/>
      </c>
      <c r="HB47" s="1" t="str">
        <f t="shared" si="26"/>
        <v/>
      </c>
      <c r="HC47" s="1" t="str">
        <f t="shared" si="26"/>
        <v/>
      </c>
      <c r="HD47" s="1" t="str">
        <f t="shared" si="26"/>
        <v/>
      </c>
      <c r="HE47" s="1" t="str">
        <f t="shared" si="26"/>
        <v/>
      </c>
      <c r="HF47" s="1" t="str">
        <f t="shared" si="26"/>
        <v/>
      </c>
      <c r="HG47" s="1" t="str">
        <f t="shared" si="26"/>
        <v/>
      </c>
      <c r="HH47" s="1" t="str">
        <f t="shared" si="26"/>
        <v/>
      </c>
      <c r="HI47" s="1" t="str">
        <f t="shared" si="26"/>
        <v/>
      </c>
      <c r="HJ47" s="1" t="str">
        <f t="shared" si="26"/>
        <v xml:space="preserve">Texas; </v>
      </c>
      <c r="HK47" s="1" t="str">
        <f t="shared" si="26"/>
        <v/>
      </c>
      <c r="HL47" s="1" t="str">
        <f t="shared" si="26"/>
        <v/>
      </c>
      <c r="HM47" s="1" t="str">
        <f t="shared" si="26"/>
        <v/>
      </c>
      <c r="HN47" s="1" t="str">
        <f t="shared" si="27"/>
        <v/>
      </c>
      <c r="HO47" s="1" t="str">
        <f t="shared" si="27"/>
        <v/>
      </c>
      <c r="HP47" s="1" t="str">
        <f t="shared" si="27"/>
        <v/>
      </c>
      <c r="HQ47" s="1" t="str">
        <f t="shared" si="27"/>
        <v/>
      </c>
      <c r="HR47" s="1" t="str">
        <f t="shared" si="27"/>
        <v/>
      </c>
      <c r="HS47" s="1" t="str">
        <f t="shared" si="27"/>
        <v/>
      </c>
      <c r="HT47" s="1" t="str">
        <f t="shared" si="27"/>
        <v/>
      </c>
      <c r="HU47" s="1" t="str">
        <f t="shared" si="27"/>
        <v/>
      </c>
      <c r="HV47" s="1" t="str">
        <f t="shared" si="27"/>
        <v/>
      </c>
      <c r="HW47" s="1" t="str">
        <f t="shared" si="27"/>
        <v/>
      </c>
      <c r="HX47" s="1" t="str">
        <f t="shared" si="27"/>
        <v/>
      </c>
      <c r="HY47" s="1" t="str">
        <f t="shared" si="27"/>
        <v/>
      </c>
      <c r="HZ47" s="1" t="str">
        <f t="shared" si="27"/>
        <v/>
      </c>
      <c r="IA47" s="1" t="str">
        <f t="shared" si="27"/>
        <v/>
      </c>
      <c r="IB47" s="1" t="str">
        <f t="shared" si="27"/>
        <v/>
      </c>
      <c r="IC47" s="1" t="str">
        <f t="shared" si="27"/>
        <v/>
      </c>
      <c r="ID47" s="1" t="str">
        <f t="shared" si="28"/>
        <v/>
      </c>
      <c r="IE47" s="1" t="str">
        <f t="shared" si="28"/>
        <v/>
      </c>
      <c r="IF47" s="1" t="str">
        <f t="shared" si="28"/>
        <v/>
      </c>
      <c r="IG47" s="1" t="str">
        <f t="shared" si="28"/>
        <v/>
      </c>
      <c r="IH47" s="1" t="str">
        <f t="shared" si="28"/>
        <v/>
      </c>
      <c r="II47" s="1" t="str">
        <f t="shared" si="28"/>
        <v/>
      </c>
      <c r="IJ47" s="1" t="str">
        <f t="shared" si="28"/>
        <v/>
      </c>
      <c r="IK47" s="1" t="str">
        <f t="shared" si="28"/>
        <v/>
      </c>
      <c r="IL47" s="1" t="str">
        <f t="shared" si="28"/>
        <v/>
      </c>
      <c r="IM47" s="1" t="str">
        <f t="shared" si="28"/>
        <v/>
      </c>
      <c r="IN47" s="1" t="str">
        <f t="shared" si="28"/>
        <v/>
      </c>
      <c r="IO47" s="1" t="str">
        <f t="shared" si="28"/>
        <v/>
      </c>
      <c r="IP47" s="1" t="str">
        <f t="shared" si="28"/>
        <v/>
      </c>
      <c r="IQ47" s="1" t="str">
        <f t="shared" si="28"/>
        <v/>
      </c>
      <c r="IR47" s="1" t="str">
        <f t="shared" si="28"/>
        <v/>
      </c>
      <c r="IS47" s="1" t="str">
        <f t="shared" si="28"/>
        <v/>
      </c>
      <c r="IT47" s="1" t="str">
        <f t="shared" si="29"/>
        <v/>
      </c>
      <c r="IU47" s="1" t="str">
        <f t="shared" si="29"/>
        <v/>
      </c>
      <c r="IV47" s="1" t="str">
        <f t="shared" si="29"/>
        <v/>
      </c>
      <c r="IW47" s="1" t="str">
        <f t="shared" si="29"/>
        <v/>
      </c>
      <c r="IX47" s="1" t="str">
        <f t="shared" si="29"/>
        <v/>
      </c>
      <c r="IY47" s="1" t="str">
        <f t="shared" si="29"/>
        <v/>
      </c>
      <c r="IZ47" s="1" t="str">
        <f t="shared" si="29"/>
        <v/>
      </c>
      <c r="JA47" s="1" t="str">
        <f t="shared" si="29"/>
        <v/>
      </c>
      <c r="JB47" s="1" t="str">
        <f t="shared" si="29"/>
        <v/>
      </c>
      <c r="JC47" s="1" t="str">
        <f t="shared" si="29"/>
        <v/>
      </c>
      <c r="JD47" s="1" t="str">
        <f t="shared" si="29"/>
        <v/>
      </c>
      <c r="JE47" s="1" t="str">
        <f t="shared" si="29"/>
        <v/>
      </c>
      <c r="JF47" s="1" t="str">
        <f t="shared" si="29"/>
        <v/>
      </c>
      <c r="JG47" s="1" t="str">
        <f t="shared" si="29"/>
        <v/>
      </c>
      <c r="JH47" s="1" t="str">
        <f t="shared" si="29"/>
        <v/>
      </c>
      <c r="JI47" s="1" t="str">
        <f t="shared" si="29"/>
        <v/>
      </c>
      <c r="JJ47" s="1" t="str">
        <f t="shared" si="30"/>
        <v/>
      </c>
      <c r="JK47" s="1" t="str">
        <f t="shared" si="30"/>
        <v/>
      </c>
      <c r="JL47" s="1" t="str">
        <f t="shared" si="24"/>
        <v/>
      </c>
      <c r="JM47" s="1" t="str">
        <f t="shared" si="12"/>
        <v/>
      </c>
      <c r="JN47" s="1" t="str">
        <f t="shared" si="12"/>
        <v/>
      </c>
      <c r="JO47" s="1" t="str">
        <f t="shared" si="12"/>
        <v/>
      </c>
    </row>
    <row r="48" spans="1:275" ht="14.5" x14ac:dyDescent="0.35">
      <c r="A48" s="59">
        <f>IF('Data input'!A48&lt;&gt;"",'Data input'!A48,"")</f>
        <v>46</v>
      </c>
      <c r="B48" s="60" t="str">
        <f>IF('Data input'!B48&lt;&gt;"",'Data input'!B48,"")</f>
        <v>Virginia</v>
      </c>
      <c r="C48" s="19">
        <f>IF('Data input'!C48="","",4*('Data input'!C48-'Data input'!C$108)/('Data input'!C$109-'Data input'!C$108)+1)</f>
        <v>4.4195034207384225</v>
      </c>
      <c r="D48" s="19" t="str">
        <f>IF('Data input'!D48="","",4*('Data input'!D48-'Data input'!D$108)/('Data input'!D$109-'Data input'!D$108)+1)</f>
        <v/>
      </c>
      <c r="E48" s="19" t="str">
        <f>IF('Data input'!E48="","",4*('Data input'!E48-'Data input'!E$108)/('Data input'!E$109-'Data input'!E$108)+1)</f>
        <v/>
      </c>
      <c r="F48" s="19" t="str">
        <f>IF('Data input'!F48="","",4*('Data input'!F48-'Data input'!F$108)/('Data input'!F$109-'Data input'!F$108)+1)</f>
        <v/>
      </c>
      <c r="G48" s="19" t="str">
        <f>IF('Data input'!G48="","",4*('Data input'!G48-'Data input'!G$108)/('Data input'!G$109-'Data input'!G$108)+1)</f>
        <v/>
      </c>
      <c r="H48" s="61">
        <f>IF('Data input'!H48="","",4*('Data input'!H48-'Data input'!H$108)/('Data input'!H$109-'Data input'!H$108)+1)</f>
        <v>1.0544847768756793</v>
      </c>
      <c r="I48" s="19">
        <f>IF('Data input'!I48="","",4*('Data input'!I48-'Data input'!I$108)/('Data input'!I$109-'Data input'!I$108)+1)</f>
        <v>2.9588428776250315</v>
      </c>
      <c r="J48" s="19" t="str">
        <f>IF('Data input'!J48="","",4*('Data input'!J48-'Data input'!J$108)/('Data input'!J$109-'Data input'!J$108)+1)</f>
        <v/>
      </c>
      <c r="K48" s="19" t="str">
        <f>IF('Data input'!K48="","",4*('Data input'!K48-'Data input'!K$108)/('Data input'!K$109-'Data input'!K$108)+1)</f>
        <v/>
      </c>
      <c r="L48" s="19" t="str">
        <f>IF('Data input'!L48="","",4*('Data input'!L48-'Data input'!L$108)/('Data input'!L$109-'Data input'!L$108)+1)</f>
        <v/>
      </c>
      <c r="M48" s="19">
        <f>IF('Data input'!M48="","",4*('Data input'!M48-'Data input'!M$108)/('Data input'!M$109-'Data input'!M$108)+1)</f>
        <v>2.1559870801607213</v>
      </c>
      <c r="N48" s="16" t="str">
        <f>IF('Data input'!N48="","",4*('Data input'!N48-'Data input'!N$108)/('Data input'!N$109-'Data input'!N$108)+1)</f>
        <v/>
      </c>
      <c r="O48" s="19" t="str">
        <f>IF('Data input'!O48="","",4*('Data input'!O48-'Data input'!O$108)/('Data input'!O$109-'Data input'!O$108)+1)</f>
        <v/>
      </c>
      <c r="P48" s="19" t="str">
        <f>IF('Data input'!P48="","",4*('Data input'!P48-'Data input'!P$108)/('Data input'!P$109-'Data input'!P$108)+1)</f>
        <v/>
      </c>
      <c r="Q48" s="19" t="str">
        <f>IF('Data input'!Q48="","",4*('Data input'!Q48-'Data input'!Q$108)/('Data input'!Q$109-'Data input'!Q$108)+1)</f>
        <v/>
      </c>
      <c r="R48" s="19" t="str">
        <f>IF('Data input'!R48="","",4*('Data input'!R48-'Data input'!R$108)/('Data input'!R$109-'Data input'!R$108)+1)</f>
        <v/>
      </c>
      <c r="S48" s="16" t="str">
        <f>IF('Data input'!S48="","",4*('Data input'!S48-'Data input'!S$108)/('Data input'!S$109-'Data input'!S$108)+1)</f>
        <v/>
      </c>
      <c r="T48" s="19" t="str">
        <f>IF('Data input'!T48="","",4*('Data input'!T48-'Data input'!T$108)/('Data input'!T$109-'Data input'!T$108)+1)</f>
        <v/>
      </c>
      <c r="U48" s="19" t="str">
        <f>IF('Data input'!U48="","",4*('Data input'!U48-'Data input'!U$108)/('Data input'!U$109-'Data input'!U$108)+1)</f>
        <v/>
      </c>
      <c r="V48" s="19" t="str">
        <f>IF('Data input'!V48="","",4*('Data input'!V48-'Data input'!V$108)/('Data input'!V$109-'Data input'!V$108)+1)</f>
        <v/>
      </c>
      <c r="W48" s="16" t="str">
        <f>IF('Data input'!W48="","",4*('Data input'!W48-'Data input'!W$108)/('Data input'!W$109-'Data input'!W$108)+1)</f>
        <v/>
      </c>
      <c r="X48" s="16" t="str">
        <f>IF('Data input'!X48="","",4*('Data input'!X48-'Data input'!X$108)/('Data input'!X$109-'Data input'!X$108)+1)</f>
        <v/>
      </c>
      <c r="Y48" s="16" t="str">
        <f>IF('Data input'!Y48="","",4*('Data input'!Y48-'Data input'!Y$108)/('Data input'!Y$109-'Data input'!Y$108)+1)</f>
        <v/>
      </c>
      <c r="Z48" s="16" t="str">
        <f>IF('Data input'!Z48="","",4*('Data input'!Z48-'Data input'!Z$108)/('Data input'!Z$109-'Data input'!Z$108)+1)</f>
        <v/>
      </c>
      <c r="AA48" s="62" t="str">
        <f>IF('Data input'!AA48="","",4*('Data input'!AA48-'Data input'!AA$108)/('Data input'!AA$109-'Data input'!AA$108)+1)</f>
        <v/>
      </c>
      <c r="AB48" s="78"/>
      <c r="AC48" s="79">
        <v>0</v>
      </c>
      <c r="AD48" s="80" t="e">
        <f t="shared" si="13"/>
        <v>#DIV/0!</v>
      </c>
      <c r="AE48" s="4"/>
      <c r="AF48" s="59">
        <f t="shared" si="14"/>
        <v>46</v>
      </c>
      <c r="AG48" s="60" t="str">
        <f t="shared" si="14"/>
        <v>Virginia</v>
      </c>
      <c r="AH48">
        <v>0.38775668791325318</v>
      </c>
      <c r="AI48" t="s">
        <v>69</v>
      </c>
      <c r="AJ48" t="s">
        <v>69</v>
      </c>
      <c r="AK48" t="s">
        <v>69</v>
      </c>
      <c r="AL48" t="s">
        <v>69</v>
      </c>
      <c r="AM48">
        <v>5.4484776875679333E-2</v>
      </c>
      <c r="AN48">
        <v>0.33944482848199486</v>
      </c>
      <c r="AO48" t="s">
        <v>69</v>
      </c>
      <c r="AP48" t="s">
        <v>69</v>
      </c>
      <c r="AQ48" t="s">
        <v>69</v>
      </c>
      <c r="AR48">
        <v>0.77826342526866943</v>
      </c>
      <c r="AS48" s="71">
        <f t="shared" si="15"/>
        <v>4.8072601086516755</v>
      </c>
      <c r="AT48" s="71" t="str">
        <f t="shared" si="15"/>
        <v/>
      </c>
      <c r="AU48" s="71" t="str">
        <f t="shared" si="15"/>
        <v/>
      </c>
      <c r="AV48" s="71" t="str">
        <f t="shared" si="15"/>
        <v/>
      </c>
      <c r="AW48" s="71" t="str">
        <f t="shared" si="15"/>
        <v/>
      </c>
      <c r="AX48" s="71">
        <f t="shared" si="16"/>
        <v>1</v>
      </c>
      <c r="AY48" s="71">
        <f t="shared" si="16"/>
        <v>2.6193980491430366</v>
      </c>
      <c r="AZ48" s="71" t="str">
        <f t="shared" si="16"/>
        <v/>
      </c>
      <c r="BA48" s="71" t="str">
        <f t="shared" si="16"/>
        <v/>
      </c>
      <c r="BB48" s="71" t="str">
        <f t="shared" si="16"/>
        <v/>
      </c>
      <c r="BC48" s="18">
        <f>IF(C48&lt;&gt;"",(('Data input'!C$109-'Data input'!C$108)*(AS48-1)/4)+'Data input'!C$108,"")</f>
        <v>0.98929484119816757</v>
      </c>
      <c r="BD48" s="18" t="str">
        <f>IF(D48&lt;&gt;"",(('Data input'!D$109-'Data input'!D$108)*(AT48-1)/4)+'Data input'!D$108,"")</f>
        <v/>
      </c>
      <c r="BE48" s="18" t="str">
        <f>IF(E48&lt;&gt;"",(('Data input'!E$109-'Data input'!E$108)*(AU48-1)/4)+'Data input'!E$108,"")</f>
        <v/>
      </c>
      <c r="BF48" s="18" t="str">
        <f>IF(F48&lt;&gt;"",(('Data input'!F$109-'Data input'!F$108)*(AV48-1)/4)+'Data input'!F$108,"")</f>
        <v/>
      </c>
      <c r="BG48" s="18" t="str">
        <f>IF(G48&lt;&gt;"",(('Data input'!G$109-'Data input'!G$108)*(AW48-1)/4)+'Data input'!G$108,"")</f>
        <v/>
      </c>
      <c r="BH48" s="19">
        <f>IF(H48&lt;&gt;"",(('Data input'!H$109-'Data input'!H$108)*(AX48-1)/4)+'Data input'!H$108,"")</f>
        <v>0.29574268608402715</v>
      </c>
      <c r="BI48" s="18">
        <f>IF(I48&lt;&gt;"",(('Data input'!I$109-'Data input'!I$108)*(AY48-1)/4)+'Data input'!I$108,"")</f>
        <v>7.1105294674802477E-2</v>
      </c>
      <c r="BJ48" s="19" t="str">
        <f>IF(J48&lt;&gt;"",(('Data input'!J$109-'Data input'!J$108)*(AZ48-1)/4)+'Data input'!J$108,"")</f>
        <v/>
      </c>
      <c r="BK48" s="19" t="str">
        <f>IF(K48&lt;&gt;"",(('Data input'!K$109-'Data input'!K$108)*(BA48-1)/4)+'Data input'!K$108,"")</f>
        <v/>
      </c>
      <c r="BL48" s="19" t="str">
        <f>IF(L48&lt;&gt;"",(('Data input'!L$109-'Data input'!L$108)*(BB48-1)/4)+'Data input'!L$108,"")</f>
        <v/>
      </c>
      <c r="BM48" s="18">
        <f>IF(C48&lt;&gt;"",BC48-'Data input'!C48,"")</f>
        <v>1.4078347576071515E-2</v>
      </c>
      <c r="BN48" s="18" t="str">
        <f>IF(D48&lt;&gt;"",BD48-'Data input'!D48,"")</f>
        <v/>
      </c>
      <c r="BO48" s="18" t="str">
        <f>IF(E48&lt;&gt;"",BE48-'Data input'!E48,"")</f>
        <v/>
      </c>
      <c r="BP48" s="18" t="str">
        <f>IF(F48&lt;&gt;"",BF48-'Data input'!F48,"")</f>
        <v/>
      </c>
      <c r="BQ48" s="18" t="str">
        <f>IF(G48&lt;&gt;"",BG48-'Data input'!G48,"")</f>
        <v/>
      </c>
      <c r="BR48" s="19">
        <f>IF(H48&lt;&gt;"",BH48-'Data input'!H48,"")</f>
        <v>-1.18656025299904</v>
      </c>
      <c r="BS48" s="18">
        <f>IF(I48&lt;&gt;"",BI48-'Data input'!I48,"")</f>
        <v>-1.4904503909846406E-2</v>
      </c>
      <c r="BT48" s="18" t="str">
        <f>IF(J48&lt;&gt;"",BJ48-'Data input'!J48,"")</f>
        <v/>
      </c>
      <c r="BU48" s="18" t="str">
        <f>IF(K48&lt;&gt;"",BK48-'Data input'!K48,"")</f>
        <v/>
      </c>
      <c r="BV48" s="72" t="str">
        <f>IF(L48&lt;&gt;"",BL48-'Data input'!L48,"")</f>
        <v/>
      </c>
      <c r="BW48" s="121" t="str">
        <f t="shared" si="17"/>
        <v xml:space="preserve">Texas; </v>
      </c>
      <c r="BX48" s="1">
        <v>0</v>
      </c>
      <c r="BY48" s="1">
        <v>0</v>
      </c>
      <c r="BZ48" s="1">
        <v>0</v>
      </c>
      <c r="CA48" s="1">
        <v>0</v>
      </c>
      <c r="CB48" s="1">
        <v>0</v>
      </c>
      <c r="CC48" s="1">
        <v>0</v>
      </c>
      <c r="CD48" s="1">
        <v>0</v>
      </c>
      <c r="CE48" s="1">
        <v>0</v>
      </c>
      <c r="CF48" s="1">
        <v>0</v>
      </c>
      <c r="CG48" s="1">
        <v>0</v>
      </c>
      <c r="CH48" s="1">
        <v>0</v>
      </c>
      <c r="CI48" s="1">
        <v>0</v>
      </c>
      <c r="CJ48" s="1">
        <v>0</v>
      </c>
      <c r="CK48" s="1">
        <v>0</v>
      </c>
      <c r="CL48" s="1">
        <v>0</v>
      </c>
      <c r="CM48" s="1">
        <v>0</v>
      </c>
      <c r="CN48" s="1">
        <v>0</v>
      </c>
      <c r="CO48" s="1">
        <v>0</v>
      </c>
      <c r="CP48" s="1">
        <v>0</v>
      </c>
      <c r="CQ48" s="1">
        <v>0</v>
      </c>
      <c r="CR48" s="1">
        <v>0</v>
      </c>
      <c r="CS48" s="1">
        <v>0</v>
      </c>
      <c r="CT48" s="1">
        <v>0</v>
      </c>
      <c r="CU48" s="1">
        <v>0</v>
      </c>
      <c r="CV48" s="1">
        <v>0</v>
      </c>
      <c r="CW48" s="1">
        <v>0</v>
      </c>
      <c r="CX48" s="1">
        <v>0</v>
      </c>
      <c r="CY48" s="1">
        <v>0</v>
      </c>
      <c r="CZ48" s="1">
        <v>1.0092729286293498E-14</v>
      </c>
      <c r="DA48" s="1">
        <v>0</v>
      </c>
      <c r="DB48" s="1">
        <v>0</v>
      </c>
      <c r="DC48" s="1">
        <v>0</v>
      </c>
      <c r="DD48" s="1">
        <v>0</v>
      </c>
      <c r="DE48" s="1">
        <v>0</v>
      </c>
      <c r="DF48" s="1">
        <v>0</v>
      </c>
      <c r="DG48" s="1">
        <v>0</v>
      </c>
      <c r="DH48" s="1">
        <v>0</v>
      </c>
      <c r="DI48" s="1">
        <v>0</v>
      </c>
      <c r="DJ48" s="1">
        <v>0</v>
      </c>
      <c r="DK48" s="1">
        <v>0</v>
      </c>
      <c r="DL48" s="1">
        <v>0</v>
      </c>
      <c r="DM48" s="1">
        <v>0</v>
      </c>
      <c r="DN48" s="1">
        <v>0.99999999999999079</v>
      </c>
      <c r="DO48" s="1">
        <v>0</v>
      </c>
      <c r="DP48" s="1">
        <v>0</v>
      </c>
      <c r="DQ48" s="1">
        <v>0</v>
      </c>
      <c r="DR48" s="1">
        <v>0</v>
      </c>
      <c r="DS48" s="1">
        <v>0</v>
      </c>
      <c r="DT48" s="1">
        <v>0</v>
      </c>
      <c r="DU48" s="1">
        <v>0</v>
      </c>
      <c r="DV48" s="1">
        <v>0</v>
      </c>
      <c r="DW48" s="1">
        <v>0</v>
      </c>
      <c r="DX48" s="1">
        <v>0</v>
      </c>
      <c r="DY48" s="1">
        <v>0</v>
      </c>
      <c r="DZ48" s="1">
        <v>0</v>
      </c>
      <c r="FT48" s="1" t="str">
        <f t="shared" si="25"/>
        <v/>
      </c>
      <c r="FU48" s="1" t="str">
        <f t="shared" si="25"/>
        <v/>
      </c>
      <c r="FV48" s="1" t="str">
        <f t="shared" si="25"/>
        <v/>
      </c>
      <c r="FW48" s="1" t="str">
        <f t="shared" si="25"/>
        <v/>
      </c>
      <c r="FX48" s="1" t="str">
        <f t="shared" si="25"/>
        <v/>
      </c>
      <c r="FY48" s="1" t="str">
        <f t="shared" si="25"/>
        <v/>
      </c>
      <c r="FZ48" s="1" t="str">
        <f t="shared" si="25"/>
        <v/>
      </c>
      <c r="GA48" s="1" t="str">
        <f t="shared" si="25"/>
        <v/>
      </c>
      <c r="GB48" s="1" t="str">
        <f t="shared" si="25"/>
        <v/>
      </c>
      <c r="GC48" s="1" t="str">
        <f t="shared" si="25"/>
        <v/>
      </c>
      <c r="GD48" s="1" t="str">
        <f t="shared" si="25"/>
        <v/>
      </c>
      <c r="GE48" s="1" t="str">
        <f t="shared" si="25"/>
        <v/>
      </c>
      <c r="GF48" s="1" t="str">
        <f t="shared" si="25"/>
        <v/>
      </c>
      <c r="GG48" s="1" t="str">
        <f t="shared" si="25"/>
        <v/>
      </c>
      <c r="GH48" s="1" t="str">
        <f t="shared" si="25"/>
        <v/>
      </c>
      <c r="GI48" s="1" t="str">
        <f t="shared" si="25"/>
        <v/>
      </c>
      <c r="GJ48" s="1" t="str">
        <f t="shared" si="31"/>
        <v/>
      </c>
      <c r="GK48" s="1" t="str">
        <f t="shared" si="31"/>
        <v/>
      </c>
      <c r="GL48" s="1" t="str">
        <f t="shared" si="31"/>
        <v/>
      </c>
      <c r="GM48" s="1" t="str">
        <f t="shared" si="31"/>
        <v/>
      </c>
      <c r="GN48" s="1" t="str">
        <f t="shared" si="31"/>
        <v/>
      </c>
      <c r="GO48" s="1" t="str">
        <f t="shared" si="31"/>
        <v/>
      </c>
      <c r="GP48" s="1" t="str">
        <f t="shared" si="31"/>
        <v/>
      </c>
      <c r="GQ48" s="1" t="str">
        <f t="shared" si="31"/>
        <v/>
      </c>
      <c r="GR48" s="1" t="str">
        <f t="shared" si="31"/>
        <v/>
      </c>
      <c r="GS48" s="1" t="str">
        <f t="shared" si="31"/>
        <v/>
      </c>
      <c r="GT48" s="1" t="str">
        <f t="shared" si="31"/>
        <v/>
      </c>
      <c r="GU48" s="1" t="str">
        <f t="shared" si="31"/>
        <v/>
      </c>
      <c r="GV48" s="1" t="str">
        <f t="shared" si="31"/>
        <v/>
      </c>
      <c r="GW48" s="1" t="str">
        <f t="shared" si="31"/>
        <v/>
      </c>
      <c r="GX48" s="1" t="str">
        <f t="shared" si="26"/>
        <v/>
      </c>
      <c r="GY48" s="1" t="str">
        <f t="shared" si="26"/>
        <v/>
      </c>
      <c r="GZ48" s="1" t="str">
        <f t="shared" si="26"/>
        <v/>
      </c>
      <c r="HA48" s="1" t="str">
        <f t="shared" si="26"/>
        <v/>
      </c>
      <c r="HB48" s="1" t="str">
        <f t="shared" si="26"/>
        <v/>
      </c>
      <c r="HC48" s="1" t="str">
        <f t="shared" si="26"/>
        <v/>
      </c>
      <c r="HD48" s="1" t="str">
        <f t="shared" si="26"/>
        <v/>
      </c>
      <c r="HE48" s="1" t="str">
        <f t="shared" si="26"/>
        <v/>
      </c>
      <c r="HF48" s="1" t="str">
        <f t="shared" si="26"/>
        <v/>
      </c>
      <c r="HG48" s="1" t="str">
        <f t="shared" si="26"/>
        <v/>
      </c>
      <c r="HH48" s="1" t="str">
        <f t="shared" si="26"/>
        <v/>
      </c>
      <c r="HI48" s="1" t="str">
        <f t="shared" si="26"/>
        <v/>
      </c>
      <c r="HJ48" s="1" t="str">
        <f t="shared" si="26"/>
        <v xml:space="preserve">Texas; </v>
      </c>
      <c r="HK48" s="1" t="str">
        <f t="shared" si="26"/>
        <v/>
      </c>
      <c r="HL48" s="1" t="str">
        <f t="shared" si="26"/>
        <v/>
      </c>
      <c r="HM48" s="1" t="str">
        <f t="shared" si="26"/>
        <v/>
      </c>
      <c r="HN48" s="1" t="str">
        <f t="shared" si="27"/>
        <v/>
      </c>
      <c r="HO48" s="1" t="str">
        <f t="shared" si="27"/>
        <v/>
      </c>
      <c r="HP48" s="1" t="str">
        <f t="shared" si="27"/>
        <v/>
      </c>
      <c r="HQ48" s="1" t="str">
        <f t="shared" si="27"/>
        <v/>
      </c>
      <c r="HR48" s="1" t="str">
        <f t="shared" si="27"/>
        <v/>
      </c>
      <c r="HS48" s="1" t="str">
        <f t="shared" si="27"/>
        <v/>
      </c>
      <c r="HT48" s="1" t="str">
        <f t="shared" si="27"/>
        <v/>
      </c>
      <c r="HU48" s="1" t="str">
        <f t="shared" si="27"/>
        <v/>
      </c>
      <c r="HV48" s="1" t="str">
        <f t="shared" si="27"/>
        <v/>
      </c>
      <c r="HW48" s="1" t="str">
        <f t="shared" si="27"/>
        <v/>
      </c>
      <c r="HX48" s="1" t="str">
        <f t="shared" si="27"/>
        <v/>
      </c>
      <c r="HY48" s="1" t="str">
        <f t="shared" si="27"/>
        <v/>
      </c>
      <c r="HZ48" s="1" t="str">
        <f t="shared" si="27"/>
        <v/>
      </c>
      <c r="IA48" s="1" t="str">
        <f t="shared" si="27"/>
        <v/>
      </c>
      <c r="IB48" s="1" t="str">
        <f t="shared" si="27"/>
        <v/>
      </c>
      <c r="IC48" s="1" t="str">
        <f t="shared" si="27"/>
        <v/>
      </c>
      <c r="ID48" s="1" t="str">
        <f t="shared" si="28"/>
        <v/>
      </c>
      <c r="IE48" s="1" t="str">
        <f t="shared" si="28"/>
        <v/>
      </c>
      <c r="IF48" s="1" t="str">
        <f t="shared" si="28"/>
        <v/>
      </c>
      <c r="IG48" s="1" t="str">
        <f t="shared" si="28"/>
        <v/>
      </c>
      <c r="IH48" s="1" t="str">
        <f t="shared" si="28"/>
        <v/>
      </c>
      <c r="II48" s="1" t="str">
        <f t="shared" si="28"/>
        <v/>
      </c>
      <c r="IJ48" s="1" t="str">
        <f t="shared" si="28"/>
        <v/>
      </c>
      <c r="IK48" s="1" t="str">
        <f t="shared" si="28"/>
        <v/>
      </c>
      <c r="IL48" s="1" t="str">
        <f t="shared" si="28"/>
        <v/>
      </c>
      <c r="IM48" s="1" t="str">
        <f t="shared" si="28"/>
        <v/>
      </c>
      <c r="IN48" s="1" t="str">
        <f t="shared" si="28"/>
        <v/>
      </c>
      <c r="IO48" s="1" t="str">
        <f t="shared" si="28"/>
        <v/>
      </c>
      <c r="IP48" s="1" t="str">
        <f t="shared" si="28"/>
        <v/>
      </c>
      <c r="IQ48" s="1" t="str">
        <f t="shared" si="28"/>
        <v/>
      </c>
      <c r="IR48" s="1" t="str">
        <f t="shared" si="28"/>
        <v/>
      </c>
      <c r="IS48" s="1" t="str">
        <f t="shared" si="28"/>
        <v/>
      </c>
      <c r="IT48" s="1" t="str">
        <f t="shared" si="29"/>
        <v/>
      </c>
      <c r="IU48" s="1" t="str">
        <f t="shared" si="29"/>
        <v/>
      </c>
      <c r="IV48" s="1" t="str">
        <f t="shared" si="29"/>
        <v/>
      </c>
      <c r="IW48" s="1" t="str">
        <f t="shared" si="29"/>
        <v/>
      </c>
      <c r="IX48" s="1" t="str">
        <f t="shared" si="29"/>
        <v/>
      </c>
      <c r="IY48" s="1" t="str">
        <f t="shared" si="29"/>
        <v/>
      </c>
      <c r="IZ48" s="1" t="str">
        <f t="shared" si="29"/>
        <v/>
      </c>
      <c r="JA48" s="1" t="str">
        <f t="shared" si="29"/>
        <v/>
      </c>
      <c r="JB48" s="1" t="str">
        <f t="shared" si="29"/>
        <v/>
      </c>
      <c r="JC48" s="1" t="str">
        <f t="shared" si="29"/>
        <v/>
      </c>
      <c r="JD48" s="1" t="str">
        <f t="shared" si="29"/>
        <v/>
      </c>
      <c r="JE48" s="1" t="str">
        <f t="shared" si="29"/>
        <v/>
      </c>
      <c r="JF48" s="1" t="str">
        <f t="shared" si="29"/>
        <v/>
      </c>
      <c r="JG48" s="1" t="str">
        <f t="shared" si="29"/>
        <v/>
      </c>
      <c r="JH48" s="1" t="str">
        <f t="shared" si="29"/>
        <v/>
      </c>
      <c r="JI48" s="1" t="str">
        <f t="shared" si="29"/>
        <v/>
      </c>
      <c r="JJ48" s="1" t="str">
        <f t="shared" si="30"/>
        <v/>
      </c>
      <c r="JK48" s="1" t="str">
        <f t="shared" si="30"/>
        <v/>
      </c>
      <c r="JL48" s="1" t="str">
        <f t="shared" si="24"/>
        <v/>
      </c>
      <c r="JM48" s="1" t="str">
        <f t="shared" si="12"/>
        <v/>
      </c>
      <c r="JN48" s="1" t="str">
        <f t="shared" si="12"/>
        <v/>
      </c>
      <c r="JO48" s="1" t="str">
        <f t="shared" si="12"/>
        <v/>
      </c>
    </row>
    <row r="49" spans="1:275" ht="14.5" x14ac:dyDescent="0.35">
      <c r="A49" s="59">
        <f>IF('Data input'!A49&lt;&gt;"",'Data input'!A49,"")</f>
        <v>47</v>
      </c>
      <c r="B49" s="60" t="str">
        <f>IF('Data input'!B49&lt;&gt;"",'Data input'!B49,"")</f>
        <v>Washington</v>
      </c>
      <c r="C49" s="19">
        <f>IF('Data input'!C49="","",4*('Data input'!C49-'Data input'!C$108)/('Data input'!C$109-'Data input'!C$108)+1)</f>
        <v>3.3558042867662161</v>
      </c>
      <c r="D49" s="19" t="str">
        <f>IF('Data input'!D49="","",4*('Data input'!D49-'Data input'!D$108)/('Data input'!D$109-'Data input'!D$108)+1)</f>
        <v/>
      </c>
      <c r="E49" s="19" t="str">
        <f>IF('Data input'!E49="","",4*('Data input'!E49-'Data input'!E$108)/('Data input'!E$109-'Data input'!E$108)+1)</f>
        <v/>
      </c>
      <c r="F49" s="19" t="str">
        <f>IF('Data input'!F49="","",4*('Data input'!F49-'Data input'!F$108)/('Data input'!F$109-'Data input'!F$108)+1)</f>
        <v/>
      </c>
      <c r="G49" s="19" t="str">
        <f>IF('Data input'!G49="","",4*('Data input'!G49-'Data input'!G$108)/('Data input'!G$109-'Data input'!G$108)+1)</f>
        <v/>
      </c>
      <c r="H49" s="61">
        <f>IF('Data input'!H49="","",4*('Data input'!H49-'Data input'!H$108)/('Data input'!H$109-'Data input'!H$108)+1)</f>
        <v>1.2933621783546037</v>
      </c>
      <c r="I49" s="19">
        <f>IF('Data input'!I49="","",4*('Data input'!I49-'Data input'!I$108)/('Data input'!I$109-'Data input'!I$108)+1)</f>
        <v>1.2159587314483504</v>
      </c>
      <c r="J49" s="19" t="str">
        <f>IF('Data input'!J49="","",4*('Data input'!J49-'Data input'!J$108)/('Data input'!J$109-'Data input'!J$108)+1)</f>
        <v/>
      </c>
      <c r="K49" s="19" t="str">
        <f>IF('Data input'!K49="","",4*('Data input'!K49-'Data input'!K$108)/('Data input'!K$109-'Data input'!K$108)+1)</f>
        <v/>
      </c>
      <c r="L49" s="19" t="str">
        <f>IF('Data input'!L49="","",4*('Data input'!L49-'Data input'!L$108)/('Data input'!L$109-'Data input'!L$108)+1)</f>
        <v/>
      </c>
      <c r="M49" s="19">
        <f>IF('Data input'!M49="","",4*('Data input'!M49-'Data input'!M$108)/('Data input'!M$109-'Data input'!M$108)+1)</f>
        <v>1.7607045604220777</v>
      </c>
      <c r="N49" s="16" t="str">
        <f>IF('Data input'!N49="","",4*('Data input'!N49-'Data input'!N$108)/('Data input'!N$109-'Data input'!N$108)+1)</f>
        <v/>
      </c>
      <c r="O49" s="19" t="str">
        <f>IF('Data input'!O49="","",4*('Data input'!O49-'Data input'!O$108)/('Data input'!O$109-'Data input'!O$108)+1)</f>
        <v/>
      </c>
      <c r="P49" s="19" t="str">
        <f>IF('Data input'!P49="","",4*('Data input'!P49-'Data input'!P$108)/('Data input'!P$109-'Data input'!P$108)+1)</f>
        <v/>
      </c>
      <c r="Q49" s="19" t="str">
        <f>IF('Data input'!Q49="","",4*('Data input'!Q49-'Data input'!Q$108)/('Data input'!Q$109-'Data input'!Q$108)+1)</f>
        <v/>
      </c>
      <c r="R49" s="19" t="str">
        <f>IF('Data input'!R49="","",4*('Data input'!R49-'Data input'!R$108)/('Data input'!R$109-'Data input'!R$108)+1)</f>
        <v/>
      </c>
      <c r="S49" s="16" t="str">
        <f>IF('Data input'!S49="","",4*('Data input'!S49-'Data input'!S$108)/('Data input'!S$109-'Data input'!S$108)+1)</f>
        <v/>
      </c>
      <c r="T49" s="19" t="str">
        <f>IF('Data input'!T49="","",4*('Data input'!T49-'Data input'!T$108)/('Data input'!T$109-'Data input'!T$108)+1)</f>
        <v/>
      </c>
      <c r="U49" s="19" t="str">
        <f>IF('Data input'!U49="","",4*('Data input'!U49-'Data input'!U$108)/('Data input'!U$109-'Data input'!U$108)+1)</f>
        <v/>
      </c>
      <c r="V49" s="19" t="str">
        <f>IF('Data input'!V49="","",4*('Data input'!V49-'Data input'!V$108)/('Data input'!V$109-'Data input'!V$108)+1)</f>
        <v/>
      </c>
      <c r="W49" s="16" t="str">
        <f>IF('Data input'!W49="","",4*('Data input'!W49-'Data input'!W$108)/('Data input'!W$109-'Data input'!W$108)+1)</f>
        <v/>
      </c>
      <c r="X49" s="16" t="str">
        <f>IF('Data input'!X49="","",4*('Data input'!X49-'Data input'!X$108)/('Data input'!X$109-'Data input'!X$108)+1)</f>
        <v/>
      </c>
      <c r="Y49" s="16" t="str">
        <f>IF('Data input'!Y49="","",4*('Data input'!Y49-'Data input'!Y$108)/('Data input'!Y$109-'Data input'!Y$108)+1)</f>
        <v/>
      </c>
      <c r="Z49" s="16" t="str">
        <f>IF('Data input'!Z49="","",4*('Data input'!Z49-'Data input'!Z$108)/('Data input'!Z$109-'Data input'!Z$108)+1)</f>
        <v/>
      </c>
      <c r="AA49" s="62" t="str">
        <f>IF('Data input'!AA49="","",4*('Data input'!AA49-'Data input'!AA$108)/('Data input'!AA$109-'Data input'!AA$108)+1)</f>
        <v/>
      </c>
      <c r="AB49" s="78"/>
      <c r="AC49" s="79">
        <v>0</v>
      </c>
      <c r="AD49" s="80" t="e">
        <f t="shared" si="13"/>
        <v>#DIV/0!</v>
      </c>
      <c r="AE49" s="4"/>
      <c r="AF49" s="59">
        <f t="shared" si="14"/>
        <v>47</v>
      </c>
      <c r="AG49" s="60" t="str">
        <f t="shared" si="14"/>
        <v>Washington</v>
      </c>
      <c r="AH49">
        <v>1.4249781928806715</v>
      </c>
      <c r="AI49" t="s">
        <v>69</v>
      </c>
      <c r="AJ49" t="s">
        <v>69</v>
      </c>
      <c r="AK49" t="s">
        <v>69</v>
      </c>
      <c r="AL49" t="s">
        <v>69</v>
      </c>
      <c r="AM49">
        <v>0.29336217835459827</v>
      </c>
      <c r="AN49">
        <v>3.3335306209771425E-2</v>
      </c>
      <c r="AO49" t="s">
        <v>69</v>
      </c>
      <c r="AP49" t="s">
        <v>69</v>
      </c>
      <c r="AQ49" t="s">
        <v>69</v>
      </c>
      <c r="AR49">
        <v>0.60783484288761547</v>
      </c>
      <c r="AS49" s="71">
        <f t="shared" si="15"/>
        <v>4.7807824796468879</v>
      </c>
      <c r="AT49" s="71" t="str">
        <f t="shared" si="15"/>
        <v/>
      </c>
      <c r="AU49" s="71" t="str">
        <f t="shared" si="15"/>
        <v/>
      </c>
      <c r="AV49" s="71" t="str">
        <f t="shared" si="15"/>
        <v/>
      </c>
      <c r="AW49" s="71" t="str">
        <f t="shared" si="15"/>
        <v/>
      </c>
      <c r="AX49" s="71">
        <f t="shared" si="16"/>
        <v>1.0000000000000053</v>
      </c>
      <c r="AY49" s="71">
        <f t="shared" si="16"/>
        <v>1.182623425238579</v>
      </c>
      <c r="AZ49" s="71" t="str">
        <f t="shared" si="16"/>
        <v/>
      </c>
      <c r="BA49" s="71" t="str">
        <f t="shared" si="16"/>
        <v/>
      </c>
      <c r="BB49" s="71" t="str">
        <f t="shared" si="16"/>
        <v/>
      </c>
      <c r="BC49" s="18">
        <f>IF(C49&lt;&gt;"",(('Data input'!C$109-'Data input'!C$108)*(AS49-1)/4)+'Data input'!C$108,"")</f>
        <v>0.98833351344873344</v>
      </c>
      <c r="BD49" s="18" t="str">
        <f>IF(D49&lt;&gt;"",(('Data input'!D$109-'Data input'!D$108)*(AT49-1)/4)+'Data input'!D$108,"")</f>
        <v/>
      </c>
      <c r="BE49" s="18" t="str">
        <f>IF(E49&lt;&gt;"",(('Data input'!E$109-'Data input'!E$108)*(AU49-1)/4)+'Data input'!E$108,"")</f>
        <v/>
      </c>
      <c r="BF49" s="18" t="str">
        <f>IF(F49&lt;&gt;"",(('Data input'!F$109-'Data input'!F$108)*(AV49-1)/4)+'Data input'!F$108,"")</f>
        <v/>
      </c>
      <c r="BG49" s="18" t="str">
        <f>IF(G49&lt;&gt;"",(('Data input'!G$109-'Data input'!G$108)*(AW49-1)/4)+'Data input'!G$108,"")</f>
        <v/>
      </c>
      <c r="BH49" s="19">
        <f>IF(H49&lt;&gt;"",(('Data input'!H$109-'Data input'!H$108)*(AX49-1)/4)+'Data input'!H$108,"")</f>
        <v>0.29574268608414322</v>
      </c>
      <c r="BI49" s="18">
        <f>IF(I49&lt;&gt;"",(('Data input'!I$109-'Data input'!I$108)*(AY49-1)/4)+'Data input'!I$108,"")</f>
        <v>8.0187156412734138E-3</v>
      </c>
      <c r="BJ49" s="19" t="str">
        <f>IF(J49&lt;&gt;"",(('Data input'!J$109-'Data input'!J$108)*(AZ49-1)/4)+'Data input'!J$108,"")</f>
        <v/>
      </c>
      <c r="BK49" s="19" t="str">
        <f>IF(K49&lt;&gt;"",(('Data input'!K$109-'Data input'!K$108)*(BA49-1)/4)+'Data input'!K$108,"")</f>
        <v/>
      </c>
      <c r="BL49" s="19" t="str">
        <f>IF(L49&lt;&gt;"",(('Data input'!L$109-'Data input'!L$108)*(BB49-1)/4)+'Data input'!L$108,"")</f>
        <v/>
      </c>
      <c r="BM49" s="18">
        <f>IF(C49&lt;&gt;"",BC49-'Data input'!C49,"")</f>
        <v>5.173692398616847E-2</v>
      </c>
      <c r="BN49" s="18" t="str">
        <f>IF(D49&lt;&gt;"",BD49-'Data input'!D49,"")</f>
        <v/>
      </c>
      <c r="BO49" s="18" t="str">
        <f>IF(E49&lt;&gt;"",BE49-'Data input'!E49,"")</f>
        <v/>
      </c>
      <c r="BP49" s="18" t="str">
        <f>IF(F49&lt;&gt;"",BF49-'Data input'!F49,"")</f>
        <v/>
      </c>
      <c r="BQ49" s="18" t="str">
        <f>IF(G49&lt;&gt;"",BG49-'Data input'!G49,"")</f>
        <v/>
      </c>
      <c r="BR49" s="19">
        <f>IF(H49&lt;&gt;"",BH49-'Data input'!H49,"")</f>
        <v>-6.3887918888433797</v>
      </c>
      <c r="BS49" s="18">
        <f>IF(I49&lt;&gt;"",BI49-'Data input'!I49,"")</f>
        <v>-1.4637023753208186E-3</v>
      </c>
      <c r="BT49" s="18" t="str">
        <f>IF(J49&lt;&gt;"",BJ49-'Data input'!J49,"")</f>
        <v/>
      </c>
      <c r="BU49" s="18" t="str">
        <f>IF(K49&lt;&gt;"",BK49-'Data input'!K49,"")</f>
        <v/>
      </c>
      <c r="BV49" s="72" t="str">
        <f>IF(L49&lt;&gt;"",BL49-'Data input'!L49,"")</f>
        <v/>
      </c>
      <c r="BW49" s="121" t="str">
        <f t="shared" si="17"/>
        <v xml:space="preserve">Texas; </v>
      </c>
      <c r="BX49" s="1">
        <v>0</v>
      </c>
      <c r="BY49" s="1">
        <v>0</v>
      </c>
      <c r="BZ49" s="1">
        <v>0</v>
      </c>
      <c r="CA49" s="1">
        <v>0</v>
      </c>
      <c r="CB49" s="1">
        <v>0</v>
      </c>
      <c r="CC49" s="1">
        <v>0</v>
      </c>
      <c r="CD49" s="1">
        <v>0</v>
      </c>
      <c r="CE49" s="1">
        <v>0</v>
      </c>
      <c r="CF49" s="1">
        <v>0</v>
      </c>
      <c r="CG49" s="1">
        <v>0</v>
      </c>
      <c r="CH49" s="1">
        <v>0</v>
      </c>
      <c r="CI49" s="1">
        <v>0</v>
      </c>
      <c r="CJ49" s="1">
        <v>0</v>
      </c>
      <c r="CK49" s="1">
        <v>0</v>
      </c>
      <c r="CL49" s="1">
        <v>0</v>
      </c>
      <c r="CM49" s="1">
        <v>0</v>
      </c>
      <c r="CN49" s="1">
        <v>0</v>
      </c>
      <c r="CO49" s="1">
        <v>0</v>
      </c>
      <c r="CP49" s="1">
        <v>0</v>
      </c>
      <c r="CQ49" s="1">
        <v>0</v>
      </c>
      <c r="CR49" s="1">
        <v>0</v>
      </c>
      <c r="CS49" s="1">
        <v>0</v>
      </c>
      <c r="CT49" s="1">
        <v>0</v>
      </c>
      <c r="CU49" s="1">
        <v>0</v>
      </c>
      <c r="CV49" s="1">
        <v>0</v>
      </c>
      <c r="CW49" s="1">
        <v>0</v>
      </c>
      <c r="CX49" s="1">
        <v>0</v>
      </c>
      <c r="CY49" s="1">
        <v>0</v>
      </c>
      <c r="CZ49" s="1">
        <v>0</v>
      </c>
      <c r="DA49" s="1">
        <v>0</v>
      </c>
      <c r="DB49" s="1">
        <v>0</v>
      </c>
      <c r="DC49" s="1">
        <v>0</v>
      </c>
      <c r="DD49" s="1">
        <v>0</v>
      </c>
      <c r="DE49" s="1">
        <v>0</v>
      </c>
      <c r="DF49" s="1">
        <v>0</v>
      </c>
      <c r="DG49" s="1">
        <v>0</v>
      </c>
      <c r="DH49" s="1">
        <v>0</v>
      </c>
      <c r="DI49" s="1">
        <v>0</v>
      </c>
      <c r="DJ49" s="1">
        <v>0</v>
      </c>
      <c r="DK49" s="1">
        <v>0</v>
      </c>
      <c r="DL49" s="1">
        <v>0</v>
      </c>
      <c r="DM49" s="1">
        <v>0</v>
      </c>
      <c r="DN49" s="1">
        <v>0.99999999999999967</v>
      </c>
      <c r="DO49" s="1">
        <v>0</v>
      </c>
      <c r="DP49" s="1">
        <v>0</v>
      </c>
      <c r="DQ49" s="1">
        <v>0</v>
      </c>
      <c r="DR49" s="1">
        <v>0</v>
      </c>
      <c r="DS49" s="1">
        <v>0</v>
      </c>
      <c r="DT49" s="1">
        <v>0</v>
      </c>
      <c r="DU49" s="1">
        <v>0</v>
      </c>
      <c r="DV49" s="1">
        <v>0</v>
      </c>
      <c r="DW49" s="1">
        <v>0</v>
      </c>
      <c r="DX49" s="1">
        <v>0</v>
      </c>
      <c r="DY49" s="1">
        <v>0</v>
      </c>
      <c r="DZ49" s="1">
        <v>0</v>
      </c>
      <c r="FT49" s="1" t="str">
        <f t="shared" si="25"/>
        <v/>
      </c>
      <c r="FU49" s="1" t="str">
        <f t="shared" si="25"/>
        <v/>
      </c>
      <c r="FV49" s="1" t="str">
        <f t="shared" si="25"/>
        <v/>
      </c>
      <c r="FW49" s="1" t="str">
        <f t="shared" si="25"/>
        <v/>
      </c>
      <c r="FX49" s="1" t="str">
        <f t="shared" si="25"/>
        <v/>
      </c>
      <c r="FY49" s="1" t="str">
        <f t="shared" si="25"/>
        <v/>
      </c>
      <c r="FZ49" s="1" t="str">
        <f t="shared" si="25"/>
        <v/>
      </c>
      <c r="GA49" s="1" t="str">
        <f t="shared" si="25"/>
        <v/>
      </c>
      <c r="GB49" s="1" t="str">
        <f t="shared" si="25"/>
        <v/>
      </c>
      <c r="GC49" s="1" t="str">
        <f t="shared" si="25"/>
        <v/>
      </c>
      <c r="GD49" s="1" t="str">
        <f t="shared" si="25"/>
        <v/>
      </c>
      <c r="GE49" s="1" t="str">
        <f t="shared" si="25"/>
        <v/>
      </c>
      <c r="GF49" s="1" t="str">
        <f t="shared" si="25"/>
        <v/>
      </c>
      <c r="GG49" s="1" t="str">
        <f t="shared" si="25"/>
        <v/>
      </c>
      <c r="GH49" s="1" t="str">
        <f t="shared" si="25"/>
        <v/>
      </c>
      <c r="GI49" s="1" t="str">
        <f t="shared" ref="GI49:GX68" si="32">IF(CM49&gt;0.0001,CONCATENATE(CM$2,"; "),"")</f>
        <v/>
      </c>
      <c r="GJ49" s="1" t="str">
        <f t="shared" si="31"/>
        <v/>
      </c>
      <c r="GK49" s="1" t="str">
        <f t="shared" si="31"/>
        <v/>
      </c>
      <c r="GL49" s="1" t="str">
        <f t="shared" si="31"/>
        <v/>
      </c>
      <c r="GM49" s="1" t="str">
        <f t="shared" si="31"/>
        <v/>
      </c>
      <c r="GN49" s="1" t="str">
        <f t="shared" si="31"/>
        <v/>
      </c>
      <c r="GO49" s="1" t="str">
        <f t="shared" si="31"/>
        <v/>
      </c>
      <c r="GP49" s="1" t="str">
        <f t="shared" si="31"/>
        <v/>
      </c>
      <c r="GQ49" s="1" t="str">
        <f t="shared" si="31"/>
        <v/>
      </c>
      <c r="GR49" s="1" t="str">
        <f t="shared" si="31"/>
        <v/>
      </c>
      <c r="GS49" s="1" t="str">
        <f t="shared" si="31"/>
        <v/>
      </c>
      <c r="GT49" s="1" t="str">
        <f t="shared" si="31"/>
        <v/>
      </c>
      <c r="GU49" s="1" t="str">
        <f t="shared" si="31"/>
        <v/>
      </c>
      <c r="GV49" s="1" t="str">
        <f t="shared" si="31"/>
        <v/>
      </c>
      <c r="GW49" s="1" t="str">
        <f t="shared" si="31"/>
        <v/>
      </c>
      <c r="GX49" s="1" t="str">
        <f t="shared" si="26"/>
        <v/>
      </c>
      <c r="GY49" s="1" t="str">
        <f t="shared" si="26"/>
        <v/>
      </c>
      <c r="GZ49" s="1" t="str">
        <f t="shared" si="26"/>
        <v/>
      </c>
      <c r="HA49" s="1" t="str">
        <f t="shared" si="26"/>
        <v/>
      </c>
      <c r="HB49" s="1" t="str">
        <f t="shared" si="26"/>
        <v/>
      </c>
      <c r="HC49" s="1" t="str">
        <f t="shared" si="26"/>
        <v/>
      </c>
      <c r="HD49" s="1" t="str">
        <f t="shared" si="26"/>
        <v/>
      </c>
      <c r="HE49" s="1" t="str">
        <f t="shared" si="26"/>
        <v/>
      </c>
      <c r="HF49" s="1" t="str">
        <f t="shared" si="26"/>
        <v/>
      </c>
      <c r="HG49" s="1" t="str">
        <f t="shared" si="26"/>
        <v/>
      </c>
      <c r="HH49" s="1" t="str">
        <f t="shared" si="26"/>
        <v/>
      </c>
      <c r="HI49" s="1" t="str">
        <f t="shared" si="26"/>
        <v/>
      </c>
      <c r="HJ49" s="1" t="str">
        <f t="shared" si="26"/>
        <v xml:space="preserve">Texas; </v>
      </c>
      <c r="HK49" s="1" t="str">
        <f t="shared" si="26"/>
        <v/>
      </c>
      <c r="HL49" s="1" t="str">
        <f t="shared" si="26"/>
        <v/>
      </c>
      <c r="HM49" s="1" t="str">
        <f t="shared" si="26"/>
        <v/>
      </c>
      <c r="HN49" s="1" t="str">
        <f t="shared" si="27"/>
        <v/>
      </c>
      <c r="HO49" s="1" t="str">
        <f t="shared" si="27"/>
        <v/>
      </c>
      <c r="HP49" s="1" t="str">
        <f t="shared" si="27"/>
        <v/>
      </c>
      <c r="HQ49" s="1" t="str">
        <f t="shared" si="27"/>
        <v/>
      </c>
      <c r="HR49" s="1" t="str">
        <f t="shared" si="27"/>
        <v/>
      </c>
      <c r="HS49" s="1" t="str">
        <f t="shared" si="27"/>
        <v/>
      </c>
      <c r="HT49" s="1" t="str">
        <f t="shared" si="27"/>
        <v/>
      </c>
      <c r="HU49" s="1" t="str">
        <f t="shared" si="27"/>
        <v/>
      </c>
      <c r="HV49" s="1" t="str">
        <f t="shared" si="27"/>
        <v/>
      </c>
      <c r="HW49" s="1" t="str">
        <f t="shared" si="27"/>
        <v/>
      </c>
      <c r="HX49" s="1" t="str">
        <f t="shared" si="27"/>
        <v/>
      </c>
      <c r="HY49" s="1" t="str">
        <f t="shared" si="27"/>
        <v/>
      </c>
      <c r="HZ49" s="1" t="str">
        <f t="shared" si="27"/>
        <v/>
      </c>
      <c r="IA49" s="1" t="str">
        <f t="shared" si="27"/>
        <v/>
      </c>
      <c r="IB49" s="1" t="str">
        <f t="shared" si="27"/>
        <v/>
      </c>
      <c r="IC49" s="1" t="str">
        <f t="shared" si="27"/>
        <v/>
      </c>
      <c r="ID49" s="1" t="str">
        <f t="shared" si="28"/>
        <v/>
      </c>
      <c r="IE49" s="1" t="str">
        <f t="shared" si="28"/>
        <v/>
      </c>
      <c r="IF49" s="1" t="str">
        <f t="shared" si="28"/>
        <v/>
      </c>
      <c r="IG49" s="1" t="str">
        <f t="shared" si="28"/>
        <v/>
      </c>
      <c r="IH49" s="1" t="str">
        <f t="shared" si="28"/>
        <v/>
      </c>
      <c r="II49" s="1" t="str">
        <f t="shared" si="28"/>
        <v/>
      </c>
      <c r="IJ49" s="1" t="str">
        <f t="shared" si="28"/>
        <v/>
      </c>
      <c r="IK49" s="1" t="str">
        <f t="shared" si="28"/>
        <v/>
      </c>
      <c r="IL49" s="1" t="str">
        <f t="shared" si="28"/>
        <v/>
      </c>
      <c r="IM49" s="1" t="str">
        <f t="shared" si="28"/>
        <v/>
      </c>
      <c r="IN49" s="1" t="str">
        <f t="shared" si="28"/>
        <v/>
      </c>
      <c r="IO49" s="1" t="str">
        <f t="shared" si="28"/>
        <v/>
      </c>
      <c r="IP49" s="1" t="str">
        <f t="shared" si="28"/>
        <v/>
      </c>
      <c r="IQ49" s="1" t="str">
        <f t="shared" si="28"/>
        <v/>
      </c>
      <c r="IR49" s="1" t="str">
        <f t="shared" si="28"/>
        <v/>
      </c>
      <c r="IS49" s="1" t="str">
        <f t="shared" si="28"/>
        <v/>
      </c>
      <c r="IT49" s="1" t="str">
        <f t="shared" si="29"/>
        <v/>
      </c>
      <c r="IU49" s="1" t="str">
        <f t="shared" si="29"/>
        <v/>
      </c>
      <c r="IV49" s="1" t="str">
        <f t="shared" si="29"/>
        <v/>
      </c>
      <c r="IW49" s="1" t="str">
        <f t="shared" si="29"/>
        <v/>
      </c>
      <c r="IX49" s="1" t="str">
        <f t="shared" si="29"/>
        <v/>
      </c>
      <c r="IY49" s="1" t="str">
        <f t="shared" si="29"/>
        <v/>
      </c>
      <c r="IZ49" s="1" t="str">
        <f t="shared" si="29"/>
        <v/>
      </c>
      <c r="JA49" s="1" t="str">
        <f t="shared" si="29"/>
        <v/>
      </c>
      <c r="JB49" s="1" t="str">
        <f t="shared" si="29"/>
        <v/>
      </c>
      <c r="JC49" s="1" t="str">
        <f t="shared" si="29"/>
        <v/>
      </c>
      <c r="JD49" s="1" t="str">
        <f t="shared" si="29"/>
        <v/>
      </c>
      <c r="JE49" s="1" t="str">
        <f t="shared" si="29"/>
        <v/>
      </c>
      <c r="JF49" s="1" t="str">
        <f t="shared" si="29"/>
        <v/>
      </c>
      <c r="JG49" s="1" t="str">
        <f t="shared" si="29"/>
        <v/>
      </c>
      <c r="JH49" s="1" t="str">
        <f t="shared" si="29"/>
        <v/>
      </c>
      <c r="JI49" s="1" t="str">
        <f t="shared" si="29"/>
        <v/>
      </c>
      <c r="JJ49" s="1" t="str">
        <f t="shared" si="30"/>
        <v/>
      </c>
      <c r="JK49" s="1" t="str">
        <f t="shared" si="30"/>
        <v/>
      </c>
      <c r="JL49" s="1" t="str">
        <f t="shared" si="24"/>
        <v/>
      </c>
      <c r="JM49" s="1" t="str">
        <f t="shared" si="12"/>
        <v/>
      </c>
      <c r="JN49" s="1" t="str">
        <f t="shared" si="12"/>
        <v/>
      </c>
      <c r="JO49" s="1" t="str">
        <f t="shared" si="12"/>
        <v/>
      </c>
    </row>
    <row r="50" spans="1:275" ht="14.5" x14ac:dyDescent="0.35">
      <c r="A50" s="59">
        <f>IF('Data input'!A50&lt;&gt;"",'Data input'!A50,"")</f>
        <v>48</v>
      </c>
      <c r="B50" s="60" t="str">
        <f>IF('Data input'!B50&lt;&gt;"",'Data input'!B50,"")</f>
        <v>West Virginia</v>
      </c>
      <c r="C50" s="19">
        <f>IF('Data input'!C50="","",4*('Data input'!C50-'Data input'!C$108)/('Data input'!C$109-'Data input'!C$108)+1)</f>
        <v>1.1757106401574939</v>
      </c>
      <c r="D50" s="19" t="str">
        <f>IF('Data input'!D50="","",4*('Data input'!D50-'Data input'!D$108)/('Data input'!D$109-'Data input'!D$108)+1)</f>
        <v/>
      </c>
      <c r="E50" s="19" t="str">
        <f>IF('Data input'!E50="","",4*('Data input'!E50-'Data input'!E$108)/('Data input'!E$109-'Data input'!E$108)+1)</f>
        <v/>
      </c>
      <c r="F50" s="19" t="str">
        <f>IF('Data input'!F50="","",4*('Data input'!F50-'Data input'!F$108)/('Data input'!F$109-'Data input'!F$108)+1)</f>
        <v/>
      </c>
      <c r="G50" s="19" t="str">
        <f>IF('Data input'!G50="","",4*('Data input'!G50-'Data input'!G$108)/('Data input'!G$109-'Data input'!G$108)+1)</f>
        <v/>
      </c>
      <c r="H50" s="61">
        <f>IF('Data input'!H50="","",4*('Data input'!H50-'Data input'!H$108)/('Data input'!H$109-'Data input'!H$108)+1)</f>
        <v>2.0742932351327226</v>
      </c>
      <c r="I50" s="19">
        <f>IF('Data input'!I50="","",4*('Data input'!I50-'Data input'!I$108)/('Data input'!I$109-'Data input'!I$108)+1)</f>
        <v>1.114445466770472</v>
      </c>
      <c r="J50" s="19" t="str">
        <f>IF('Data input'!J50="","",4*('Data input'!J50-'Data input'!J$108)/('Data input'!J$109-'Data input'!J$108)+1)</f>
        <v/>
      </c>
      <c r="K50" s="19" t="str">
        <f>IF('Data input'!K50="","",4*('Data input'!K50-'Data input'!K$108)/('Data input'!K$109-'Data input'!K$108)+1)</f>
        <v/>
      </c>
      <c r="L50" s="19" t="str">
        <f>IF('Data input'!L50="","",4*('Data input'!L50-'Data input'!L$108)/('Data input'!L$109-'Data input'!L$108)+1)</f>
        <v/>
      </c>
      <c r="M50" s="19">
        <f>IF('Data input'!M50="","",4*('Data input'!M50-'Data input'!M$108)/('Data input'!M$109-'Data input'!M$108)+1)</f>
        <v>1.2846563959124173</v>
      </c>
      <c r="N50" s="16" t="str">
        <f>IF('Data input'!N50="","",4*('Data input'!N50-'Data input'!N$108)/('Data input'!N$109-'Data input'!N$108)+1)</f>
        <v/>
      </c>
      <c r="O50" s="19" t="str">
        <f>IF('Data input'!O50="","",4*('Data input'!O50-'Data input'!O$108)/('Data input'!O$109-'Data input'!O$108)+1)</f>
        <v/>
      </c>
      <c r="P50" s="19" t="str">
        <f>IF('Data input'!P50="","",4*('Data input'!P50-'Data input'!P$108)/('Data input'!P$109-'Data input'!P$108)+1)</f>
        <v/>
      </c>
      <c r="Q50" s="19" t="str">
        <f>IF('Data input'!Q50="","",4*('Data input'!Q50-'Data input'!Q$108)/('Data input'!Q$109-'Data input'!Q$108)+1)</f>
        <v/>
      </c>
      <c r="R50" s="19" t="str">
        <f>IF('Data input'!R50="","",4*('Data input'!R50-'Data input'!R$108)/('Data input'!R$109-'Data input'!R$108)+1)</f>
        <v/>
      </c>
      <c r="S50" s="16" t="str">
        <f>IF('Data input'!S50="","",4*('Data input'!S50-'Data input'!S$108)/('Data input'!S$109-'Data input'!S$108)+1)</f>
        <v/>
      </c>
      <c r="T50" s="19" t="str">
        <f>IF('Data input'!T50="","",4*('Data input'!T50-'Data input'!T$108)/('Data input'!T$109-'Data input'!T$108)+1)</f>
        <v/>
      </c>
      <c r="U50" s="19" t="str">
        <f>IF('Data input'!U50="","",4*('Data input'!U50-'Data input'!U$108)/('Data input'!U$109-'Data input'!U$108)+1)</f>
        <v/>
      </c>
      <c r="V50" s="19" t="str">
        <f>IF('Data input'!V50="","",4*('Data input'!V50-'Data input'!V$108)/('Data input'!V$109-'Data input'!V$108)+1)</f>
        <v/>
      </c>
      <c r="W50" s="16" t="str">
        <f>IF('Data input'!W50="","",4*('Data input'!W50-'Data input'!W$108)/('Data input'!W$109-'Data input'!W$108)+1)</f>
        <v/>
      </c>
      <c r="X50" s="16" t="str">
        <f>IF('Data input'!X50="","",4*('Data input'!X50-'Data input'!X$108)/('Data input'!X$109-'Data input'!X$108)+1)</f>
        <v/>
      </c>
      <c r="Y50" s="16" t="str">
        <f>IF('Data input'!Y50="","",4*('Data input'!Y50-'Data input'!Y$108)/('Data input'!Y$109-'Data input'!Y$108)+1)</f>
        <v/>
      </c>
      <c r="Z50" s="16" t="str">
        <f>IF('Data input'!Z50="","",4*('Data input'!Z50-'Data input'!Z$108)/('Data input'!Z$109-'Data input'!Z$108)+1)</f>
        <v/>
      </c>
      <c r="AA50" s="62" t="str">
        <f>IF('Data input'!AA50="","",4*('Data input'!AA50-'Data input'!AA$108)/('Data input'!AA$109-'Data input'!AA$108)+1)</f>
        <v/>
      </c>
      <c r="AB50" s="78"/>
      <c r="AC50" s="79">
        <v>0</v>
      </c>
      <c r="AD50" s="80" t="e">
        <f t="shared" si="13"/>
        <v>#DIV/0!</v>
      </c>
      <c r="AE50" s="4"/>
      <c r="AF50" s="59">
        <f t="shared" si="14"/>
        <v>48</v>
      </c>
      <c r="AG50" s="60" t="str">
        <f t="shared" si="14"/>
        <v>West Virginia</v>
      </c>
      <c r="AH50">
        <v>3.5508048866198969</v>
      </c>
      <c r="AI50" t="s">
        <v>69</v>
      </c>
      <c r="AJ50" t="s">
        <v>69</v>
      </c>
      <c r="AK50" t="s">
        <v>69</v>
      </c>
      <c r="AL50" t="s">
        <v>69</v>
      </c>
      <c r="AM50">
        <v>1.0742932351327221</v>
      </c>
      <c r="AN50">
        <v>1.5506136655923186E-2</v>
      </c>
      <c r="AO50" t="s">
        <v>69</v>
      </c>
      <c r="AP50" t="s">
        <v>69</v>
      </c>
      <c r="AQ50" t="s">
        <v>69</v>
      </c>
      <c r="AR50">
        <v>0.18193268522677225</v>
      </c>
      <c r="AS50" s="71">
        <f t="shared" si="15"/>
        <v>4.7265155267773906</v>
      </c>
      <c r="AT50" s="71" t="str">
        <f t="shared" si="15"/>
        <v/>
      </c>
      <c r="AU50" s="71" t="str">
        <f t="shared" si="15"/>
        <v/>
      </c>
      <c r="AV50" s="71" t="str">
        <f t="shared" si="15"/>
        <v/>
      </c>
      <c r="AW50" s="71" t="str">
        <f t="shared" si="15"/>
        <v/>
      </c>
      <c r="AX50" s="71">
        <f t="shared" si="16"/>
        <v>1.0000000000000004</v>
      </c>
      <c r="AY50" s="71">
        <f t="shared" si="16"/>
        <v>1.0989393301145487</v>
      </c>
      <c r="AZ50" s="71" t="str">
        <f t="shared" si="16"/>
        <v/>
      </c>
      <c r="BA50" s="71" t="str">
        <f t="shared" si="16"/>
        <v/>
      </c>
      <c r="BB50" s="71" t="str">
        <f t="shared" si="16"/>
        <v/>
      </c>
      <c r="BC50" s="18">
        <f>IF(C50&lt;&gt;"",(('Data input'!C$109-'Data input'!C$108)*(AS50-1)/4)+'Data input'!C$108,"")</f>
        <v>0.98636323402298709</v>
      </c>
      <c r="BD50" s="18" t="str">
        <f>IF(D50&lt;&gt;"",(('Data input'!D$109-'Data input'!D$108)*(AT50-1)/4)+'Data input'!D$108,"")</f>
        <v/>
      </c>
      <c r="BE50" s="18" t="str">
        <f>IF(E50&lt;&gt;"",(('Data input'!E$109-'Data input'!E$108)*(AU50-1)/4)+'Data input'!E$108,"")</f>
        <v/>
      </c>
      <c r="BF50" s="18" t="str">
        <f>IF(F50&lt;&gt;"",(('Data input'!F$109-'Data input'!F$108)*(AV50-1)/4)+'Data input'!F$108,"")</f>
        <v/>
      </c>
      <c r="BG50" s="18" t="str">
        <f>IF(G50&lt;&gt;"",(('Data input'!G$109-'Data input'!G$108)*(AW50-1)/4)+'Data input'!G$108,"")</f>
        <v/>
      </c>
      <c r="BH50" s="19">
        <f>IF(H50&lt;&gt;"",(('Data input'!H$109-'Data input'!H$108)*(AX50-1)/4)+'Data input'!H$108,"")</f>
        <v>0.29574268608403681</v>
      </c>
      <c r="BI50" s="18">
        <f>IF(I50&lt;&gt;"",(('Data input'!I$109-'Data input'!I$108)*(AY50-1)/4)+'Data input'!I$108,"")</f>
        <v>4.3442748535145069E-3</v>
      </c>
      <c r="BJ50" s="19" t="str">
        <f>IF(J50&lt;&gt;"",(('Data input'!J$109-'Data input'!J$108)*(AZ50-1)/4)+'Data input'!J$108,"")</f>
        <v/>
      </c>
      <c r="BK50" s="19" t="str">
        <f>IF(K50&lt;&gt;"",(('Data input'!K$109-'Data input'!K$108)*(BA50-1)/4)+'Data input'!K$108,"")</f>
        <v/>
      </c>
      <c r="BL50" s="19" t="str">
        <f>IF(L50&lt;&gt;"",(('Data input'!L$109-'Data input'!L$108)*(BB50-1)/4)+'Data input'!L$108,"")</f>
        <v/>
      </c>
      <c r="BM50" s="18">
        <f>IF(C50&lt;&gt;"",BC50-'Data input'!C50,"")</f>
        <v>0.12891967289505968</v>
      </c>
      <c r="BN50" s="18" t="str">
        <f>IF(D50&lt;&gt;"",BD50-'Data input'!D50,"")</f>
        <v/>
      </c>
      <c r="BO50" s="18" t="str">
        <f>IF(E50&lt;&gt;"",BE50-'Data input'!E50,"")</f>
        <v/>
      </c>
      <c r="BP50" s="18" t="str">
        <f>IF(F50&lt;&gt;"",BF50-'Data input'!F50,"")</f>
        <v/>
      </c>
      <c r="BQ50" s="18" t="str">
        <f>IF(G50&lt;&gt;"",BG50-'Data input'!G50,"")</f>
        <v/>
      </c>
      <c r="BR50" s="19">
        <f>IF(H50&lt;&gt;"",BH50-'Data input'!H50,"")</f>
        <v>-23.395776324510202</v>
      </c>
      <c r="BS50" s="18">
        <f>IF(I50&lt;&gt;"",BI50-'Data input'!I50,"")</f>
        <v>-6.8085077462619673E-4</v>
      </c>
      <c r="BT50" s="18" t="str">
        <f>IF(J50&lt;&gt;"",BJ50-'Data input'!J50,"")</f>
        <v/>
      </c>
      <c r="BU50" s="18" t="str">
        <f>IF(K50&lt;&gt;"",BK50-'Data input'!K50,"")</f>
        <v/>
      </c>
      <c r="BV50" s="72" t="str">
        <f>IF(L50&lt;&gt;"",BL50-'Data input'!L50,"")</f>
        <v/>
      </c>
      <c r="BW50" s="121" t="str">
        <f t="shared" si="17"/>
        <v xml:space="preserve">Texas; </v>
      </c>
      <c r="BX50" s="1">
        <v>0</v>
      </c>
      <c r="BY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F50" s="1">
        <v>0</v>
      </c>
      <c r="CG50" s="1">
        <v>0</v>
      </c>
      <c r="CH50" s="1">
        <v>0</v>
      </c>
      <c r="CI50" s="1">
        <v>0</v>
      </c>
      <c r="CJ50" s="1">
        <v>0</v>
      </c>
      <c r="CK50" s="1">
        <v>0</v>
      </c>
      <c r="CL50" s="1">
        <v>0</v>
      </c>
      <c r="CM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T50" s="1">
        <v>0</v>
      </c>
      <c r="CU50" s="1">
        <v>0</v>
      </c>
      <c r="CV50" s="1">
        <v>0</v>
      </c>
      <c r="CW50" s="1">
        <v>0</v>
      </c>
      <c r="CX50" s="1">
        <v>0</v>
      </c>
      <c r="CY50" s="1">
        <v>0</v>
      </c>
      <c r="CZ50" s="1">
        <v>3.0708429747465716E-15</v>
      </c>
      <c r="DA50" s="1">
        <v>0</v>
      </c>
      <c r="DB50" s="1">
        <v>0</v>
      </c>
      <c r="DC50" s="1">
        <v>0</v>
      </c>
      <c r="DD50" s="1">
        <v>0</v>
      </c>
      <c r="DE50" s="1">
        <v>0</v>
      </c>
      <c r="DF50" s="1">
        <v>0</v>
      </c>
      <c r="DG50" s="1">
        <v>0</v>
      </c>
      <c r="DH50" s="1">
        <v>0</v>
      </c>
      <c r="DI50" s="1">
        <v>0</v>
      </c>
      <c r="DJ50" s="1">
        <v>0</v>
      </c>
      <c r="DK50" s="1">
        <v>0</v>
      </c>
      <c r="DL50" s="1">
        <v>0</v>
      </c>
      <c r="DM50" s="1">
        <v>0</v>
      </c>
      <c r="DN50" s="1">
        <v>0.9999999999998993</v>
      </c>
      <c r="DO50" s="1">
        <v>0</v>
      </c>
      <c r="DP50" s="1">
        <v>0</v>
      </c>
      <c r="DQ50" s="1">
        <v>0</v>
      </c>
      <c r="DR50" s="1">
        <v>0</v>
      </c>
      <c r="DS50" s="1">
        <v>0</v>
      </c>
      <c r="DT50" s="1">
        <v>0</v>
      </c>
      <c r="DU50" s="1">
        <v>0</v>
      </c>
      <c r="DV50" s="1">
        <v>0</v>
      </c>
      <c r="DW50" s="1">
        <v>0</v>
      </c>
      <c r="DX50" s="1">
        <v>0</v>
      </c>
      <c r="DY50" s="1">
        <v>0</v>
      </c>
      <c r="DZ50" s="1">
        <v>0</v>
      </c>
      <c r="FT50" s="1" t="str">
        <f t="shared" ref="FT50:GH66" si="33">IF(BX50&gt;0.0001,CONCATENATE(BX$2,"; "),"")</f>
        <v/>
      </c>
      <c r="FU50" s="1" t="str">
        <f t="shared" si="33"/>
        <v/>
      </c>
      <c r="FV50" s="1" t="str">
        <f t="shared" si="33"/>
        <v/>
      </c>
      <c r="FW50" s="1" t="str">
        <f t="shared" si="33"/>
        <v/>
      </c>
      <c r="FX50" s="1" t="str">
        <f t="shared" si="33"/>
        <v/>
      </c>
      <c r="FY50" s="1" t="str">
        <f t="shared" si="33"/>
        <v/>
      </c>
      <c r="FZ50" s="1" t="str">
        <f t="shared" si="33"/>
        <v/>
      </c>
      <c r="GA50" s="1" t="str">
        <f t="shared" si="33"/>
        <v/>
      </c>
      <c r="GB50" s="1" t="str">
        <f t="shared" si="33"/>
        <v/>
      </c>
      <c r="GC50" s="1" t="str">
        <f t="shared" si="33"/>
        <v/>
      </c>
      <c r="GD50" s="1" t="str">
        <f t="shared" si="33"/>
        <v/>
      </c>
      <c r="GE50" s="1" t="str">
        <f t="shared" si="33"/>
        <v/>
      </c>
      <c r="GF50" s="1" t="str">
        <f t="shared" si="33"/>
        <v/>
      </c>
      <c r="GG50" s="1" t="str">
        <f t="shared" si="33"/>
        <v/>
      </c>
      <c r="GH50" s="1" t="str">
        <f t="shared" si="33"/>
        <v/>
      </c>
      <c r="GI50" s="1" t="str">
        <f t="shared" si="32"/>
        <v/>
      </c>
      <c r="GJ50" s="1" t="str">
        <f t="shared" si="31"/>
        <v/>
      </c>
      <c r="GK50" s="1" t="str">
        <f t="shared" si="31"/>
        <v/>
      </c>
      <c r="GL50" s="1" t="str">
        <f t="shared" si="31"/>
        <v/>
      </c>
      <c r="GM50" s="1" t="str">
        <f t="shared" si="31"/>
        <v/>
      </c>
      <c r="GN50" s="1" t="str">
        <f t="shared" si="31"/>
        <v/>
      </c>
      <c r="GO50" s="1" t="str">
        <f t="shared" si="31"/>
        <v/>
      </c>
      <c r="GP50" s="1" t="str">
        <f t="shared" si="31"/>
        <v/>
      </c>
      <c r="GQ50" s="1" t="str">
        <f t="shared" si="31"/>
        <v/>
      </c>
      <c r="GR50" s="1" t="str">
        <f t="shared" si="31"/>
        <v/>
      </c>
      <c r="GS50" s="1" t="str">
        <f t="shared" si="31"/>
        <v/>
      </c>
      <c r="GT50" s="1" t="str">
        <f t="shared" si="31"/>
        <v/>
      </c>
      <c r="GU50" s="1" t="str">
        <f t="shared" si="31"/>
        <v/>
      </c>
      <c r="GV50" s="1" t="str">
        <f t="shared" si="31"/>
        <v/>
      </c>
      <c r="GW50" s="1" t="str">
        <f t="shared" si="31"/>
        <v/>
      </c>
      <c r="GX50" s="1" t="str">
        <f t="shared" si="26"/>
        <v/>
      </c>
      <c r="GY50" s="1" t="str">
        <f t="shared" si="26"/>
        <v/>
      </c>
      <c r="GZ50" s="1" t="str">
        <f t="shared" si="26"/>
        <v/>
      </c>
      <c r="HA50" s="1" t="str">
        <f t="shared" si="26"/>
        <v/>
      </c>
      <c r="HB50" s="1" t="str">
        <f t="shared" si="26"/>
        <v/>
      </c>
      <c r="HC50" s="1" t="str">
        <f t="shared" si="26"/>
        <v/>
      </c>
      <c r="HD50" s="1" t="str">
        <f t="shared" si="26"/>
        <v/>
      </c>
      <c r="HE50" s="1" t="str">
        <f t="shared" si="26"/>
        <v/>
      </c>
      <c r="HF50" s="1" t="str">
        <f t="shared" si="26"/>
        <v/>
      </c>
      <c r="HG50" s="1" t="str">
        <f t="shared" si="26"/>
        <v/>
      </c>
      <c r="HH50" s="1" t="str">
        <f t="shared" si="26"/>
        <v/>
      </c>
      <c r="HI50" s="1" t="str">
        <f t="shared" si="26"/>
        <v/>
      </c>
      <c r="HJ50" s="1" t="str">
        <f t="shared" si="26"/>
        <v xml:space="preserve">Texas; </v>
      </c>
      <c r="HK50" s="1" t="str">
        <f t="shared" ref="HK50:HZ66" si="34">IF(DO50&gt;0.0001,CONCATENATE(DO$2,"; "),"")</f>
        <v/>
      </c>
      <c r="HL50" s="1" t="str">
        <f t="shared" si="34"/>
        <v/>
      </c>
      <c r="HM50" s="1" t="str">
        <f t="shared" si="34"/>
        <v/>
      </c>
      <c r="HN50" s="1" t="str">
        <f t="shared" si="27"/>
        <v/>
      </c>
      <c r="HO50" s="1" t="str">
        <f t="shared" si="27"/>
        <v/>
      </c>
      <c r="HP50" s="1" t="str">
        <f t="shared" si="27"/>
        <v/>
      </c>
      <c r="HQ50" s="1" t="str">
        <f t="shared" si="27"/>
        <v/>
      </c>
      <c r="HR50" s="1" t="str">
        <f t="shared" si="27"/>
        <v/>
      </c>
      <c r="HS50" s="1" t="str">
        <f t="shared" si="27"/>
        <v/>
      </c>
      <c r="HT50" s="1" t="str">
        <f t="shared" si="27"/>
        <v/>
      </c>
      <c r="HU50" s="1" t="str">
        <f t="shared" si="27"/>
        <v/>
      </c>
      <c r="HV50" s="1" t="str">
        <f t="shared" si="27"/>
        <v/>
      </c>
      <c r="HW50" s="1" t="str">
        <f t="shared" si="27"/>
        <v/>
      </c>
      <c r="HX50" s="1" t="str">
        <f t="shared" si="27"/>
        <v/>
      </c>
      <c r="HY50" s="1" t="str">
        <f t="shared" si="27"/>
        <v/>
      </c>
      <c r="HZ50" s="1" t="str">
        <f t="shared" si="27"/>
        <v/>
      </c>
      <c r="IA50" s="1" t="str">
        <f t="shared" ref="IA50:IP66" si="35">IF(EE50&gt;0.0001,CONCATENATE(EE$2,"; "),"")</f>
        <v/>
      </c>
      <c r="IB50" s="1" t="str">
        <f t="shared" si="35"/>
        <v/>
      </c>
      <c r="IC50" s="1" t="str">
        <f t="shared" si="35"/>
        <v/>
      </c>
      <c r="ID50" s="1" t="str">
        <f t="shared" si="28"/>
        <v/>
      </c>
      <c r="IE50" s="1" t="str">
        <f t="shared" si="28"/>
        <v/>
      </c>
      <c r="IF50" s="1" t="str">
        <f t="shared" si="28"/>
        <v/>
      </c>
      <c r="IG50" s="1" t="str">
        <f t="shared" si="28"/>
        <v/>
      </c>
      <c r="IH50" s="1" t="str">
        <f t="shared" si="28"/>
        <v/>
      </c>
      <c r="II50" s="1" t="str">
        <f t="shared" si="28"/>
        <v/>
      </c>
      <c r="IJ50" s="1" t="str">
        <f t="shared" si="28"/>
        <v/>
      </c>
      <c r="IK50" s="1" t="str">
        <f t="shared" si="28"/>
        <v/>
      </c>
      <c r="IL50" s="1" t="str">
        <f t="shared" si="28"/>
        <v/>
      </c>
      <c r="IM50" s="1" t="str">
        <f t="shared" si="28"/>
        <v/>
      </c>
      <c r="IN50" s="1" t="str">
        <f t="shared" si="28"/>
        <v/>
      </c>
      <c r="IO50" s="1" t="str">
        <f t="shared" si="28"/>
        <v/>
      </c>
      <c r="IP50" s="1" t="str">
        <f t="shared" si="28"/>
        <v/>
      </c>
      <c r="IQ50" s="1" t="str">
        <f t="shared" ref="IQ50:JF66" si="36">IF(EU50&gt;0.0001,CONCATENATE(EU$2,"; "),"")</f>
        <v/>
      </c>
      <c r="IR50" s="1" t="str">
        <f t="shared" si="36"/>
        <v/>
      </c>
      <c r="IS50" s="1" t="str">
        <f t="shared" si="36"/>
        <v/>
      </c>
      <c r="IT50" s="1" t="str">
        <f t="shared" si="29"/>
        <v/>
      </c>
      <c r="IU50" s="1" t="str">
        <f t="shared" si="29"/>
        <v/>
      </c>
      <c r="IV50" s="1" t="str">
        <f t="shared" si="29"/>
        <v/>
      </c>
      <c r="IW50" s="1" t="str">
        <f t="shared" si="29"/>
        <v/>
      </c>
      <c r="IX50" s="1" t="str">
        <f t="shared" si="29"/>
        <v/>
      </c>
      <c r="IY50" s="1" t="str">
        <f t="shared" si="29"/>
        <v/>
      </c>
      <c r="IZ50" s="1" t="str">
        <f t="shared" si="29"/>
        <v/>
      </c>
      <c r="JA50" s="1" t="str">
        <f t="shared" si="29"/>
        <v/>
      </c>
      <c r="JB50" s="1" t="str">
        <f t="shared" si="29"/>
        <v/>
      </c>
      <c r="JC50" s="1" t="str">
        <f t="shared" si="29"/>
        <v/>
      </c>
      <c r="JD50" s="1" t="str">
        <f t="shared" si="29"/>
        <v/>
      </c>
      <c r="JE50" s="1" t="str">
        <f t="shared" si="29"/>
        <v/>
      </c>
      <c r="JF50" s="1" t="str">
        <f t="shared" si="29"/>
        <v/>
      </c>
      <c r="JG50" s="1" t="str">
        <f t="shared" ref="JG50:JO102" si="37">IF(FK50&gt;0.0001,CONCATENATE(FK$2,"; "),"")</f>
        <v/>
      </c>
      <c r="JH50" s="1" t="str">
        <f t="shared" si="37"/>
        <v/>
      </c>
      <c r="JI50" s="1" t="str">
        <f t="shared" si="37"/>
        <v/>
      </c>
      <c r="JJ50" s="1" t="str">
        <f t="shared" si="30"/>
        <v/>
      </c>
      <c r="JK50" s="1" t="str">
        <f t="shared" si="30"/>
        <v/>
      </c>
      <c r="JL50" s="1" t="str">
        <f t="shared" si="24"/>
        <v/>
      </c>
      <c r="JM50" s="1" t="str">
        <f t="shared" si="12"/>
        <v/>
      </c>
      <c r="JN50" s="1" t="str">
        <f t="shared" si="12"/>
        <v/>
      </c>
      <c r="JO50" s="1" t="str">
        <f t="shared" si="12"/>
        <v/>
      </c>
    </row>
    <row r="51" spans="1:275" ht="14.5" x14ac:dyDescent="0.35">
      <c r="A51" s="59">
        <f>IF('Data input'!A51&lt;&gt;"",'Data input'!A51,"")</f>
        <v>49</v>
      </c>
      <c r="B51" s="60" t="str">
        <f>IF('Data input'!B51&lt;&gt;"",'Data input'!B51,"")</f>
        <v>Wisconsin</v>
      </c>
      <c r="C51" s="19">
        <f>IF('Data input'!C51="","",4*('Data input'!C51-'Data input'!C$108)/('Data input'!C$109-'Data input'!C$108)+1)</f>
        <v>4.7269757856908008</v>
      </c>
      <c r="D51" s="19" t="str">
        <f>IF('Data input'!D51="","",4*('Data input'!D51-'Data input'!D$108)/('Data input'!D$109-'Data input'!D$108)+1)</f>
        <v/>
      </c>
      <c r="E51" s="19" t="str">
        <f>IF('Data input'!E51="","",4*('Data input'!E51-'Data input'!E$108)/('Data input'!E$109-'Data input'!E$108)+1)</f>
        <v/>
      </c>
      <c r="F51" s="19" t="str">
        <f>IF('Data input'!F51="","",4*('Data input'!F51-'Data input'!F$108)/('Data input'!F$109-'Data input'!F$108)+1)</f>
        <v/>
      </c>
      <c r="G51" s="19" t="str">
        <f>IF('Data input'!G51="","",4*('Data input'!G51-'Data input'!G$108)/('Data input'!G$109-'Data input'!G$108)+1)</f>
        <v/>
      </c>
      <c r="H51" s="61">
        <f>IF('Data input'!H51="","",4*('Data input'!H51-'Data input'!H$108)/('Data input'!H$109-'Data input'!H$108)+1)</f>
        <v>1.0847569708477105</v>
      </c>
      <c r="I51" s="19">
        <f>IF('Data input'!I51="","",4*('Data input'!I51-'Data input'!I$108)/('Data input'!I$109-'Data input'!I$108)+1)</f>
        <v>1.6028771899207126</v>
      </c>
      <c r="J51" s="19" t="str">
        <f>IF('Data input'!J51="","",4*('Data input'!J51-'Data input'!J$108)/('Data input'!J$109-'Data input'!J$108)+1)</f>
        <v/>
      </c>
      <c r="K51" s="19" t="str">
        <f>IF('Data input'!K51="","",4*('Data input'!K51-'Data input'!K$108)/('Data input'!K$109-'Data input'!K$108)+1)</f>
        <v/>
      </c>
      <c r="L51" s="19" t="str">
        <f>IF('Data input'!L51="","",4*('Data input'!L51-'Data input'!L$108)/('Data input'!L$109-'Data input'!L$108)+1)</f>
        <v/>
      </c>
      <c r="M51" s="19">
        <f>IF('Data input'!M51="","",4*('Data input'!M51-'Data input'!M$108)/('Data input'!M$109-'Data input'!M$108)+1)</f>
        <v>2.0599799468703059</v>
      </c>
      <c r="N51" s="16" t="str">
        <f>IF('Data input'!N51="","",4*('Data input'!N51-'Data input'!N$108)/('Data input'!N$109-'Data input'!N$108)+1)</f>
        <v/>
      </c>
      <c r="O51" s="19" t="str">
        <f>IF('Data input'!O51="","",4*('Data input'!O51-'Data input'!O$108)/('Data input'!O$109-'Data input'!O$108)+1)</f>
        <v/>
      </c>
      <c r="P51" s="19" t="str">
        <f>IF('Data input'!P51="","",4*('Data input'!P51-'Data input'!P$108)/('Data input'!P$109-'Data input'!P$108)+1)</f>
        <v/>
      </c>
      <c r="Q51" s="19" t="str">
        <f>IF('Data input'!Q51="","",4*('Data input'!Q51-'Data input'!Q$108)/('Data input'!Q$109-'Data input'!Q$108)+1)</f>
        <v/>
      </c>
      <c r="R51" s="19" t="str">
        <f>IF('Data input'!R51="","",4*('Data input'!R51-'Data input'!R$108)/('Data input'!R$109-'Data input'!R$108)+1)</f>
        <v/>
      </c>
      <c r="S51" s="16" t="str">
        <f>IF('Data input'!S51="","",4*('Data input'!S51-'Data input'!S$108)/('Data input'!S$109-'Data input'!S$108)+1)</f>
        <v/>
      </c>
      <c r="T51" s="19" t="str">
        <f>IF('Data input'!T51="","",4*('Data input'!T51-'Data input'!T$108)/('Data input'!T$109-'Data input'!T$108)+1)</f>
        <v/>
      </c>
      <c r="U51" s="19" t="str">
        <f>IF('Data input'!U51="","",4*('Data input'!U51-'Data input'!U$108)/('Data input'!U$109-'Data input'!U$108)+1)</f>
        <v/>
      </c>
      <c r="V51" s="19" t="str">
        <f>IF('Data input'!V51="","",4*('Data input'!V51-'Data input'!V$108)/('Data input'!V$109-'Data input'!V$108)+1)</f>
        <v/>
      </c>
      <c r="W51" s="16" t="str">
        <f>IF('Data input'!W51="","",4*('Data input'!W51-'Data input'!W$108)/('Data input'!W$109-'Data input'!W$108)+1)</f>
        <v/>
      </c>
      <c r="X51" s="16" t="str">
        <f>IF('Data input'!X51="","",4*('Data input'!X51-'Data input'!X$108)/('Data input'!X$109-'Data input'!X$108)+1)</f>
        <v/>
      </c>
      <c r="Y51" s="16" t="str">
        <f>IF('Data input'!Y51="","",4*('Data input'!Y51-'Data input'!Y$108)/('Data input'!Y$109-'Data input'!Y$108)+1)</f>
        <v/>
      </c>
      <c r="Z51" s="16" t="str">
        <f>IF('Data input'!Z51="","",4*('Data input'!Z51-'Data input'!Z$108)/('Data input'!Z$109-'Data input'!Z$108)+1)</f>
        <v/>
      </c>
      <c r="AA51" s="62" t="str">
        <f>IF('Data input'!AA51="","",4*('Data input'!AA51-'Data input'!AA$108)/('Data input'!AA$109-'Data input'!AA$108)+1)</f>
        <v/>
      </c>
      <c r="AB51" s="78"/>
      <c r="AC51" s="79">
        <v>0</v>
      </c>
      <c r="AD51" s="80" t="e">
        <f t="shared" si="13"/>
        <v>#DIV/0!</v>
      </c>
      <c r="AE51" s="4"/>
      <c r="AF51" s="59">
        <f t="shared" si="14"/>
        <v>49</v>
      </c>
      <c r="AG51" s="60" t="str">
        <f t="shared" si="14"/>
        <v>Wisconsin</v>
      </c>
      <c r="AH51">
        <v>8.7937933787838374E-2</v>
      </c>
      <c r="AI51" t="s">
        <v>69</v>
      </c>
      <c r="AJ51" t="s">
        <v>69</v>
      </c>
      <c r="AK51" t="s">
        <v>69</v>
      </c>
      <c r="AL51" t="s">
        <v>69</v>
      </c>
      <c r="AM51">
        <v>8.47569708477105E-2</v>
      </c>
      <c r="AN51">
        <v>0.10129130015297623</v>
      </c>
      <c r="AO51" t="s">
        <v>69</v>
      </c>
      <c r="AP51" t="s">
        <v>69</v>
      </c>
      <c r="AQ51" t="s">
        <v>69</v>
      </c>
      <c r="AR51">
        <v>0.89809418002726604</v>
      </c>
      <c r="AS51" s="71">
        <f t="shared" si="15"/>
        <v>4.8149137194786391</v>
      </c>
      <c r="AT51" s="71" t="str">
        <f t="shared" si="15"/>
        <v/>
      </c>
      <c r="AU51" s="71" t="str">
        <f t="shared" si="15"/>
        <v/>
      </c>
      <c r="AV51" s="71" t="str">
        <f t="shared" si="15"/>
        <v/>
      </c>
      <c r="AW51" s="71" t="str">
        <f t="shared" si="15"/>
        <v/>
      </c>
      <c r="AX51" s="71">
        <f t="shared" si="16"/>
        <v>1</v>
      </c>
      <c r="AY51" s="71">
        <f t="shared" si="16"/>
        <v>1.5015858897677363</v>
      </c>
      <c r="AZ51" s="71" t="str">
        <f t="shared" si="16"/>
        <v/>
      </c>
      <c r="BA51" s="71" t="str">
        <f t="shared" si="16"/>
        <v/>
      </c>
      <c r="BB51" s="71" t="str">
        <f t="shared" si="16"/>
        <v/>
      </c>
      <c r="BC51" s="18">
        <f>IF(C51&lt;&gt;"",(('Data input'!C$109-'Data input'!C$108)*(AS51-1)/4)+'Data input'!C$108,"")</f>
        <v>0.9895727221394709</v>
      </c>
      <c r="BD51" s="18" t="str">
        <f>IF(D51&lt;&gt;"",(('Data input'!D$109-'Data input'!D$108)*(AT51-1)/4)+'Data input'!D$108,"")</f>
        <v/>
      </c>
      <c r="BE51" s="18" t="str">
        <f>IF(E51&lt;&gt;"",(('Data input'!E$109-'Data input'!E$108)*(AU51-1)/4)+'Data input'!E$108,"")</f>
        <v/>
      </c>
      <c r="BF51" s="18" t="str">
        <f>IF(F51&lt;&gt;"",(('Data input'!F$109-'Data input'!F$108)*(AV51-1)/4)+'Data input'!F$108,"")</f>
        <v/>
      </c>
      <c r="BG51" s="18" t="str">
        <f>IF(G51&lt;&gt;"",(('Data input'!G$109-'Data input'!G$108)*(AW51-1)/4)+'Data input'!G$108,"")</f>
        <v/>
      </c>
      <c r="BH51" s="19">
        <f>IF(H51&lt;&gt;"",(('Data input'!H$109-'Data input'!H$108)*(AX51-1)/4)+'Data input'!H$108,"")</f>
        <v>0.29574268608402715</v>
      </c>
      <c r="BI51" s="18">
        <f>IF(I51&lt;&gt;"",(('Data input'!I$109-'Data input'!I$108)*(AY51-1)/4)+'Data input'!I$108,"")</f>
        <v>2.2023870237173334E-2</v>
      </c>
      <c r="BJ51" s="19" t="str">
        <f>IF(J51&lt;&gt;"",(('Data input'!J$109-'Data input'!J$108)*(AZ51-1)/4)+'Data input'!J$108,"")</f>
        <v/>
      </c>
      <c r="BK51" s="19" t="str">
        <f>IF(K51&lt;&gt;"",(('Data input'!K$109-'Data input'!K$108)*(BA51-1)/4)+'Data input'!K$108,"")</f>
        <v/>
      </c>
      <c r="BL51" s="19" t="str">
        <f>IF(L51&lt;&gt;"",(('Data input'!L$109-'Data input'!L$108)*(BB51-1)/4)+'Data input'!L$108,"")</f>
        <v/>
      </c>
      <c r="BM51" s="18">
        <f>IF(C51&lt;&gt;"",BC51-'Data input'!C51,"")</f>
        <v>3.1927774183581059E-3</v>
      </c>
      <c r="BN51" s="18" t="str">
        <f>IF(D51&lt;&gt;"",BD51-'Data input'!D51,"")</f>
        <v/>
      </c>
      <c r="BO51" s="18" t="str">
        <f>IF(E51&lt;&gt;"",BE51-'Data input'!E51,"")</f>
        <v/>
      </c>
      <c r="BP51" s="18" t="str">
        <f>IF(F51&lt;&gt;"",BF51-'Data input'!F51,"")</f>
        <v/>
      </c>
      <c r="BQ51" s="18" t="str">
        <f>IF(G51&lt;&gt;"",BG51-'Data input'!G51,"")</f>
        <v/>
      </c>
      <c r="BR51" s="19">
        <f>IF(H51&lt;&gt;"",BH51-'Data input'!H51,"")</f>
        <v>-1.8458229718360704</v>
      </c>
      <c r="BS51" s="18">
        <f>IF(I51&lt;&gt;"",BI51-'Data input'!I51,"")</f>
        <v>-4.4475462652203562E-3</v>
      </c>
      <c r="BT51" s="18" t="str">
        <f>IF(J51&lt;&gt;"",BJ51-'Data input'!J51,"")</f>
        <v/>
      </c>
      <c r="BU51" s="18" t="str">
        <f>IF(K51&lt;&gt;"",BK51-'Data input'!K51,"")</f>
        <v/>
      </c>
      <c r="BV51" s="72" t="str">
        <f>IF(L51&lt;&gt;"",BL51-'Data input'!L51,"")</f>
        <v/>
      </c>
      <c r="BW51" s="121" t="str">
        <f t="shared" si="17"/>
        <v xml:space="preserve">Texas; </v>
      </c>
      <c r="BX51" s="1">
        <v>0</v>
      </c>
      <c r="BY51" s="1">
        <v>0</v>
      </c>
      <c r="BZ51" s="1">
        <v>0</v>
      </c>
      <c r="CA51" s="1">
        <v>0</v>
      </c>
      <c r="CB51" s="1">
        <v>0</v>
      </c>
      <c r="CC51" s="1">
        <v>0</v>
      </c>
      <c r="CD51" s="1">
        <v>0</v>
      </c>
      <c r="CE51" s="1">
        <v>0</v>
      </c>
      <c r="CF51" s="1">
        <v>0</v>
      </c>
      <c r="CG51" s="1">
        <v>0</v>
      </c>
      <c r="CH51" s="1">
        <v>0</v>
      </c>
      <c r="CI51" s="1">
        <v>0</v>
      </c>
      <c r="CJ51" s="1">
        <v>0</v>
      </c>
      <c r="CK51" s="1">
        <v>0</v>
      </c>
      <c r="CL51" s="1">
        <v>0</v>
      </c>
      <c r="CM51" s="1">
        <v>0</v>
      </c>
      <c r="CN51" s="1">
        <v>0</v>
      </c>
      <c r="CO51" s="1">
        <v>0</v>
      </c>
      <c r="CP51" s="1">
        <v>0</v>
      </c>
      <c r="CQ51" s="1">
        <v>0</v>
      </c>
      <c r="CR51" s="1">
        <v>0</v>
      </c>
      <c r="CS51" s="1">
        <v>0</v>
      </c>
      <c r="CT51" s="1">
        <v>0</v>
      </c>
      <c r="CU51" s="1">
        <v>0</v>
      </c>
      <c r="CV51" s="1">
        <v>0</v>
      </c>
      <c r="CW51" s="1">
        <v>0</v>
      </c>
      <c r="CX51" s="1">
        <v>0</v>
      </c>
      <c r="CY51" s="1">
        <v>0</v>
      </c>
      <c r="CZ51" s="1">
        <v>0</v>
      </c>
      <c r="DA51" s="1">
        <v>0</v>
      </c>
      <c r="DB51" s="1">
        <v>0</v>
      </c>
      <c r="DC51" s="1">
        <v>0</v>
      </c>
      <c r="DD51" s="1">
        <v>0</v>
      </c>
      <c r="DE51" s="1">
        <v>0</v>
      </c>
      <c r="DF51" s="1">
        <v>0</v>
      </c>
      <c r="DG51" s="1">
        <v>0</v>
      </c>
      <c r="DH51" s="1">
        <v>0</v>
      </c>
      <c r="DI51" s="1">
        <v>0</v>
      </c>
      <c r="DJ51" s="1">
        <v>0</v>
      </c>
      <c r="DK51" s="1">
        <v>0</v>
      </c>
      <c r="DL51" s="1">
        <v>0</v>
      </c>
      <c r="DM51" s="1">
        <v>0</v>
      </c>
      <c r="DN51" s="1">
        <v>0.99999999999999611</v>
      </c>
      <c r="DO51" s="1">
        <v>0</v>
      </c>
      <c r="DP51" s="1">
        <v>0</v>
      </c>
      <c r="DQ51" s="1">
        <v>0</v>
      </c>
      <c r="DR51" s="1">
        <v>0</v>
      </c>
      <c r="DS51" s="1">
        <v>0</v>
      </c>
      <c r="DT51" s="1">
        <v>0</v>
      </c>
      <c r="DU51" s="1">
        <v>0</v>
      </c>
      <c r="DV51" s="1">
        <v>0</v>
      </c>
      <c r="DW51" s="1">
        <v>0</v>
      </c>
      <c r="DX51" s="1">
        <v>0</v>
      </c>
      <c r="DY51" s="1">
        <v>0</v>
      </c>
      <c r="DZ51" s="1">
        <v>0</v>
      </c>
      <c r="FT51" s="1" t="str">
        <f t="shared" si="33"/>
        <v/>
      </c>
      <c r="FU51" s="1" t="str">
        <f t="shared" si="33"/>
        <v/>
      </c>
      <c r="FV51" s="1" t="str">
        <f t="shared" si="33"/>
        <v/>
      </c>
      <c r="FW51" s="1" t="str">
        <f t="shared" si="33"/>
        <v/>
      </c>
      <c r="FX51" s="1" t="str">
        <f t="shared" si="33"/>
        <v/>
      </c>
      <c r="FY51" s="1" t="str">
        <f t="shared" si="33"/>
        <v/>
      </c>
      <c r="FZ51" s="1" t="str">
        <f t="shared" si="33"/>
        <v/>
      </c>
      <c r="GA51" s="1" t="str">
        <f t="shared" si="33"/>
        <v/>
      </c>
      <c r="GB51" s="1" t="str">
        <f t="shared" si="33"/>
        <v/>
      </c>
      <c r="GC51" s="1" t="str">
        <f t="shared" si="33"/>
        <v/>
      </c>
      <c r="GD51" s="1" t="str">
        <f t="shared" si="33"/>
        <v/>
      </c>
      <c r="GE51" s="1" t="str">
        <f t="shared" si="33"/>
        <v/>
      </c>
      <c r="GF51" s="1" t="str">
        <f t="shared" si="33"/>
        <v/>
      </c>
      <c r="GG51" s="1" t="str">
        <f t="shared" si="33"/>
        <v/>
      </c>
      <c r="GH51" s="1" t="str">
        <f t="shared" si="33"/>
        <v/>
      </c>
      <c r="GI51" s="1" t="str">
        <f t="shared" si="32"/>
        <v/>
      </c>
      <c r="GJ51" s="1" t="str">
        <f t="shared" si="31"/>
        <v/>
      </c>
      <c r="GK51" s="1" t="str">
        <f t="shared" si="31"/>
        <v/>
      </c>
      <c r="GL51" s="1" t="str">
        <f t="shared" si="31"/>
        <v/>
      </c>
      <c r="GM51" s="1" t="str">
        <f t="shared" si="31"/>
        <v/>
      </c>
      <c r="GN51" s="1" t="str">
        <f t="shared" si="31"/>
        <v/>
      </c>
      <c r="GO51" s="1" t="str">
        <f t="shared" si="31"/>
        <v/>
      </c>
      <c r="GP51" s="1" t="str">
        <f t="shared" si="31"/>
        <v/>
      </c>
      <c r="GQ51" s="1" t="str">
        <f t="shared" si="31"/>
        <v/>
      </c>
      <c r="GR51" s="1" t="str">
        <f t="shared" si="31"/>
        <v/>
      </c>
      <c r="GS51" s="1" t="str">
        <f t="shared" si="31"/>
        <v/>
      </c>
      <c r="GT51" s="1" t="str">
        <f t="shared" si="31"/>
        <v/>
      </c>
      <c r="GU51" s="1" t="str">
        <f t="shared" si="31"/>
        <v/>
      </c>
      <c r="GV51" s="1" t="str">
        <f t="shared" si="31"/>
        <v/>
      </c>
      <c r="GW51" s="1" t="str">
        <f t="shared" si="31"/>
        <v/>
      </c>
      <c r="GX51" s="1" t="str">
        <f t="shared" si="31"/>
        <v/>
      </c>
      <c r="GY51" s="1" t="str">
        <f t="shared" si="31"/>
        <v/>
      </c>
      <c r="GZ51" s="1" t="str">
        <f t="shared" ref="GZ51:HO71" si="38">IF(DD51&gt;0.0001,CONCATENATE(DD$2,"; "),"")</f>
        <v/>
      </c>
      <c r="HA51" s="1" t="str">
        <f t="shared" si="38"/>
        <v/>
      </c>
      <c r="HB51" s="1" t="str">
        <f t="shared" si="38"/>
        <v/>
      </c>
      <c r="HC51" s="1" t="str">
        <f t="shared" si="38"/>
        <v/>
      </c>
      <c r="HD51" s="1" t="str">
        <f t="shared" si="38"/>
        <v/>
      </c>
      <c r="HE51" s="1" t="str">
        <f t="shared" si="38"/>
        <v/>
      </c>
      <c r="HF51" s="1" t="str">
        <f t="shared" si="38"/>
        <v/>
      </c>
      <c r="HG51" s="1" t="str">
        <f t="shared" si="38"/>
        <v/>
      </c>
      <c r="HH51" s="1" t="str">
        <f t="shared" si="38"/>
        <v/>
      </c>
      <c r="HI51" s="1" t="str">
        <f t="shared" si="38"/>
        <v/>
      </c>
      <c r="HJ51" s="1" t="str">
        <f t="shared" si="38"/>
        <v xml:space="preserve">Texas; </v>
      </c>
      <c r="HK51" s="1" t="str">
        <f t="shared" si="34"/>
        <v/>
      </c>
      <c r="HL51" s="1" t="str">
        <f t="shared" si="34"/>
        <v/>
      </c>
      <c r="HM51" s="1" t="str">
        <f t="shared" si="34"/>
        <v/>
      </c>
      <c r="HN51" s="1" t="str">
        <f t="shared" si="34"/>
        <v/>
      </c>
      <c r="HO51" s="1" t="str">
        <f t="shared" si="34"/>
        <v/>
      </c>
      <c r="HP51" s="1" t="str">
        <f t="shared" si="34"/>
        <v/>
      </c>
      <c r="HQ51" s="1" t="str">
        <f t="shared" si="34"/>
        <v/>
      </c>
      <c r="HR51" s="1" t="str">
        <f t="shared" si="34"/>
        <v/>
      </c>
      <c r="HS51" s="1" t="str">
        <f t="shared" si="34"/>
        <v/>
      </c>
      <c r="HT51" s="1" t="str">
        <f t="shared" si="34"/>
        <v/>
      </c>
      <c r="HU51" s="1" t="str">
        <f t="shared" si="34"/>
        <v/>
      </c>
      <c r="HV51" s="1" t="str">
        <f t="shared" si="34"/>
        <v/>
      </c>
      <c r="HW51" s="1" t="str">
        <f t="shared" si="34"/>
        <v/>
      </c>
      <c r="HX51" s="1" t="str">
        <f t="shared" si="34"/>
        <v/>
      </c>
      <c r="HY51" s="1" t="str">
        <f t="shared" si="34"/>
        <v/>
      </c>
      <c r="HZ51" s="1" t="str">
        <f t="shared" si="34"/>
        <v/>
      </c>
      <c r="IA51" s="1" t="str">
        <f t="shared" si="35"/>
        <v/>
      </c>
      <c r="IB51" s="1" t="str">
        <f t="shared" si="35"/>
        <v/>
      </c>
      <c r="IC51" s="1" t="str">
        <f t="shared" si="35"/>
        <v/>
      </c>
      <c r="ID51" s="1" t="str">
        <f t="shared" si="35"/>
        <v/>
      </c>
      <c r="IE51" s="1" t="str">
        <f t="shared" si="35"/>
        <v/>
      </c>
      <c r="IF51" s="1" t="str">
        <f t="shared" si="35"/>
        <v/>
      </c>
      <c r="IG51" s="1" t="str">
        <f t="shared" si="35"/>
        <v/>
      </c>
      <c r="IH51" s="1" t="str">
        <f t="shared" si="35"/>
        <v/>
      </c>
      <c r="II51" s="1" t="str">
        <f t="shared" si="35"/>
        <v/>
      </c>
      <c r="IJ51" s="1" t="str">
        <f t="shared" si="35"/>
        <v/>
      </c>
      <c r="IK51" s="1" t="str">
        <f t="shared" si="35"/>
        <v/>
      </c>
      <c r="IL51" s="1" t="str">
        <f t="shared" si="35"/>
        <v/>
      </c>
      <c r="IM51" s="1" t="str">
        <f t="shared" si="35"/>
        <v/>
      </c>
      <c r="IN51" s="1" t="str">
        <f t="shared" si="35"/>
        <v/>
      </c>
      <c r="IO51" s="1" t="str">
        <f t="shared" si="35"/>
        <v/>
      </c>
      <c r="IP51" s="1" t="str">
        <f t="shared" si="35"/>
        <v/>
      </c>
      <c r="IQ51" s="1" t="str">
        <f t="shared" si="36"/>
        <v/>
      </c>
      <c r="IR51" s="1" t="str">
        <f t="shared" si="36"/>
        <v/>
      </c>
      <c r="IS51" s="1" t="str">
        <f t="shared" si="36"/>
        <v/>
      </c>
      <c r="IT51" s="1" t="str">
        <f t="shared" si="36"/>
        <v/>
      </c>
      <c r="IU51" s="1" t="str">
        <f t="shared" si="36"/>
        <v/>
      </c>
      <c r="IV51" s="1" t="str">
        <f t="shared" si="36"/>
        <v/>
      </c>
      <c r="IW51" s="1" t="str">
        <f t="shared" si="36"/>
        <v/>
      </c>
      <c r="IX51" s="1" t="str">
        <f t="shared" si="36"/>
        <v/>
      </c>
      <c r="IY51" s="1" t="str">
        <f t="shared" si="36"/>
        <v/>
      </c>
      <c r="IZ51" s="1" t="str">
        <f t="shared" si="36"/>
        <v/>
      </c>
      <c r="JA51" s="1" t="str">
        <f t="shared" si="36"/>
        <v/>
      </c>
      <c r="JB51" s="1" t="str">
        <f t="shared" si="36"/>
        <v/>
      </c>
      <c r="JC51" s="1" t="str">
        <f t="shared" si="36"/>
        <v/>
      </c>
      <c r="JD51" s="1" t="str">
        <f t="shared" si="36"/>
        <v/>
      </c>
      <c r="JE51" s="1" t="str">
        <f t="shared" si="36"/>
        <v/>
      </c>
      <c r="JF51" s="1" t="str">
        <f t="shared" si="36"/>
        <v/>
      </c>
      <c r="JG51" s="1" t="str">
        <f t="shared" si="37"/>
        <v/>
      </c>
      <c r="JH51" s="1" t="str">
        <f t="shared" si="37"/>
        <v/>
      </c>
      <c r="JI51" s="1" t="str">
        <f t="shared" si="37"/>
        <v/>
      </c>
      <c r="JJ51" s="1" t="str">
        <f t="shared" si="30"/>
        <v/>
      </c>
      <c r="JK51" s="1" t="str">
        <f t="shared" si="30"/>
        <v/>
      </c>
      <c r="JL51" s="1" t="str">
        <f t="shared" si="24"/>
        <v/>
      </c>
      <c r="JM51" s="1" t="str">
        <f t="shared" si="12"/>
        <v/>
      </c>
      <c r="JN51" s="1" t="str">
        <f t="shared" si="12"/>
        <v/>
      </c>
      <c r="JO51" s="1" t="str">
        <f t="shared" si="12"/>
        <v/>
      </c>
    </row>
    <row r="52" spans="1:275" ht="14.5" x14ac:dyDescent="0.35">
      <c r="A52" s="59">
        <f>IF('Data input'!A52&lt;&gt;"",'Data input'!A52,"")</f>
        <v>50</v>
      </c>
      <c r="B52" s="60" t="str">
        <f>IF('Data input'!B52&lt;&gt;"",'Data input'!B52,"")</f>
        <v>Wyoming</v>
      </c>
      <c r="C52" s="19">
        <f>IF('Data input'!C52="","",4*('Data input'!C52-'Data input'!C$108)/('Data input'!C$109-'Data input'!C$108)+1)</f>
        <v>3.1225648601169125</v>
      </c>
      <c r="D52" s="19" t="str">
        <f>IF('Data input'!D52="","",4*('Data input'!D52-'Data input'!D$108)/('Data input'!D$109-'Data input'!D$108)+1)</f>
        <v/>
      </c>
      <c r="E52" s="19" t="str">
        <f>IF('Data input'!E52="","",4*('Data input'!E52-'Data input'!E$108)/('Data input'!E$109-'Data input'!E$108)+1)</f>
        <v/>
      </c>
      <c r="F52" s="19" t="str">
        <f>IF('Data input'!F52="","",4*('Data input'!F52-'Data input'!F$108)/('Data input'!F$109-'Data input'!F$108)+1)</f>
        <v/>
      </c>
      <c r="G52" s="19" t="str">
        <f>IF('Data input'!G52="","",4*('Data input'!G52-'Data input'!G$108)/('Data input'!G$109-'Data input'!G$108)+1)</f>
        <v/>
      </c>
      <c r="H52" s="61">
        <f>IF('Data input'!H52="","",4*('Data input'!H52-'Data input'!H$108)/('Data input'!H$109-'Data input'!H$108)+1)</f>
        <v>3.3063678655658033</v>
      </c>
      <c r="I52" s="19">
        <f>IF('Data input'!I52="","",4*('Data input'!I52-'Data input'!I$108)/('Data input'!I$109-'Data input'!I$108)+1)</f>
        <v>2.2605265098444067</v>
      </c>
      <c r="J52" s="19" t="str">
        <f>IF('Data input'!J52="","",4*('Data input'!J52-'Data input'!J$108)/('Data input'!J$109-'Data input'!J$108)+1)</f>
        <v/>
      </c>
      <c r="K52" s="19" t="str">
        <f>IF('Data input'!K52="","",4*('Data input'!K52-'Data input'!K$108)/('Data input'!K$109-'Data input'!K$108)+1)</f>
        <v/>
      </c>
      <c r="L52" s="19" t="str">
        <f>IF('Data input'!L52="","",4*('Data input'!L52-'Data input'!L$108)/('Data input'!L$109-'Data input'!L$108)+1)</f>
        <v/>
      </c>
      <c r="M52" s="19">
        <f>IF('Data input'!M52="","",4*('Data input'!M52-'Data input'!M$108)/('Data input'!M$109-'Data input'!M$108)+1)</f>
        <v>1.3506957548042415</v>
      </c>
      <c r="N52" s="16" t="str">
        <f>IF('Data input'!N52="","",4*('Data input'!N52-'Data input'!N$108)/('Data input'!N$109-'Data input'!N$108)+1)</f>
        <v/>
      </c>
      <c r="O52" s="19" t="str">
        <f>IF('Data input'!O52="","",4*('Data input'!O52-'Data input'!O$108)/('Data input'!O$109-'Data input'!O$108)+1)</f>
        <v/>
      </c>
      <c r="P52" s="19" t="str">
        <f>IF('Data input'!P52="","",4*('Data input'!P52-'Data input'!P$108)/('Data input'!P$109-'Data input'!P$108)+1)</f>
        <v/>
      </c>
      <c r="Q52" s="19" t="str">
        <f>IF('Data input'!Q52="","",4*('Data input'!Q52-'Data input'!Q$108)/('Data input'!Q$109-'Data input'!Q$108)+1)</f>
        <v/>
      </c>
      <c r="R52" s="19" t="str">
        <f>IF('Data input'!R52="","",4*('Data input'!R52-'Data input'!R$108)/('Data input'!R$109-'Data input'!R$108)+1)</f>
        <v/>
      </c>
      <c r="S52" s="16" t="str">
        <f>IF('Data input'!S52="","",4*('Data input'!S52-'Data input'!S$108)/('Data input'!S$109-'Data input'!S$108)+1)</f>
        <v/>
      </c>
      <c r="T52" s="19" t="str">
        <f>IF('Data input'!T52="","",4*('Data input'!T52-'Data input'!T$108)/('Data input'!T$109-'Data input'!T$108)+1)</f>
        <v/>
      </c>
      <c r="U52" s="19" t="str">
        <f>IF('Data input'!U52="","",4*('Data input'!U52-'Data input'!U$108)/('Data input'!U$109-'Data input'!U$108)+1)</f>
        <v/>
      </c>
      <c r="V52" s="19" t="str">
        <f>IF('Data input'!V52="","",4*('Data input'!V52-'Data input'!V$108)/('Data input'!V$109-'Data input'!V$108)+1)</f>
        <v/>
      </c>
      <c r="W52" s="16" t="str">
        <f>IF('Data input'!W52="","",4*('Data input'!W52-'Data input'!W$108)/('Data input'!W$109-'Data input'!W$108)+1)</f>
        <v/>
      </c>
      <c r="X52" s="16" t="str">
        <f>IF('Data input'!X52="","",4*('Data input'!X52-'Data input'!X$108)/('Data input'!X$109-'Data input'!X$108)+1)</f>
        <v/>
      </c>
      <c r="Y52" s="16" t="str">
        <f>IF('Data input'!Y52="","",4*('Data input'!Y52-'Data input'!Y$108)/('Data input'!Y$109-'Data input'!Y$108)+1)</f>
        <v/>
      </c>
      <c r="Z52" s="16" t="str">
        <f>IF('Data input'!Z52="","",4*('Data input'!Z52-'Data input'!Z$108)/('Data input'!Z$109-'Data input'!Z$108)+1)</f>
        <v/>
      </c>
      <c r="AA52" s="62" t="str">
        <f>IF('Data input'!AA52="","",4*('Data input'!AA52-'Data input'!AA$108)/('Data input'!AA$109-'Data input'!AA$108)+1)</f>
        <v/>
      </c>
      <c r="AB52" s="78"/>
      <c r="AC52" s="79">
        <v>0</v>
      </c>
      <c r="AD52" s="80" t="e">
        <f t="shared" si="13"/>
        <v>#DIV/0!</v>
      </c>
      <c r="AE52" s="4"/>
      <c r="AF52" s="59">
        <f t="shared" si="14"/>
        <v>50</v>
      </c>
      <c r="AG52" s="60" t="str">
        <f t="shared" si="14"/>
        <v>Wyoming</v>
      </c>
      <c r="AH52">
        <v>1.652411817108145</v>
      </c>
      <c r="AI52" t="s">
        <v>69</v>
      </c>
      <c r="AJ52" t="s">
        <v>69</v>
      </c>
      <c r="AK52" t="s">
        <v>69</v>
      </c>
      <c r="AL52" t="s">
        <v>69</v>
      </c>
      <c r="AM52">
        <v>2.3063678655658046</v>
      </c>
      <c r="AN52">
        <v>0.21679680841415244</v>
      </c>
      <c r="AO52" t="s">
        <v>69</v>
      </c>
      <c r="AP52" t="s">
        <v>69</v>
      </c>
      <c r="AQ52" t="s">
        <v>69</v>
      </c>
      <c r="AR52">
        <v>0.36564794130570627</v>
      </c>
      <c r="AS52" s="71">
        <f t="shared" si="15"/>
        <v>4.774976677225057</v>
      </c>
      <c r="AT52" s="71" t="str">
        <f t="shared" si="15"/>
        <v/>
      </c>
      <c r="AU52" s="71" t="str">
        <f t="shared" si="15"/>
        <v/>
      </c>
      <c r="AV52" s="71" t="str">
        <f t="shared" si="15"/>
        <v/>
      </c>
      <c r="AW52" s="71" t="str">
        <f t="shared" si="15"/>
        <v/>
      </c>
      <c r="AX52" s="71">
        <f t="shared" si="16"/>
        <v>0.99999999999999867</v>
      </c>
      <c r="AY52" s="71">
        <f t="shared" si="16"/>
        <v>2.0437297014302542</v>
      </c>
      <c r="AZ52" s="71" t="str">
        <f t="shared" si="16"/>
        <v/>
      </c>
      <c r="BA52" s="71" t="str">
        <f t="shared" si="16"/>
        <v/>
      </c>
      <c r="BB52" s="71" t="str">
        <f t="shared" si="16"/>
        <v/>
      </c>
      <c r="BC52" s="18">
        <f>IF(C52&lt;&gt;"",(('Data input'!C$109-'Data input'!C$108)*(AS52-1)/4)+'Data input'!C$108,"")</f>
        <v>0.98812272119936595</v>
      </c>
      <c r="BD52" s="18" t="str">
        <f>IF(D52&lt;&gt;"",(('Data input'!D$109-'Data input'!D$108)*(AT52-1)/4)+'Data input'!D$108,"")</f>
        <v/>
      </c>
      <c r="BE52" s="18" t="str">
        <f>IF(E52&lt;&gt;"",(('Data input'!E$109-'Data input'!E$108)*(AU52-1)/4)+'Data input'!E$108,"")</f>
        <v/>
      </c>
      <c r="BF52" s="18" t="str">
        <f>IF(F52&lt;&gt;"",(('Data input'!F$109-'Data input'!F$108)*(AV52-1)/4)+'Data input'!F$108,"")</f>
        <v/>
      </c>
      <c r="BG52" s="18" t="str">
        <f>IF(G52&lt;&gt;"",(('Data input'!G$109-'Data input'!G$108)*(AW52-1)/4)+'Data input'!G$108,"")</f>
        <v/>
      </c>
      <c r="BH52" s="19">
        <f>IF(H52&lt;&gt;"",(('Data input'!H$109-'Data input'!H$108)*(AX52-1)/4)+'Data input'!H$108,"")</f>
        <v>0.29574268608399812</v>
      </c>
      <c r="BI52" s="18">
        <f>IF(I52&lt;&gt;"",(('Data input'!I$109-'Data input'!I$108)*(AY52-1)/4)+'Data input'!I$108,"")</f>
        <v>4.5828576871705662E-2</v>
      </c>
      <c r="BJ52" s="19" t="str">
        <f>IF(J52&lt;&gt;"",(('Data input'!J$109-'Data input'!J$108)*(AZ52-1)/4)+'Data input'!J$108,"")</f>
        <v/>
      </c>
      <c r="BK52" s="19" t="str">
        <f>IF(K52&lt;&gt;"",(('Data input'!K$109-'Data input'!K$108)*(BA52-1)/4)+'Data input'!K$108,"")</f>
        <v/>
      </c>
      <c r="BL52" s="19" t="str">
        <f>IF(L52&lt;&gt;"",(('Data input'!L$109-'Data input'!L$108)*(BB52-1)/4)+'Data input'!L$108,"")</f>
        <v/>
      </c>
      <c r="BM52" s="18">
        <f>IF(C52&lt;&gt;"",BC52-'Data input'!C52,"")</f>
        <v>5.9994395003860723E-2</v>
      </c>
      <c r="BN52" s="18" t="str">
        <f>IF(D52&lt;&gt;"",BD52-'Data input'!D52,"")</f>
        <v/>
      </c>
      <c r="BO52" s="18" t="str">
        <f>IF(E52&lt;&gt;"",BE52-'Data input'!E52,"")</f>
        <v/>
      </c>
      <c r="BP52" s="18" t="str">
        <f>IF(F52&lt;&gt;"",BF52-'Data input'!F52,"")</f>
        <v/>
      </c>
      <c r="BQ52" s="18" t="str">
        <f>IF(G52&lt;&gt;"",BG52-'Data input'!G52,"")</f>
        <v/>
      </c>
      <c r="BR52" s="19">
        <f>IF(H52&lt;&gt;"",BH52-'Data input'!H52,"")</f>
        <v>-50.227689182227103</v>
      </c>
      <c r="BS52" s="18">
        <f>IF(I52&lt;&gt;"",BI52-'Data input'!I52,"")</f>
        <v>-9.5192166959831917E-3</v>
      </c>
      <c r="BT52" s="18" t="str">
        <f>IF(J52&lt;&gt;"",BJ52-'Data input'!J52,"")</f>
        <v/>
      </c>
      <c r="BU52" s="18" t="str">
        <f>IF(K52&lt;&gt;"",BK52-'Data input'!K52,"")</f>
        <v/>
      </c>
      <c r="BV52" s="72" t="str">
        <f>IF(L52&lt;&gt;"",BL52-'Data input'!L52,"")</f>
        <v/>
      </c>
      <c r="BW52" s="121" t="str">
        <f t="shared" si="17"/>
        <v xml:space="preserve">Texas; </v>
      </c>
      <c r="BX52" s="1">
        <v>0</v>
      </c>
      <c r="BY52" s="1">
        <v>0</v>
      </c>
      <c r="BZ52" s="1">
        <v>0</v>
      </c>
      <c r="CA52" s="1">
        <v>0</v>
      </c>
      <c r="CB52" s="1">
        <v>0</v>
      </c>
      <c r="CC52" s="1">
        <v>0</v>
      </c>
      <c r="CD52" s="1">
        <v>0</v>
      </c>
      <c r="CE52" s="1">
        <v>0</v>
      </c>
      <c r="CF52" s="1">
        <v>0</v>
      </c>
      <c r="CG52" s="1">
        <v>0</v>
      </c>
      <c r="CH52" s="1">
        <v>0</v>
      </c>
      <c r="CI52" s="1">
        <v>0</v>
      </c>
      <c r="CJ52" s="1">
        <v>0</v>
      </c>
      <c r="CK52" s="1">
        <v>0</v>
      </c>
      <c r="CL52" s="1">
        <v>0</v>
      </c>
      <c r="CM52" s="1">
        <v>0</v>
      </c>
      <c r="CN52" s="1">
        <v>0</v>
      </c>
      <c r="CO52" s="1">
        <v>0</v>
      </c>
      <c r="CP52" s="1">
        <v>0</v>
      </c>
      <c r="CQ52" s="1">
        <v>0</v>
      </c>
      <c r="CR52" s="1">
        <v>0</v>
      </c>
      <c r="CS52" s="1">
        <v>0</v>
      </c>
      <c r="CT52" s="1">
        <v>0</v>
      </c>
      <c r="CU52" s="1">
        <v>0</v>
      </c>
      <c r="CV52" s="1">
        <v>0</v>
      </c>
      <c r="CW52" s="1">
        <v>0</v>
      </c>
      <c r="CX52" s="1">
        <v>0</v>
      </c>
      <c r="CY52" s="1">
        <v>0</v>
      </c>
      <c r="CZ52" s="1">
        <v>0</v>
      </c>
      <c r="DA52" s="1">
        <v>0</v>
      </c>
      <c r="DB52" s="1">
        <v>0</v>
      </c>
      <c r="DC52" s="1">
        <v>0</v>
      </c>
      <c r="DD52" s="1">
        <v>0</v>
      </c>
      <c r="DE52" s="1">
        <v>0</v>
      </c>
      <c r="DF52" s="1">
        <v>0</v>
      </c>
      <c r="DG52" s="1">
        <v>0</v>
      </c>
      <c r="DH52" s="1">
        <v>0</v>
      </c>
      <c r="DI52" s="1">
        <v>0</v>
      </c>
      <c r="DJ52" s="1">
        <v>0</v>
      </c>
      <c r="DK52" s="1">
        <v>0</v>
      </c>
      <c r="DL52" s="1">
        <v>0</v>
      </c>
      <c r="DM52" s="1">
        <v>0</v>
      </c>
      <c r="DN52" s="1">
        <v>1.0000000000000011</v>
      </c>
      <c r="DO52" s="1">
        <v>0</v>
      </c>
      <c r="DP52" s="1">
        <v>0</v>
      </c>
      <c r="DQ52" s="1">
        <v>0</v>
      </c>
      <c r="DR52" s="1">
        <v>0</v>
      </c>
      <c r="DS52" s="1">
        <v>0</v>
      </c>
      <c r="DT52" s="1">
        <v>0</v>
      </c>
      <c r="DU52" s="1">
        <v>0</v>
      </c>
      <c r="DV52" s="1">
        <v>0</v>
      </c>
      <c r="DW52" s="1">
        <v>0</v>
      </c>
      <c r="DX52" s="1">
        <v>0</v>
      </c>
      <c r="DY52" s="1">
        <v>0</v>
      </c>
      <c r="DZ52" s="1">
        <v>0</v>
      </c>
      <c r="FT52" s="1" t="str">
        <f t="shared" si="33"/>
        <v/>
      </c>
      <c r="FU52" s="1" t="str">
        <f t="shared" si="33"/>
        <v/>
      </c>
      <c r="FV52" s="1" t="str">
        <f t="shared" si="33"/>
        <v/>
      </c>
      <c r="FW52" s="1" t="str">
        <f t="shared" si="33"/>
        <v/>
      </c>
      <c r="FX52" s="1" t="str">
        <f t="shared" si="33"/>
        <v/>
      </c>
      <c r="FY52" s="1" t="str">
        <f t="shared" si="33"/>
        <v/>
      </c>
      <c r="FZ52" s="1" t="str">
        <f t="shared" si="33"/>
        <v/>
      </c>
      <c r="GA52" s="1" t="str">
        <f t="shared" si="33"/>
        <v/>
      </c>
      <c r="GB52" s="1" t="str">
        <f t="shared" si="33"/>
        <v/>
      </c>
      <c r="GC52" s="1" t="str">
        <f t="shared" si="33"/>
        <v/>
      </c>
      <c r="GD52" s="1" t="str">
        <f t="shared" si="33"/>
        <v/>
      </c>
      <c r="GE52" s="1" t="str">
        <f t="shared" si="33"/>
        <v/>
      </c>
      <c r="GF52" s="1" t="str">
        <f t="shared" si="33"/>
        <v/>
      </c>
      <c r="GG52" s="1" t="str">
        <f t="shared" si="33"/>
        <v/>
      </c>
      <c r="GH52" s="1" t="str">
        <f t="shared" si="33"/>
        <v/>
      </c>
      <c r="GI52" s="1" t="str">
        <f t="shared" si="32"/>
        <v/>
      </c>
      <c r="GJ52" s="1" t="str">
        <f t="shared" si="31"/>
        <v/>
      </c>
      <c r="GK52" s="1" t="str">
        <f t="shared" si="31"/>
        <v/>
      </c>
      <c r="GL52" s="1" t="str">
        <f t="shared" si="31"/>
        <v/>
      </c>
      <c r="GM52" s="1" t="str">
        <f t="shared" si="31"/>
        <v/>
      </c>
      <c r="GN52" s="1" t="str">
        <f t="shared" si="31"/>
        <v/>
      </c>
      <c r="GO52" s="1" t="str">
        <f t="shared" si="31"/>
        <v/>
      </c>
      <c r="GP52" s="1" t="str">
        <f t="shared" si="31"/>
        <v/>
      </c>
      <c r="GQ52" s="1" t="str">
        <f t="shared" si="31"/>
        <v/>
      </c>
      <c r="GR52" s="1" t="str">
        <f t="shared" si="31"/>
        <v/>
      </c>
      <c r="GS52" s="1" t="str">
        <f t="shared" si="31"/>
        <v/>
      </c>
      <c r="GT52" s="1" t="str">
        <f t="shared" si="31"/>
        <v/>
      </c>
      <c r="GU52" s="1" t="str">
        <f t="shared" si="31"/>
        <v/>
      </c>
      <c r="GV52" s="1" t="str">
        <f t="shared" si="31"/>
        <v/>
      </c>
      <c r="GW52" s="1" t="str">
        <f t="shared" si="31"/>
        <v/>
      </c>
      <c r="GX52" s="1" t="str">
        <f t="shared" si="31"/>
        <v/>
      </c>
      <c r="GY52" s="1" t="str">
        <f t="shared" ref="GY52:HN86" si="39">IF(DC52&gt;0.0001,CONCATENATE(DC$2,"; "),"")</f>
        <v/>
      </c>
      <c r="GZ52" s="1" t="str">
        <f t="shared" si="38"/>
        <v/>
      </c>
      <c r="HA52" s="1" t="str">
        <f t="shared" si="38"/>
        <v/>
      </c>
      <c r="HB52" s="1" t="str">
        <f t="shared" si="38"/>
        <v/>
      </c>
      <c r="HC52" s="1" t="str">
        <f t="shared" si="38"/>
        <v/>
      </c>
      <c r="HD52" s="1" t="str">
        <f t="shared" si="38"/>
        <v/>
      </c>
      <c r="HE52" s="1" t="str">
        <f t="shared" si="38"/>
        <v/>
      </c>
      <c r="HF52" s="1" t="str">
        <f t="shared" si="38"/>
        <v/>
      </c>
      <c r="HG52" s="1" t="str">
        <f t="shared" si="38"/>
        <v/>
      </c>
      <c r="HH52" s="1" t="str">
        <f t="shared" si="38"/>
        <v/>
      </c>
      <c r="HI52" s="1" t="str">
        <f t="shared" si="38"/>
        <v/>
      </c>
      <c r="HJ52" s="1" t="str">
        <f t="shared" si="38"/>
        <v xml:space="preserve">Texas; </v>
      </c>
      <c r="HK52" s="1" t="str">
        <f t="shared" si="34"/>
        <v/>
      </c>
      <c r="HL52" s="1" t="str">
        <f t="shared" si="34"/>
        <v/>
      </c>
      <c r="HM52" s="1" t="str">
        <f t="shared" si="34"/>
        <v/>
      </c>
      <c r="HN52" s="1" t="str">
        <f t="shared" si="34"/>
        <v/>
      </c>
      <c r="HO52" s="1" t="str">
        <f t="shared" si="34"/>
        <v/>
      </c>
      <c r="HP52" s="1" t="str">
        <f t="shared" si="34"/>
        <v/>
      </c>
      <c r="HQ52" s="1" t="str">
        <f t="shared" si="34"/>
        <v/>
      </c>
      <c r="HR52" s="1" t="str">
        <f t="shared" si="34"/>
        <v/>
      </c>
      <c r="HS52" s="1" t="str">
        <f t="shared" si="34"/>
        <v/>
      </c>
      <c r="HT52" s="1" t="str">
        <f t="shared" si="34"/>
        <v/>
      </c>
      <c r="HU52" s="1" t="str">
        <f t="shared" si="34"/>
        <v/>
      </c>
      <c r="HV52" s="1" t="str">
        <f t="shared" si="34"/>
        <v/>
      </c>
      <c r="HW52" s="1" t="str">
        <f t="shared" si="34"/>
        <v/>
      </c>
      <c r="HX52" s="1" t="str">
        <f t="shared" si="34"/>
        <v/>
      </c>
      <c r="HY52" s="1" t="str">
        <f t="shared" si="34"/>
        <v/>
      </c>
      <c r="HZ52" s="1" t="str">
        <f t="shared" si="34"/>
        <v/>
      </c>
      <c r="IA52" s="1" t="str">
        <f t="shared" si="35"/>
        <v/>
      </c>
      <c r="IB52" s="1" t="str">
        <f t="shared" si="35"/>
        <v/>
      </c>
      <c r="IC52" s="1" t="str">
        <f t="shared" si="35"/>
        <v/>
      </c>
      <c r="ID52" s="1" t="str">
        <f t="shared" si="35"/>
        <v/>
      </c>
      <c r="IE52" s="1" t="str">
        <f t="shared" si="35"/>
        <v/>
      </c>
      <c r="IF52" s="1" t="str">
        <f t="shared" si="35"/>
        <v/>
      </c>
      <c r="IG52" s="1" t="str">
        <f t="shared" si="35"/>
        <v/>
      </c>
      <c r="IH52" s="1" t="str">
        <f t="shared" si="35"/>
        <v/>
      </c>
      <c r="II52" s="1" t="str">
        <f t="shared" si="35"/>
        <v/>
      </c>
      <c r="IJ52" s="1" t="str">
        <f t="shared" si="35"/>
        <v/>
      </c>
      <c r="IK52" s="1" t="str">
        <f t="shared" si="35"/>
        <v/>
      </c>
      <c r="IL52" s="1" t="str">
        <f t="shared" si="35"/>
        <v/>
      </c>
      <c r="IM52" s="1" t="str">
        <f t="shared" si="35"/>
        <v/>
      </c>
      <c r="IN52" s="1" t="str">
        <f t="shared" si="35"/>
        <v/>
      </c>
      <c r="IO52" s="1" t="str">
        <f t="shared" si="35"/>
        <v/>
      </c>
      <c r="IP52" s="1" t="str">
        <f t="shared" si="35"/>
        <v/>
      </c>
      <c r="IQ52" s="1" t="str">
        <f t="shared" si="36"/>
        <v/>
      </c>
      <c r="IR52" s="1" t="str">
        <f t="shared" si="36"/>
        <v/>
      </c>
      <c r="IS52" s="1" t="str">
        <f t="shared" si="36"/>
        <v/>
      </c>
      <c r="IT52" s="1" t="str">
        <f t="shared" si="36"/>
        <v/>
      </c>
      <c r="IU52" s="1" t="str">
        <f t="shared" si="36"/>
        <v/>
      </c>
      <c r="IV52" s="1" t="str">
        <f t="shared" si="36"/>
        <v/>
      </c>
      <c r="IW52" s="1" t="str">
        <f t="shared" si="36"/>
        <v/>
      </c>
      <c r="IX52" s="1" t="str">
        <f t="shared" si="36"/>
        <v/>
      </c>
      <c r="IY52" s="1" t="str">
        <f t="shared" si="36"/>
        <v/>
      </c>
      <c r="IZ52" s="1" t="str">
        <f t="shared" si="36"/>
        <v/>
      </c>
      <c r="JA52" s="1" t="str">
        <f t="shared" si="36"/>
        <v/>
      </c>
      <c r="JB52" s="1" t="str">
        <f t="shared" si="36"/>
        <v/>
      </c>
      <c r="JC52" s="1" t="str">
        <f t="shared" si="36"/>
        <v/>
      </c>
      <c r="JD52" s="1" t="str">
        <f t="shared" si="36"/>
        <v/>
      </c>
      <c r="JE52" s="1" t="str">
        <f t="shared" si="36"/>
        <v/>
      </c>
      <c r="JF52" s="1" t="str">
        <f t="shared" si="36"/>
        <v/>
      </c>
      <c r="JG52" s="1" t="str">
        <f t="shared" si="37"/>
        <v/>
      </c>
      <c r="JH52" s="1" t="str">
        <f t="shared" si="37"/>
        <v/>
      </c>
      <c r="JI52" s="1" t="str">
        <f t="shared" si="37"/>
        <v/>
      </c>
      <c r="JJ52" s="1" t="str">
        <f t="shared" si="30"/>
        <v/>
      </c>
      <c r="JK52" s="1" t="str">
        <f t="shared" si="30"/>
        <v/>
      </c>
      <c r="JL52" s="1" t="str">
        <f t="shared" si="24"/>
        <v/>
      </c>
      <c r="JM52" s="1" t="str">
        <f t="shared" si="12"/>
        <v/>
      </c>
      <c r="JN52" s="1" t="str">
        <f t="shared" si="12"/>
        <v/>
      </c>
      <c r="JO52" s="1" t="str">
        <f t="shared" si="12"/>
        <v/>
      </c>
    </row>
    <row r="53" spans="1:275" ht="14.5" x14ac:dyDescent="0.35">
      <c r="A53" s="59" t="str">
        <f>IF('Data input'!A53&lt;&gt;"",'Data input'!A53,"")</f>
        <v/>
      </c>
      <c r="B53" s="60" t="str">
        <f>IF('Data input'!B53&lt;&gt;"",'Data input'!B53,"")</f>
        <v/>
      </c>
      <c r="C53" s="19" t="str">
        <f>IF('Data input'!C53="","",4*('Data input'!C53-'Data input'!C$108)/('Data input'!C$109-'Data input'!C$108)+1)</f>
        <v/>
      </c>
      <c r="D53" s="19" t="str">
        <f>IF('Data input'!D53="","",4*('Data input'!D53-'Data input'!D$108)/('Data input'!D$109-'Data input'!D$108)+1)</f>
        <v/>
      </c>
      <c r="E53" s="19" t="str">
        <f>IF('Data input'!E53="","",4*('Data input'!E53-'Data input'!E$108)/('Data input'!E$109-'Data input'!E$108)+1)</f>
        <v/>
      </c>
      <c r="F53" s="19" t="str">
        <f>IF('Data input'!F53="","",4*('Data input'!F53-'Data input'!F$108)/('Data input'!F$109-'Data input'!F$108)+1)</f>
        <v/>
      </c>
      <c r="G53" s="19" t="str">
        <f>IF('Data input'!G53="","",4*('Data input'!G53-'Data input'!G$108)/('Data input'!G$109-'Data input'!G$108)+1)</f>
        <v/>
      </c>
      <c r="H53" s="61" t="str">
        <f>IF('Data input'!H53="","",4*('Data input'!H53-'Data input'!H$108)/('Data input'!H$109-'Data input'!H$108)+1)</f>
        <v/>
      </c>
      <c r="I53" s="19" t="str">
        <f>IF('Data input'!I53="","",4*('Data input'!I53-'Data input'!I$108)/('Data input'!I$109-'Data input'!I$108)+1)</f>
        <v/>
      </c>
      <c r="J53" s="19" t="str">
        <f>IF('Data input'!J53="","",4*('Data input'!J53-'Data input'!J$108)/('Data input'!J$109-'Data input'!J$108)+1)</f>
        <v/>
      </c>
      <c r="K53" s="19" t="str">
        <f>IF('Data input'!K53="","",4*('Data input'!K53-'Data input'!K$108)/('Data input'!K$109-'Data input'!K$108)+1)</f>
        <v/>
      </c>
      <c r="L53" s="19" t="str">
        <f>IF('Data input'!L53="","",4*('Data input'!L53-'Data input'!L$108)/('Data input'!L$109-'Data input'!L$108)+1)</f>
        <v/>
      </c>
      <c r="M53" s="19" t="str">
        <f>IF('Data input'!M53="","",4*('Data input'!M53-'Data input'!M$108)/('Data input'!M$109-'Data input'!M$108)+1)</f>
        <v/>
      </c>
      <c r="N53" s="16" t="str">
        <f>IF('Data input'!N53="","",4*('Data input'!N53-'Data input'!N$108)/('Data input'!N$109-'Data input'!N$108)+1)</f>
        <v/>
      </c>
      <c r="O53" s="19" t="str">
        <f>IF('Data input'!O53="","",4*('Data input'!O53-'Data input'!O$108)/('Data input'!O$109-'Data input'!O$108)+1)</f>
        <v/>
      </c>
      <c r="P53" s="19" t="str">
        <f>IF('Data input'!P53="","",4*('Data input'!P53-'Data input'!P$108)/('Data input'!P$109-'Data input'!P$108)+1)</f>
        <v/>
      </c>
      <c r="Q53" s="19" t="str">
        <f>IF('Data input'!Q53="","",4*('Data input'!Q53-'Data input'!Q$108)/('Data input'!Q$109-'Data input'!Q$108)+1)</f>
        <v/>
      </c>
      <c r="R53" s="19" t="str">
        <f>IF('Data input'!R53="","",4*('Data input'!R53-'Data input'!R$108)/('Data input'!R$109-'Data input'!R$108)+1)</f>
        <v/>
      </c>
      <c r="S53" s="16" t="str">
        <f>IF('Data input'!S53="","",4*('Data input'!S53-'Data input'!S$108)/('Data input'!S$109-'Data input'!S$108)+1)</f>
        <v/>
      </c>
      <c r="T53" s="19" t="str">
        <f>IF('Data input'!T53="","",4*('Data input'!T53-'Data input'!T$108)/('Data input'!T$109-'Data input'!T$108)+1)</f>
        <v/>
      </c>
      <c r="U53" s="19" t="str">
        <f>IF('Data input'!U53="","",4*('Data input'!U53-'Data input'!U$108)/('Data input'!U$109-'Data input'!U$108)+1)</f>
        <v/>
      </c>
      <c r="V53" s="19" t="str">
        <f>IF('Data input'!V53="","",4*('Data input'!V53-'Data input'!V$108)/('Data input'!V$109-'Data input'!V$108)+1)</f>
        <v/>
      </c>
      <c r="W53" s="16" t="str">
        <f>IF('Data input'!W53="","",4*('Data input'!W53-'Data input'!W$108)/('Data input'!W$109-'Data input'!W$108)+1)</f>
        <v/>
      </c>
      <c r="X53" s="16" t="str">
        <f>IF('Data input'!X53="","",4*('Data input'!X53-'Data input'!X$108)/('Data input'!X$109-'Data input'!X$108)+1)</f>
        <v/>
      </c>
      <c r="Y53" s="16" t="str">
        <f>IF('Data input'!Y53="","",4*('Data input'!Y53-'Data input'!Y$108)/('Data input'!Y$109-'Data input'!Y$108)+1)</f>
        <v/>
      </c>
      <c r="Z53" s="16" t="str">
        <f>IF('Data input'!Z53="","",4*('Data input'!Z53-'Data input'!Z$108)/('Data input'!Z$109-'Data input'!Z$108)+1)</f>
        <v/>
      </c>
      <c r="AA53" s="62" t="str">
        <f>IF('Data input'!AA53="","",4*('Data input'!AA53-'Data input'!AA$108)/('Data input'!AA$109-'Data input'!AA$108)+1)</f>
        <v/>
      </c>
      <c r="AB53" s="78"/>
      <c r="AC53" s="79">
        <v>0</v>
      </c>
      <c r="AD53" s="80" t="e">
        <f t="shared" si="13"/>
        <v>#DIV/0!</v>
      </c>
      <c r="AE53" s="4"/>
      <c r="AF53" s="59" t="str">
        <f t="shared" si="14"/>
        <v/>
      </c>
      <c r="AG53" s="60" t="str">
        <f t="shared" si="14"/>
        <v/>
      </c>
      <c r="AH53"/>
      <c r="AI53"/>
      <c r="AJ53"/>
      <c r="AK53"/>
      <c r="AL53"/>
      <c r="AM53"/>
      <c r="AN53"/>
      <c r="AO53"/>
      <c r="AP53"/>
      <c r="AQ53"/>
      <c r="AR53"/>
      <c r="AS53" s="71" t="str">
        <f t="shared" si="15"/>
        <v/>
      </c>
      <c r="AT53" s="71" t="str">
        <f t="shared" si="15"/>
        <v/>
      </c>
      <c r="AU53" s="71" t="str">
        <f t="shared" si="15"/>
        <v/>
      </c>
      <c r="AV53" s="71" t="str">
        <f t="shared" si="15"/>
        <v/>
      </c>
      <c r="AW53" s="71" t="str">
        <f t="shared" si="15"/>
        <v/>
      </c>
      <c r="AX53" s="71" t="str">
        <f t="shared" si="16"/>
        <v/>
      </c>
      <c r="AY53" s="71" t="str">
        <f t="shared" si="16"/>
        <v/>
      </c>
      <c r="AZ53" s="71" t="str">
        <f t="shared" si="16"/>
        <v/>
      </c>
      <c r="BA53" s="71" t="str">
        <f t="shared" si="16"/>
        <v/>
      </c>
      <c r="BB53" s="71" t="str">
        <f t="shared" si="16"/>
        <v/>
      </c>
      <c r="BC53" s="18" t="str">
        <f>IF(C53&lt;&gt;"",(('Data input'!C$109-'Data input'!C$108)*(AS53-1)/4)+'Data input'!C$108,"")</f>
        <v/>
      </c>
      <c r="BD53" s="18" t="str">
        <f>IF(D53&lt;&gt;"",(('Data input'!D$109-'Data input'!D$108)*(AT53-1)/4)+'Data input'!D$108,"")</f>
        <v/>
      </c>
      <c r="BE53" s="18" t="str">
        <f>IF(E53&lt;&gt;"",(('Data input'!E$109-'Data input'!E$108)*(AU53-1)/4)+'Data input'!E$108,"")</f>
        <v/>
      </c>
      <c r="BF53" s="18" t="str">
        <f>IF(F53&lt;&gt;"",(('Data input'!F$109-'Data input'!F$108)*(AV53-1)/4)+'Data input'!F$108,"")</f>
        <v/>
      </c>
      <c r="BG53" s="18" t="str">
        <f>IF(G53&lt;&gt;"",(('Data input'!G$109-'Data input'!G$108)*(AW53-1)/4)+'Data input'!G$108,"")</f>
        <v/>
      </c>
      <c r="BH53" s="19" t="str">
        <f>IF(H53&lt;&gt;"",(('Data input'!H$109-'Data input'!H$108)*(AX53-1)/4)+'Data input'!H$108,"")</f>
        <v/>
      </c>
      <c r="BI53" s="18" t="str">
        <f>IF(I53&lt;&gt;"",(('Data input'!I$109-'Data input'!I$108)*(AY53-1)/4)+'Data input'!I$108,"")</f>
        <v/>
      </c>
      <c r="BJ53" s="19" t="str">
        <f>IF(J53&lt;&gt;"",(('Data input'!J$109-'Data input'!J$108)*(AZ53-1)/4)+'Data input'!J$108,"")</f>
        <v/>
      </c>
      <c r="BK53" s="19" t="str">
        <f>IF(K53&lt;&gt;"",(('Data input'!K$109-'Data input'!K$108)*(BA53-1)/4)+'Data input'!K$108,"")</f>
        <v/>
      </c>
      <c r="BL53" s="19" t="str">
        <f>IF(L53&lt;&gt;"",(('Data input'!L$109-'Data input'!L$108)*(BB53-1)/4)+'Data input'!L$108,"")</f>
        <v/>
      </c>
      <c r="BM53" s="18" t="str">
        <f>IF(C53&lt;&gt;"",BC53-'Data input'!C53,"")</f>
        <v/>
      </c>
      <c r="BN53" s="18" t="str">
        <f>IF(D53&lt;&gt;"",BD53-'Data input'!D53,"")</f>
        <v/>
      </c>
      <c r="BO53" s="18" t="str">
        <f>IF(E53&lt;&gt;"",BE53-'Data input'!E53,"")</f>
        <v/>
      </c>
      <c r="BP53" s="18" t="str">
        <f>IF(F53&lt;&gt;"",BF53-'Data input'!F53,"")</f>
        <v/>
      </c>
      <c r="BQ53" s="18" t="str">
        <f>IF(G53&lt;&gt;"",BG53-'Data input'!G53,"")</f>
        <v/>
      </c>
      <c r="BR53" s="19" t="str">
        <f>IF(H53&lt;&gt;"",BH53-'Data input'!H53,"")</f>
        <v/>
      </c>
      <c r="BS53" s="18" t="str">
        <f>IF(I53&lt;&gt;"",BI53-'Data input'!I53,"")</f>
        <v/>
      </c>
      <c r="BT53" s="18" t="str">
        <f>IF(J53&lt;&gt;"",BJ53-'Data input'!J53,"")</f>
        <v/>
      </c>
      <c r="BU53" s="18" t="str">
        <f>IF(K53&lt;&gt;"",BK53-'Data input'!K53,"")</f>
        <v/>
      </c>
      <c r="BV53" s="72" t="str">
        <f>IF(L53&lt;&gt;"",BL53-'Data input'!L53,"")</f>
        <v/>
      </c>
      <c r="BW53" s="121" t="str">
        <f t="shared" si="17"/>
        <v xml:space="preserve">Utah; 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0</v>
      </c>
      <c r="CX53" s="1">
        <v>0</v>
      </c>
      <c r="CY53" s="1">
        <v>0</v>
      </c>
      <c r="CZ53" s="1">
        <v>0</v>
      </c>
      <c r="DA53" s="1">
        <v>0</v>
      </c>
      <c r="DB53" s="1">
        <v>0</v>
      </c>
      <c r="DC53" s="1">
        <v>0</v>
      </c>
      <c r="DD53" s="1">
        <v>0</v>
      </c>
      <c r="DE53" s="1">
        <v>0</v>
      </c>
      <c r="DF53" s="1">
        <v>0</v>
      </c>
      <c r="DG53" s="1">
        <v>0</v>
      </c>
      <c r="DH53" s="1">
        <v>0</v>
      </c>
      <c r="DI53" s="1">
        <v>0</v>
      </c>
      <c r="DJ53" s="1">
        <v>0</v>
      </c>
      <c r="DK53" s="1">
        <v>0</v>
      </c>
      <c r="DL53" s="1">
        <v>0</v>
      </c>
      <c r="DM53" s="1">
        <v>0</v>
      </c>
      <c r="DN53" s="1">
        <v>0</v>
      </c>
      <c r="DO53" s="1">
        <v>0.999999999999999</v>
      </c>
      <c r="DP53" s="1">
        <v>0</v>
      </c>
      <c r="DQ53" s="1">
        <v>0</v>
      </c>
      <c r="DR53" s="1">
        <v>0</v>
      </c>
      <c r="DS53" s="1">
        <v>0</v>
      </c>
      <c r="DT53" s="1">
        <v>0</v>
      </c>
      <c r="DU53" s="1">
        <v>0</v>
      </c>
      <c r="DV53" s="1">
        <v>0</v>
      </c>
      <c r="DW53" s="1">
        <v>0</v>
      </c>
      <c r="DX53" s="1">
        <v>0</v>
      </c>
      <c r="DY53" s="1">
        <v>0</v>
      </c>
      <c r="DZ53" s="1">
        <v>0</v>
      </c>
      <c r="FT53" s="1" t="str">
        <f t="shared" si="33"/>
        <v/>
      </c>
      <c r="FU53" s="1" t="str">
        <f t="shared" si="33"/>
        <v/>
      </c>
      <c r="FV53" s="1" t="str">
        <f t="shared" si="33"/>
        <v/>
      </c>
      <c r="FW53" s="1" t="str">
        <f t="shared" si="33"/>
        <v/>
      </c>
      <c r="FX53" s="1" t="str">
        <f t="shared" si="33"/>
        <v/>
      </c>
      <c r="FY53" s="1" t="str">
        <f t="shared" si="33"/>
        <v/>
      </c>
      <c r="FZ53" s="1" t="str">
        <f t="shared" si="33"/>
        <v/>
      </c>
      <c r="GA53" s="1" t="str">
        <f t="shared" si="33"/>
        <v/>
      </c>
      <c r="GB53" s="1" t="str">
        <f t="shared" si="33"/>
        <v/>
      </c>
      <c r="GC53" s="1" t="str">
        <f t="shared" si="33"/>
        <v/>
      </c>
      <c r="GD53" s="1" t="str">
        <f t="shared" si="33"/>
        <v/>
      </c>
      <c r="GE53" s="1" t="str">
        <f t="shared" si="33"/>
        <v/>
      </c>
      <c r="GF53" s="1" t="str">
        <f t="shared" si="33"/>
        <v/>
      </c>
      <c r="GG53" s="1" t="str">
        <f t="shared" si="33"/>
        <v/>
      </c>
      <c r="GH53" s="1" t="str">
        <f t="shared" si="33"/>
        <v/>
      </c>
      <c r="GI53" s="1" t="str">
        <f t="shared" si="32"/>
        <v/>
      </c>
      <c r="GJ53" s="1" t="str">
        <f t="shared" si="32"/>
        <v/>
      </c>
      <c r="GK53" s="1" t="str">
        <f t="shared" si="32"/>
        <v/>
      </c>
      <c r="GL53" s="1" t="str">
        <f t="shared" si="32"/>
        <v/>
      </c>
      <c r="GM53" s="1" t="str">
        <f t="shared" si="32"/>
        <v/>
      </c>
      <c r="GN53" s="1" t="str">
        <f t="shared" si="32"/>
        <v/>
      </c>
      <c r="GO53" s="1" t="str">
        <f t="shared" si="32"/>
        <v/>
      </c>
      <c r="GP53" s="1" t="str">
        <f t="shared" si="32"/>
        <v/>
      </c>
      <c r="GQ53" s="1" t="str">
        <f t="shared" si="32"/>
        <v/>
      </c>
      <c r="GR53" s="1" t="str">
        <f t="shared" si="32"/>
        <v/>
      </c>
      <c r="GS53" s="1" t="str">
        <f t="shared" si="32"/>
        <v/>
      </c>
      <c r="GT53" s="1" t="str">
        <f t="shared" si="32"/>
        <v/>
      </c>
      <c r="GU53" s="1" t="str">
        <f t="shared" si="32"/>
        <v/>
      </c>
      <c r="GV53" s="1" t="str">
        <f t="shared" si="32"/>
        <v/>
      </c>
      <c r="GW53" s="1" t="str">
        <f t="shared" si="32"/>
        <v/>
      </c>
      <c r="GX53" s="1" t="str">
        <f t="shared" si="32"/>
        <v/>
      </c>
      <c r="GY53" s="1" t="str">
        <f t="shared" si="39"/>
        <v/>
      </c>
      <c r="GZ53" s="1" t="str">
        <f t="shared" si="38"/>
        <v/>
      </c>
      <c r="HA53" s="1" t="str">
        <f t="shared" si="38"/>
        <v/>
      </c>
      <c r="HB53" s="1" t="str">
        <f t="shared" si="38"/>
        <v/>
      </c>
      <c r="HC53" s="1" t="str">
        <f t="shared" si="38"/>
        <v/>
      </c>
      <c r="HD53" s="1" t="str">
        <f t="shared" si="38"/>
        <v/>
      </c>
      <c r="HE53" s="1" t="str">
        <f t="shared" si="38"/>
        <v/>
      </c>
      <c r="HF53" s="1" t="str">
        <f t="shared" si="38"/>
        <v/>
      </c>
      <c r="HG53" s="1" t="str">
        <f t="shared" si="38"/>
        <v/>
      </c>
      <c r="HH53" s="1" t="str">
        <f t="shared" si="38"/>
        <v/>
      </c>
      <c r="HI53" s="1" t="str">
        <f t="shared" si="38"/>
        <v/>
      </c>
      <c r="HJ53" s="1" t="str">
        <f t="shared" si="38"/>
        <v/>
      </c>
      <c r="HK53" s="1" t="str">
        <f t="shared" si="34"/>
        <v xml:space="preserve">Utah; </v>
      </c>
      <c r="HL53" s="1" t="str">
        <f t="shared" si="34"/>
        <v/>
      </c>
      <c r="HM53" s="1" t="str">
        <f t="shared" si="34"/>
        <v/>
      </c>
      <c r="HN53" s="1" t="str">
        <f t="shared" si="34"/>
        <v/>
      </c>
      <c r="HO53" s="1" t="str">
        <f t="shared" si="34"/>
        <v/>
      </c>
      <c r="HP53" s="1" t="str">
        <f t="shared" si="34"/>
        <v/>
      </c>
      <c r="HQ53" s="1" t="str">
        <f t="shared" si="34"/>
        <v/>
      </c>
      <c r="HR53" s="1" t="str">
        <f t="shared" si="34"/>
        <v/>
      </c>
      <c r="HS53" s="1" t="str">
        <f t="shared" si="34"/>
        <v/>
      </c>
      <c r="HT53" s="1" t="str">
        <f t="shared" si="34"/>
        <v/>
      </c>
      <c r="HU53" s="1" t="str">
        <f t="shared" si="34"/>
        <v/>
      </c>
      <c r="HV53" s="1" t="str">
        <f t="shared" si="34"/>
        <v/>
      </c>
      <c r="HW53" s="1" t="str">
        <f t="shared" si="34"/>
        <v/>
      </c>
      <c r="HX53" s="1" t="str">
        <f t="shared" si="34"/>
        <v/>
      </c>
      <c r="HY53" s="1" t="str">
        <f t="shared" si="34"/>
        <v/>
      </c>
      <c r="HZ53" s="1" t="str">
        <f t="shared" si="34"/>
        <v/>
      </c>
      <c r="IA53" s="1" t="str">
        <f t="shared" si="35"/>
        <v/>
      </c>
      <c r="IB53" s="1" t="str">
        <f t="shared" si="35"/>
        <v/>
      </c>
      <c r="IC53" s="1" t="str">
        <f t="shared" si="35"/>
        <v/>
      </c>
      <c r="ID53" s="1" t="str">
        <f t="shared" si="35"/>
        <v/>
      </c>
      <c r="IE53" s="1" t="str">
        <f t="shared" si="35"/>
        <v/>
      </c>
      <c r="IF53" s="1" t="str">
        <f t="shared" si="35"/>
        <v/>
      </c>
      <c r="IG53" s="1" t="str">
        <f t="shared" si="35"/>
        <v/>
      </c>
      <c r="IH53" s="1" t="str">
        <f t="shared" si="35"/>
        <v/>
      </c>
      <c r="II53" s="1" t="str">
        <f t="shared" si="35"/>
        <v/>
      </c>
      <c r="IJ53" s="1" t="str">
        <f t="shared" si="35"/>
        <v/>
      </c>
      <c r="IK53" s="1" t="str">
        <f t="shared" si="35"/>
        <v/>
      </c>
      <c r="IL53" s="1" t="str">
        <f t="shared" si="35"/>
        <v/>
      </c>
      <c r="IM53" s="1" t="str">
        <f t="shared" si="35"/>
        <v/>
      </c>
      <c r="IN53" s="1" t="str">
        <f t="shared" si="35"/>
        <v/>
      </c>
      <c r="IO53" s="1" t="str">
        <f t="shared" si="35"/>
        <v/>
      </c>
      <c r="IP53" s="1" t="str">
        <f t="shared" si="35"/>
        <v/>
      </c>
      <c r="IQ53" s="1" t="str">
        <f t="shared" si="36"/>
        <v/>
      </c>
      <c r="IR53" s="1" t="str">
        <f t="shared" si="36"/>
        <v/>
      </c>
      <c r="IS53" s="1" t="str">
        <f t="shared" si="36"/>
        <v/>
      </c>
      <c r="IT53" s="1" t="str">
        <f t="shared" si="36"/>
        <v/>
      </c>
      <c r="IU53" s="1" t="str">
        <f t="shared" si="36"/>
        <v/>
      </c>
      <c r="IV53" s="1" t="str">
        <f t="shared" si="36"/>
        <v/>
      </c>
      <c r="IW53" s="1" t="str">
        <f t="shared" si="36"/>
        <v/>
      </c>
      <c r="IX53" s="1" t="str">
        <f t="shared" si="36"/>
        <v/>
      </c>
      <c r="IY53" s="1" t="str">
        <f t="shared" si="36"/>
        <v/>
      </c>
      <c r="IZ53" s="1" t="str">
        <f t="shared" si="36"/>
        <v/>
      </c>
      <c r="JA53" s="1" t="str">
        <f t="shared" si="36"/>
        <v/>
      </c>
      <c r="JB53" s="1" t="str">
        <f t="shared" si="36"/>
        <v/>
      </c>
      <c r="JC53" s="1" t="str">
        <f t="shared" si="36"/>
        <v/>
      </c>
      <c r="JD53" s="1" t="str">
        <f t="shared" si="36"/>
        <v/>
      </c>
      <c r="JE53" s="1" t="str">
        <f t="shared" si="36"/>
        <v/>
      </c>
      <c r="JF53" s="1" t="str">
        <f t="shared" si="36"/>
        <v/>
      </c>
      <c r="JG53" s="1" t="str">
        <f t="shared" si="37"/>
        <v/>
      </c>
      <c r="JH53" s="1" t="str">
        <f t="shared" si="37"/>
        <v/>
      </c>
      <c r="JI53" s="1" t="str">
        <f t="shared" si="37"/>
        <v/>
      </c>
      <c r="JJ53" s="1" t="str">
        <f t="shared" si="30"/>
        <v/>
      </c>
      <c r="JK53" s="1" t="str">
        <f t="shared" si="30"/>
        <v/>
      </c>
      <c r="JL53" s="1" t="str">
        <f t="shared" si="24"/>
        <v/>
      </c>
      <c r="JM53" s="1" t="str">
        <f t="shared" si="12"/>
        <v/>
      </c>
      <c r="JN53" s="1" t="str">
        <f t="shared" si="12"/>
        <v/>
      </c>
      <c r="JO53" s="1" t="str">
        <f t="shared" si="12"/>
        <v/>
      </c>
    </row>
    <row r="54" spans="1:275" ht="14.5" x14ac:dyDescent="0.35">
      <c r="A54" s="59" t="str">
        <f>IF('Data input'!A54&lt;&gt;"",'Data input'!A54,"")</f>
        <v/>
      </c>
      <c r="B54" s="60" t="str">
        <f>IF('Data input'!B54&lt;&gt;"",'Data input'!B54,"")</f>
        <v/>
      </c>
      <c r="C54" s="19" t="str">
        <f>IF('Data input'!C54="","",4*('Data input'!C54-'Data input'!C$108)/('Data input'!C$109-'Data input'!C$108)+1)</f>
        <v/>
      </c>
      <c r="D54" s="19" t="str">
        <f>IF('Data input'!D54="","",4*('Data input'!D54-'Data input'!D$108)/('Data input'!D$109-'Data input'!D$108)+1)</f>
        <v/>
      </c>
      <c r="E54" s="19" t="str">
        <f>IF('Data input'!E54="","",4*('Data input'!E54-'Data input'!E$108)/('Data input'!E$109-'Data input'!E$108)+1)</f>
        <v/>
      </c>
      <c r="F54" s="19" t="str">
        <f>IF('Data input'!F54="","",4*('Data input'!F54-'Data input'!F$108)/('Data input'!F$109-'Data input'!F$108)+1)</f>
        <v/>
      </c>
      <c r="G54" s="19" t="str">
        <f>IF('Data input'!G54="","",4*('Data input'!G54-'Data input'!G$108)/('Data input'!G$109-'Data input'!G$108)+1)</f>
        <v/>
      </c>
      <c r="H54" s="61" t="str">
        <f>IF('Data input'!H54="","",4*('Data input'!H54-'Data input'!H$108)/('Data input'!H$109-'Data input'!H$108)+1)</f>
        <v/>
      </c>
      <c r="I54" s="19" t="str">
        <f>IF('Data input'!I54="","",4*('Data input'!I54-'Data input'!I$108)/('Data input'!I$109-'Data input'!I$108)+1)</f>
        <v/>
      </c>
      <c r="J54" s="19" t="str">
        <f>IF('Data input'!J54="","",4*('Data input'!J54-'Data input'!J$108)/('Data input'!J$109-'Data input'!J$108)+1)</f>
        <v/>
      </c>
      <c r="K54" s="19" t="str">
        <f>IF('Data input'!K54="","",4*('Data input'!K54-'Data input'!K$108)/('Data input'!K$109-'Data input'!K$108)+1)</f>
        <v/>
      </c>
      <c r="L54" s="19" t="str">
        <f>IF('Data input'!L54="","",4*('Data input'!L54-'Data input'!L$108)/('Data input'!L$109-'Data input'!L$108)+1)</f>
        <v/>
      </c>
      <c r="M54" s="19" t="str">
        <f>IF('Data input'!M54="","",4*('Data input'!M54-'Data input'!M$108)/('Data input'!M$109-'Data input'!M$108)+1)</f>
        <v/>
      </c>
      <c r="N54" s="16" t="str">
        <f>IF('Data input'!N54="","",4*('Data input'!N54-'Data input'!N$108)/('Data input'!N$109-'Data input'!N$108)+1)</f>
        <v/>
      </c>
      <c r="O54" s="19" t="str">
        <f>IF('Data input'!O54="","",4*('Data input'!O54-'Data input'!O$108)/('Data input'!O$109-'Data input'!O$108)+1)</f>
        <v/>
      </c>
      <c r="P54" s="19" t="str">
        <f>IF('Data input'!P54="","",4*('Data input'!P54-'Data input'!P$108)/('Data input'!P$109-'Data input'!P$108)+1)</f>
        <v/>
      </c>
      <c r="Q54" s="19" t="str">
        <f>IF('Data input'!Q54="","",4*('Data input'!Q54-'Data input'!Q$108)/('Data input'!Q$109-'Data input'!Q$108)+1)</f>
        <v/>
      </c>
      <c r="R54" s="19" t="str">
        <f>IF('Data input'!R54="","",4*('Data input'!R54-'Data input'!R$108)/('Data input'!R$109-'Data input'!R$108)+1)</f>
        <v/>
      </c>
      <c r="S54" s="16" t="str">
        <f>IF('Data input'!S54="","",4*('Data input'!S54-'Data input'!S$108)/('Data input'!S$109-'Data input'!S$108)+1)</f>
        <v/>
      </c>
      <c r="T54" s="19" t="str">
        <f>IF('Data input'!T54="","",4*('Data input'!T54-'Data input'!T$108)/('Data input'!T$109-'Data input'!T$108)+1)</f>
        <v/>
      </c>
      <c r="U54" s="19" t="str">
        <f>IF('Data input'!U54="","",4*('Data input'!U54-'Data input'!U$108)/('Data input'!U$109-'Data input'!U$108)+1)</f>
        <v/>
      </c>
      <c r="V54" s="19" t="str">
        <f>IF('Data input'!V54="","",4*('Data input'!V54-'Data input'!V$108)/('Data input'!V$109-'Data input'!V$108)+1)</f>
        <v/>
      </c>
      <c r="W54" s="16" t="str">
        <f>IF('Data input'!W54="","",4*('Data input'!W54-'Data input'!W$108)/('Data input'!W$109-'Data input'!W$108)+1)</f>
        <v/>
      </c>
      <c r="X54" s="16" t="str">
        <f>IF('Data input'!X54="","",4*('Data input'!X54-'Data input'!X$108)/('Data input'!X$109-'Data input'!X$108)+1)</f>
        <v/>
      </c>
      <c r="Y54" s="16" t="str">
        <f>IF('Data input'!Y54="","",4*('Data input'!Y54-'Data input'!Y$108)/('Data input'!Y$109-'Data input'!Y$108)+1)</f>
        <v/>
      </c>
      <c r="Z54" s="16" t="str">
        <f>IF('Data input'!Z54="","",4*('Data input'!Z54-'Data input'!Z$108)/('Data input'!Z$109-'Data input'!Z$108)+1)</f>
        <v/>
      </c>
      <c r="AA54" s="62" t="str">
        <f>IF('Data input'!AA54="","",4*('Data input'!AA54-'Data input'!AA$108)/('Data input'!AA$109-'Data input'!AA$108)+1)</f>
        <v/>
      </c>
      <c r="AB54" s="78"/>
      <c r="AC54" s="79">
        <v>0</v>
      </c>
      <c r="AD54" s="80" t="e">
        <f t="shared" si="13"/>
        <v>#DIV/0!</v>
      </c>
      <c r="AE54" s="4"/>
      <c r="AF54" s="59" t="str">
        <f t="shared" si="14"/>
        <v/>
      </c>
      <c r="AG54" s="60" t="str">
        <f t="shared" si="14"/>
        <v/>
      </c>
      <c r="AH54"/>
      <c r="AI54"/>
      <c r="AJ54"/>
      <c r="AK54"/>
      <c r="AL54"/>
      <c r="AM54"/>
      <c r="AN54"/>
      <c r="AO54"/>
      <c r="AP54"/>
      <c r="AQ54"/>
      <c r="AR54"/>
      <c r="AS54" s="71" t="str">
        <f t="shared" si="15"/>
        <v/>
      </c>
      <c r="AT54" s="71" t="str">
        <f t="shared" si="15"/>
        <v/>
      </c>
      <c r="AU54" s="71" t="str">
        <f t="shared" si="15"/>
        <v/>
      </c>
      <c r="AV54" s="71" t="str">
        <f t="shared" si="15"/>
        <v/>
      </c>
      <c r="AW54" s="71" t="str">
        <f t="shared" si="15"/>
        <v/>
      </c>
      <c r="AX54" s="71" t="str">
        <f t="shared" si="16"/>
        <v/>
      </c>
      <c r="AY54" s="71" t="str">
        <f t="shared" si="16"/>
        <v/>
      </c>
      <c r="AZ54" s="71" t="str">
        <f t="shared" si="16"/>
        <v/>
      </c>
      <c r="BA54" s="71" t="str">
        <f t="shared" si="16"/>
        <v/>
      </c>
      <c r="BB54" s="71" t="str">
        <f t="shared" si="16"/>
        <v/>
      </c>
      <c r="BC54" s="18" t="str">
        <f>IF(C54&lt;&gt;"",(('Data input'!C$109-'Data input'!C$108)*(AS54-1)/4)+'Data input'!C$108,"")</f>
        <v/>
      </c>
      <c r="BD54" s="18" t="str">
        <f>IF(D54&lt;&gt;"",(('Data input'!D$109-'Data input'!D$108)*(AT54-1)/4)+'Data input'!D$108,"")</f>
        <v/>
      </c>
      <c r="BE54" s="18" t="str">
        <f>IF(E54&lt;&gt;"",(('Data input'!E$109-'Data input'!E$108)*(AU54-1)/4)+'Data input'!E$108,"")</f>
        <v/>
      </c>
      <c r="BF54" s="18" t="str">
        <f>IF(F54&lt;&gt;"",(('Data input'!F$109-'Data input'!F$108)*(AV54-1)/4)+'Data input'!F$108,"")</f>
        <v/>
      </c>
      <c r="BG54" s="18" t="str">
        <f>IF(G54&lt;&gt;"",(('Data input'!G$109-'Data input'!G$108)*(AW54-1)/4)+'Data input'!G$108,"")</f>
        <v/>
      </c>
      <c r="BH54" s="19" t="str">
        <f>IF(H54&lt;&gt;"",(('Data input'!H$109-'Data input'!H$108)*(AX54-1)/4)+'Data input'!H$108,"")</f>
        <v/>
      </c>
      <c r="BI54" s="18" t="str">
        <f>IF(I54&lt;&gt;"",(('Data input'!I$109-'Data input'!I$108)*(AY54-1)/4)+'Data input'!I$108,"")</f>
        <v/>
      </c>
      <c r="BJ54" s="19" t="str">
        <f>IF(J54&lt;&gt;"",(('Data input'!J$109-'Data input'!J$108)*(AZ54-1)/4)+'Data input'!J$108,"")</f>
        <v/>
      </c>
      <c r="BK54" s="19" t="str">
        <f>IF(K54&lt;&gt;"",(('Data input'!K$109-'Data input'!K$108)*(BA54-1)/4)+'Data input'!K$108,"")</f>
        <v/>
      </c>
      <c r="BL54" s="19" t="str">
        <f>IF(L54&lt;&gt;"",(('Data input'!L$109-'Data input'!L$108)*(BB54-1)/4)+'Data input'!L$108,"")</f>
        <v/>
      </c>
      <c r="BM54" s="18" t="str">
        <f>IF(C54&lt;&gt;"",BC54-'Data input'!C54,"")</f>
        <v/>
      </c>
      <c r="BN54" s="18" t="str">
        <f>IF(D54&lt;&gt;"",BD54-'Data input'!D54,"")</f>
        <v/>
      </c>
      <c r="BO54" s="18" t="str">
        <f>IF(E54&lt;&gt;"",BE54-'Data input'!E54,"")</f>
        <v/>
      </c>
      <c r="BP54" s="18" t="str">
        <f>IF(F54&lt;&gt;"",BF54-'Data input'!F54,"")</f>
        <v/>
      </c>
      <c r="BQ54" s="18" t="str">
        <f>IF(G54&lt;&gt;"",BG54-'Data input'!G54,"")</f>
        <v/>
      </c>
      <c r="BR54" s="19" t="str">
        <f>IF(H54&lt;&gt;"",BH54-'Data input'!H54,"")</f>
        <v/>
      </c>
      <c r="BS54" s="18" t="str">
        <f>IF(I54&lt;&gt;"",BI54-'Data input'!I54,"")</f>
        <v/>
      </c>
      <c r="BT54" s="18" t="str">
        <f>IF(J54&lt;&gt;"",BJ54-'Data input'!J54,"")</f>
        <v/>
      </c>
      <c r="BU54" s="18" t="str">
        <f>IF(K54&lt;&gt;"",BK54-'Data input'!K54,"")</f>
        <v/>
      </c>
      <c r="BV54" s="72" t="str">
        <f>IF(L54&lt;&gt;"",BL54-'Data input'!L54,"")</f>
        <v/>
      </c>
      <c r="BW54" s="121" t="str">
        <f t="shared" si="17"/>
        <v/>
      </c>
      <c r="FT54" s="1" t="str">
        <f t="shared" si="33"/>
        <v/>
      </c>
      <c r="FU54" s="1" t="str">
        <f t="shared" si="33"/>
        <v/>
      </c>
      <c r="FV54" s="1" t="str">
        <f t="shared" si="33"/>
        <v/>
      </c>
      <c r="FW54" s="1" t="str">
        <f t="shared" si="33"/>
        <v/>
      </c>
      <c r="FX54" s="1" t="str">
        <f t="shared" si="33"/>
        <v/>
      </c>
      <c r="FY54" s="1" t="str">
        <f t="shared" si="33"/>
        <v/>
      </c>
      <c r="FZ54" s="1" t="str">
        <f t="shared" si="33"/>
        <v/>
      </c>
      <c r="GA54" s="1" t="str">
        <f t="shared" si="33"/>
        <v/>
      </c>
      <c r="GB54" s="1" t="str">
        <f t="shared" si="33"/>
        <v/>
      </c>
      <c r="GC54" s="1" t="str">
        <f t="shared" si="33"/>
        <v/>
      </c>
      <c r="GD54" s="1" t="str">
        <f t="shared" si="33"/>
        <v/>
      </c>
      <c r="GE54" s="1" t="str">
        <f t="shared" si="33"/>
        <v/>
      </c>
      <c r="GF54" s="1" t="str">
        <f t="shared" si="33"/>
        <v/>
      </c>
      <c r="GG54" s="1" t="str">
        <f t="shared" si="33"/>
        <v/>
      </c>
      <c r="GH54" s="1" t="str">
        <f t="shared" si="33"/>
        <v/>
      </c>
      <c r="GI54" s="1" t="str">
        <f t="shared" si="32"/>
        <v/>
      </c>
      <c r="GJ54" s="1" t="str">
        <f t="shared" si="32"/>
        <v/>
      </c>
      <c r="GK54" s="1" t="str">
        <f t="shared" si="32"/>
        <v/>
      </c>
      <c r="GL54" s="1" t="str">
        <f t="shared" si="32"/>
        <v/>
      </c>
      <c r="GM54" s="1" t="str">
        <f t="shared" si="32"/>
        <v/>
      </c>
      <c r="GN54" s="1" t="str">
        <f t="shared" si="32"/>
        <v/>
      </c>
      <c r="GO54" s="1" t="str">
        <f t="shared" si="32"/>
        <v/>
      </c>
      <c r="GP54" s="1" t="str">
        <f t="shared" si="32"/>
        <v/>
      </c>
      <c r="GQ54" s="1" t="str">
        <f t="shared" si="32"/>
        <v/>
      </c>
      <c r="GR54" s="1" t="str">
        <f t="shared" si="32"/>
        <v/>
      </c>
      <c r="GS54" s="1" t="str">
        <f t="shared" si="32"/>
        <v/>
      </c>
      <c r="GT54" s="1" t="str">
        <f t="shared" si="32"/>
        <v/>
      </c>
      <c r="GU54" s="1" t="str">
        <f t="shared" si="32"/>
        <v/>
      </c>
      <c r="GV54" s="1" t="str">
        <f t="shared" si="32"/>
        <v/>
      </c>
      <c r="GW54" s="1" t="str">
        <f t="shared" si="32"/>
        <v/>
      </c>
      <c r="GX54" s="1" t="str">
        <f t="shared" si="32"/>
        <v/>
      </c>
      <c r="GY54" s="1" t="str">
        <f t="shared" si="39"/>
        <v/>
      </c>
      <c r="GZ54" s="1" t="str">
        <f t="shared" si="38"/>
        <v/>
      </c>
      <c r="HA54" s="1" t="str">
        <f t="shared" si="38"/>
        <v/>
      </c>
      <c r="HB54" s="1" t="str">
        <f t="shared" si="38"/>
        <v/>
      </c>
      <c r="HC54" s="1" t="str">
        <f t="shared" si="38"/>
        <v/>
      </c>
      <c r="HD54" s="1" t="str">
        <f t="shared" si="38"/>
        <v/>
      </c>
      <c r="HE54" s="1" t="str">
        <f t="shared" si="38"/>
        <v/>
      </c>
      <c r="HF54" s="1" t="str">
        <f t="shared" si="38"/>
        <v/>
      </c>
      <c r="HG54" s="1" t="str">
        <f t="shared" si="38"/>
        <v/>
      </c>
      <c r="HH54" s="1" t="str">
        <f t="shared" si="38"/>
        <v/>
      </c>
      <c r="HI54" s="1" t="str">
        <f t="shared" si="38"/>
        <v/>
      </c>
      <c r="HJ54" s="1" t="str">
        <f t="shared" si="38"/>
        <v/>
      </c>
      <c r="HK54" s="1" t="str">
        <f t="shared" si="34"/>
        <v/>
      </c>
      <c r="HL54" s="1" t="str">
        <f t="shared" si="34"/>
        <v/>
      </c>
      <c r="HM54" s="1" t="str">
        <f t="shared" si="34"/>
        <v/>
      </c>
      <c r="HN54" s="1" t="str">
        <f t="shared" si="34"/>
        <v/>
      </c>
      <c r="HO54" s="1" t="str">
        <f t="shared" si="34"/>
        <v/>
      </c>
      <c r="HP54" s="1" t="str">
        <f t="shared" si="34"/>
        <v/>
      </c>
      <c r="HQ54" s="1" t="str">
        <f t="shared" si="34"/>
        <v/>
      </c>
      <c r="HR54" s="1" t="str">
        <f t="shared" si="34"/>
        <v/>
      </c>
      <c r="HS54" s="1" t="str">
        <f t="shared" si="34"/>
        <v/>
      </c>
      <c r="HT54" s="1" t="str">
        <f t="shared" si="34"/>
        <v/>
      </c>
      <c r="HU54" s="1" t="str">
        <f t="shared" si="34"/>
        <v/>
      </c>
      <c r="HV54" s="1" t="str">
        <f t="shared" si="34"/>
        <v/>
      </c>
      <c r="HW54" s="1" t="str">
        <f t="shared" si="34"/>
        <v/>
      </c>
      <c r="HX54" s="1" t="str">
        <f t="shared" si="34"/>
        <v/>
      </c>
      <c r="HY54" s="1" t="str">
        <f t="shared" si="34"/>
        <v/>
      </c>
      <c r="HZ54" s="1" t="str">
        <f t="shared" si="34"/>
        <v/>
      </c>
      <c r="IA54" s="1" t="str">
        <f t="shared" si="35"/>
        <v/>
      </c>
      <c r="IB54" s="1" t="str">
        <f t="shared" si="35"/>
        <v/>
      </c>
      <c r="IC54" s="1" t="str">
        <f t="shared" si="35"/>
        <v/>
      </c>
      <c r="ID54" s="1" t="str">
        <f t="shared" si="35"/>
        <v/>
      </c>
      <c r="IE54" s="1" t="str">
        <f t="shared" si="35"/>
        <v/>
      </c>
      <c r="IF54" s="1" t="str">
        <f t="shared" si="35"/>
        <v/>
      </c>
      <c r="IG54" s="1" t="str">
        <f t="shared" si="35"/>
        <v/>
      </c>
      <c r="IH54" s="1" t="str">
        <f t="shared" si="35"/>
        <v/>
      </c>
      <c r="II54" s="1" t="str">
        <f t="shared" si="35"/>
        <v/>
      </c>
      <c r="IJ54" s="1" t="str">
        <f t="shared" si="35"/>
        <v/>
      </c>
      <c r="IK54" s="1" t="str">
        <f t="shared" si="35"/>
        <v/>
      </c>
      <c r="IL54" s="1" t="str">
        <f t="shared" si="35"/>
        <v/>
      </c>
      <c r="IM54" s="1" t="str">
        <f t="shared" si="35"/>
        <v/>
      </c>
      <c r="IN54" s="1" t="str">
        <f t="shared" si="35"/>
        <v/>
      </c>
      <c r="IO54" s="1" t="str">
        <f t="shared" si="35"/>
        <v/>
      </c>
      <c r="IP54" s="1" t="str">
        <f t="shared" si="35"/>
        <v/>
      </c>
      <c r="IQ54" s="1" t="str">
        <f t="shared" si="36"/>
        <v/>
      </c>
      <c r="IR54" s="1" t="str">
        <f t="shared" si="36"/>
        <v/>
      </c>
      <c r="IS54" s="1" t="str">
        <f t="shared" si="36"/>
        <v/>
      </c>
      <c r="IT54" s="1" t="str">
        <f t="shared" si="36"/>
        <v/>
      </c>
      <c r="IU54" s="1" t="str">
        <f t="shared" si="36"/>
        <v/>
      </c>
      <c r="IV54" s="1" t="str">
        <f t="shared" si="36"/>
        <v/>
      </c>
      <c r="IW54" s="1" t="str">
        <f t="shared" si="36"/>
        <v/>
      </c>
      <c r="IX54" s="1" t="str">
        <f t="shared" si="36"/>
        <v/>
      </c>
      <c r="IY54" s="1" t="str">
        <f t="shared" si="36"/>
        <v/>
      </c>
      <c r="IZ54" s="1" t="str">
        <f t="shared" si="36"/>
        <v/>
      </c>
      <c r="JA54" s="1" t="str">
        <f t="shared" si="36"/>
        <v/>
      </c>
      <c r="JB54" s="1" t="str">
        <f t="shared" si="36"/>
        <v/>
      </c>
      <c r="JC54" s="1" t="str">
        <f t="shared" si="36"/>
        <v/>
      </c>
      <c r="JD54" s="1" t="str">
        <f t="shared" si="36"/>
        <v/>
      </c>
      <c r="JE54" s="1" t="str">
        <f t="shared" si="36"/>
        <v/>
      </c>
      <c r="JF54" s="1" t="str">
        <f t="shared" si="36"/>
        <v/>
      </c>
      <c r="JG54" s="1" t="str">
        <f t="shared" si="37"/>
        <v/>
      </c>
      <c r="JH54" s="1" t="str">
        <f t="shared" si="37"/>
        <v/>
      </c>
      <c r="JI54" s="1" t="str">
        <f t="shared" si="37"/>
        <v/>
      </c>
      <c r="JJ54" s="1" t="str">
        <f t="shared" si="30"/>
        <v/>
      </c>
      <c r="JK54" s="1" t="str">
        <f t="shared" si="30"/>
        <v/>
      </c>
      <c r="JL54" s="1" t="str">
        <f t="shared" si="24"/>
        <v/>
      </c>
      <c r="JM54" s="1" t="str">
        <f t="shared" si="12"/>
        <v/>
      </c>
      <c r="JN54" s="1" t="str">
        <f t="shared" si="12"/>
        <v/>
      </c>
      <c r="JO54" s="1" t="str">
        <f t="shared" si="12"/>
        <v/>
      </c>
    </row>
    <row r="55" spans="1:275" ht="14.5" x14ac:dyDescent="0.35">
      <c r="A55" s="59" t="str">
        <f>IF('Data input'!A55&lt;&gt;"",'Data input'!A55,"")</f>
        <v/>
      </c>
      <c r="B55" s="15" t="str">
        <f>IF('Data input'!B55&lt;&gt;"",'Data input'!B55,"")</f>
        <v/>
      </c>
      <c r="C55" s="16" t="str">
        <f>IF('Data input'!C55="","",4*('Data input'!C55-'Data input'!C$108)/('Data input'!C$109-'Data input'!C$108)+1)</f>
        <v/>
      </c>
      <c r="D55" s="16" t="str">
        <f>IF('Data input'!D55="","",4*('Data input'!D55-'Data input'!D$108)/('Data input'!D$109-'Data input'!D$108)+1)</f>
        <v/>
      </c>
      <c r="E55" s="16" t="str">
        <f>IF('Data input'!E55="","",4*('Data input'!E55-'Data input'!E$108)/('Data input'!E$109-'Data input'!E$108)+1)</f>
        <v/>
      </c>
      <c r="F55" s="16" t="str">
        <f>IF('Data input'!F55="","",4*('Data input'!F55-'Data input'!F$108)/('Data input'!F$109-'Data input'!F$108)+1)</f>
        <v/>
      </c>
      <c r="G55" s="16" t="str">
        <f>IF('Data input'!G55="","",4*('Data input'!G55-'Data input'!G$108)/('Data input'!G$109-'Data input'!G$108)+1)</f>
        <v/>
      </c>
      <c r="H55" s="16" t="str">
        <f>IF('Data input'!H55="","",4*('Data input'!H55-'Data input'!H$108)/('Data input'!H$109-'Data input'!H$108)+1)</f>
        <v/>
      </c>
      <c r="I55" s="19" t="str">
        <f>IF('Data input'!I55="","",4*('Data input'!I55-'Data input'!I$108)/('Data input'!I$109-'Data input'!I$108)+1)</f>
        <v/>
      </c>
      <c r="J55" s="19" t="str">
        <f>IF('Data input'!J55="","",4*('Data input'!J55-'Data input'!J$108)/('Data input'!J$109-'Data input'!J$108)+1)</f>
        <v/>
      </c>
      <c r="K55" s="19" t="str">
        <f>IF('Data input'!K55="","",4*('Data input'!K55-'Data input'!K$108)/('Data input'!K$109-'Data input'!K$108)+1)</f>
        <v/>
      </c>
      <c r="L55" s="19" t="str">
        <f>IF('Data input'!L55="","",4*('Data input'!L55-'Data input'!L$108)/('Data input'!L$109-'Data input'!L$108)+1)</f>
        <v/>
      </c>
      <c r="M55" s="16" t="str">
        <f>IF('Data input'!M55="","",4*('Data input'!M55-'Data input'!M$108)/('Data input'!M$109-'Data input'!M$108)+1)</f>
        <v/>
      </c>
      <c r="N55" s="16" t="str">
        <f>IF('Data input'!N55="","",4*('Data input'!N55-'Data input'!N$108)/('Data input'!N$109-'Data input'!N$108)+1)</f>
        <v/>
      </c>
      <c r="O55" s="16" t="str">
        <f>IF('Data input'!O55="","",4*('Data input'!O55-'Data input'!O$108)/('Data input'!O$109-'Data input'!O$108)+1)</f>
        <v/>
      </c>
      <c r="P55" s="16" t="str">
        <f>IF('Data input'!P55="","",4*('Data input'!P55-'Data input'!P$108)/('Data input'!P$109-'Data input'!P$108)+1)</f>
        <v/>
      </c>
      <c r="Q55" s="16" t="str">
        <f>IF('Data input'!Q55="","",4*('Data input'!Q55-'Data input'!Q$108)/('Data input'!Q$109-'Data input'!Q$108)+1)</f>
        <v/>
      </c>
      <c r="R55" s="16" t="str">
        <f>IF('Data input'!R55="","",4*('Data input'!R55-'Data input'!R$108)/('Data input'!R$109-'Data input'!R$108)+1)</f>
        <v/>
      </c>
      <c r="S55" s="16" t="str">
        <f>IF('Data input'!S55="","",4*('Data input'!S55-'Data input'!S$108)/('Data input'!S$109-'Data input'!S$108)+1)</f>
        <v/>
      </c>
      <c r="T55" s="16" t="str">
        <f>IF('Data input'!T55="","",4*('Data input'!T55-'Data input'!T$108)/('Data input'!T$109-'Data input'!T$108)+1)</f>
        <v/>
      </c>
      <c r="U55" s="16" t="str">
        <f>IF('Data input'!U55="","",4*('Data input'!U55-'Data input'!U$108)/('Data input'!U$109-'Data input'!U$108)+1)</f>
        <v/>
      </c>
      <c r="V55" s="16" t="str">
        <f>IF('Data input'!V55="","",4*('Data input'!V55-'Data input'!V$108)/('Data input'!V$109-'Data input'!V$108)+1)</f>
        <v/>
      </c>
      <c r="W55" s="16" t="str">
        <f>IF('Data input'!W55="","",4*('Data input'!W55-'Data input'!W$108)/('Data input'!W$109-'Data input'!W$108)+1)</f>
        <v/>
      </c>
      <c r="X55" s="16" t="str">
        <f>IF('Data input'!X55="","",4*('Data input'!X55-'Data input'!X$108)/('Data input'!X$109-'Data input'!X$108)+1)</f>
        <v/>
      </c>
      <c r="Y55" s="16" t="str">
        <f>IF('Data input'!Y55="","",4*('Data input'!Y55-'Data input'!Y$108)/('Data input'!Y$109-'Data input'!Y$108)+1)</f>
        <v/>
      </c>
      <c r="Z55" s="16" t="str">
        <f>IF('Data input'!Z55="","",4*('Data input'!Z55-'Data input'!Z$108)/('Data input'!Z$109-'Data input'!Z$108)+1)</f>
        <v/>
      </c>
      <c r="AA55" s="62" t="str">
        <f>IF('Data input'!AA55="","",4*('Data input'!AA55-'Data input'!AA$108)/('Data input'!AA$109-'Data input'!AA$108)+1)</f>
        <v/>
      </c>
      <c r="AB55" s="78"/>
      <c r="AC55" s="79">
        <v>0</v>
      </c>
      <c r="AD55" s="80" t="e">
        <f t="shared" si="13"/>
        <v>#DIV/0!</v>
      </c>
      <c r="AE55" s="4"/>
      <c r="AF55" s="59" t="str">
        <f t="shared" si="14"/>
        <v/>
      </c>
      <c r="AG55" s="60" t="str">
        <f t="shared" si="14"/>
        <v/>
      </c>
      <c r="AH55"/>
      <c r="AI55"/>
      <c r="AJ55"/>
      <c r="AK55"/>
      <c r="AL55"/>
      <c r="AM55"/>
      <c r="AN55"/>
      <c r="AO55"/>
      <c r="AP55"/>
      <c r="AQ55"/>
      <c r="AR55"/>
      <c r="AS55" s="71" t="str">
        <f t="shared" si="15"/>
        <v/>
      </c>
      <c r="AT55" s="71" t="str">
        <f t="shared" si="15"/>
        <v/>
      </c>
      <c r="AU55" s="71" t="str">
        <f t="shared" si="15"/>
        <v/>
      </c>
      <c r="AV55" s="71" t="str">
        <f t="shared" si="15"/>
        <v/>
      </c>
      <c r="AW55" s="71" t="str">
        <f t="shared" si="15"/>
        <v/>
      </c>
      <c r="AX55" s="71" t="str">
        <f t="shared" si="16"/>
        <v/>
      </c>
      <c r="AY55" s="71" t="str">
        <f t="shared" si="16"/>
        <v/>
      </c>
      <c r="AZ55" s="71" t="str">
        <f t="shared" si="16"/>
        <v/>
      </c>
      <c r="BA55" s="71" t="str">
        <f t="shared" si="16"/>
        <v/>
      </c>
      <c r="BB55" s="71" t="str">
        <f t="shared" si="16"/>
        <v/>
      </c>
      <c r="BC55" s="18" t="str">
        <f>IF(C55&lt;&gt;"",(('Data input'!C$109-'Data input'!C$108)*(AS55-1)/4)+'Data input'!C$108,"")</f>
        <v/>
      </c>
      <c r="BD55" s="18" t="str">
        <f>IF(D55&lt;&gt;"",(('Data input'!D$109-'Data input'!D$108)*(AT55-1)/4)+'Data input'!D$108,"")</f>
        <v/>
      </c>
      <c r="BE55" s="18" t="str">
        <f>IF(E55&lt;&gt;"",(('Data input'!E$109-'Data input'!E$108)*(AU55-1)/4)+'Data input'!E$108,"")</f>
        <v/>
      </c>
      <c r="BF55" s="18" t="str">
        <f>IF(F55&lt;&gt;"",(('Data input'!F$109-'Data input'!F$108)*(AV55-1)/4)+'Data input'!F$108,"")</f>
        <v/>
      </c>
      <c r="BG55" s="18" t="str">
        <f>IF(G55&lt;&gt;"",(('Data input'!G$109-'Data input'!G$108)*(AW55-1)/4)+'Data input'!G$108,"")</f>
        <v/>
      </c>
      <c r="BH55" s="19" t="str">
        <f>IF(H55&lt;&gt;"",(('Data input'!H$109-'Data input'!H$108)*(AX55-1)/4)+'Data input'!H$108,"")</f>
        <v/>
      </c>
      <c r="BI55" s="18" t="str">
        <f>IF(I55&lt;&gt;"",(('Data input'!I$109-'Data input'!I$108)*(AY55-1)/4)+'Data input'!I$108,"")</f>
        <v/>
      </c>
      <c r="BJ55" s="19" t="str">
        <f>IF(J55&lt;&gt;"",(('Data input'!J$109-'Data input'!J$108)*(AZ55-1)/4)+'Data input'!J$108,"")</f>
        <v/>
      </c>
      <c r="BK55" s="19" t="str">
        <f>IF(K55&lt;&gt;"",(('Data input'!K$109-'Data input'!K$108)*(BA55-1)/4)+'Data input'!K$108,"")</f>
        <v/>
      </c>
      <c r="BL55" s="19" t="str">
        <f>IF(L55&lt;&gt;"",(('Data input'!L$109-'Data input'!L$108)*(BB55-1)/4)+'Data input'!L$108,"")</f>
        <v/>
      </c>
      <c r="BM55" s="18" t="str">
        <f>IF(C55&lt;&gt;"",BC55-'Data input'!C55,"")</f>
        <v/>
      </c>
      <c r="BN55" s="18" t="str">
        <f>IF(D55&lt;&gt;"",BD55-'Data input'!D55,"")</f>
        <v/>
      </c>
      <c r="BO55" s="18" t="str">
        <f>IF(E55&lt;&gt;"",BE55-'Data input'!E55,"")</f>
        <v/>
      </c>
      <c r="BP55" s="18" t="str">
        <f>IF(F55&lt;&gt;"",BF55-'Data input'!F55,"")</f>
        <v/>
      </c>
      <c r="BQ55" s="18" t="str">
        <f>IF(G55&lt;&gt;"",BG55-'Data input'!G55,"")</f>
        <v/>
      </c>
      <c r="BR55" s="19" t="str">
        <f>IF(H55&lt;&gt;"",BH55-'Data input'!H55,"")</f>
        <v/>
      </c>
      <c r="BS55" s="18" t="str">
        <f>IF(I55&lt;&gt;"",BI55-'Data input'!I55,"")</f>
        <v/>
      </c>
      <c r="BT55" s="18" t="str">
        <f>IF(J55&lt;&gt;"",BJ55-'Data input'!J55,"")</f>
        <v/>
      </c>
      <c r="BU55" s="18" t="str">
        <f>IF(K55&lt;&gt;"",BK55-'Data input'!K55,"")</f>
        <v/>
      </c>
      <c r="BV55" s="72" t="str">
        <f>IF(L55&lt;&gt;"",BL55-'Data input'!L55,"")</f>
        <v/>
      </c>
      <c r="BW55" s="121" t="str">
        <f t="shared" si="17"/>
        <v/>
      </c>
      <c r="FT55" s="1" t="str">
        <f t="shared" si="33"/>
        <v/>
      </c>
      <c r="FU55" s="1" t="str">
        <f t="shared" si="33"/>
        <v/>
      </c>
      <c r="FV55" s="1" t="str">
        <f t="shared" si="33"/>
        <v/>
      </c>
      <c r="FW55" s="1" t="str">
        <f t="shared" si="33"/>
        <v/>
      </c>
      <c r="FX55" s="1" t="str">
        <f t="shared" si="33"/>
        <v/>
      </c>
      <c r="FY55" s="1" t="str">
        <f t="shared" si="33"/>
        <v/>
      </c>
      <c r="FZ55" s="1" t="str">
        <f t="shared" si="33"/>
        <v/>
      </c>
      <c r="GA55" s="1" t="str">
        <f t="shared" si="33"/>
        <v/>
      </c>
      <c r="GB55" s="1" t="str">
        <f t="shared" si="33"/>
        <v/>
      </c>
      <c r="GC55" s="1" t="str">
        <f t="shared" si="33"/>
        <v/>
      </c>
      <c r="GD55" s="1" t="str">
        <f t="shared" si="33"/>
        <v/>
      </c>
      <c r="GE55" s="1" t="str">
        <f t="shared" si="33"/>
        <v/>
      </c>
      <c r="GF55" s="1" t="str">
        <f t="shared" si="33"/>
        <v/>
      </c>
      <c r="GG55" s="1" t="str">
        <f t="shared" si="33"/>
        <v/>
      </c>
      <c r="GH55" s="1" t="str">
        <f t="shared" si="33"/>
        <v/>
      </c>
      <c r="GI55" s="1" t="str">
        <f t="shared" si="32"/>
        <v/>
      </c>
      <c r="GJ55" s="1" t="str">
        <f t="shared" si="32"/>
        <v/>
      </c>
      <c r="GK55" s="1" t="str">
        <f t="shared" si="32"/>
        <v/>
      </c>
      <c r="GL55" s="1" t="str">
        <f t="shared" si="32"/>
        <v/>
      </c>
      <c r="GM55" s="1" t="str">
        <f t="shared" si="32"/>
        <v/>
      </c>
      <c r="GN55" s="1" t="str">
        <f t="shared" si="32"/>
        <v/>
      </c>
      <c r="GO55" s="1" t="str">
        <f t="shared" si="32"/>
        <v/>
      </c>
      <c r="GP55" s="1" t="str">
        <f t="shared" si="32"/>
        <v/>
      </c>
      <c r="GQ55" s="1" t="str">
        <f t="shared" si="32"/>
        <v/>
      </c>
      <c r="GR55" s="1" t="str">
        <f t="shared" si="32"/>
        <v/>
      </c>
      <c r="GS55" s="1" t="str">
        <f t="shared" si="32"/>
        <v/>
      </c>
      <c r="GT55" s="1" t="str">
        <f t="shared" si="32"/>
        <v/>
      </c>
      <c r="GU55" s="1" t="str">
        <f t="shared" si="32"/>
        <v/>
      </c>
      <c r="GV55" s="1" t="str">
        <f t="shared" si="32"/>
        <v/>
      </c>
      <c r="GW55" s="1" t="str">
        <f t="shared" si="32"/>
        <v/>
      </c>
      <c r="GX55" s="1" t="str">
        <f t="shared" si="32"/>
        <v/>
      </c>
      <c r="GY55" s="1" t="str">
        <f t="shared" si="39"/>
        <v/>
      </c>
      <c r="GZ55" s="1" t="str">
        <f t="shared" si="38"/>
        <v/>
      </c>
      <c r="HA55" s="1" t="str">
        <f t="shared" si="38"/>
        <v/>
      </c>
      <c r="HB55" s="1" t="str">
        <f t="shared" si="38"/>
        <v/>
      </c>
      <c r="HC55" s="1" t="str">
        <f t="shared" si="38"/>
        <v/>
      </c>
      <c r="HD55" s="1" t="str">
        <f t="shared" si="38"/>
        <v/>
      </c>
      <c r="HE55" s="1" t="str">
        <f t="shared" si="38"/>
        <v/>
      </c>
      <c r="HF55" s="1" t="str">
        <f t="shared" si="38"/>
        <v/>
      </c>
      <c r="HG55" s="1" t="str">
        <f t="shared" si="38"/>
        <v/>
      </c>
      <c r="HH55" s="1" t="str">
        <f t="shared" si="38"/>
        <v/>
      </c>
      <c r="HI55" s="1" t="str">
        <f t="shared" si="38"/>
        <v/>
      </c>
      <c r="HJ55" s="1" t="str">
        <f t="shared" si="38"/>
        <v/>
      </c>
      <c r="HK55" s="1" t="str">
        <f t="shared" si="34"/>
        <v/>
      </c>
      <c r="HL55" s="1" t="str">
        <f t="shared" si="34"/>
        <v/>
      </c>
      <c r="HM55" s="1" t="str">
        <f t="shared" si="34"/>
        <v/>
      </c>
      <c r="HN55" s="1" t="str">
        <f t="shared" si="34"/>
        <v/>
      </c>
      <c r="HO55" s="1" t="str">
        <f t="shared" si="34"/>
        <v/>
      </c>
      <c r="HP55" s="1" t="str">
        <f t="shared" si="34"/>
        <v/>
      </c>
      <c r="HQ55" s="1" t="str">
        <f t="shared" si="34"/>
        <v/>
      </c>
      <c r="HR55" s="1" t="str">
        <f t="shared" si="34"/>
        <v/>
      </c>
      <c r="HS55" s="1" t="str">
        <f t="shared" si="34"/>
        <v/>
      </c>
      <c r="HT55" s="1" t="str">
        <f t="shared" si="34"/>
        <v/>
      </c>
      <c r="HU55" s="1" t="str">
        <f t="shared" si="34"/>
        <v/>
      </c>
      <c r="HV55" s="1" t="str">
        <f t="shared" si="34"/>
        <v/>
      </c>
      <c r="HW55" s="1" t="str">
        <f t="shared" si="34"/>
        <v/>
      </c>
      <c r="HX55" s="1" t="str">
        <f t="shared" si="34"/>
        <v/>
      </c>
      <c r="HY55" s="1" t="str">
        <f t="shared" si="34"/>
        <v/>
      </c>
      <c r="HZ55" s="1" t="str">
        <f t="shared" si="34"/>
        <v/>
      </c>
      <c r="IA55" s="1" t="str">
        <f t="shared" si="35"/>
        <v/>
      </c>
      <c r="IB55" s="1" t="str">
        <f t="shared" si="35"/>
        <v/>
      </c>
      <c r="IC55" s="1" t="str">
        <f t="shared" si="35"/>
        <v/>
      </c>
      <c r="ID55" s="1" t="str">
        <f t="shared" si="35"/>
        <v/>
      </c>
      <c r="IE55" s="1" t="str">
        <f t="shared" si="35"/>
        <v/>
      </c>
      <c r="IF55" s="1" t="str">
        <f t="shared" si="35"/>
        <v/>
      </c>
      <c r="IG55" s="1" t="str">
        <f t="shared" si="35"/>
        <v/>
      </c>
      <c r="IH55" s="1" t="str">
        <f t="shared" si="35"/>
        <v/>
      </c>
      <c r="II55" s="1" t="str">
        <f t="shared" si="35"/>
        <v/>
      </c>
      <c r="IJ55" s="1" t="str">
        <f t="shared" si="35"/>
        <v/>
      </c>
      <c r="IK55" s="1" t="str">
        <f t="shared" si="35"/>
        <v/>
      </c>
      <c r="IL55" s="1" t="str">
        <f t="shared" si="35"/>
        <v/>
      </c>
      <c r="IM55" s="1" t="str">
        <f t="shared" si="35"/>
        <v/>
      </c>
      <c r="IN55" s="1" t="str">
        <f t="shared" si="35"/>
        <v/>
      </c>
      <c r="IO55" s="1" t="str">
        <f t="shared" si="35"/>
        <v/>
      </c>
      <c r="IP55" s="1" t="str">
        <f t="shared" si="35"/>
        <v/>
      </c>
      <c r="IQ55" s="1" t="str">
        <f t="shared" si="36"/>
        <v/>
      </c>
      <c r="IR55" s="1" t="str">
        <f t="shared" si="36"/>
        <v/>
      </c>
      <c r="IS55" s="1" t="str">
        <f t="shared" si="36"/>
        <v/>
      </c>
      <c r="IT55" s="1" t="str">
        <f t="shared" si="36"/>
        <v/>
      </c>
      <c r="IU55" s="1" t="str">
        <f t="shared" si="36"/>
        <v/>
      </c>
      <c r="IV55" s="1" t="str">
        <f t="shared" si="36"/>
        <v/>
      </c>
      <c r="IW55" s="1" t="str">
        <f t="shared" si="36"/>
        <v/>
      </c>
      <c r="IX55" s="1" t="str">
        <f t="shared" si="36"/>
        <v/>
      </c>
      <c r="IY55" s="1" t="str">
        <f t="shared" si="36"/>
        <v/>
      </c>
      <c r="IZ55" s="1" t="str">
        <f t="shared" si="36"/>
        <v/>
      </c>
      <c r="JA55" s="1" t="str">
        <f t="shared" si="36"/>
        <v/>
      </c>
      <c r="JB55" s="1" t="str">
        <f t="shared" si="36"/>
        <v/>
      </c>
      <c r="JC55" s="1" t="str">
        <f t="shared" si="36"/>
        <v/>
      </c>
      <c r="JD55" s="1" t="str">
        <f t="shared" si="36"/>
        <v/>
      </c>
      <c r="JE55" s="1" t="str">
        <f t="shared" si="36"/>
        <v/>
      </c>
      <c r="JF55" s="1" t="str">
        <f t="shared" si="36"/>
        <v/>
      </c>
      <c r="JG55" s="1" t="str">
        <f t="shared" si="37"/>
        <v/>
      </c>
      <c r="JH55" s="1" t="str">
        <f t="shared" si="37"/>
        <v/>
      </c>
      <c r="JI55" s="1" t="str">
        <f t="shared" si="37"/>
        <v/>
      </c>
      <c r="JJ55" s="1" t="str">
        <f t="shared" si="30"/>
        <v/>
      </c>
      <c r="JK55" s="1" t="str">
        <f t="shared" si="30"/>
        <v/>
      </c>
      <c r="JL55" s="1" t="str">
        <f t="shared" si="24"/>
        <v/>
      </c>
      <c r="JM55" s="1" t="str">
        <f t="shared" si="12"/>
        <v/>
      </c>
      <c r="JN55" s="1" t="str">
        <f t="shared" si="12"/>
        <v/>
      </c>
      <c r="JO55" s="1" t="str">
        <f t="shared" si="12"/>
        <v/>
      </c>
    </row>
    <row r="56" spans="1:275" ht="14.5" x14ac:dyDescent="0.35">
      <c r="A56" s="59" t="str">
        <f>IF('Data input'!A56&lt;&gt;"",'Data input'!A56,"")</f>
        <v/>
      </c>
      <c r="B56" s="15" t="str">
        <f>IF('Data input'!B56&lt;&gt;"",'Data input'!B56,"")</f>
        <v/>
      </c>
      <c r="C56" s="16" t="str">
        <f>IF('Data input'!C56="","",4*('Data input'!C56-'Data input'!C$108)/('Data input'!C$109-'Data input'!C$108)+1)</f>
        <v/>
      </c>
      <c r="D56" s="16" t="str">
        <f>IF('Data input'!D56="","",4*('Data input'!D56-'Data input'!D$108)/('Data input'!D$109-'Data input'!D$108)+1)</f>
        <v/>
      </c>
      <c r="E56" s="16" t="str">
        <f>IF('Data input'!E56="","",4*('Data input'!E56-'Data input'!E$108)/('Data input'!E$109-'Data input'!E$108)+1)</f>
        <v/>
      </c>
      <c r="F56" s="16" t="str">
        <f>IF('Data input'!F56="","",4*('Data input'!F56-'Data input'!F$108)/('Data input'!F$109-'Data input'!F$108)+1)</f>
        <v/>
      </c>
      <c r="G56" s="16" t="str">
        <f>IF('Data input'!G56="","",4*('Data input'!G56-'Data input'!G$108)/('Data input'!G$109-'Data input'!G$108)+1)</f>
        <v/>
      </c>
      <c r="H56" s="16" t="str">
        <f>IF('Data input'!H56="","",4*('Data input'!H56-'Data input'!H$108)/('Data input'!H$109-'Data input'!H$108)+1)</f>
        <v/>
      </c>
      <c r="I56" s="19" t="str">
        <f>IF('Data input'!I56="","",4*('Data input'!I56-'Data input'!I$108)/('Data input'!I$109-'Data input'!I$108)+1)</f>
        <v/>
      </c>
      <c r="J56" s="19" t="str">
        <f>IF('Data input'!J56="","",4*('Data input'!J56-'Data input'!J$108)/('Data input'!J$109-'Data input'!J$108)+1)</f>
        <v/>
      </c>
      <c r="K56" s="19" t="str">
        <f>IF('Data input'!K56="","",4*('Data input'!K56-'Data input'!K$108)/('Data input'!K$109-'Data input'!K$108)+1)</f>
        <v/>
      </c>
      <c r="L56" s="19" t="str">
        <f>IF('Data input'!L56="","",4*('Data input'!L56-'Data input'!L$108)/('Data input'!L$109-'Data input'!L$108)+1)</f>
        <v/>
      </c>
      <c r="M56" s="16" t="str">
        <f>IF('Data input'!M56="","",4*('Data input'!M56-'Data input'!M$108)/('Data input'!M$109-'Data input'!M$108)+1)</f>
        <v/>
      </c>
      <c r="N56" s="16" t="str">
        <f>IF('Data input'!N56="","",4*('Data input'!N56-'Data input'!N$108)/('Data input'!N$109-'Data input'!N$108)+1)</f>
        <v/>
      </c>
      <c r="O56" s="16" t="str">
        <f>IF('Data input'!O56="","",4*('Data input'!O56-'Data input'!O$108)/('Data input'!O$109-'Data input'!O$108)+1)</f>
        <v/>
      </c>
      <c r="P56" s="16" t="str">
        <f>IF('Data input'!P56="","",4*('Data input'!P56-'Data input'!P$108)/('Data input'!P$109-'Data input'!P$108)+1)</f>
        <v/>
      </c>
      <c r="Q56" s="16" t="str">
        <f>IF('Data input'!Q56="","",4*('Data input'!Q56-'Data input'!Q$108)/('Data input'!Q$109-'Data input'!Q$108)+1)</f>
        <v/>
      </c>
      <c r="R56" s="16" t="str">
        <f>IF('Data input'!R56="","",4*('Data input'!R56-'Data input'!R$108)/('Data input'!R$109-'Data input'!R$108)+1)</f>
        <v/>
      </c>
      <c r="S56" s="16" t="str">
        <f>IF('Data input'!S56="","",4*('Data input'!S56-'Data input'!S$108)/('Data input'!S$109-'Data input'!S$108)+1)</f>
        <v/>
      </c>
      <c r="T56" s="16" t="str">
        <f>IF('Data input'!T56="","",4*('Data input'!T56-'Data input'!T$108)/('Data input'!T$109-'Data input'!T$108)+1)</f>
        <v/>
      </c>
      <c r="U56" s="16" t="str">
        <f>IF('Data input'!U56="","",4*('Data input'!U56-'Data input'!U$108)/('Data input'!U$109-'Data input'!U$108)+1)</f>
        <v/>
      </c>
      <c r="V56" s="16" t="str">
        <f>IF('Data input'!V56="","",4*('Data input'!V56-'Data input'!V$108)/('Data input'!V$109-'Data input'!V$108)+1)</f>
        <v/>
      </c>
      <c r="W56" s="16" t="str">
        <f>IF('Data input'!W56="","",4*('Data input'!W56-'Data input'!W$108)/('Data input'!W$109-'Data input'!W$108)+1)</f>
        <v/>
      </c>
      <c r="X56" s="16" t="str">
        <f>IF('Data input'!X56="","",4*('Data input'!X56-'Data input'!X$108)/('Data input'!X$109-'Data input'!X$108)+1)</f>
        <v/>
      </c>
      <c r="Y56" s="16" t="str">
        <f>IF('Data input'!Y56="","",4*('Data input'!Y56-'Data input'!Y$108)/('Data input'!Y$109-'Data input'!Y$108)+1)</f>
        <v/>
      </c>
      <c r="Z56" s="16" t="str">
        <f>IF('Data input'!Z56="","",4*('Data input'!Z56-'Data input'!Z$108)/('Data input'!Z$109-'Data input'!Z$108)+1)</f>
        <v/>
      </c>
      <c r="AA56" s="62" t="str">
        <f>IF('Data input'!AA56="","",4*('Data input'!AA56-'Data input'!AA$108)/('Data input'!AA$109-'Data input'!AA$108)+1)</f>
        <v/>
      </c>
      <c r="AB56" s="78"/>
      <c r="AC56" s="79">
        <v>0</v>
      </c>
      <c r="AD56" s="80" t="e">
        <f t="shared" si="13"/>
        <v>#DIV/0!</v>
      </c>
      <c r="AE56" s="4"/>
      <c r="AF56" s="59" t="str">
        <f t="shared" ref="AF56:AG102" si="40">A56</f>
        <v/>
      </c>
      <c r="AG56" s="60" t="str">
        <f t="shared" si="40"/>
        <v/>
      </c>
      <c r="AH56"/>
      <c r="AI56"/>
      <c r="AJ56"/>
      <c r="AK56"/>
      <c r="AL56"/>
      <c r="AM56"/>
      <c r="AN56"/>
      <c r="AO56"/>
      <c r="AP56"/>
      <c r="AQ56"/>
      <c r="AR56"/>
      <c r="AS56" s="71" t="str">
        <f t="shared" si="15"/>
        <v/>
      </c>
      <c r="AT56" s="71" t="str">
        <f t="shared" si="15"/>
        <v/>
      </c>
      <c r="AU56" s="71" t="str">
        <f t="shared" si="15"/>
        <v/>
      </c>
      <c r="AV56" s="71" t="str">
        <f t="shared" si="15"/>
        <v/>
      </c>
      <c r="AW56" s="71" t="str">
        <f t="shared" si="15"/>
        <v/>
      </c>
      <c r="AX56" s="71" t="str">
        <f t="shared" si="16"/>
        <v/>
      </c>
      <c r="AY56" s="71" t="str">
        <f t="shared" si="16"/>
        <v/>
      </c>
      <c r="AZ56" s="71" t="str">
        <f t="shared" si="16"/>
        <v/>
      </c>
      <c r="BA56" s="71" t="str">
        <f t="shared" si="16"/>
        <v/>
      </c>
      <c r="BB56" s="71" t="str">
        <f t="shared" si="16"/>
        <v/>
      </c>
      <c r="BC56" s="18" t="str">
        <f>IF(C56&lt;&gt;"",(('Data input'!C$109-'Data input'!C$108)*(AS56-1)/4)+'Data input'!C$108,"")</f>
        <v/>
      </c>
      <c r="BD56" s="18" t="str">
        <f>IF(D56&lt;&gt;"",(('Data input'!D$109-'Data input'!D$108)*(AT56-1)/4)+'Data input'!D$108,"")</f>
        <v/>
      </c>
      <c r="BE56" s="18" t="str">
        <f>IF(E56&lt;&gt;"",(('Data input'!E$109-'Data input'!E$108)*(AU56-1)/4)+'Data input'!E$108,"")</f>
        <v/>
      </c>
      <c r="BF56" s="18" t="str">
        <f>IF(F56&lt;&gt;"",(('Data input'!F$109-'Data input'!F$108)*(AV56-1)/4)+'Data input'!F$108,"")</f>
        <v/>
      </c>
      <c r="BG56" s="18" t="str">
        <f>IF(G56&lt;&gt;"",(('Data input'!G$109-'Data input'!G$108)*(AW56-1)/4)+'Data input'!G$108,"")</f>
        <v/>
      </c>
      <c r="BH56" s="19" t="str">
        <f>IF(H56&lt;&gt;"",(('Data input'!H$109-'Data input'!H$108)*(AX56-1)/4)+'Data input'!H$108,"")</f>
        <v/>
      </c>
      <c r="BI56" s="18" t="str">
        <f>IF(I56&lt;&gt;"",(('Data input'!I$109-'Data input'!I$108)*(AY56-1)/4)+'Data input'!I$108,"")</f>
        <v/>
      </c>
      <c r="BJ56" s="19" t="str">
        <f>IF(J56&lt;&gt;"",(('Data input'!J$109-'Data input'!J$108)*(AZ56-1)/4)+'Data input'!J$108,"")</f>
        <v/>
      </c>
      <c r="BK56" s="19" t="str">
        <f>IF(K56&lt;&gt;"",(('Data input'!K$109-'Data input'!K$108)*(BA56-1)/4)+'Data input'!K$108,"")</f>
        <v/>
      </c>
      <c r="BL56" s="19" t="str">
        <f>IF(L56&lt;&gt;"",(('Data input'!L$109-'Data input'!L$108)*(BB56-1)/4)+'Data input'!L$108,"")</f>
        <v/>
      </c>
      <c r="BM56" s="18" t="str">
        <f>IF(C56&lt;&gt;"",BC56-'Data input'!C56,"")</f>
        <v/>
      </c>
      <c r="BN56" s="18" t="str">
        <f>IF(D56&lt;&gt;"",BD56-'Data input'!D56,"")</f>
        <v/>
      </c>
      <c r="BO56" s="18" t="str">
        <f>IF(E56&lt;&gt;"",BE56-'Data input'!E56,"")</f>
        <v/>
      </c>
      <c r="BP56" s="18" t="str">
        <f>IF(F56&lt;&gt;"",BF56-'Data input'!F56,"")</f>
        <v/>
      </c>
      <c r="BQ56" s="18" t="str">
        <f>IF(G56&lt;&gt;"",BG56-'Data input'!G56,"")</f>
        <v/>
      </c>
      <c r="BR56" s="19" t="str">
        <f>IF(H56&lt;&gt;"",BH56-'Data input'!H56,"")</f>
        <v/>
      </c>
      <c r="BS56" s="18" t="str">
        <f>IF(I56&lt;&gt;"",BI56-'Data input'!I56,"")</f>
        <v/>
      </c>
      <c r="BT56" s="18" t="str">
        <f>IF(J56&lt;&gt;"",BJ56-'Data input'!J56,"")</f>
        <v/>
      </c>
      <c r="BU56" s="18" t="str">
        <f>IF(K56&lt;&gt;"",BK56-'Data input'!K56,"")</f>
        <v/>
      </c>
      <c r="BV56" s="72" t="str">
        <f>IF(L56&lt;&gt;"",BL56-'Data input'!L56,"")</f>
        <v/>
      </c>
      <c r="BW56" s="121" t="str">
        <f t="shared" si="17"/>
        <v/>
      </c>
      <c r="FT56" s="1" t="str">
        <f t="shared" si="33"/>
        <v/>
      </c>
      <c r="FU56" s="1" t="str">
        <f t="shared" si="33"/>
        <v/>
      </c>
      <c r="FV56" s="1" t="str">
        <f t="shared" si="33"/>
        <v/>
      </c>
      <c r="FW56" s="1" t="str">
        <f t="shared" si="33"/>
        <v/>
      </c>
      <c r="FX56" s="1" t="str">
        <f t="shared" si="33"/>
        <v/>
      </c>
      <c r="FY56" s="1" t="str">
        <f t="shared" si="33"/>
        <v/>
      </c>
      <c r="FZ56" s="1" t="str">
        <f t="shared" si="33"/>
        <v/>
      </c>
      <c r="GA56" s="1" t="str">
        <f t="shared" si="33"/>
        <v/>
      </c>
      <c r="GB56" s="1" t="str">
        <f t="shared" si="33"/>
        <v/>
      </c>
      <c r="GC56" s="1" t="str">
        <f t="shared" si="33"/>
        <v/>
      </c>
      <c r="GD56" s="1" t="str">
        <f t="shared" si="33"/>
        <v/>
      </c>
      <c r="GE56" s="1" t="str">
        <f t="shared" si="33"/>
        <v/>
      </c>
      <c r="GF56" s="1" t="str">
        <f t="shared" si="33"/>
        <v/>
      </c>
      <c r="GG56" s="1" t="str">
        <f t="shared" si="33"/>
        <v/>
      </c>
      <c r="GH56" s="1" t="str">
        <f t="shared" si="33"/>
        <v/>
      </c>
      <c r="GI56" s="1" t="str">
        <f t="shared" si="32"/>
        <v/>
      </c>
      <c r="GJ56" s="1" t="str">
        <f t="shared" si="32"/>
        <v/>
      </c>
      <c r="GK56" s="1" t="str">
        <f t="shared" si="32"/>
        <v/>
      </c>
      <c r="GL56" s="1" t="str">
        <f t="shared" si="32"/>
        <v/>
      </c>
      <c r="GM56" s="1" t="str">
        <f t="shared" si="32"/>
        <v/>
      </c>
      <c r="GN56" s="1" t="str">
        <f t="shared" si="32"/>
        <v/>
      </c>
      <c r="GO56" s="1" t="str">
        <f t="shared" si="32"/>
        <v/>
      </c>
      <c r="GP56" s="1" t="str">
        <f t="shared" si="32"/>
        <v/>
      </c>
      <c r="GQ56" s="1" t="str">
        <f t="shared" si="32"/>
        <v/>
      </c>
      <c r="GR56" s="1" t="str">
        <f t="shared" si="32"/>
        <v/>
      </c>
      <c r="GS56" s="1" t="str">
        <f t="shared" si="32"/>
        <v/>
      </c>
      <c r="GT56" s="1" t="str">
        <f t="shared" si="32"/>
        <v/>
      </c>
      <c r="GU56" s="1" t="str">
        <f t="shared" si="32"/>
        <v/>
      </c>
      <c r="GV56" s="1" t="str">
        <f t="shared" si="32"/>
        <v/>
      </c>
      <c r="GW56" s="1" t="str">
        <f t="shared" si="32"/>
        <v/>
      </c>
      <c r="GX56" s="1" t="str">
        <f t="shared" si="32"/>
        <v/>
      </c>
      <c r="GY56" s="1" t="str">
        <f t="shared" si="39"/>
        <v/>
      </c>
      <c r="GZ56" s="1" t="str">
        <f t="shared" si="38"/>
        <v/>
      </c>
      <c r="HA56" s="1" t="str">
        <f t="shared" si="38"/>
        <v/>
      </c>
      <c r="HB56" s="1" t="str">
        <f t="shared" si="38"/>
        <v/>
      </c>
      <c r="HC56" s="1" t="str">
        <f t="shared" si="38"/>
        <v/>
      </c>
      <c r="HD56" s="1" t="str">
        <f t="shared" si="38"/>
        <v/>
      </c>
      <c r="HE56" s="1" t="str">
        <f t="shared" si="38"/>
        <v/>
      </c>
      <c r="HF56" s="1" t="str">
        <f t="shared" si="38"/>
        <v/>
      </c>
      <c r="HG56" s="1" t="str">
        <f t="shared" si="38"/>
        <v/>
      </c>
      <c r="HH56" s="1" t="str">
        <f t="shared" si="38"/>
        <v/>
      </c>
      <c r="HI56" s="1" t="str">
        <f t="shared" si="38"/>
        <v/>
      </c>
      <c r="HJ56" s="1" t="str">
        <f t="shared" si="38"/>
        <v/>
      </c>
      <c r="HK56" s="1" t="str">
        <f t="shared" si="34"/>
        <v/>
      </c>
      <c r="HL56" s="1" t="str">
        <f t="shared" si="34"/>
        <v/>
      </c>
      <c r="HM56" s="1" t="str">
        <f t="shared" si="34"/>
        <v/>
      </c>
      <c r="HN56" s="1" t="str">
        <f t="shared" si="34"/>
        <v/>
      </c>
      <c r="HO56" s="1" t="str">
        <f t="shared" si="34"/>
        <v/>
      </c>
      <c r="HP56" s="1" t="str">
        <f t="shared" si="34"/>
        <v/>
      </c>
      <c r="HQ56" s="1" t="str">
        <f t="shared" si="34"/>
        <v/>
      </c>
      <c r="HR56" s="1" t="str">
        <f t="shared" si="34"/>
        <v/>
      </c>
      <c r="HS56" s="1" t="str">
        <f t="shared" si="34"/>
        <v/>
      </c>
      <c r="HT56" s="1" t="str">
        <f t="shared" si="34"/>
        <v/>
      </c>
      <c r="HU56" s="1" t="str">
        <f t="shared" si="34"/>
        <v/>
      </c>
      <c r="HV56" s="1" t="str">
        <f t="shared" si="34"/>
        <v/>
      </c>
      <c r="HW56" s="1" t="str">
        <f t="shared" si="34"/>
        <v/>
      </c>
      <c r="HX56" s="1" t="str">
        <f t="shared" si="34"/>
        <v/>
      </c>
      <c r="HY56" s="1" t="str">
        <f t="shared" si="34"/>
        <v/>
      </c>
      <c r="HZ56" s="1" t="str">
        <f t="shared" si="34"/>
        <v/>
      </c>
      <c r="IA56" s="1" t="str">
        <f t="shared" si="35"/>
        <v/>
      </c>
      <c r="IB56" s="1" t="str">
        <f t="shared" si="35"/>
        <v/>
      </c>
      <c r="IC56" s="1" t="str">
        <f t="shared" si="35"/>
        <v/>
      </c>
      <c r="ID56" s="1" t="str">
        <f t="shared" si="35"/>
        <v/>
      </c>
      <c r="IE56" s="1" t="str">
        <f t="shared" si="35"/>
        <v/>
      </c>
      <c r="IF56" s="1" t="str">
        <f t="shared" si="35"/>
        <v/>
      </c>
      <c r="IG56" s="1" t="str">
        <f t="shared" si="35"/>
        <v/>
      </c>
      <c r="IH56" s="1" t="str">
        <f t="shared" si="35"/>
        <v/>
      </c>
      <c r="II56" s="1" t="str">
        <f t="shared" si="35"/>
        <v/>
      </c>
      <c r="IJ56" s="1" t="str">
        <f t="shared" si="35"/>
        <v/>
      </c>
      <c r="IK56" s="1" t="str">
        <f t="shared" si="35"/>
        <v/>
      </c>
      <c r="IL56" s="1" t="str">
        <f t="shared" si="35"/>
        <v/>
      </c>
      <c r="IM56" s="1" t="str">
        <f t="shared" si="35"/>
        <v/>
      </c>
      <c r="IN56" s="1" t="str">
        <f t="shared" si="35"/>
        <v/>
      </c>
      <c r="IO56" s="1" t="str">
        <f t="shared" si="35"/>
        <v/>
      </c>
      <c r="IP56" s="1" t="str">
        <f t="shared" si="35"/>
        <v/>
      </c>
      <c r="IQ56" s="1" t="str">
        <f t="shared" si="36"/>
        <v/>
      </c>
      <c r="IR56" s="1" t="str">
        <f t="shared" si="36"/>
        <v/>
      </c>
      <c r="IS56" s="1" t="str">
        <f t="shared" si="36"/>
        <v/>
      </c>
      <c r="IT56" s="1" t="str">
        <f t="shared" si="36"/>
        <v/>
      </c>
      <c r="IU56" s="1" t="str">
        <f t="shared" si="36"/>
        <v/>
      </c>
      <c r="IV56" s="1" t="str">
        <f t="shared" si="36"/>
        <v/>
      </c>
      <c r="IW56" s="1" t="str">
        <f t="shared" si="36"/>
        <v/>
      </c>
      <c r="IX56" s="1" t="str">
        <f t="shared" si="36"/>
        <v/>
      </c>
      <c r="IY56" s="1" t="str">
        <f t="shared" si="36"/>
        <v/>
      </c>
      <c r="IZ56" s="1" t="str">
        <f t="shared" si="36"/>
        <v/>
      </c>
      <c r="JA56" s="1" t="str">
        <f t="shared" si="36"/>
        <v/>
      </c>
      <c r="JB56" s="1" t="str">
        <f t="shared" si="36"/>
        <v/>
      </c>
      <c r="JC56" s="1" t="str">
        <f t="shared" si="36"/>
        <v/>
      </c>
      <c r="JD56" s="1" t="str">
        <f t="shared" si="36"/>
        <v/>
      </c>
      <c r="JE56" s="1" t="str">
        <f t="shared" si="36"/>
        <v/>
      </c>
      <c r="JF56" s="1" t="str">
        <f t="shared" si="36"/>
        <v/>
      </c>
      <c r="JG56" s="1" t="str">
        <f t="shared" si="37"/>
        <v/>
      </c>
      <c r="JH56" s="1" t="str">
        <f t="shared" si="37"/>
        <v/>
      </c>
      <c r="JI56" s="1" t="str">
        <f t="shared" si="37"/>
        <v/>
      </c>
      <c r="JJ56" s="1" t="str">
        <f t="shared" si="30"/>
        <v/>
      </c>
      <c r="JK56" s="1" t="str">
        <f t="shared" si="30"/>
        <v/>
      </c>
      <c r="JL56" s="1" t="str">
        <f t="shared" si="24"/>
        <v/>
      </c>
      <c r="JM56" s="1" t="str">
        <f t="shared" si="12"/>
        <v/>
      </c>
      <c r="JN56" s="1" t="str">
        <f t="shared" si="12"/>
        <v/>
      </c>
      <c r="JO56" s="1" t="str">
        <f t="shared" si="12"/>
        <v/>
      </c>
    </row>
    <row r="57" spans="1:275" ht="14.5" x14ac:dyDescent="0.35">
      <c r="A57" s="59" t="str">
        <f>IF('Data input'!A57&lt;&gt;"",'Data input'!A57,"")</f>
        <v/>
      </c>
      <c r="B57" s="15" t="str">
        <f>IF('Data input'!B57&lt;&gt;"",'Data input'!B57,"")</f>
        <v/>
      </c>
      <c r="C57" s="16" t="str">
        <f>IF('Data input'!C57="","",4*('Data input'!C57-'Data input'!C$108)/('Data input'!C$109-'Data input'!C$108)+1)</f>
        <v/>
      </c>
      <c r="D57" s="16" t="str">
        <f>IF('Data input'!D57="","",4*('Data input'!D57-'Data input'!D$108)/('Data input'!D$109-'Data input'!D$108)+1)</f>
        <v/>
      </c>
      <c r="E57" s="16" t="str">
        <f>IF('Data input'!E57="","",4*('Data input'!E57-'Data input'!E$108)/('Data input'!E$109-'Data input'!E$108)+1)</f>
        <v/>
      </c>
      <c r="F57" s="16" t="str">
        <f>IF('Data input'!F57="","",4*('Data input'!F57-'Data input'!F$108)/('Data input'!F$109-'Data input'!F$108)+1)</f>
        <v/>
      </c>
      <c r="G57" s="16" t="str">
        <f>IF('Data input'!G57="","",4*('Data input'!G57-'Data input'!G$108)/('Data input'!G$109-'Data input'!G$108)+1)</f>
        <v/>
      </c>
      <c r="H57" s="16" t="str">
        <f>IF('Data input'!H57="","",4*('Data input'!H57-'Data input'!H$108)/('Data input'!H$109-'Data input'!H$108)+1)</f>
        <v/>
      </c>
      <c r="I57" s="19" t="str">
        <f>IF('Data input'!I57="","",4*('Data input'!I57-'Data input'!I$108)/('Data input'!I$109-'Data input'!I$108)+1)</f>
        <v/>
      </c>
      <c r="J57" s="19" t="str">
        <f>IF('Data input'!J57="","",4*('Data input'!J57-'Data input'!J$108)/('Data input'!J$109-'Data input'!J$108)+1)</f>
        <v/>
      </c>
      <c r="K57" s="19" t="str">
        <f>IF('Data input'!K57="","",4*('Data input'!K57-'Data input'!K$108)/('Data input'!K$109-'Data input'!K$108)+1)</f>
        <v/>
      </c>
      <c r="L57" s="19" t="str">
        <f>IF('Data input'!L57="","",4*('Data input'!L57-'Data input'!L$108)/('Data input'!L$109-'Data input'!L$108)+1)</f>
        <v/>
      </c>
      <c r="M57" s="16" t="str">
        <f>IF('Data input'!M57="","",4*('Data input'!M57-'Data input'!M$108)/('Data input'!M$109-'Data input'!M$108)+1)</f>
        <v/>
      </c>
      <c r="N57" s="16" t="str">
        <f>IF('Data input'!N57="","",4*('Data input'!N57-'Data input'!N$108)/('Data input'!N$109-'Data input'!N$108)+1)</f>
        <v/>
      </c>
      <c r="O57" s="16" t="str">
        <f>IF('Data input'!O57="","",4*('Data input'!O57-'Data input'!O$108)/('Data input'!O$109-'Data input'!O$108)+1)</f>
        <v/>
      </c>
      <c r="P57" s="16" t="str">
        <f>IF('Data input'!P57="","",4*('Data input'!P57-'Data input'!P$108)/('Data input'!P$109-'Data input'!P$108)+1)</f>
        <v/>
      </c>
      <c r="Q57" s="16" t="str">
        <f>IF('Data input'!Q57="","",4*('Data input'!Q57-'Data input'!Q$108)/('Data input'!Q$109-'Data input'!Q$108)+1)</f>
        <v/>
      </c>
      <c r="R57" s="16" t="str">
        <f>IF('Data input'!R57="","",4*('Data input'!R57-'Data input'!R$108)/('Data input'!R$109-'Data input'!R$108)+1)</f>
        <v/>
      </c>
      <c r="S57" s="16" t="str">
        <f>IF('Data input'!S57="","",4*('Data input'!S57-'Data input'!S$108)/('Data input'!S$109-'Data input'!S$108)+1)</f>
        <v/>
      </c>
      <c r="T57" s="16" t="str">
        <f>IF('Data input'!T57="","",4*('Data input'!T57-'Data input'!T$108)/('Data input'!T$109-'Data input'!T$108)+1)</f>
        <v/>
      </c>
      <c r="U57" s="16" t="str">
        <f>IF('Data input'!U57="","",4*('Data input'!U57-'Data input'!U$108)/('Data input'!U$109-'Data input'!U$108)+1)</f>
        <v/>
      </c>
      <c r="V57" s="16" t="str">
        <f>IF('Data input'!V57="","",4*('Data input'!V57-'Data input'!V$108)/('Data input'!V$109-'Data input'!V$108)+1)</f>
        <v/>
      </c>
      <c r="W57" s="16" t="str">
        <f>IF('Data input'!W57="","",4*('Data input'!W57-'Data input'!W$108)/('Data input'!W$109-'Data input'!W$108)+1)</f>
        <v/>
      </c>
      <c r="X57" s="16" t="str">
        <f>IF('Data input'!X57="","",4*('Data input'!X57-'Data input'!X$108)/('Data input'!X$109-'Data input'!X$108)+1)</f>
        <v/>
      </c>
      <c r="Y57" s="16" t="str">
        <f>IF('Data input'!Y57="","",4*('Data input'!Y57-'Data input'!Y$108)/('Data input'!Y$109-'Data input'!Y$108)+1)</f>
        <v/>
      </c>
      <c r="Z57" s="16" t="str">
        <f>IF('Data input'!Z57="","",4*('Data input'!Z57-'Data input'!Z$108)/('Data input'!Z$109-'Data input'!Z$108)+1)</f>
        <v/>
      </c>
      <c r="AA57" s="62" t="str">
        <f>IF('Data input'!AA57="","",4*('Data input'!AA57-'Data input'!AA$108)/('Data input'!AA$109-'Data input'!AA$108)+1)</f>
        <v/>
      </c>
      <c r="AB57" s="78"/>
      <c r="AC57" s="79">
        <v>0</v>
      </c>
      <c r="AD57" s="80" t="e">
        <f t="shared" si="13"/>
        <v>#DIV/0!</v>
      </c>
      <c r="AE57" s="4"/>
      <c r="AF57" s="59" t="str">
        <f t="shared" si="40"/>
        <v/>
      </c>
      <c r="AG57" s="60" t="str">
        <f t="shared" si="40"/>
        <v/>
      </c>
      <c r="AH57"/>
      <c r="AI57"/>
      <c r="AJ57"/>
      <c r="AK57"/>
      <c r="AL57"/>
      <c r="AM57"/>
      <c r="AN57"/>
      <c r="AO57"/>
      <c r="AP57"/>
      <c r="AQ57"/>
      <c r="AR57"/>
      <c r="AS57" s="71" t="str">
        <f t="shared" si="15"/>
        <v/>
      </c>
      <c r="AT57" s="71" t="str">
        <f t="shared" si="15"/>
        <v/>
      </c>
      <c r="AU57" s="71" t="str">
        <f t="shared" si="15"/>
        <v/>
      </c>
      <c r="AV57" s="71" t="str">
        <f t="shared" si="15"/>
        <v/>
      </c>
      <c r="AW57" s="71" t="str">
        <f t="shared" si="15"/>
        <v/>
      </c>
      <c r="AX57" s="71" t="str">
        <f t="shared" si="16"/>
        <v/>
      </c>
      <c r="AY57" s="71" t="str">
        <f t="shared" si="16"/>
        <v/>
      </c>
      <c r="AZ57" s="71" t="str">
        <f t="shared" si="16"/>
        <v/>
      </c>
      <c r="BA57" s="71" t="str">
        <f t="shared" si="16"/>
        <v/>
      </c>
      <c r="BB57" s="71" t="str">
        <f t="shared" si="16"/>
        <v/>
      </c>
      <c r="BC57" s="18" t="str">
        <f>IF(C57&lt;&gt;"",(('Data input'!C$109-'Data input'!C$108)*(AS57-1)/4)+'Data input'!C$108,"")</f>
        <v/>
      </c>
      <c r="BD57" s="18" t="str">
        <f>IF(D57&lt;&gt;"",(('Data input'!D$109-'Data input'!D$108)*(AT57-1)/4)+'Data input'!D$108,"")</f>
        <v/>
      </c>
      <c r="BE57" s="18" t="str">
        <f>IF(E57&lt;&gt;"",(('Data input'!E$109-'Data input'!E$108)*(AU57-1)/4)+'Data input'!E$108,"")</f>
        <v/>
      </c>
      <c r="BF57" s="18" t="str">
        <f>IF(F57&lt;&gt;"",(('Data input'!F$109-'Data input'!F$108)*(AV57-1)/4)+'Data input'!F$108,"")</f>
        <v/>
      </c>
      <c r="BG57" s="18" t="str">
        <f>IF(G57&lt;&gt;"",(('Data input'!G$109-'Data input'!G$108)*(AW57-1)/4)+'Data input'!G$108,"")</f>
        <v/>
      </c>
      <c r="BH57" s="19" t="str">
        <f>IF(H57&lt;&gt;"",(('Data input'!H$109-'Data input'!H$108)*(AX57-1)/4)+'Data input'!H$108,"")</f>
        <v/>
      </c>
      <c r="BI57" s="18" t="str">
        <f>IF(I57&lt;&gt;"",(('Data input'!I$109-'Data input'!I$108)*(AY57-1)/4)+'Data input'!I$108,"")</f>
        <v/>
      </c>
      <c r="BJ57" s="19" t="str">
        <f>IF(J57&lt;&gt;"",(('Data input'!J$109-'Data input'!J$108)*(AZ57-1)/4)+'Data input'!J$108,"")</f>
        <v/>
      </c>
      <c r="BK57" s="19" t="str">
        <f>IF(K57&lt;&gt;"",(('Data input'!K$109-'Data input'!K$108)*(BA57-1)/4)+'Data input'!K$108,"")</f>
        <v/>
      </c>
      <c r="BL57" s="19" t="str">
        <f>IF(L57&lt;&gt;"",(('Data input'!L$109-'Data input'!L$108)*(BB57-1)/4)+'Data input'!L$108,"")</f>
        <v/>
      </c>
      <c r="BM57" s="18" t="str">
        <f>IF(C57&lt;&gt;"",BC57-'Data input'!C57,"")</f>
        <v/>
      </c>
      <c r="BN57" s="18" t="str">
        <f>IF(D57&lt;&gt;"",BD57-'Data input'!D57,"")</f>
        <v/>
      </c>
      <c r="BO57" s="18" t="str">
        <f>IF(E57&lt;&gt;"",BE57-'Data input'!E57,"")</f>
        <v/>
      </c>
      <c r="BP57" s="18" t="str">
        <f>IF(F57&lt;&gt;"",BF57-'Data input'!F57,"")</f>
        <v/>
      </c>
      <c r="BQ57" s="18" t="str">
        <f>IF(G57&lt;&gt;"",BG57-'Data input'!G57,"")</f>
        <v/>
      </c>
      <c r="BR57" s="19" t="str">
        <f>IF(H57&lt;&gt;"",BH57-'Data input'!H57,"")</f>
        <v/>
      </c>
      <c r="BS57" s="18" t="str">
        <f>IF(I57&lt;&gt;"",BI57-'Data input'!I57,"")</f>
        <v/>
      </c>
      <c r="BT57" s="18" t="str">
        <f>IF(J57&lt;&gt;"",BJ57-'Data input'!J57,"")</f>
        <v/>
      </c>
      <c r="BU57" s="18" t="str">
        <f>IF(K57&lt;&gt;"",BK57-'Data input'!K57,"")</f>
        <v/>
      </c>
      <c r="BV57" s="72" t="str">
        <f>IF(L57&lt;&gt;"",BL57-'Data input'!L57,"")</f>
        <v/>
      </c>
      <c r="BW57" s="121" t="str">
        <f t="shared" si="17"/>
        <v/>
      </c>
      <c r="FT57" s="1" t="str">
        <f t="shared" si="33"/>
        <v/>
      </c>
      <c r="FU57" s="1" t="str">
        <f t="shared" si="33"/>
        <v/>
      </c>
      <c r="FV57" s="1" t="str">
        <f t="shared" si="33"/>
        <v/>
      </c>
      <c r="FW57" s="1" t="str">
        <f t="shared" si="33"/>
        <v/>
      </c>
      <c r="FX57" s="1" t="str">
        <f t="shared" si="33"/>
        <v/>
      </c>
      <c r="FY57" s="1" t="str">
        <f t="shared" si="33"/>
        <v/>
      </c>
      <c r="FZ57" s="1" t="str">
        <f t="shared" si="33"/>
        <v/>
      </c>
      <c r="GA57" s="1" t="str">
        <f t="shared" si="33"/>
        <v/>
      </c>
      <c r="GB57" s="1" t="str">
        <f t="shared" si="33"/>
        <v/>
      </c>
      <c r="GC57" s="1" t="str">
        <f t="shared" si="33"/>
        <v/>
      </c>
      <c r="GD57" s="1" t="str">
        <f t="shared" si="33"/>
        <v/>
      </c>
      <c r="GE57" s="1" t="str">
        <f t="shared" si="33"/>
        <v/>
      </c>
      <c r="GF57" s="1" t="str">
        <f t="shared" si="33"/>
        <v/>
      </c>
      <c r="GG57" s="1" t="str">
        <f t="shared" si="33"/>
        <v/>
      </c>
      <c r="GH57" s="1" t="str">
        <f t="shared" si="33"/>
        <v/>
      </c>
      <c r="GI57" s="1" t="str">
        <f t="shared" si="32"/>
        <v/>
      </c>
      <c r="GJ57" s="1" t="str">
        <f t="shared" si="32"/>
        <v/>
      </c>
      <c r="GK57" s="1" t="str">
        <f t="shared" si="32"/>
        <v/>
      </c>
      <c r="GL57" s="1" t="str">
        <f t="shared" si="32"/>
        <v/>
      </c>
      <c r="GM57" s="1" t="str">
        <f t="shared" si="32"/>
        <v/>
      </c>
      <c r="GN57" s="1" t="str">
        <f t="shared" si="32"/>
        <v/>
      </c>
      <c r="GO57" s="1" t="str">
        <f t="shared" si="32"/>
        <v/>
      </c>
      <c r="GP57" s="1" t="str">
        <f t="shared" si="32"/>
        <v/>
      </c>
      <c r="GQ57" s="1" t="str">
        <f t="shared" si="32"/>
        <v/>
      </c>
      <c r="GR57" s="1" t="str">
        <f t="shared" si="32"/>
        <v/>
      </c>
      <c r="GS57" s="1" t="str">
        <f t="shared" si="32"/>
        <v/>
      </c>
      <c r="GT57" s="1" t="str">
        <f t="shared" si="32"/>
        <v/>
      </c>
      <c r="GU57" s="1" t="str">
        <f t="shared" si="32"/>
        <v/>
      </c>
      <c r="GV57" s="1" t="str">
        <f t="shared" si="32"/>
        <v/>
      </c>
      <c r="GW57" s="1" t="str">
        <f t="shared" si="32"/>
        <v/>
      </c>
      <c r="GX57" s="1" t="str">
        <f t="shared" si="32"/>
        <v/>
      </c>
      <c r="GY57" s="1" t="str">
        <f t="shared" si="39"/>
        <v/>
      </c>
      <c r="GZ57" s="1" t="str">
        <f t="shared" si="38"/>
        <v/>
      </c>
      <c r="HA57" s="1" t="str">
        <f t="shared" si="38"/>
        <v/>
      </c>
      <c r="HB57" s="1" t="str">
        <f t="shared" si="38"/>
        <v/>
      </c>
      <c r="HC57" s="1" t="str">
        <f t="shared" si="38"/>
        <v/>
      </c>
      <c r="HD57" s="1" t="str">
        <f t="shared" si="38"/>
        <v/>
      </c>
      <c r="HE57" s="1" t="str">
        <f t="shared" si="38"/>
        <v/>
      </c>
      <c r="HF57" s="1" t="str">
        <f t="shared" si="38"/>
        <v/>
      </c>
      <c r="HG57" s="1" t="str">
        <f t="shared" si="38"/>
        <v/>
      </c>
      <c r="HH57" s="1" t="str">
        <f t="shared" si="38"/>
        <v/>
      </c>
      <c r="HI57" s="1" t="str">
        <f t="shared" si="38"/>
        <v/>
      </c>
      <c r="HJ57" s="1" t="str">
        <f t="shared" si="38"/>
        <v/>
      </c>
      <c r="HK57" s="1" t="str">
        <f t="shared" si="34"/>
        <v/>
      </c>
      <c r="HL57" s="1" t="str">
        <f t="shared" si="34"/>
        <v/>
      </c>
      <c r="HM57" s="1" t="str">
        <f t="shared" si="34"/>
        <v/>
      </c>
      <c r="HN57" s="1" t="str">
        <f t="shared" si="34"/>
        <v/>
      </c>
      <c r="HO57" s="1" t="str">
        <f t="shared" si="34"/>
        <v/>
      </c>
      <c r="HP57" s="1" t="str">
        <f t="shared" si="34"/>
        <v/>
      </c>
      <c r="HQ57" s="1" t="str">
        <f t="shared" si="34"/>
        <v/>
      </c>
      <c r="HR57" s="1" t="str">
        <f t="shared" si="34"/>
        <v/>
      </c>
      <c r="HS57" s="1" t="str">
        <f t="shared" si="34"/>
        <v/>
      </c>
      <c r="HT57" s="1" t="str">
        <f t="shared" si="34"/>
        <v/>
      </c>
      <c r="HU57" s="1" t="str">
        <f t="shared" si="34"/>
        <v/>
      </c>
      <c r="HV57" s="1" t="str">
        <f t="shared" si="34"/>
        <v/>
      </c>
      <c r="HW57" s="1" t="str">
        <f t="shared" si="34"/>
        <v/>
      </c>
      <c r="HX57" s="1" t="str">
        <f t="shared" si="34"/>
        <v/>
      </c>
      <c r="HY57" s="1" t="str">
        <f t="shared" si="34"/>
        <v/>
      </c>
      <c r="HZ57" s="1" t="str">
        <f t="shared" si="34"/>
        <v/>
      </c>
      <c r="IA57" s="1" t="str">
        <f t="shared" si="35"/>
        <v/>
      </c>
      <c r="IB57" s="1" t="str">
        <f t="shared" si="35"/>
        <v/>
      </c>
      <c r="IC57" s="1" t="str">
        <f t="shared" si="35"/>
        <v/>
      </c>
      <c r="ID57" s="1" t="str">
        <f t="shared" si="35"/>
        <v/>
      </c>
      <c r="IE57" s="1" t="str">
        <f t="shared" si="35"/>
        <v/>
      </c>
      <c r="IF57" s="1" t="str">
        <f t="shared" si="35"/>
        <v/>
      </c>
      <c r="IG57" s="1" t="str">
        <f t="shared" si="35"/>
        <v/>
      </c>
      <c r="IH57" s="1" t="str">
        <f t="shared" si="35"/>
        <v/>
      </c>
      <c r="II57" s="1" t="str">
        <f t="shared" si="35"/>
        <v/>
      </c>
      <c r="IJ57" s="1" t="str">
        <f t="shared" si="35"/>
        <v/>
      </c>
      <c r="IK57" s="1" t="str">
        <f t="shared" si="35"/>
        <v/>
      </c>
      <c r="IL57" s="1" t="str">
        <f t="shared" si="35"/>
        <v/>
      </c>
      <c r="IM57" s="1" t="str">
        <f t="shared" si="35"/>
        <v/>
      </c>
      <c r="IN57" s="1" t="str">
        <f t="shared" si="35"/>
        <v/>
      </c>
      <c r="IO57" s="1" t="str">
        <f t="shared" si="35"/>
        <v/>
      </c>
      <c r="IP57" s="1" t="str">
        <f t="shared" si="35"/>
        <v/>
      </c>
      <c r="IQ57" s="1" t="str">
        <f t="shared" si="36"/>
        <v/>
      </c>
      <c r="IR57" s="1" t="str">
        <f t="shared" si="36"/>
        <v/>
      </c>
      <c r="IS57" s="1" t="str">
        <f t="shared" si="36"/>
        <v/>
      </c>
      <c r="IT57" s="1" t="str">
        <f t="shared" si="36"/>
        <v/>
      </c>
      <c r="IU57" s="1" t="str">
        <f t="shared" si="36"/>
        <v/>
      </c>
      <c r="IV57" s="1" t="str">
        <f t="shared" si="36"/>
        <v/>
      </c>
      <c r="IW57" s="1" t="str">
        <f t="shared" si="36"/>
        <v/>
      </c>
      <c r="IX57" s="1" t="str">
        <f t="shared" si="36"/>
        <v/>
      </c>
      <c r="IY57" s="1" t="str">
        <f t="shared" si="36"/>
        <v/>
      </c>
      <c r="IZ57" s="1" t="str">
        <f t="shared" si="36"/>
        <v/>
      </c>
      <c r="JA57" s="1" t="str">
        <f t="shared" si="36"/>
        <v/>
      </c>
      <c r="JB57" s="1" t="str">
        <f t="shared" si="36"/>
        <v/>
      </c>
      <c r="JC57" s="1" t="str">
        <f t="shared" si="36"/>
        <v/>
      </c>
      <c r="JD57" s="1" t="str">
        <f t="shared" si="36"/>
        <v/>
      </c>
      <c r="JE57" s="1" t="str">
        <f t="shared" si="36"/>
        <v/>
      </c>
      <c r="JF57" s="1" t="str">
        <f t="shared" si="36"/>
        <v/>
      </c>
      <c r="JG57" s="1" t="str">
        <f t="shared" si="37"/>
        <v/>
      </c>
      <c r="JH57" s="1" t="str">
        <f t="shared" si="37"/>
        <v/>
      </c>
      <c r="JI57" s="1" t="str">
        <f t="shared" si="37"/>
        <v/>
      </c>
      <c r="JJ57" s="1" t="str">
        <f t="shared" si="30"/>
        <v/>
      </c>
      <c r="JK57" s="1" t="str">
        <f t="shared" si="30"/>
        <v/>
      </c>
      <c r="JL57" s="1" t="str">
        <f t="shared" si="24"/>
        <v/>
      </c>
      <c r="JM57" s="1" t="str">
        <f t="shared" si="12"/>
        <v/>
      </c>
      <c r="JN57" s="1" t="str">
        <f t="shared" si="12"/>
        <v/>
      </c>
      <c r="JO57" s="1" t="str">
        <f t="shared" si="12"/>
        <v/>
      </c>
    </row>
    <row r="58" spans="1:275" ht="14.5" x14ac:dyDescent="0.35">
      <c r="A58" s="59" t="str">
        <f>IF('Data input'!A58&lt;&gt;"",'Data input'!A58,"")</f>
        <v/>
      </c>
      <c r="B58" s="15" t="str">
        <f>IF('Data input'!B58&lt;&gt;"",'Data input'!B58,"")</f>
        <v/>
      </c>
      <c r="C58" s="16" t="str">
        <f>IF('Data input'!C58="","",4*('Data input'!C58-'Data input'!C$108)/('Data input'!C$109-'Data input'!C$108)+1)</f>
        <v/>
      </c>
      <c r="D58" s="16" t="str">
        <f>IF('Data input'!D58="","",4*('Data input'!D58-'Data input'!D$108)/('Data input'!D$109-'Data input'!D$108)+1)</f>
        <v/>
      </c>
      <c r="E58" s="16" t="str">
        <f>IF('Data input'!E58="","",4*('Data input'!E58-'Data input'!E$108)/('Data input'!E$109-'Data input'!E$108)+1)</f>
        <v/>
      </c>
      <c r="F58" s="16" t="str">
        <f>IF('Data input'!F58="","",4*('Data input'!F58-'Data input'!F$108)/('Data input'!F$109-'Data input'!F$108)+1)</f>
        <v/>
      </c>
      <c r="G58" s="16" t="str">
        <f>IF('Data input'!G58="","",4*('Data input'!G58-'Data input'!G$108)/('Data input'!G$109-'Data input'!G$108)+1)</f>
        <v/>
      </c>
      <c r="H58" s="16" t="str">
        <f>IF('Data input'!H58="","",4*('Data input'!H58-'Data input'!H$108)/('Data input'!H$109-'Data input'!H$108)+1)</f>
        <v/>
      </c>
      <c r="I58" s="19" t="str">
        <f>IF('Data input'!I58="","",4*('Data input'!I58-'Data input'!I$108)/('Data input'!I$109-'Data input'!I$108)+1)</f>
        <v/>
      </c>
      <c r="J58" s="19" t="str">
        <f>IF('Data input'!J58="","",4*('Data input'!J58-'Data input'!J$108)/('Data input'!J$109-'Data input'!J$108)+1)</f>
        <v/>
      </c>
      <c r="K58" s="19" t="str">
        <f>IF('Data input'!K58="","",4*('Data input'!K58-'Data input'!K$108)/('Data input'!K$109-'Data input'!K$108)+1)</f>
        <v/>
      </c>
      <c r="L58" s="19" t="str">
        <f>IF('Data input'!L58="","",4*('Data input'!L58-'Data input'!L$108)/('Data input'!L$109-'Data input'!L$108)+1)</f>
        <v/>
      </c>
      <c r="M58" s="16" t="str">
        <f>IF('Data input'!M58="","",4*('Data input'!M58-'Data input'!M$108)/('Data input'!M$109-'Data input'!M$108)+1)</f>
        <v/>
      </c>
      <c r="N58" s="16" t="str">
        <f>IF('Data input'!N58="","",4*('Data input'!N58-'Data input'!N$108)/('Data input'!N$109-'Data input'!N$108)+1)</f>
        <v/>
      </c>
      <c r="O58" s="16" t="str">
        <f>IF('Data input'!O58="","",4*('Data input'!O58-'Data input'!O$108)/('Data input'!O$109-'Data input'!O$108)+1)</f>
        <v/>
      </c>
      <c r="P58" s="16" t="str">
        <f>IF('Data input'!P58="","",4*('Data input'!P58-'Data input'!P$108)/('Data input'!P$109-'Data input'!P$108)+1)</f>
        <v/>
      </c>
      <c r="Q58" s="16" t="str">
        <f>IF('Data input'!Q58="","",4*('Data input'!Q58-'Data input'!Q$108)/('Data input'!Q$109-'Data input'!Q$108)+1)</f>
        <v/>
      </c>
      <c r="R58" s="16" t="str">
        <f>IF('Data input'!R58="","",4*('Data input'!R58-'Data input'!R$108)/('Data input'!R$109-'Data input'!R$108)+1)</f>
        <v/>
      </c>
      <c r="S58" s="16" t="str">
        <f>IF('Data input'!S58="","",4*('Data input'!S58-'Data input'!S$108)/('Data input'!S$109-'Data input'!S$108)+1)</f>
        <v/>
      </c>
      <c r="T58" s="16" t="str">
        <f>IF('Data input'!T58="","",4*('Data input'!T58-'Data input'!T$108)/('Data input'!T$109-'Data input'!T$108)+1)</f>
        <v/>
      </c>
      <c r="U58" s="16" t="str">
        <f>IF('Data input'!U58="","",4*('Data input'!U58-'Data input'!U$108)/('Data input'!U$109-'Data input'!U$108)+1)</f>
        <v/>
      </c>
      <c r="V58" s="16" t="str">
        <f>IF('Data input'!V58="","",4*('Data input'!V58-'Data input'!V$108)/('Data input'!V$109-'Data input'!V$108)+1)</f>
        <v/>
      </c>
      <c r="W58" s="16" t="str">
        <f>IF('Data input'!W58="","",4*('Data input'!W58-'Data input'!W$108)/('Data input'!W$109-'Data input'!W$108)+1)</f>
        <v/>
      </c>
      <c r="X58" s="16" t="str">
        <f>IF('Data input'!X58="","",4*('Data input'!X58-'Data input'!X$108)/('Data input'!X$109-'Data input'!X$108)+1)</f>
        <v/>
      </c>
      <c r="Y58" s="16" t="str">
        <f>IF('Data input'!Y58="","",4*('Data input'!Y58-'Data input'!Y$108)/('Data input'!Y$109-'Data input'!Y$108)+1)</f>
        <v/>
      </c>
      <c r="Z58" s="16" t="str">
        <f>IF('Data input'!Z58="","",4*('Data input'!Z58-'Data input'!Z$108)/('Data input'!Z$109-'Data input'!Z$108)+1)</f>
        <v/>
      </c>
      <c r="AA58" s="62" t="str">
        <f>IF('Data input'!AA58="","",4*('Data input'!AA58-'Data input'!AA$108)/('Data input'!AA$109-'Data input'!AA$108)+1)</f>
        <v/>
      </c>
      <c r="AB58" s="78"/>
      <c r="AC58" s="79">
        <v>0</v>
      </c>
      <c r="AD58" s="80" t="e">
        <f t="shared" si="13"/>
        <v>#DIV/0!</v>
      </c>
      <c r="AE58" s="4"/>
      <c r="AF58" s="59" t="str">
        <f t="shared" si="40"/>
        <v/>
      </c>
      <c r="AG58" s="60" t="str">
        <f t="shared" si="40"/>
        <v/>
      </c>
      <c r="AH58"/>
      <c r="AI58"/>
      <c r="AJ58"/>
      <c r="AK58"/>
      <c r="AL58"/>
      <c r="AM58"/>
      <c r="AN58"/>
      <c r="AO58"/>
      <c r="AP58"/>
      <c r="AQ58"/>
      <c r="AR58"/>
      <c r="AS58" s="71" t="str">
        <f t="shared" si="15"/>
        <v/>
      </c>
      <c r="AT58" s="71" t="str">
        <f t="shared" si="15"/>
        <v/>
      </c>
      <c r="AU58" s="71" t="str">
        <f t="shared" si="15"/>
        <v/>
      </c>
      <c r="AV58" s="71" t="str">
        <f t="shared" si="15"/>
        <v/>
      </c>
      <c r="AW58" s="71" t="str">
        <f t="shared" si="15"/>
        <v/>
      </c>
      <c r="AX58" s="71" t="str">
        <f t="shared" si="16"/>
        <v/>
      </c>
      <c r="AY58" s="71" t="str">
        <f t="shared" si="16"/>
        <v/>
      </c>
      <c r="AZ58" s="71" t="str">
        <f t="shared" si="16"/>
        <v/>
      </c>
      <c r="BA58" s="71" t="str">
        <f t="shared" si="16"/>
        <v/>
      </c>
      <c r="BB58" s="71" t="str">
        <f t="shared" si="16"/>
        <v/>
      </c>
      <c r="BC58" s="18" t="str">
        <f>IF(C58&lt;&gt;"",(('Data input'!C$109-'Data input'!C$108)*(AS58-1)/4)+'Data input'!C$108,"")</f>
        <v/>
      </c>
      <c r="BD58" s="18" t="str">
        <f>IF(D58&lt;&gt;"",(('Data input'!D$109-'Data input'!D$108)*(AT58-1)/4)+'Data input'!D$108,"")</f>
        <v/>
      </c>
      <c r="BE58" s="18" t="str">
        <f>IF(E58&lt;&gt;"",(('Data input'!E$109-'Data input'!E$108)*(AU58-1)/4)+'Data input'!E$108,"")</f>
        <v/>
      </c>
      <c r="BF58" s="18" t="str">
        <f>IF(F58&lt;&gt;"",(('Data input'!F$109-'Data input'!F$108)*(AV58-1)/4)+'Data input'!F$108,"")</f>
        <v/>
      </c>
      <c r="BG58" s="18" t="str">
        <f>IF(G58&lt;&gt;"",(('Data input'!G$109-'Data input'!G$108)*(AW58-1)/4)+'Data input'!G$108,"")</f>
        <v/>
      </c>
      <c r="BH58" s="19" t="str">
        <f>IF(H58&lt;&gt;"",(('Data input'!H$109-'Data input'!H$108)*(AX58-1)/4)+'Data input'!H$108,"")</f>
        <v/>
      </c>
      <c r="BI58" s="18" t="str">
        <f>IF(I58&lt;&gt;"",(('Data input'!I$109-'Data input'!I$108)*(AY58-1)/4)+'Data input'!I$108,"")</f>
        <v/>
      </c>
      <c r="BJ58" s="19" t="str">
        <f>IF(J58&lt;&gt;"",(('Data input'!J$109-'Data input'!J$108)*(AZ58-1)/4)+'Data input'!J$108,"")</f>
        <v/>
      </c>
      <c r="BK58" s="19" t="str">
        <f>IF(K58&lt;&gt;"",(('Data input'!K$109-'Data input'!K$108)*(BA58-1)/4)+'Data input'!K$108,"")</f>
        <v/>
      </c>
      <c r="BL58" s="19" t="str">
        <f>IF(L58&lt;&gt;"",(('Data input'!L$109-'Data input'!L$108)*(BB58-1)/4)+'Data input'!L$108,"")</f>
        <v/>
      </c>
      <c r="BM58" s="18" t="str">
        <f>IF(C58&lt;&gt;"",BC58-'Data input'!C58,"")</f>
        <v/>
      </c>
      <c r="BN58" s="18" t="str">
        <f>IF(D58&lt;&gt;"",BD58-'Data input'!D58,"")</f>
        <v/>
      </c>
      <c r="BO58" s="18" t="str">
        <f>IF(E58&lt;&gt;"",BE58-'Data input'!E58,"")</f>
        <v/>
      </c>
      <c r="BP58" s="18" t="str">
        <f>IF(F58&lt;&gt;"",BF58-'Data input'!F58,"")</f>
        <v/>
      </c>
      <c r="BQ58" s="18" t="str">
        <f>IF(G58&lt;&gt;"",BG58-'Data input'!G58,"")</f>
        <v/>
      </c>
      <c r="BR58" s="19" t="str">
        <f>IF(H58&lt;&gt;"",BH58-'Data input'!H58,"")</f>
        <v/>
      </c>
      <c r="BS58" s="18" t="str">
        <f>IF(I58&lt;&gt;"",BI58-'Data input'!I58,"")</f>
        <v/>
      </c>
      <c r="BT58" s="18" t="str">
        <f>IF(J58&lt;&gt;"",BJ58-'Data input'!J58,"")</f>
        <v/>
      </c>
      <c r="BU58" s="18" t="str">
        <f>IF(K58&lt;&gt;"",BK58-'Data input'!K58,"")</f>
        <v/>
      </c>
      <c r="BV58" s="72" t="str">
        <f>IF(L58&lt;&gt;"",BL58-'Data input'!L58,"")</f>
        <v/>
      </c>
      <c r="BW58" s="121" t="str">
        <f t="shared" si="17"/>
        <v/>
      </c>
      <c r="FT58" s="1" t="str">
        <f t="shared" si="33"/>
        <v/>
      </c>
      <c r="FU58" s="1" t="str">
        <f t="shared" si="33"/>
        <v/>
      </c>
      <c r="FV58" s="1" t="str">
        <f t="shared" si="33"/>
        <v/>
      </c>
      <c r="FW58" s="1" t="str">
        <f t="shared" si="33"/>
        <v/>
      </c>
      <c r="FX58" s="1" t="str">
        <f t="shared" si="33"/>
        <v/>
      </c>
      <c r="FY58" s="1" t="str">
        <f t="shared" si="33"/>
        <v/>
      </c>
      <c r="FZ58" s="1" t="str">
        <f t="shared" si="33"/>
        <v/>
      </c>
      <c r="GA58" s="1" t="str">
        <f t="shared" si="33"/>
        <v/>
      </c>
      <c r="GB58" s="1" t="str">
        <f t="shared" si="33"/>
        <v/>
      </c>
      <c r="GC58" s="1" t="str">
        <f t="shared" si="33"/>
        <v/>
      </c>
      <c r="GD58" s="1" t="str">
        <f t="shared" si="33"/>
        <v/>
      </c>
      <c r="GE58" s="1" t="str">
        <f t="shared" si="33"/>
        <v/>
      </c>
      <c r="GF58" s="1" t="str">
        <f t="shared" si="33"/>
        <v/>
      </c>
      <c r="GG58" s="1" t="str">
        <f t="shared" si="33"/>
        <v/>
      </c>
      <c r="GH58" s="1" t="str">
        <f t="shared" si="33"/>
        <v/>
      </c>
      <c r="GI58" s="1" t="str">
        <f t="shared" si="32"/>
        <v/>
      </c>
      <c r="GJ58" s="1" t="str">
        <f t="shared" si="32"/>
        <v/>
      </c>
      <c r="GK58" s="1" t="str">
        <f t="shared" si="32"/>
        <v/>
      </c>
      <c r="GL58" s="1" t="str">
        <f t="shared" si="32"/>
        <v/>
      </c>
      <c r="GM58" s="1" t="str">
        <f t="shared" si="32"/>
        <v/>
      </c>
      <c r="GN58" s="1" t="str">
        <f t="shared" si="32"/>
        <v/>
      </c>
      <c r="GO58" s="1" t="str">
        <f t="shared" si="32"/>
        <v/>
      </c>
      <c r="GP58" s="1" t="str">
        <f t="shared" si="32"/>
        <v/>
      </c>
      <c r="GQ58" s="1" t="str">
        <f t="shared" si="32"/>
        <v/>
      </c>
      <c r="GR58" s="1" t="str">
        <f t="shared" si="32"/>
        <v/>
      </c>
      <c r="GS58" s="1" t="str">
        <f t="shared" si="32"/>
        <v/>
      </c>
      <c r="GT58" s="1" t="str">
        <f t="shared" si="32"/>
        <v/>
      </c>
      <c r="GU58" s="1" t="str">
        <f t="shared" si="32"/>
        <v/>
      </c>
      <c r="GV58" s="1" t="str">
        <f t="shared" si="32"/>
        <v/>
      </c>
      <c r="GW58" s="1" t="str">
        <f t="shared" si="32"/>
        <v/>
      </c>
      <c r="GX58" s="1" t="str">
        <f t="shared" si="32"/>
        <v/>
      </c>
      <c r="GY58" s="1" t="str">
        <f t="shared" si="39"/>
        <v/>
      </c>
      <c r="GZ58" s="1" t="str">
        <f t="shared" si="38"/>
        <v/>
      </c>
      <c r="HA58" s="1" t="str">
        <f t="shared" si="38"/>
        <v/>
      </c>
      <c r="HB58" s="1" t="str">
        <f t="shared" si="38"/>
        <v/>
      </c>
      <c r="HC58" s="1" t="str">
        <f t="shared" si="38"/>
        <v/>
      </c>
      <c r="HD58" s="1" t="str">
        <f t="shared" si="38"/>
        <v/>
      </c>
      <c r="HE58" s="1" t="str">
        <f t="shared" si="38"/>
        <v/>
      </c>
      <c r="HF58" s="1" t="str">
        <f t="shared" si="38"/>
        <v/>
      </c>
      <c r="HG58" s="1" t="str">
        <f t="shared" si="38"/>
        <v/>
      </c>
      <c r="HH58" s="1" t="str">
        <f t="shared" si="38"/>
        <v/>
      </c>
      <c r="HI58" s="1" t="str">
        <f t="shared" si="38"/>
        <v/>
      </c>
      <c r="HJ58" s="1" t="str">
        <f t="shared" si="38"/>
        <v/>
      </c>
      <c r="HK58" s="1" t="str">
        <f t="shared" si="34"/>
        <v/>
      </c>
      <c r="HL58" s="1" t="str">
        <f t="shared" si="34"/>
        <v/>
      </c>
      <c r="HM58" s="1" t="str">
        <f t="shared" si="34"/>
        <v/>
      </c>
      <c r="HN58" s="1" t="str">
        <f t="shared" si="34"/>
        <v/>
      </c>
      <c r="HO58" s="1" t="str">
        <f t="shared" si="34"/>
        <v/>
      </c>
      <c r="HP58" s="1" t="str">
        <f t="shared" si="34"/>
        <v/>
      </c>
      <c r="HQ58" s="1" t="str">
        <f t="shared" si="34"/>
        <v/>
      </c>
      <c r="HR58" s="1" t="str">
        <f t="shared" si="34"/>
        <v/>
      </c>
      <c r="HS58" s="1" t="str">
        <f t="shared" si="34"/>
        <v/>
      </c>
      <c r="HT58" s="1" t="str">
        <f t="shared" si="34"/>
        <v/>
      </c>
      <c r="HU58" s="1" t="str">
        <f t="shared" si="34"/>
        <v/>
      </c>
      <c r="HV58" s="1" t="str">
        <f t="shared" si="34"/>
        <v/>
      </c>
      <c r="HW58" s="1" t="str">
        <f t="shared" si="34"/>
        <v/>
      </c>
      <c r="HX58" s="1" t="str">
        <f t="shared" si="34"/>
        <v/>
      </c>
      <c r="HY58" s="1" t="str">
        <f t="shared" si="34"/>
        <v/>
      </c>
      <c r="HZ58" s="1" t="str">
        <f t="shared" si="34"/>
        <v/>
      </c>
      <c r="IA58" s="1" t="str">
        <f t="shared" si="35"/>
        <v/>
      </c>
      <c r="IB58" s="1" t="str">
        <f t="shared" si="35"/>
        <v/>
      </c>
      <c r="IC58" s="1" t="str">
        <f t="shared" si="35"/>
        <v/>
      </c>
      <c r="ID58" s="1" t="str">
        <f t="shared" si="35"/>
        <v/>
      </c>
      <c r="IE58" s="1" t="str">
        <f t="shared" si="35"/>
        <v/>
      </c>
      <c r="IF58" s="1" t="str">
        <f t="shared" si="35"/>
        <v/>
      </c>
      <c r="IG58" s="1" t="str">
        <f t="shared" si="35"/>
        <v/>
      </c>
      <c r="IH58" s="1" t="str">
        <f t="shared" si="35"/>
        <v/>
      </c>
      <c r="II58" s="1" t="str">
        <f t="shared" si="35"/>
        <v/>
      </c>
      <c r="IJ58" s="1" t="str">
        <f t="shared" si="35"/>
        <v/>
      </c>
      <c r="IK58" s="1" t="str">
        <f t="shared" si="35"/>
        <v/>
      </c>
      <c r="IL58" s="1" t="str">
        <f t="shared" si="35"/>
        <v/>
      </c>
      <c r="IM58" s="1" t="str">
        <f t="shared" si="35"/>
        <v/>
      </c>
      <c r="IN58" s="1" t="str">
        <f t="shared" si="35"/>
        <v/>
      </c>
      <c r="IO58" s="1" t="str">
        <f t="shared" si="35"/>
        <v/>
      </c>
      <c r="IP58" s="1" t="str">
        <f t="shared" si="35"/>
        <v/>
      </c>
      <c r="IQ58" s="1" t="str">
        <f t="shared" si="36"/>
        <v/>
      </c>
      <c r="IR58" s="1" t="str">
        <f t="shared" si="36"/>
        <v/>
      </c>
      <c r="IS58" s="1" t="str">
        <f t="shared" si="36"/>
        <v/>
      </c>
      <c r="IT58" s="1" t="str">
        <f t="shared" si="36"/>
        <v/>
      </c>
      <c r="IU58" s="1" t="str">
        <f t="shared" si="36"/>
        <v/>
      </c>
      <c r="IV58" s="1" t="str">
        <f t="shared" si="36"/>
        <v/>
      </c>
      <c r="IW58" s="1" t="str">
        <f t="shared" si="36"/>
        <v/>
      </c>
      <c r="IX58" s="1" t="str">
        <f t="shared" si="36"/>
        <v/>
      </c>
      <c r="IY58" s="1" t="str">
        <f t="shared" si="36"/>
        <v/>
      </c>
      <c r="IZ58" s="1" t="str">
        <f t="shared" si="36"/>
        <v/>
      </c>
      <c r="JA58" s="1" t="str">
        <f t="shared" si="36"/>
        <v/>
      </c>
      <c r="JB58" s="1" t="str">
        <f t="shared" si="36"/>
        <v/>
      </c>
      <c r="JC58" s="1" t="str">
        <f t="shared" si="36"/>
        <v/>
      </c>
      <c r="JD58" s="1" t="str">
        <f t="shared" si="36"/>
        <v/>
      </c>
      <c r="JE58" s="1" t="str">
        <f t="shared" si="36"/>
        <v/>
      </c>
      <c r="JF58" s="1" t="str">
        <f t="shared" si="36"/>
        <v/>
      </c>
      <c r="JG58" s="1" t="str">
        <f t="shared" si="37"/>
        <v/>
      </c>
      <c r="JH58" s="1" t="str">
        <f t="shared" si="37"/>
        <v/>
      </c>
      <c r="JI58" s="1" t="str">
        <f t="shared" si="37"/>
        <v/>
      </c>
      <c r="JJ58" s="1" t="str">
        <f t="shared" si="30"/>
        <v/>
      </c>
      <c r="JK58" s="1" t="str">
        <f t="shared" si="30"/>
        <v/>
      </c>
      <c r="JL58" s="1" t="str">
        <f t="shared" si="24"/>
        <v/>
      </c>
      <c r="JM58" s="1" t="str">
        <f t="shared" si="12"/>
        <v/>
      </c>
      <c r="JN58" s="1" t="str">
        <f t="shared" si="12"/>
        <v/>
      </c>
      <c r="JO58" s="1" t="str">
        <f t="shared" si="12"/>
        <v/>
      </c>
    </row>
    <row r="59" spans="1:275" ht="14.5" x14ac:dyDescent="0.35">
      <c r="A59" s="59" t="str">
        <f>IF('Data input'!A59&lt;&gt;"",'Data input'!A59,"")</f>
        <v/>
      </c>
      <c r="B59" s="15" t="str">
        <f>IF('Data input'!B59&lt;&gt;"",'Data input'!B59,"")</f>
        <v/>
      </c>
      <c r="C59" s="16" t="str">
        <f>IF('Data input'!C59="","",4*('Data input'!C59-'Data input'!C$108)/('Data input'!C$109-'Data input'!C$108)+1)</f>
        <v/>
      </c>
      <c r="D59" s="16" t="str">
        <f>IF('Data input'!D59="","",4*('Data input'!D59-'Data input'!D$108)/('Data input'!D$109-'Data input'!D$108)+1)</f>
        <v/>
      </c>
      <c r="E59" s="16" t="str">
        <f>IF('Data input'!E59="","",4*('Data input'!E59-'Data input'!E$108)/('Data input'!E$109-'Data input'!E$108)+1)</f>
        <v/>
      </c>
      <c r="F59" s="16" t="str">
        <f>IF('Data input'!F59="","",4*('Data input'!F59-'Data input'!F$108)/('Data input'!F$109-'Data input'!F$108)+1)</f>
        <v/>
      </c>
      <c r="G59" s="16" t="str">
        <f>IF('Data input'!G59="","",4*('Data input'!G59-'Data input'!G$108)/('Data input'!G$109-'Data input'!G$108)+1)</f>
        <v/>
      </c>
      <c r="H59" s="16" t="str">
        <f>IF('Data input'!H59="","",4*('Data input'!H59-'Data input'!H$108)/('Data input'!H$109-'Data input'!H$108)+1)</f>
        <v/>
      </c>
      <c r="I59" s="19" t="str">
        <f>IF('Data input'!I59="","",4*('Data input'!I59-'Data input'!I$108)/('Data input'!I$109-'Data input'!I$108)+1)</f>
        <v/>
      </c>
      <c r="J59" s="19" t="str">
        <f>IF('Data input'!J59="","",4*('Data input'!J59-'Data input'!J$108)/('Data input'!J$109-'Data input'!J$108)+1)</f>
        <v/>
      </c>
      <c r="K59" s="19" t="str">
        <f>IF('Data input'!K59="","",4*('Data input'!K59-'Data input'!K$108)/('Data input'!K$109-'Data input'!K$108)+1)</f>
        <v/>
      </c>
      <c r="L59" s="19" t="str">
        <f>IF('Data input'!L59="","",4*('Data input'!L59-'Data input'!L$108)/('Data input'!L$109-'Data input'!L$108)+1)</f>
        <v/>
      </c>
      <c r="M59" s="16" t="str">
        <f>IF('Data input'!M59="","",4*('Data input'!M59-'Data input'!M$108)/('Data input'!M$109-'Data input'!M$108)+1)</f>
        <v/>
      </c>
      <c r="N59" s="16" t="str">
        <f>IF('Data input'!N59="","",4*('Data input'!N59-'Data input'!N$108)/('Data input'!N$109-'Data input'!N$108)+1)</f>
        <v/>
      </c>
      <c r="O59" s="16" t="str">
        <f>IF('Data input'!O59="","",4*('Data input'!O59-'Data input'!O$108)/('Data input'!O$109-'Data input'!O$108)+1)</f>
        <v/>
      </c>
      <c r="P59" s="16" t="str">
        <f>IF('Data input'!P59="","",4*('Data input'!P59-'Data input'!P$108)/('Data input'!P$109-'Data input'!P$108)+1)</f>
        <v/>
      </c>
      <c r="Q59" s="16" t="str">
        <f>IF('Data input'!Q59="","",4*('Data input'!Q59-'Data input'!Q$108)/('Data input'!Q$109-'Data input'!Q$108)+1)</f>
        <v/>
      </c>
      <c r="R59" s="16" t="str">
        <f>IF('Data input'!R59="","",4*('Data input'!R59-'Data input'!R$108)/('Data input'!R$109-'Data input'!R$108)+1)</f>
        <v/>
      </c>
      <c r="S59" s="16" t="str">
        <f>IF('Data input'!S59="","",4*('Data input'!S59-'Data input'!S$108)/('Data input'!S$109-'Data input'!S$108)+1)</f>
        <v/>
      </c>
      <c r="T59" s="16" t="str">
        <f>IF('Data input'!T59="","",4*('Data input'!T59-'Data input'!T$108)/('Data input'!T$109-'Data input'!T$108)+1)</f>
        <v/>
      </c>
      <c r="U59" s="16" t="str">
        <f>IF('Data input'!U59="","",4*('Data input'!U59-'Data input'!U$108)/('Data input'!U$109-'Data input'!U$108)+1)</f>
        <v/>
      </c>
      <c r="V59" s="16" t="str">
        <f>IF('Data input'!V59="","",4*('Data input'!V59-'Data input'!V$108)/('Data input'!V$109-'Data input'!V$108)+1)</f>
        <v/>
      </c>
      <c r="W59" s="16" t="str">
        <f>IF('Data input'!W59="","",4*('Data input'!W59-'Data input'!W$108)/('Data input'!W$109-'Data input'!W$108)+1)</f>
        <v/>
      </c>
      <c r="X59" s="16" t="str">
        <f>IF('Data input'!X59="","",4*('Data input'!X59-'Data input'!X$108)/('Data input'!X$109-'Data input'!X$108)+1)</f>
        <v/>
      </c>
      <c r="Y59" s="16" t="str">
        <f>IF('Data input'!Y59="","",4*('Data input'!Y59-'Data input'!Y$108)/('Data input'!Y$109-'Data input'!Y$108)+1)</f>
        <v/>
      </c>
      <c r="Z59" s="16" t="str">
        <f>IF('Data input'!Z59="","",4*('Data input'!Z59-'Data input'!Z$108)/('Data input'!Z$109-'Data input'!Z$108)+1)</f>
        <v/>
      </c>
      <c r="AA59" s="62" t="str">
        <f>IF('Data input'!AA59="","",4*('Data input'!AA59-'Data input'!AA$108)/('Data input'!AA$109-'Data input'!AA$108)+1)</f>
        <v/>
      </c>
      <c r="AB59" s="78"/>
      <c r="AC59" s="79">
        <v>0</v>
      </c>
      <c r="AD59" s="80" t="e">
        <f t="shared" si="13"/>
        <v>#DIV/0!</v>
      </c>
      <c r="AE59" s="4"/>
      <c r="AF59" s="59" t="str">
        <f t="shared" si="40"/>
        <v/>
      </c>
      <c r="AG59" s="60" t="str">
        <f t="shared" si="40"/>
        <v/>
      </c>
      <c r="AH59"/>
      <c r="AI59"/>
      <c r="AJ59"/>
      <c r="AK59"/>
      <c r="AL59"/>
      <c r="AM59"/>
      <c r="AN59"/>
      <c r="AO59"/>
      <c r="AP59"/>
      <c r="AQ59"/>
      <c r="AR59"/>
      <c r="AS59" s="71" t="str">
        <f t="shared" si="15"/>
        <v/>
      </c>
      <c r="AT59" s="71" t="str">
        <f t="shared" si="15"/>
        <v/>
      </c>
      <c r="AU59" s="71" t="str">
        <f t="shared" si="15"/>
        <v/>
      </c>
      <c r="AV59" s="71" t="str">
        <f t="shared" si="15"/>
        <v/>
      </c>
      <c r="AW59" s="71" t="str">
        <f t="shared" si="15"/>
        <v/>
      </c>
      <c r="AX59" s="71" t="str">
        <f t="shared" si="16"/>
        <v/>
      </c>
      <c r="AY59" s="71" t="str">
        <f t="shared" si="16"/>
        <v/>
      </c>
      <c r="AZ59" s="71" t="str">
        <f t="shared" si="16"/>
        <v/>
      </c>
      <c r="BA59" s="71" t="str">
        <f t="shared" si="16"/>
        <v/>
      </c>
      <c r="BB59" s="71" t="str">
        <f t="shared" si="16"/>
        <v/>
      </c>
      <c r="BC59" s="18" t="str">
        <f>IF(C59&lt;&gt;"",(('Data input'!C$109-'Data input'!C$108)*(AS59-1)/4)+'Data input'!C$108,"")</f>
        <v/>
      </c>
      <c r="BD59" s="18" t="str">
        <f>IF(D59&lt;&gt;"",(('Data input'!D$109-'Data input'!D$108)*(AT59-1)/4)+'Data input'!D$108,"")</f>
        <v/>
      </c>
      <c r="BE59" s="18" t="str">
        <f>IF(E59&lt;&gt;"",(('Data input'!E$109-'Data input'!E$108)*(AU59-1)/4)+'Data input'!E$108,"")</f>
        <v/>
      </c>
      <c r="BF59" s="18" t="str">
        <f>IF(F59&lt;&gt;"",(('Data input'!F$109-'Data input'!F$108)*(AV59-1)/4)+'Data input'!F$108,"")</f>
        <v/>
      </c>
      <c r="BG59" s="18" t="str">
        <f>IF(G59&lt;&gt;"",(('Data input'!G$109-'Data input'!G$108)*(AW59-1)/4)+'Data input'!G$108,"")</f>
        <v/>
      </c>
      <c r="BH59" s="19" t="str">
        <f>IF(H59&lt;&gt;"",(('Data input'!H$109-'Data input'!H$108)*(AX59-1)/4)+'Data input'!H$108,"")</f>
        <v/>
      </c>
      <c r="BI59" s="18" t="str">
        <f>IF(I59&lt;&gt;"",(('Data input'!I$109-'Data input'!I$108)*(AY59-1)/4)+'Data input'!I$108,"")</f>
        <v/>
      </c>
      <c r="BJ59" s="19" t="str">
        <f>IF(J59&lt;&gt;"",(('Data input'!J$109-'Data input'!J$108)*(AZ59-1)/4)+'Data input'!J$108,"")</f>
        <v/>
      </c>
      <c r="BK59" s="19" t="str">
        <f>IF(K59&lt;&gt;"",(('Data input'!K$109-'Data input'!K$108)*(BA59-1)/4)+'Data input'!K$108,"")</f>
        <v/>
      </c>
      <c r="BL59" s="19" t="str">
        <f>IF(L59&lt;&gt;"",(('Data input'!L$109-'Data input'!L$108)*(BB59-1)/4)+'Data input'!L$108,"")</f>
        <v/>
      </c>
      <c r="BM59" s="18" t="str">
        <f>IF(C59&lt;&gt;"",BC59-'Data input'!C59,"")</f>
        <v/>
      </c>
      <c r="BN59" s="18" t="str">
        <f>IF(D59&lt;&gt;"",BD59-'Data input'!D59,"")</f>
        <v/>
      </c>
      <c r="BO59" s="18" t="str">
        <f>IF(E59&lt;&gt;"",BE59-'Data input'!E59,"")</f>
        <v/>
      </c>
      <c r="BP59" s="18" t="str">
        <f>IF(F59&lt;&gt;"",BF59-'Data input'!F59,"")</f>
        <v/>
      </c>
      <c r="BQ59" s="18" t="str">
        <f>IF(G59&lt;&gt;"",BG59-'Data input'!G59,"")</f>
        <v/>
      </c>
      <c r="BR59" s="19" t="str">
        <f>IF(H59&lt;&gt;"",BH59-'Data input'!H59,"")</f>
        <v/>
      </c>
      <c r="BS59" s="18" t="str">
        <f>IF(I59&lt;&gt;"",BI59-'Data input'!I59,"")</f>
        <v/>
      </c>
      <c r="BT59" s="18" t="str">
        <f>IF(J59&lt;&gt;"",BJ59-'Data input'!J59,"")</f>
        <v/>
      </c>
      <c r="BU59" s="18" t="str">
        <f>IF(K59&lt;&gt;"",BK59-'Data input'!K59,"")</f>
        <v/>
      </c>
      <c r="BV59" s="72" t="str">
        <f>IF(L59&lt;&gt;"",BL59-'Data input'!L59,"")</f>
        <v/>
      </c>
      <c r="BW59" s="121" t="str">
        <f t="shared" si="17"/>
        <v/>
      </c>
      <c r="FT59" s="1" t="str">
        <f t="shared" si="33"/>
        <v/>
      </c>
      <c r="FU59" s="1" t="str">
        <f t="shared" si="33"/>
        <v/>
      </c>
      <c r="FV59" s="1" t="str">
        <f t="shared" si="33"/>
        <v/>
      </c>
      <c r="FW59" s="1" t="str">
        <f t="shared" si="33"/>
        <v/>
      </c>
      <c r="FX59" s="1" t="str">
        <f t="shared" si="33"/>
        <v/>
      </c>
      <c r="FY59" s="1" t="str">
        <f t="shared" si="33"/>
        <v/>
      </c>
      <c r="FZ59" s="1" t="str">
        <f t="shared" si="33"/>
        <v/>
      </c>
      <c r="GA59" s="1" t="str">
        <f t="shared" si="33"/>
        <v/>
      </c>
      <c r="GB59" s="1" t="str">
        <f t="shared" si="33"/>
        <v/>
      </c>
      <c r="GC59" s="1" t="str">
        <f t="shared" si="33"/>
        <v/>
      </c>
      <c r="GD59" s="1" t="str">
        <f t="shared" si="33"/>
        <v/>
      </c>
      <c r="GE59" s="1" t="str">
        <f t="shared" si="33"/>
        <v/>
      </c>
      <c r="GF59" s="1" t="str">
        <f t="shared" si="33"/>
        <v/>
      </c>
      <c r="GG59" s="1" t="str">
        <f t="shared" si="33"/>
        <v/>
      </c>
      <c r="GH59" s="1" t="str">
        <f t="shared" si="33"/>
        <v/>
      </c>
      <c r="GI59" s="1" t="str">
        <f t="shared" si="32"/>
        <v/>
      </c>
      <c r="GJ59" s="1" t="str">
        <f t="shared" si="32"/>
        <v/>
      </c>
      <c r="GK59" s="1" t="str">
        <f t="shared" si="32"/>
        <v/>
      </c>
      <c r="GL59" s="1" t="str">
        <f t="shared" si="32"/>
        <v/>
      </c>
      <c r="GM59" s="1" t="str">
        <f t="shared" si="32"/>
        <v/>
      </c>
      <c r="GN59" s="1" t="str">
        <f t="shared" si="32"/>
        <v/>
      </c>
      <c r="GO59" s="1" t="str">
        <f t="shared" si="32"/>
        <v/>
      </c>
      <c r="GP59" s="1" t="str">
        <f t="shared" si="32"/>
        <v/>
      </c>
      <c r="GQ59" s="1" t="str">
        <f t="shared" si="32"/>
        <v/>
      </c>
      <c r="GR59" s="1" t="str">
        <f t="shared" si="32"/>
        <v/>
      </c>
      <c r="GS59" s="1" t="str">
        <f t="shared" si="32"/>
        <v/>
      </c>
      <c r="GT59" s="1" t="str">
        <f t="shared" si="32"/>
        <v/>
      </c>
      <c r="GU59" s="1" t="str">
        <f t="shared" si="32"/>
        <v/>
      </c>
      <c r="GV59" s="1" t="str">
        <f t="shared" si="32"/>
        <v/>
      </c>
      <c r="GW59" s="1" t="str">
        <f t="shared" si="32"/>
        <v/>
      </c>
      <c r="GX59" s="1" t="str">
        <f t="shared" si="32"/>
        <v/>
      </c>
      <c r="GY59" s="1" t="str">
        <f t="shared" si="39"/>
        <v/>
      </c>
      <c r="GZ59" s="1" t="str">
        <f t="shared" si="38"/>
        <v/>
      </c>
      <c r="HA59" s="1" t="str">
        <f t="shared" si="38"/>
        <v/>
      </c>
      <c r="HB59" s="1" t="str">
        <f t="shared" si="38"/>
        <v/>
      </c>
      <c r="HC59" s="1" t="str">
        <f t="shared" si="38"/>
        <v/>
      </c>
      <c r="HD59" s="1" t="str">
        <f t="shared" si="38"/>
        <v/>
      </c>
      <c r="HE59" s="1" t="str">
        <f t="shared" si="38"/>
        <v/>
      </c>
      <c r="HF59" s="1" t="str">
        <f t="shared" si="38"/>
        <v/>
      </c>
      <c r="HG59" s="1" t="str">
        <f t="shared" si="38"/>
        <v/>
      </c>
      <c r="HH59" s="1" t="str">
        <f t="shared" si="38"/>
        <v/>
      </c>
      <c r="HI59" s="1" t="str">
        <f t="shared" si="38"/>
        <v/>
      </c>
      <c r="HJ59" s="1" t="str">
        <f t="shared" si="38"/>
        <v/>
      </c>
      <c r="HK59" s="1" t="str">
        <f t="shared" si="34"/>
        <v/>
      </c>
      <c r="HL59" s="1" t="str">
        <f t="shared" si="34"/>
        <v/>
      </c>
      <c r="HM59" s="1" t="str">
        <f t="shared" si="34"/>
        <v/>
      </c>
      <c r="HN59" s="1" t="str">
        <f t="shared" si="34"/>
        <v/>
      </c>
      <c r="HO59" s="1" t="str">
        <f t="shared" si="34"/>
        <v/>
      </c>
      <c r="HP59" s="1" t="str">
        <f t="shared" si="34"/>
        <v/>
      </c>
      <c r="HQ59" s="1" t="str">
        <f t="shared" si="34"/>
        <v/>
      </c>
      <c r="HR59" s="1" t="str">
        <f t="shared" si="34"/>
        <v/>
      </c>
      <c r="HS59" s="1" t="str">
        <f t="shared" si="34"/>
        <v/>
      </c>
      <c r="HT59" s="1" t="str">
        <f t="shared" si="34"/>
        <v/>
      </c>
      <c r="HU59" s="1" t="str">
        <f t="shared" si="34"/>
        <v/>
      </c>
      <c r="HV59" s="1" t="str">
        <f t="shared" si="34"/>
        <v/>
      </c>
      <c r="HW59" s="1" t="str">
        <f t="shared" si="34"/>
        <v/>
      </c>
      <c r="HX59" s="1" t="str">
        <f t="shared" si="34"/>
        <v/>
      </c>
      <c r="HY59" s="1" t="str">
        <f t="shared" si="34"/>
        <v/>
      </c>
      <c r="HZ59" s="1" t="str">
        <f t="shared" si="34"/>
        <v/>
      </c>
      <c r="IA59" s="1" t="str">
        <f t="shared" si="35"/>
        <v/>
      </c>
      <c r="IB59" s="1" t="str">
        <f t="shared" si="35"/>
        <v/>
      </c>
      <c r="IC59" s="1" t="str">
        <f t="shared" si="35"/>
        <v/>
      </c>
      <c r="ID59" s="1" t="str">
        <f t="shared" si="35"/>
        <v/>
      </c>
      <c r="IE59" s="1" t="str">
        <f t="shared" si="35"/>
        <v/>
      </c>
      <c r="IF59" s="1" t="str">
        <f t="shared" si="35"/>
        <v/>
      </c>
      <c r="IG59" s="1" t="str">
        <f t="shared" si="35"/>
        <v/>
      </c>
      <c r="IH59" s="1" t="str">
        <f t="shared" si="35"/>
        <v/>
      </c>
      <c r="II59" s="1" t="str">
        <f t="shared" si="35"/>
        <v/>
      </c>
      <c r="IJ59" s="1" t="str">
        <f t="shared" si="35"/>
        <v/>
      </c>
      <c r="IK59" s="1" t="str">
        <f t="shared" si="35"/>
        <v/>
      </c>
      <c r="IL59" s="1" t="str">
        <f t="shared" si="35"/>
        <v/>
      </c>
      <c r="IM59" s="1" t="str">
        <f t="shared" si="35"/>
        <v/>
      </c>
      <c r="IN59" s="1" t="str">
        <f t="shared" si="35"/>
        <v/>
      </c>
      <c r="IO59" s="1" t="str">
        <f t="shared" si="35"/>
        <v/>
      </c>
      <c r="IP59" s="1" t="str">
        <f t="shared" si="35"/>
        <v/>
      </c>
      <c r="IQ59" s="1" t="str">
        <f t="shared" si="36"/>
        <v/>
      </c>
      <c r="IR59" s="1" t="str">
        <f t="shared" si="36"/>
        <v/>
      </c>
      <c r="IS59" s="1" t="str">
        <f t="shared" si="36"/>
        <v/>
      </c>
      <c r="IT59" s="1" t="str">
        <f t="shared" si="36"/>
        <v/>
      </c>
      <c r="IU59" s="1" t="str">
        <f t="shared" si="36"/>
        <v/>
      </c>
      <c r="IV59" s="1" t="str">
        <f t="shared" si="36"/>
        <v/>
      </c>
      <c r="IW59" s="1" t="str">
        <f t="shared" si="36"/>
        <v/>
      </c>
      <c r="IX59" s="1" t="str">
        <f t="shared" si="36"/>
        <v/>
      </c>
      <c r="IY59" s="1" t="str">
        <f t="shared" si="36"/>
        <v/>
      </c>
      <c r="IZ59" s="1" t="str">
        <f t="shared" si="36"/>
        <v/>
      </c>
      <c r="JA59" s="1" t="str">
        <f t="shared" si="36"/>
        <v/>
      </c>
      <c r="JB59" s="1" t="str">
        <f t="shared" si="36"/>
        <v/>
      </c>
      <c r="JC59" s="1" t="str">
        <f t="shared" si="36"/>
        <v/>
      </c>
      <c r="JD59" s="1" t="str">
        <f t="shared" si="36"/>
        <v/>
      </c>
      <c r="JE59" s="1" t="str">
        <f t="shared" si="36"/>
        <v/>
      </c>
      <c r="JF59" s="1" t="str">
        <f t="shared" si="36"/>
        <v/>
      </c>
      <c r="JG59" s="1" t="str">
        <f t="shared" si="37"/>
        <v/>
      </c>
      <c r="JH59" s="1" t="str">
        <f t="shared" si="37"/>
        <v/>
      </c>
      <c r="JI59" s="1" t="str">
        <f t="shared" si="37"/>
        <v/>
      </c>
      <c r="JJ59" s="1" t="str">
        <f t="shared" si="30"/>
        <v/>
      </c>
      <c r="JK59" s="1" t="str">
        <f t="shared" si="30"/>
        <v/>
      </c>
      <c r="JL59" s="1" t="str">
        <f t="shared" si="24"/>
        <v/>
      </c>
      <c r="JM59" s="1" t="str">
        <f t="shared" si="12"/>
        <v/>
      </c>
      <c r="JN59" s="1" t="str">
        <f t="shared" si="12"/>
        <v/>
      </c>
      <c r="JO59" s="1" t="str">
        <f t="shared" si="12"/>
        <v/>
      </c>
    </row>
    <row r="60" spans="1:275" ht="14.5" x14ac:dyDescent="0.35">
      <c r="A60" s="59" t="str">
        <f>IF('Data input'!A60&lt;&gt;"",'Data input'!A60,"")</f>
        <v/>
      </c>
      <c r="B60" s="15" t="str">
        <f>IF('Data input'!B60&lt;&gt;"",'Data input'!B60,"")</f>
        <v/>
      </c>
      <c r="C60" s="16" t="str">
        <f>IF('Data input'!C60="","",4*('Data input'!C60-'Data input'!C$108)/('Data input'!C$109-'Data input'!C$108)+1)</f>
        <v/>
      </c>
      <c r="D60" s="16" t="str">
        <f>IF('Data input'!D60="","",4*('Data input'!D60-'Data input'!D$108)/('Data input'!D$109-'Data input'!D$108)+1)</f>
        <v/>
      </c>
      <c r="E60" s="16" t="str">
        <f>IF('Data input'!E60="","",4*('Data input'!E60-'Data input'!E$108)/('Data input'!E$109-'Data input'!E$108)+1)</f>
        <v/>
      </c>
      <c r="F60" s="16" t="str">
        <f>IF('Data input'!F60="","",4*('Data input'!F60-'Data input'!F$108)/('Data input'!F$109-'Data input'!F$108)+1)</f>
        <v/>
      </c>
      <c r="G60" s="16" t="str">
        <f>IF('Data input'!G60="","",4*('Data input'!G60-'Data input'!G$108)/('Data input'!G$109-'Data input'!G$108)+1)</f>
        <v/>
      </c>
      <c r="H60" s="16" t="str">
        <f>IF('Data input'!H60="","",4*('Data input'!H60-'Data input'!H$108)/('Data input'!H$109-'Data input'!H$108)+1)</f>
        <v/>
      </c>
      <c r="I60" s="19" t="str">
        <f>IF('Data input'!I60="","",4*('Data input'!I60-'Data input'!I$108)/('Data input'!I$109-'Data input'!I$108)+1)</f>
        <v/>
      </c>
      <c r="J60" s="19" t="str">
        <f>IF('Data input'!J60="","",4*('Data input'!J60-'Data input'!J$108)/('Data input'!J$109-'Data input'!J$108)+1)</f>
        <v/>
      </c>
      <c r="K60" s="19" t="str">
        <f>IF('Data input'!K60="","",4*('Data input'!K60-'Data input'!K$108)/('Data input'!K$109-'Data input'!K$108)+1)</f>
        <v/>
      </c>
      <c r="L60" s="19" t="str">
        <f>IF('Data input'!L60="","",4*('Data input'!L60-'Data input'!L$108)/('Data input'!L$109-'Data input'!L$108)+1)</f>
        <v/>
      </c>
      <c r="M60" s="16" t="str">
        <f>IF('Data input'!M60="","",4*('Data input'!M60-'Data input'!M$108)/('Data input'!M$109-'Data input'!M$108)+1)</f>
        <v/>
      </c>
      <c r="N60" s="16" t="str">
        <f>IF('Data input'!N60="","",4*('Data input'!N60-'Data input'!N$108)/('Data input'!N$109-'Data input'!N$108)+1)</f>
        <v/>
      </c>
      <c r="O60" s="16" t="str">
        <f>IF('Data input'!O60="","",4*('Data input'!O60-'Data input'!O$108)/('Data input'!O$109-'Data input'!O$108)+1)</f>
        <v/>
      </c>
      <c r="P60" s="16" t="str">
        <f>IF('Data input'!P60="","",4*('Data input'!P60-'Data input'!P$108)/('Data input'!P$109-'Data input'!P$108)+1)</f>
        <v/>
      </c>
      <c r="Q60" s="16" t="str">
        <f>IF('Data input'!Q60="","",4*('Data input'!Q60-'Data input'!Q$108)/('Data input'!Q$109-'Data input'!Q$108)+1)</f>
        <v/>
      </c>
      <c r="R60" s="16" t="str">
        <f>IF('Data input'!R60="","",4*('Data input'!R60-'Data input'!R$108)/('Data input'!R$109-'Data input'!R$108)+1)</f>
        <v/>
      </c>
      <c r="S60" s="16" t="str">
        <f>IF('Data input'!S60="","",4*('Data input'!S60-'Data input'!S$108)/('Data input'!S$109-'Data input'!S$108)+1)</f>
        <v/>
      </c>
      <c r="T60" s="16" t="str">
        <f>IF('Data input'!T60="","",4*('Data input'!T60-'Data input'!T$108)/('Data input'!T$109-'Data input'!T$108)+1)</f>
        <v/>
      </c>
      <c r="U60" s="16" t="str">
        <f>IF('Data input'!U60="","",4*('Data input'!U60-'Data input'!U$108)/('Data input'!U$109-'Data input'!U$108)+1)</f>
        <v/>
      </c>
      <c r="V60" s="16" t="str">
        <f>IF('Data input'!V60="","",4*('Data input'!V60-'Data input'!V$108)/('Data input'!V$109-'Data input'!V$108)+1)</f>
        <v/>
      </c>
      <c r="W60" s="16" t="str">
        <f>IF('Data input'!W60="","",4*('Data input'!W60-'Data input'!W$108)/('Data input'!W$109-'Data input'!W$108)+1)</f>
        <v/>
      </c>
      <c r="X60" s="16" t="str">
        <f>IF('Data input'!X60="","",4*('Data input'!X60-'Data input'!X$108)/('Data input'!X$109-'Data input'!X$108)+1)</f>
        <v/>
      </c>
      <c r="Y60" s="16" t="str">
        <f>IF('Data input'!Y60="","",4*('Data input'!Y60-'Data input'!Y$108)/('Data input'!Y$109-'Data input'!Y$108)+1)</f>
        <v/>
      </c>
      <c r="Z60" s="16" t="str">
        <f>IF('Data input'!Z60="","",4*('Data input'!Z60-'Data input'!Z$108)/('Data input'!Z$109-'Data input'!Z$108)+1)</f>
        <v/>
      </c>
      <c r="AA60" s="62" t="str">
        <f>IF('Data input'!AA60="","",4*('Data input'!AA60-'Data input'!AA$108)/('Data input'!AA$109-'Data input'!AA$108)+1)</f>
        <v/>
      </c>
      <c r="AB60" s="78"/>
      <c r="AC60" s="79">
        <v>0</v>
      </c>
      <c r="AD60" s="80" t="e">
        <f t="shared" si="13"/>
        <v>#DIV/0!</v>
      </c>
      <c r="AE60" s="4"/>
      <c r="AF60" s="59" t="str">
        <f t="shared" si="40"/>
        <v/>
      </c>
      <c r="AG60" s="60" t="str">
        <f t="shared" si="40"/>
        <v/>
      </c>
      <c r="AH60"/>
      <c r="AI60"/>
      <c r="AJ60"/>
      <c r="AK60"/>
      <c r="AL60"/>
      <c r="AM60"/>
      <c r="AN60"/>
      <c r="AO60"/>
      <c r="AP60"/>
      <c r="AQ60"/>
      <c r="AR60"/>
      <c r="AS60" s="71" t="str">
        <f t="shared" si="15"/>
        <v/>
      </c>
      <c r="AT60" s="71" t="str">
        <f t="shared" si="15"/>
        <v/>
      </c>
      <c r="AU60" s="71" t="str">
        <f t="shared" si="15"/>
        <v/>
      </c>
      <c r="AV60" s="71" t="str">
        <f t="shared" si="15"/>
        <v/>
      </c>
      <c r="AW60" s="71" t="str">
        <f t="shared" si="15"/>
        <v/>
      </c>
      <c r="AX60" s="71" t="str">
        <f t="shared" si="16"/>
        <v/>
      </c>
      <c r="AY60" s="71" t="str">
        <f t="shared" si="16"/>
        <v/>
      </c>
      <c r="AZ60" s="71" t="str">
        <f t="shared" si="16"/>
        <v/>
      </c>
      <c r="BA60" s="71" t="str">
        <f t="shared" si="16"/>
        <v/>
      </c>
      <c r="BB60" s="71" t="str">
        <f t="shared" si="16"/>
        <v/>
      </c>
      <c r="BC60" s="18" t="str">
        <f>IF(C60&lt;&gt;"",(('Data input'!C$109-'Data input'!C$108)*(AS60-1)/4)+'Data input'!C$108,"")</f>
        <v/>
      </c>
      <c r="BD60" s="18" t="str">
        <f>IF(D60&lt;&gt;"",(('Data input'!D$109-'Data input'!D$108)*(AT60-1)/4)+'Data input'!D$108,"")</f>
        <v/>
      </c>
      <c r="BE60" s="18" t="str">
        <f>IF(E60&lt;&gt;"",(('Data input'!E$109-'Data input'!E$108)*(AU60-1)/4)+'Data input'!E$108,"")</f>
        <v/>
      </c>
      <c r="BF60" s="18" t="str">
        <f>IF(F60&lt;&gt;"",(('Data input'!F$109-'Data input'!F$108)*(AV60-1)/4)+'Data input'!F$108,"")</f>
        <v/>
      </c>
      <c r="BG60" s="18" t="str">
        <f>IF(G60&lt;&gt;"",(('Data input'!G$109-'Data input'!G$108)*(AW60-1)/4)+'Data input'!G$108,"")</f>
        <v/>
      </c>
      <c r="BH60" s="19" t="str">
        <f>IF(H60&lt;&gt;"",(('Data input'!H$109-'Data input'!H$108)*(AX60-1)/4)+'Data input'!H$108,"")</f>
        <v/>
      </c>
      <c r="BI60" s="18" t="str">
        <f>IF(I60&lt;&gt;"",(('Data input'!I$109-'Data input'!I$108)*(AY60-1)/4)+'Data input'!I$108,"")</f>
        <v/>
      </c>
      <c r="BJ60" s="19" t="str">
        <f>IF(J60&lt;&gt;"",(('Data input'!J$109-'Data input'!J$108)*(AZ60-1)/4)+'Data input'!J$108,"")</f>
        <v/>
      </c>
      <c r="BK60" s="19" t="str">
        <f>IF(K60&lt;&gt;"",(('Data input'!K$109-'Data input'!K$108)*(BA60-1)/4)+'Data input'!K$108,"")</f>
        <v/>
      </c>
      <c r="BL60" s="19" t="str">
        <f>IF(L60&lt;&gt;"",(('Data input'!L$109-'Data input'!L$108)*(BB60-1)/4)+'Data input'!L$108,"")</f>
        <v/>
      </c>
      <c r="BM60" s="18" t="str">
        <f>IF(C60&lt;&gt;"",BC60-'Data input'!C60,"")</f>
        <v/>
      </c>
      <c r="BN60" s="18" t="str">
        <f>IF(D60&lt;&gt;"",BD60-'Data input'!D60,"")</f>
        <v/>
      </c>
      <c r="BO60" s="18" t="str">
        <f>IF(E60&lt;&gt;"",BE60-'Data input'!E60,"")</f>
        <v/>
      </c>
      <c r="BP60" s="18" t="str">
        <f>IF(F60&lt;&gt;"",BF60-'Data input'!F60,"")</f>
        <v/>
      </c>
      <c r="BQ60" s="18" t="str">
        <f>IF(G60&lt;&gt;"",BG60-'Data input'!G60,"")</f>
        <v/>
      </c>
      <c r="BR60" s="19" t="str">
        <f>IF(H60&lt;&gt;"",BH60-'Data input'!H60,"")</f>
        <v/>
      </c>
      <c r="BS60" s="18" t="str">
        <f>IF(I60&lt;&gt;"",BI60-'Data input'!I60,"")</f>
        <v/>
      </c>
      <c r="BT60" s="18" t="str">
        <f>IF(J60&lt;&gt;"",BJ60-'Data input'!J60,"")</f>
        <v/>
      </c>
      <c r="BU60" s="18" t="str">
        <f>IF(K60&lt;&gt;"",BK60-'Data input'!K60,"")</f>
        <v/>
      </c>
      <c r="BV60" s="72" t="str">
        <f>IF(L60&lt;&gt;"",BL60-'Data input'!L60,"")</f>
        <v/>
      </c>
      <c r="BW60" s="121" t="str">
        <f t="shared" si="17"/>
        <v/>
      </c>
      <c r="FT60" s="1" t="str">
        <f t="shared" si="33"/>
        <v/>
      </c>
      <c r="FU60" s="1" t="str">
        <f t="shared" si="33"/>
        <v/>
      </c>
      <c r="FV60" s="1" t="str">
        <f t="shared" si="33"/>
        <v/>
      </c>
      <c r="FW60" s="1" t="str">
        <f t="shared" si="33"/>
        <v/>
      </c>
      <c r="FX60" s="1" t="str">
        <f t="shared" si="33"/>
        <v/>
      </c>
      <c r="FY60" s="1" t="str">
        <f t="shared" si="33"/>
        <v/>
      </c>
      <c r="FZ60" s="1" t="str">
        <f t="shared" si="33"/>
        <v/>
      </c>
      <c r="GA60" s="1" t="str">
        <f t="shared" si="33"/>
        <v/>
      </c>
      <c r="GB60" s="1" t="str">
        <f t="shared" si="33"/>
        <v/>
      </c>
      <c r="GC60" s="1" t="str">
        <f t="shared" si="33"/>
        <v/>
      </c>
      <c r="GD60" s="1" t="str">
        <f t="shared" si="33"/>
        <v/>
      </c>
      <c r="GE60" s="1" t="str">
        <f t="shared" si="33"/>
        <v/>
      </c>
      <c r="GF60" s="1" t="str">
        <f t="shared" si="33"/>
        <v/>
      </c>
      <c r="GG60" s="1" t="str">
        <f t="shared" si="33"/>
        <v/>
      </c>
      <c r="GH60" s="1" t="str">
        <f t="shared" si="33"/>
        <v/>
      </c>
      <c r="GI60" s="1" t="str">
        <f t="shared" si="32"/>
        <v/>
      </c>
      <c r="GJ60" s="1" t="str">
        <f t="shared" si="32"/>
        <v/>
      </c>
      <c r="GK60" s="1" t="str">
        <f t="shared" si="32"/>
        <v/>
      </c>
      <c r="GL60" s="1" t="str">
        <f t="shared" si="32"/>
        <v/>
      </c>
      <c r="GM60" s="1" t="str">
        <f t="shared" si="32"/>
        <v/>
      </c>
      <c r="GN60" s="1" t="str">
        <f t="shared" si="32"/>
        <v/>
      </c>
      <c r="GO60" s="1" t="str">
        <f t="shared" si="32"/>
        <v/>
      </c>
      <c r="GP60" s="1" t="str">
        <f t="shared" si="32"/>
        <v/>
      </c>
      <c r="GQ60" s="1" t="str">
        <f t="shared" si="32"/>
        <v/>
      </c>
      <c r="GR60" s="1" t="str">
        <f t="shared" si="32"/>
        <v/>
      </c>
      <c r="GS60" s="1" t="str">
        <f t="shared" si="32"/>
        <v/>
      </c>
      <c r="GT60" s="1" t="str">
        <f t="shared" si="32"/>
        <v/>
      </c>
      <c r="GU60" s="1" t="str">
        <f t="shared" si="32"/>
        <v/>
      </c>
      <c r="GV60" s="1" t="str">
        <f t="shared" si="32"/>
        <v/>
      </c>
      <c r="GW60" s="1" t="str">
        <f t="shared" si="32"/>
        <v/>
      </c>
      <c r="GX60" s="1" t="str">
        <f t="shared" si="32"/>
        <v/>
      </c>
      <c r="GY60" s="1" t="str">
        <f t="shared" si="39"/>
        <v/>
      </c>
      <c r="GZ60" s="1" t="str">
        <f t="shared" si="38"/>
        <v/>
      </c>
      <c r="HA60" s="1" t="str">
        <f t="shared" si="38"/>
        <v/>
      </c>
      <c r="HB60" s="1" t="str">
        <f t="shared" si="38"/>
        <v/>
      </c>
      <c r="HC60" s="1" t="str">
        <f t="shared" si="38"/>
        <v/>
      </c>
      <c r="HD60" s="1" t="str">
        <f t="shared" si="38"/>
        <v/>
      </c>
      <c r="HE60" s="1" t="str">
        <f t="shared" si="38"/>
        <v/>
      </c>
      <c r="HF60" s="1" t="str">
        <f t="shared" si="38"/>
        <v/>
      </c>
      <c r="HG60" s="1" t="str">
        <f t="shared" si="38"/>
        <v/>
      </c>
      <c r="HH60" s="1" t="str">
        <f t="shared" si="38"/>
        <v/>
      </c>
      <c r="HI60" s="1" t="str">
        <f t="shared" si="38"/>
        <v/>
      </c>
      <c r="HJ60" s="1" t="str">
        <f t="shared" si="38"/>
        <v/>
      </c>
      <c r="HK60" s="1" t="str">
        <f t="shared" si="34"/>
        <v/>
      </c>
      <c r="HL60" s="1" t="str">
        <f t="shared" si="34"/>
        <v/>
      </c>
      <c r="HM60" s="1" t="str">
        <f t="shared" si="34"/>
        <v/>
      </c>
      <c r="HN60" s="1" t="str">
        <f t="shared" si="34"/>
        <v/>
      </c>
      <c r="HO60" s="1" t="str">
        <f t="shared" si="34"/>
        <v/>
      </c>
      <c r="HP60" s="1" t="str">
        <f t="shared" si="34"/>
        <v/>
      </c>
      <c r="HQ60" s="1" t="str">
        <f t="shared" si="34"/>
        <v/>
      </c>
      <c r="HR60" s="1" t="str">
        <f t="shared" si="34"/>
        <v/>
      </c>
      <c r="HS60" s="1" t="str">
        <f t="shared" si="34"/>
        <v/>
      </c>
      <c r="HT60" s="1" t="str">
        <f t="shared" si="34"/>
        <v/>
      </c>
      <c r="HU60" s="1" t="str">
        <f t="shared" si="34"/>
        <v/>
      </c>
      <c r="HV60" s="1" t="str">
        <f t="shared" si="34"/>
        <v/>
      </c>
      <c r="HW60" s="1" t="str">
        <f t="shared" si="34"/>
        <v/>
      </c>
      <c r="HX60" s="1" t="str">
        <f t="shared" si="34"/>
        <v/>
      </c>
      <c r="HY60" s="1" t="str">
        <f t="shared" si="34"/>
        <v/>
      </c>
      <c r="HZ60" s="1" t="str">
        <f t="shared" si="34"/>
        <v/>
      </c>
      <c r="IA60" s="1" t="str">
        <f t="shared" si="35"/>
        <v/>
      </c>
      <c r="IB60" s="1" t="str">
        <f t="shared" si="35"/>
        <v/>
      </c>
      <c r="IC60" s="1" t="str">
        <f t="shared" si="35"/>
        <v/>
      </c>
      <c r="ID60" s="1" t="str">
        <f t="shared" si="35"/>
        <v/>
      </c>
      <c r="IE60" s="1" t="str">
        <f t="shared" si="35"/>
        <v/>
      </c>
      <c r="IF60" s="1" t="str">
        <f t="shared" si="35"/>
        <v/>
      </c>
      <c r="IG60" s="1" t="str">
        <f t="shared" si="35"/>
        <v/>
      </c>
      <c r="IH60" s="1" t="str">
        <f t="shared" si="35"/>
        <v/>
      </c>
      <c r="II60" s="1" t="str">
        <f t="shared" si="35"/>
        <v/>
      </c>
      <c r="IJ60" s="1" t="str">
        <f t="shared" si="35"/>
        <v/>
      </c>
      <c r="IK60" s="1" t="str">
        <f t="shared" si="35"/>
        <v/>
      </c>
      <c r="IL60" s="1" t="str">
        <f t="shared" si="35"/>
        <v/>
      </c>
      <c r="IM60" s="1" t="str">
        <f t="shared" si="35"/>
        <v/>
      </c>
      <c r="IN60" s="1" t="str">
        <f t="shared" si="35"/>
        <v/>
      </c>
      <c r="IO60" s="1" t="str">
        <f t="shared" si="35"/>
        <v/>
      </c>
      <c r="IP60" s="1" t="str">
        <f t="shared" si="35"/>
        <v/>
      </c>
      <c r="IQ60" s="1" t="str">
        <f t="shared" si="36"/>
        <v/>
      </c>
      <c r="IR60" s="1" t="str">
        <f t="shared" si="36"/>
        <v/>
      </c>
      <c r="IS60" s="1" t="str">
        <f t="shared" si="36"/>
        <v/>
      </c>
      <c r="IT60" s="1" t="str">
        <f t="shared" si="36"/>
        <v/>
      </c>
      <c r="IU60" s="1" t="str">
        <f t="shared" si="36"/>
        <v/>
      </c>
      <c r="IV60" s="1" t="str">
        <f t="shared" si="36"/>
        <v/>
      </c>
      <c r="IW60" s="1" t="str">
        <f t="shared" si="36"/>
        <v/>
      </c>
      <c r="IX60" s="1" t="str">
        <f t="shared" si="36"/>
        <v/>
      </c>
      <c r="IY60" s="1" t="str">
        <f t="shared" si="36"/>
        <v/>
      </c>
      <c r="IZ60" s="1" t="str">
        <f t="shared" si="36"/>
        <v/>
      </c>
      <c r="JA60" s="1" t="str">
        <f t="shared" si="36"/>
        <v/>
      </c>
      <c r="JB60" s="1" t="str">
        <f t="shared" si="36"/>
        <v/>
      </c>
      <c r="JC60" s="1" t="str">
        <f t="shared" si="36"/>
        <v/>
      </c>
      <c r="JD60" s="1" t="str">
        <f t="shared" si="36"/>
        <v/>
      </c>
      <c r="JE60" s="1" t="str">
        <f t="shared" si="36"/>
        <v/>
      </c>
      <c r="JF60" s="1" t="str">
        <f t="shared" si="36"/>
        <v/>
      </c>
      <c r="JG60" s="1" t="str">
        <f t="shared" si="37"/>
        <v/>
      </c>
      <c r="JH60" s="1" t="str">
        <f t="shared" si="37"/>
        <v/>
      </c>
      <c r="JI60" s="1" t="str">
        <f t="shared" si="37"/>
        <v/>
      </c>
      <c r="JJ60" s="1" t="str">
        <f t="shared" si="30"/>
        <v/>
      </c>
      <c r="JK60" s="1" t="str">
        <f t="shared" si="30"/>
        <v/>
      </c>
      <c r="JL60" s="1" t="str">
        <f t="shared" si="24"/>
        <v/>
      </c>
      <c r="JM60" s="1" t="str">
        <f t="shared" si="12"/>
        <v/>
      </c>
      <c r="JN60" s="1" t="str">
        <f t="shared" si="12"/>
        <v/>
      </c>
      <c r="JO60" s="1" t="str">
        <f t="shared" si="12"/>
        <v/>
      </c>
    </row>
    <row r="61" spans="1:275" ht="14.5" x14ac:dyDescent="0.35">
      <c r="A61" s="59" t="str">
        <f>IF('Data input'!A61&lt;&gt;"",'Data input'!A61,"")</f>
        <v/>
      </c>
      <c r="B61" s="15" t="str">
        <f>IF('Data input'!B61&lt;&gt;"",'Data input'!B61,"")</f>
        <v/>
      </c>
      <c r="C61" s="16" t="str">
        <f>IF('Data input'!C61="","",4*('Data input'!C61-'Data input'!C$108)/('Data input'!C$109-'Data input'!C$108)+1)</f>
        <v/>
      </c>
      <c r="D61" s="16" t="str">
        <f>IF('Data input'!D61="","",4*('Data input'!D61-'Data input'!D$108)/('Data input'!D$109-'Data input'!D$108)+1)</f>
        <v/>
      </c>
      <c r="E61" s="16" t="str">
        <f>IF('Data input'!E61="","",4*('Data input'!E61-'Data input'!E$108)/('Data input'!E$109-'Data input'!E$108)+1)</f>
        <v/>
      </c>
      <c r="F61" s="16" t="str">
        <f>IF('Data input'!F61="","",4*('Data input'!F61-'Data input'!F$108)/('Data input'!F$109-'Data input'!F$108)+1)</f>
        <v/>
      </c>
      <c r="G61" s="16" t="str">
        <f>IF('Data input'!G61="","",4*('Data input'!G61-'Data input'!G$108)/('Data input'!G$109-'Data input'!G$108)+1)</f>
        <v/>
      </c>
      <c r="H61" s="16" t="str">
        <f>IF('Data input'!H61="","",4*('Data input'!H61-'Data input'!H$108)/('Data input'!H$109-'Data input'!H$108)+1)</f>
        <v/>
      </c>
      <c r="I61" s="19" t="str">
        <f>IF('Data input'!I61="","",4*('Data input'!I61-'Data input'!I$108)/('Data input'!I$109-'Data input'!I$108)+1)</f>
        <v/>
      </c>
      <c r="J61" s="19" t="str">
        <f>IF('Data input'!J61="","",4*('Data input'!J61-'Data input'!J$108)/('Data input'!J$109-'Data input'!J$108)+1)</f>
        <v/>
      </c>
      <c r="K61" s="19" t="str">
        <f>IF('Data input'!K61="","",4*('Data input'!K61-'Data input'!K$108)/('Data input'!K$109-'Data input'!K$108)+1)</f>
        <v/>
      </c>
      <c r="L61" s="19" t="str">
        <f>IF('Data input'!L61="","",4*('Data input'!L61-'Data input'!L$108)/('Data input'!L$109-'Data input'!L$108)+1)</f>
        <v/>
      </c>
      <c r="M61" s="16" t="str">
        <f>IF('Data input'!M61="","",4*('Data input'!M61-'Data input'!M$108)/('Data input'!M$109-'Data input'!M$108)+1)</f>
        <v/>
      </c>
      <c r="N61" s="16" t="str">
        <f>IF('Data input'!N61="","",4*('Data input'!N61-'Data input'!N$108)/('Data input'!N$109-'Data input'!N$108)+1)</f>
        <v/>
      </c>
      <c r="O61" s="16" t="str">
        <f>IF('Data input'!O61="","",4*('Data input'!O61-'Data input'!O$108)/('Data input'!O$109-'Data input'!O$108)+1)</f>
        <v/>
      </c>
      <c r="P61" s="16" t="str">
        <f>IF('Data input'!P61="","",4*('Data input'!P61-'Data input'!P$108)/('Data input'!P$109-'Data input'!P$108)+1)</f>
        <v/>
      </c>
      <c r="Q61" s="16" t="str">
        <f>IF('Data input'!Q61="","",4*('Data input'!Q61-'Data input'!Q$108)/('Data input'!Q$109-'Data input'!Q$108)+1)</f>
        <v/>
      </c>
      <c r="R61" s="16" t="str">
        <f>IF('Data input'!R61="","",4*('Data input'!R61-'Data input'!R$108)/('Data input'!R$109-'Data input'!R$108)+1)</f>
        <v/>
      </c>
      <c r="S61" s="16" t="str">
        <f>IF('Data input'!S61="","",4*('Data input'!S61-'Data input'!S$108)/('Data input'!S$109-'Data input'!S$108)+1)</f>
        <v/>
      </c>
      <c r="T61" s="16" t="str">
        <f>IF('Data input'!T61="","",4*('Data input'!T61-'Data input'!T$108)/('Data input'!T$109-'Data input'!T$108)+1)</f>
        <v/>
      </c>
      <c r="U61" s="16" t="str">
        <f>IF('Data input'!U61="","",4*('Data input'!U61-'Data input'!U$108)/('Data input'!U$109-'Data input'!U$108)+1)</f>
        <v/>
      </c>
      <c r="V61" s="16" t="str">
        <f>IF('Data input'!V61="","",4*('Data input'!V61-'Data input'!V$108)/('Data input'!V$109-'Data input'!V$108)+1)</f>
        <v/>
      </c>
      <c r="W61" s="16" t="str">
        <f>IF('Data input'!W61="","",4*('Data input'!W61-'Data input'!W$108)/('Data input'!W$109-'Data input'!W$108)+1)</f>
        <v/>
      </c>
      <c r="X61" s="16" t="str">
        <f>IF('Data input'!X61="","",4*('Data input'!X61-'Data input'!X$108)/('Data input'!X$109-'Data input'!X$108)+1)</f>
        <v/>
      </c>
      <c r="Y61" s="16" t="str">
        <f>IF('Data input'!Y61="","",4*('Data input'!Y61-'Data input'!Y$108)/('Data input'!Y$109-'Data input'!Y$108)+1)</f>
        <v/>
      </c>
      <c r="Z61" s="16" t="str">
        <f>IF('Data input'!Z61="","",4*('Data input'!Z61-'Data input'!Z$108)/('Data input'!Z$109-'Data input'!Z$108)+1)</f>
        <v/>
      </c>
      <c r="AA61" s="62" t="str">
        <f>IF('Data input'!AA61="","",4*('Data input'!AA61-'Data input'!AA$108)/('Data input'!AA$109-'Data input'!AA$108)+1)</f>
        <v/>
      </c>
      <c r="AB61" s="78"/>
      <c r="AC61" s="79">
        <v>0</v>
      </c>
      <c r="AD61" s="80" t="e">
        <f t="shared" si="13"/>
        <v>#DIV/0!</v>
      </c>
      <c r="AE61" s="4"/>
      <c r="AF61" s="59" t="str">
        <f t="shared" si="40"/>
        <v/>
      </c>
      <c r="AG61" s="60" t="str">
        <f t="shared" si="40"/>
        <v/>
      </c>
      <c r="AH61"/>
      <c r="AI61"/>
      <c r="AJ61"/>
      <c r="AK61"/>
      <c r="AL61"/>
      <c r="AM61"/>
      <c r="AN61"/>
      <c r="AO61"/>
      <c r="AP61"/>
      <c r="AQ61"/>
      <c r="AR61"/>
      <c r="AS61" s="71" t="str">
        <f t="shared" si="15"/>
        <v/>
      </c>
      <c r="AT61" s="71" t="str">
        <f t="shared" si="15"/>
        <v/>
      </c>
      <c r="AU61" s="71" t="str">
        <f t="shared" si="15"/>
        <v/>
      </c>
      <c r="AV61" s="71" t="str">
        <f t="shared" si="15"/>
        <v/>
      </c>
      <c r="AW61" s="71" t="str">
        <f t="shared" si="15"/>
        <v/>
      </c>
      <c r="AX61" s="71" t="str">
        <f t="shared" si="16"/>
        <v/>
      </c>
      <c r="AY61" s="71" t="str">
        <f t="shared" si="16"/>
        <v/>
      </c>
      <c r="AZ61" s="71" t="str">
        <f t="shared" si="16"/>
        <v/>
      </c>
      <c r="BA61" s="71" t="str">
        <f t="shared" si="16"/>
        <v/>
      </c>
      <c r="BB61" s="71" t="str">
        <f t="shared" si="16"/>
        <v/>
      </c>
      <c r="BC61" s="18" t="str">
        <f>IF(C61&lt;&gt;"",(('Data input'!C$109-'Data input'!C$108)*(AS61-1)/4)+'Data input'!C$108,"")</f>
        <v/>
      </c>
      <c r="BD61" s="18" t="str">
        <f>IF(D61&lt;&gt;"",(('Data input'!D$109-'Data input'!D$108)*(AT61-1)/4)+'Data input'!D$108,"")</f>
        <v/>
      </c>
      <c r="BE61" s="18" t="str">
        <f>IF(E61&lt;&gt;"",(('Data input'!E$109-'Data input'!E$108)*(AU61-1)/4)+'Data input'!E$108,"")</f>
        <v/>
      </c>
      <c r="BF61" s="18" t="str">
        <f>IF(F61&lt;&gt;"",(('Data input'!F$109-'Data input'!F$108)*(AV61-1)/4)+'Data input'!F$108,"")</f>
        <v/>
      </c>
      <c r="BG61" s="18" t="str">
        <f>IF(G61&lt;&gt;"",(('Data input'!G$109-'Data input'!G$108)*(AW61-1)/4)+'Data input'!G$108,"")</f>
        <v/>
      </c>
      <c r="BH61" s="19" t="str">
        <f>IF(H61&lt;&gt;"",(('Data input'!H$109-'Data input'!H$108)*(AX61-1)/4)+'Data input'!H$108,"")</f>
        <v/>
      </c>
      <c r="BI61" s="18" t="str">
        <f>IF(I61&lt;&gt;"",(('Data input'!I$109-'Data input'!I$108)*(AY61-1)/4)+'Data input'!I$108,"")</f>
        <v/>
      </c>
      <c r="BJ61" s="19" t="str">
        <f>IF(J61&lt;&gt;"",(('Data input'!J$109-'Data input'!J$108)*(AZ61-1)/4)+'Data input'!J$108,"")</f>
        <v/>
      </c>
      <c r="BK61" s="19" t="str">
        <f>IF(K61&lt;&gt;"",(('Data input'!K$109-'Data input'!K$108)*(BA61-1)/4)+'Data input'!K$108,"")</f>
        <v/>
      </c>
      <c r="BL61" s="19" t="str">
        <f>IF(L61&lt;&gt;"",(('Data input'!L$109-'Data input'!L$108)*(BB61-1)/4)+'Data input'!L$108,"")</f>
        <v/>
      </c>
      <c r="BM61" s="18" t="str">
        <f>IF(C61&lt;&gt;"",BC61-'Data input'!C61,"")</f>
        <v/>
      </c>
      <c r="BN61" s="18" t="str">
        <f>IF(D61&lt;&gt;"",BD61-'Data input'!D61,"")</f>
        <v/>
      </c>
      <c r="BO61" s="18" t="str">
        <f>IF(E61&lt;&gt;"",BE61-'Data input'!E61,"")</f>
        <v/>
      </c>
      <c r="BP61" s="18" t="str">
        <f>IF(F61&lt;&gt;"",BF61-'Data input'!F61,"")</f>
        <v/>
      </c>
      <c r="BQ61" s="18" t="str">
        <f>IF(G61&lt;&gt;"",BG61-'Data input'!G61,"")</f>
        <v/>
      </c>
      <c r="BR61" s="19" t="str">
        <f>IF(H61&lt;&gt;"",BH61-'Data input'!H61,"")</f>
        <v/>
      </c>
      <c r="BS61" s="18" t="str">
        <f>IF(I61&lt;&gt;"",BI61-'Data input'!I61,"")</f>
        <v/>
      </c>
      <c r="BT61" s="18" t="str">
        <f>IF(J61&lt;&gt;"",BJ61-'Data input'!J61,"")</f>
        <v/>
      </c>
      <c r="BU61" s="18" t="str">
        <f>IF(K61&lt;&gt;"",BK61-'Data input'!K61,"")</f>
        <v/>
      </c>
      <c r="BV61" s="72" t="str">
        <f>IF(L61&lt;&gt;"",BL61-'Data input'!L61,"")</f>
        <v/>
      </c>
      <c r="BW61" s="121" t="str">
        <f t="shared" si="17"/>
        <v/>
      </c>
      <c r="FT61" s="1" t="str">
        <f t="shared" si="33"/>
        <v/>
      </c>
      <c r="FU61" s="1" t="str">
        <f t="shared" si="33"/>
        <v/>
      </c>
      <c r="FV61" s="1" t="str">
        <f t="shared" si="33"/>
        <v/>
      </c>
      <c r="FW61" s="1" t="str">
        <f t="shared" si="33"/>
        <v/>
      </c>
      <c r="FX61" s="1" t="str">
        <f t="shared" si="33"/>
        <v/>
      </c>
      <c r="FY61" s="1" t="str">
        <f t="shared" si="33"/>
        <v/>
      </c>
      <c r="FZ61" s="1" t="str">
        <f t="shared" si="33"/>
        <v/>
      </c>
      <c r="GA61" s="1" t="str">
        <f t="shared" si="33"/>
        <v/>
      </c>
      <c r="GB61" s="1" t="str">
        <f t="shared" si="33"/>
        <v/>
      </c>
      <c r="GC61" s="1" t="str">
        <f t="shared" si="33"/>
        <v/>
      </c>
      <c r="GD61" s="1" t="str">
        <f t="shared" si="33"/>
        <v/>
      </c>
      <c r="GE61" s="1" t="str">
        <f t="shared" si="33"/>
        <v/>
      </c>
      <c r="GF61" s="1" t="str">
        <f t="shared" si="33"/>
        <v/>
      </c>
      <c r="GG61" s="1" t="str">
        <f t="shared" si="33"/>
        <v/>
      </c>
      <c r="GH61" s="1" t="str">
        <f t="shared" si="33"/>
        <v/>
      </c>
      <c r="GI61" s="1" t="str">
        <f t="shared" si="32"/>
        <v/>
      </c>
      <c r="GJ61" s="1" t="str">
        <f t="shared" si="32"/>
        <v/>
      </c>
      <c r="GK61" s="1" t="str">
        <f t="shared" si="32"/>
        <v/>
      </c>
      <c r="GL61" s="1" t="str">
        <f t="shared" si="32"/>
        <v/>
      </c>
      <c r="GM61" s="1" t="str">
        <f t="shared" si="32"/>
        <v/>
      </c>
      <c r="GN61" s="1" t="str">
        <f t="shared" si="32"/>
        <v/>
      </c>
      <c r="GO61" s="1" t="str">
        <f t="shared" si="32"/>
        <v/>
      </c>
      <c r="GP61" s="1" t="str">
        <f t="shared" si="32"/>
        <v/>
      </c>
      <c r="GQ61" s="1" t="str">
        <f t="shared" si="32"/>
        <v/>
      </c>
      <c r="GR61" s="1" t="str">
        <f t="shared" si="32"/>
        <v/>
      </c>
      <c r="GS61" s="1" t="str">
        <f t="shared" si="32"/>
        <v/>
      </c>
      <c r="GT61" s="1" t="str">
        <f t="shared" si="32"/>
        <v/>
      </c>
      <c r="GU61" s="1" t="str">
        <f t="shared" si="32"/>
        <v/>
      </c>
      <c r="GV61" s="1" t="str">
        <f t="shared" si="32"/>
        <v/>
      </c>
      <c r="GW61" s="1" t="str">
        <f t="shared" si="32"/>
        <v/>
      </c>
      <c r="GX61" s="1" t="str">
        <f t="shared" si="32"/>
        <v/>
      </c>
      <c r="GY61" s="1" t="str">
        <f t="shared" si="39"/>
        <v/>
      </c>
      <c r="GZ61" s="1" t="str">
        <f t="shared" si="38"/>
        <v/>
      </c>
      <c r="HA61" s="1" t="str">
        <f t="shared" si="38"/>
        <v/>
      </c>
      <c r="HB61" s="1" t="str">
        <f t="shared" si="38"/>
        <v/>
      </c>
      <c r="HC61" s="1" t="str">
        <f t="shared" si="38"/>
        <v/>
      </c>
      <c r="HD61" s="1" t="str">
        <f t="shared" si="38"/>
        <v/>
      </c>
      <c r="HE61" s="1" t="str">
        <f t="shared" si="38"/>
        <v/>
      </c>
      <c r="HF61" s="1" t="str">
        <f t="shared" si="38"/>
        <v/>
      </c>
      <c r="HG61" s="1" t="str">
        <f t="shared" si="38"/>
        <v/>
      </c>
      <c r="HH61" s="1" t="str">
        <f t="shared" si="38"/>
        <v/>
      </c>
      <c r="HI61" s="1" t="str">
        <f t="shared" si="38"/>
        <v/>
      </c>
      <c r="HJ61" s="1" t="str">
        <f t="shared" si="38"/>
        <v/>
      </c>
      <c r="HK61" s="1" t="str">
        <f t="shared" si="34"/>
        <v/>
      </c>
      <c r="HL61" s="1" t="str">
        <f t="shared" si="34"/>
        <v/>
      </c>
      <c r="HM61" s="1" t="str">
        <f t="shared" si="34"/>
        <v/>
      </c>
      <c r="HN61" s="1" t="str">
        <f t="shared" si="34"/>
        <v/>
      </c>
      <c r="HO61" s="1" t="str">
        <f t="shared" si="34"/>
        <v/>
      </c>
      <c r="HP61" s="1" t="str">
        <f t="shared" si="34"/>
        <v/>
      </c>
      <c r="HQ61" s="1" t="str">
        <f t="shared" si="34"/>
        <v/>
      </c>
      <c r="HR61" s="1" t="str">
        <f t="shared" si="34"/>
        <v/>
      </c>
      <c r="HS61" s="1" t="str">
        <f t="shared" si="34"/>
        <v/>
      </c>
      <c r="HT61" s="1" t="str">
        <f t="shared" si="34"/>
        <v/>
      </c>
      <c r="HU61" s="1" t="str">
        <f t="shared" si="34"/>
        <v/>
      </c>
      <c r="HV61" s="1" t="str">
        <f t="shared" si="34"/>
        <v/>
      </c>
      <c r="HW61" s="1" t="str">
        <f t="shared" si="34"/>
        <v/>
      </c>
      <c r="HX61" s="1" t="str">
        <f t="shared" si="34"/>
        <v/>
      </c>
      <c r="HY61" s="1" t="str">
        <f t="shared" si="34"/>
        <v/>
      </c>
      <c r="HZ61" s="1" t="str">
        <f t="shared" si="34"/>
        <v/>
      </c>
      <c r="IA61" s="1" t="str">
        <f t="shared" si="35"/>
        <v/>
      </c>
      <c r="IB61" s="1" t="str">
        <f t="shared" si="35"/>
        <v/>
      </c>
      <c r="IC61" s="1" t="str">
        <f t="shared" si="35"/>
        <v/>
      </c>
      <c r="ID61" s="1" t="str">
        <f t="shared" si="35"/>
        <v/>
      </c>
      <c r="IE61" s="1" t="str">
        <f t="shared" si="35"/>
        <v/>
      </c>
      <c r="IF61" s="1" t="str">
        <f t="shared" si="35"/>
        <v/>
      </c>
      <c r="IG61" s="1" t="str">
        <f t="shared" si="35"/>
        <v/>
      </c>
      <c r="IH61" s="1" t="str">
        <f t="shared" si="35"/>
        <v/>
      </c>
      <c r="II61" s="1" t="str">
        <f t="shared" si="35"/>
        <v/>
      </c>
      <c r="IJ61" s="1" t="str">
        <f t="shared" si="35"/>
        <v/>
      </c>
      <c r="IK61" s="1" t="str">
        <f t="shared" si="35"/>
        <v/>
      </c>
      <c r="IL61" s="1" t="str">
        <f t="shared" si="35"/>
        <v/>
      </c>
      <c r="IM61" s="1" t="str">
        <f t="shared" si="35"/>
        <v/>
      </c>
      <c r="IN61" s="1" t="str">
        <f t="shared" si="35"/>
        <v/>
      </c>
      <c r="IO61" s="1" t="str">
        <f t="shared" si="35"/>
        <v/>
      </c>
      <c r="IP61" s="1" t="str">
        <f t="shared" si="35"/>
        <v/>
      </c>
      <c r="IQ61" s="1" t="str">
        <f t="shared" si="36"/>
        <v/>
      </c>
      <c r="IR61" s="1" t="str">
        <f t="shared" si="36"/>
        <v/>
      </c>
      <c r="IS61" s="1" t="str">
        <f t="shared" si="36"/>
        <v/>
      </c>
      <c r="IT61" s="1" t="str">
        <f t="shared" si="36"/>
        <v/>
      </c>
      <c r="IU61" s="1" t="str">
        <f t="shared" si="36"/>
        <v/>
      </c>
      <c r="IV61" s="1" t="str">
        <f t="shared" si="36"/>
        <v/>
      </c>
      <c r="IW61" s="1" t="str">
        <f t="shared" si="36"/>
        <v/>
      </c>
      <c r="IX61" s="1" t="str">
        <f t="shared" si="36"/>
        <v/>
      </c>
      <c r="IY61" s="1" t="str">
        <f t="shared" si="36"/>
        <v/>
      </c>
      <c r="IZ61" s="1" t="str">
        <f t="shared" si="36"/>
        <v/>
      </c>
      <c r="JA61" s="1" t="str">
        <f t="shared" si="36"/>
        <v/>
      </c>
      <c r="JB61" s="1" t="str">
        <f t="shared" si="36"/>
        <v/>
      </c>
      <c r="JC61" s="1" t="str">
        <f t="shared" si="36"/>
        <v/>
      </c>
      <c r="JD61" s="1" t="str">
        <f t="shared" si="36"/>
        <v/>
      </c>
      <c r="JE61" s="1" t="str">
        <f t="shared" si="36"/>
        <v/>
      </c>
      <c r="JF61" s="1" t="str">
        <f t="shared" si="36"/>
        <v/>
      </c>
      <c r="JG61" s="1" t="str">
        <f t="shared" si="37"/>
        <v/>
      </c>
      <c r="JH61" s="1" t="str">
        <f t="shared" si="37"/>
        <v/>
      </c>
      <c r="JI61" s="1" t="str">
        <f t="shared" si="37"/>
        <v/>
      </c>
      <c r="JJ61" s="1" t="str">
        <f t="shared" si="30"/>
        <v/>
      </c>
      <c r="JK61" s="1" t="str">
        <f t="shared" si="30"/>
        <v/>
      </c>
      <c r="JL61" s="1" t="str">
        <f t="shared" si="24"/>
        <v/>
      </c>
      <c r="JM61" s="1" t="str">
        <f t="shared" si="12"/>
        <v/>
      </c>
      <c r="JN61" s="1" t="str">
        <f t="shared" si="12"/>
        <v/>
      </c>
      <c r="JO61" s="1" t="str">
        <f t="shared" si="12"/>
        <v/>
      </c>
    </row>
    <row r="62" spans="1:275" ht="14.5" x14ac:dyDescent="0.35">
      <c r="A62" s="59" t="str">
        <f>IF('Data input'!A62&lt;&gt;"",'Data input'!A62,"")</f>
        <v/>
      </c>
      <c r="B62" s="15" t="str">
        <f>IF('Data input'!B62&lt;&gt;"",'Data input'!B62,"")</f>
        <v/>
      </c>
      <c r="C62" s="16" t="str">
        <f>IF('Data input'!C62="","",4*('Data input'!C62-'Data input'!C$108)/('Data input'!C$109-'Data input'!C$108)+1)</f>
        <v/>
      </c>
      <c r="D62" s="16" t="str">
        <f>IF('Data input'!D62="","",4*('Data input'!D62-'Data input'!D$108)/('Data input'!D$109-'Data input'!D$108)+1)</f>
        <v/>
      </c>
      <c r="E62" s="16" t="str">
        <f>IF('Data input'!E62="","",4*('Data input'!E62-'Data input'!E$108)/('Data input'!E$109-'Data input'!E$108)+1)</f>
        <v/>
      </c>
      <c r="F62" s="16" t="str">
        <f>IF('Data input'!F62="","",4*('Data input'!F62-'Data input'!F$108)/('Data input'!F$109-'Data input'!F$108)+1)</f>
        <v/>
      </c>
      <c r="G62" s="16" t="str">
        <f>IF('Data input'!G62="","",4*('Data input'!G62-'Data input'!G$108)/('Data input'!G$109-'Data input'!G$108)+1)</f>
        <v/>
      </c>
      <c r="H62" s="16" t="str">
        <f>IF('Data input'!H62="","",4*('Data input'!H62-'Data input'!H$108)/('Data input'!H$109-'Data input'!H$108)+1)</f>
        <v/>
      </c>
      <c r="I62" s="19" t="str">
        <f>IF('Data input'!I62="","",4*('Data input'!I62-'Data input'!I$108)/('Data input'!I$109-'Data input'!I$108)+1)</f>
        <v/>
      </c>
      <c r="J62" s="19" t="str">
        <f>IF('Data input'!J62="","",4*('Data input'!J62-'Data input'!J$108)/('Data input'!J$109-'Data input'!J$108)+1)</f>
        <v/>
      </c>
      <c r="K62" s="19" t="str">
        <f>IF('Data input'!K62="","",4*('Data input'!K62-'Data input'!K$108)/('Data input'!K$109-'Data input'!K$108)+1)</f>
        <v/>
      </c>
      <c r="L62" s="19" t="str">
        <f>IF('Data input'!L62="","",4*('Data input'!L62-'Data input'!L$108)/('Data input'!L$109-'Data input'!L$108)+1)</f>
        <v/>
      </c>
      <c r="M62" s="16" t="str">
        <f>IF('Data input'!M62="","",4*('Data input'!M62-'Data input'!M$108)/('Data input'!M$109-'Data input'!M$108)+1)</f>
        <v/>
      </c>
      <c r="N62" s="16" t="str">
        <f>IF('Data input'!N62="","",4*('Data input'!N62-'Data input'!N$108)/('Data input'!N$109-'Data input'!N$108)+1)</f>
        <v/>
      </c>
      <c r="O62" s="16" t="str">
        <f>IF('Data input'!O62="","",4*('Data input'!O62-'Data input'!O$108)/('Data input'!O$109-'Data input'!O$108)+1)</f>
        <v/>
      </c>
      <c r="P62" s="16" t="str">
        <f>IF('Data input'!P62="","",4*('Data input'!P62-'Data input'!P$108)/('Data input'!P$109-'Data input'!P$108)+1)</f>
        <v/>
      </c>
      <c r="Q62" s="16" t="str">
        <f>IF('Data input'!Q62="","",4*('Data input'!Q62-'Data input'!Q$108)/('Data input'!Q$109-'Data input'!Q$108)+1)</f>
        <v/>
      </c>
      <c r="R62" s="16" t="str">
        <f>IF('Data input'!R62="","",4*('Data input'!R62-'Data input'!R$108)/('Data input'!R$109-'Data input'!R$108)+1)</f>
        <v/>
      </c>
      <c r="S62" s="16" t="str">
        <f>IF('Data input'!S62="","",4*('Data input'!S62-'Data input'!S$108)/('Data input'!S$109-'Data input'!S$108)+1)</f>
        <v/>
      </c>
      <c r="T62" s="16" t="str">
        <f>IF('Data input'!T62="","",4*('Data input'!T62-'Data input'!T$108)/('Data input'!T$109-'Data input'!T$108)+1)</f>
        <v/>
      </c>
      <c r="U62" s="16" t="str">
        <f>IF('Data input'!U62="","",4*('Data input'!U62-'Data input'!U$108)/('Data input'!U$109-'Data input'!U$108)+1)</f>
        <v/>
      </c>
      <c r="V62" s="16" t="str">
        <f>IF('Data input'!V62="","",4*('Data input'!V62-'Data input'!V$108)/('Data input'!V$109-'Data input'!V$108)+1)</f>
        <v/>
      </c>
      <c r="W62" s="16" t="str">
        <f>IF('Data input'!W62="","",4*('Data input'!W62-'Data input'!W$108)/('Data input'!W$109-'Data input'!W$108)+1)</f>
        <v/>
      </c>
      <c r="X62" s="16" t="str">
        <f>IF('Data input'!X62="","",4*('Data input'!X62-'Data input'!X$108)/('Data input'!X$109-'Data input'!X$108)+1)</f>
        <v/>
      </c>
      <c r="Y62" s="16" t="str">
        <f>IF('Data input'!Y62="","",4*('Data input'!Y62-'Data input'!Y$108)/('Data input'!Y$109-'Data input'!Y$108)+1)</f>
        <v/>
      </c>
      <c r="Z62" s="16" t="str">
        <f>IF('Data input'!Z62="","",4*('Data input'!Z62-'Data input'!Z$108)/('Data input'!Z$109-'Data input'!Z$108)+1)</f>
        <v/>
      </c>
      <c r="AA62" s="62" t="str">
        <f>IF('Data input'!AA62="","",4*('Data input'!AA62-'Data input'!AA$108)/('Data input'!AA$109-'Data input'!AA$108)+1)</f>
        <v/>
      </c>
      <c r="AB62" s="78"/>
      <c r="AC62" s="79">
        <v>0</v>
      </c>
      <c r="AD62" s="80" t="e">
        <f t="shared" si="13"/>
        <v>#DIV/0!</v>
      </c>
      <c r="AE62" s="4"/>
      <c r="AF62" s="59" t="str">
        <f t="shared" si="40"/>
        <v/>
      </c>
      <c r="AG62" s="60" t="str">
        <f t="shared" si="40"/>
        <v/>
      </c>
      <c r="AH62"/>
      <c r="AI62"/>
      <c r="AJ62"/>
      <c r="AK62"/>
      <c r="AL62"/>
      <c r="AM62"/>
      <c r="AN62"/>
      <c r="AO62"/>
      <c r="AP62"/>
      <c r="AQ62"/>
      <c r="AR62"/>
      <c r="AS62" s="71" t="str">
        <f t="shared" si="15"/>
        <v/>
      </c>
      <c r="AT62" s="71" t="str">
        <f t="shared" si="15"/>
        <v/>
      </c>
      <c r="AU62" s="71" t="str">
        <f t="shared" si="15"/>
        <v/>
      </c>
      <c r="AV62" s="71" t="str">
        <f t="shared" si="15"/>
        <v/>
      </c>
      <c r="AW62" s="71" t="str">
        <f t="shared" si="15"/>
        <v/>
      </c>
      <c r="AX62" s="71" t="str">
        <f t="shared" si="16"/>
        <v/>
      </c>
      <c r="AY62" s="71" t="str">
        <f t="shared" si="16"/>
        <v/>
      </c>
      <c r="AZ62" s="71" t="str">
        <f t="shared" si="16"/>
        <v/>
      </c>
      <c r="BA62" s="71" t="str">
        <f t="shared" si="16"/>
        <v/>
      </c>
      <c r="BB62" s="71" t="str">
        <f t="shared" si="16"/>
        <v/>
      </c>
      <c r="BC62" s="18" t="str">
        <f>IF(C62&lt;&gt;"",(('Data input'!C$109-'Data input'!C$108)*(AS62-1)/4)+'Data input'!C$108,"")</f>
        <v/>
      </c>
      <c r="BD62" s="18" t="str">
        <f>IF(D62&lt;&gt;"",(('Data input'!D$109-'Data input'!D$108)*(AT62-1)/4)+'Data input'!D$108,"")</f>
        <v/>
      </c>
      <c r="BE62" s="18" t="str">
        <f>IF(E62&lt;&gt;"",(('Data input'!E$109-'Data input'!E$108)*(AU62-1)/4)+'Data input'!E$108,"")</f>
        <v/>
      </c>
      <c r="BF62" s="18" t="str">
        <f>IF(F62&lt;&gt;"",(('Data input'!F$109-'Data input'!F$108)*(AV62-1)/4)+'Data input'!F$108,"")</f>
        <v/>
      </c>
      <c r="BG62" s="18" t="str">
        <f>IF(G62&lt;&gt;"",(('Data input'!G$109-'Data input'!G$108)*(AW62-1)/4)+'Data input'!G$108,"")</f>
        <v/>
      </c>
      <c r="BH62" s="19" t="str">
        <f>IF(H62&lt;&gt;"",(('Data input'!H$109-'Data input'!H$108)*(AX62-1)/4)+'Data input'!H$108,"")</f>
        <v/>
      </c>
      <c r="BI62" s="18" t="str">
        <f>IF(I62&lt;&gt;"",(('Data input'!I$109-'Data input'!I$108)*(AY62-1)/4)+'Data input'!I$108,"")</f>
        <v/>
      </c>
      <c r="BJ62" s="19" t="str">
        <f>IF(J62&lt;&gt;"",(('Data input'!J$109-'Data input'!J$108)*(AZ62-1)/4)+'Data input'!J$108,"")</f>
        <v/>
      </c>
      <c r="BK62" s="19" t="str">
        <f>IF(K62&lt;&gt;"",(('Data input'!K$109-'Data input'!K$108)*(BA62-1)/4)+'Data input'!K$108,"")</f>
        <v/>
      </c>
      <c r="BL62" s="19" t="str">
        <f>IF(L62&lt;&gt;"",(('Data input'!L$109-'Data input'!L$108)*(BB62-1)/4)+'Data input'!L$108,"")</f>
        <v/>
      </c>
      <c r="BM62" s="18" t="str">
        <f>IF(C62&lt;&gt;"",BC62-'Data input'!C62,"")</f>
        <v/>
      </c>
      <c r="BN62" s="18" t="str">
        <f>IF(D62&lt;&gt;"",BD62-'Data input'!D62,"")</f>
        <v/>
      </c>
      <c r="BO62" s="18" t="str">
        <f>IF(E62&lt;&gt;"",BE62-'Data input'!E62,"")</f>
        <v/>
      </c>
      <c r="BP62" s="18" t="str">
        <f>IF(F62&lt;&gt;"",BF62-'Data input'!F62,"")</f>
        <v/>
      </c>
      <c r="BQ62" s="18" t="str">
        <f>IF(G62&lt;&gt;"",BG62-'Data input'!G62,"")</f>
        <v/>
      </c>
      <c r="BR62" s="19" t="str">
        <f>IF(H62&lt;&gt;"",BH62-'Data input'!H62,"")</f>
        <v/>
      </c>
      <c r="BS62" s="18" t="str">
        <f>IF(I62&lt;&gt;"",BI62-'Data input'!I62,"")</f>
        <v/>
      </c>
      <c r="BT62" s="18" t="str">
        <f>IF(J62&lt;&gt;"",BJ62-'Data input'!J62,"")</f>
        <v/>
      </c>
      <c r="BU62" s="18" t="str">
        <f>IF(K62&lt;&gt;"",BK62-'Data input'!K62,"")</f>
        <v/>
      </c>
      <c r="BV62" s="72" t="str">
        <f>IF(L62&lt;&gt;"",BL62-'Data input'!L62,"")</f>
        <v/>
      </c>
      <c r="BW62" s="121" t="str">
        <f t="shared" si="17"/>
        <v/>
      </c>
      <c r="FT62" s="1" t="str">
        <f t="shared" si="33"/>
        <v/>
      </c>
      <c r="FU62" s="1" t="str">
        <f t="shared" si="33"/>
        <v/>
      </c>
      <c r="FV62" s="1" t="str">
        <f t="shared" si="33"/>
        <v/>
      </c>
      <c r="FW62" s="1" t="str">
        <f t="shared" si="33"/>
        <v/>
      </c>
      <c r="FX62" s="1" t="str">
        <f t="shared" si="33"/>
        <v/>
      </c>
      <c r="FY62" s="1" t="str">
        <f t="shared" si="33"/>
        <v/>
      </c>
      <c r="FZ62" s="1" t="str">
        <f t="shared" si="33"/>
        <v/>
      </c>
      <c r="GA62" s="1" t="str">
        <f t="shared" si="33"/>
        <v/>
      </c>
      <c r="GB62" s="1" t="str">
        <f t="shared" si="33"/>
        <v/>
      </c>
      <c r="GC62" s="1" t="str">
        <f t="shared" si="33"/>
        <v/>
      </c>
      <c r="GD62" s="1" t="str">
        <f t="shared" si="33"/>
        <v/>
      </c>
      <c r="GE62" s="1" t="str">
        <f t="shared" si="33"/>
        <v/>
      </c>
      <c r="GF62" s="1" t="str">
        <f t="shared" si="33"/>
        <v/>
      </c>
      <c r="GG62" s="1" t="str">
        <f t="shared" si="33"/>
        <v/>
      </c>
      <c r="GH62" s="1" t="str">
        <f t="shared" si="33"/>
        <v/>
      </c>
      <c r="GI62" s="1" t="str">
        <f t="shared" si="32"/>
        <v/>
      </c>
      <c r="GJ62" s="1" t="str">
        <f t="shared" si="32"/>
        <v/>
      </c>
      <c r="GK62" s="1" t="str">
        <f t="shared" si="32"/>
        <v/>
      </c>
      <c r="GL62" s="1" t="str">
        <f t="shared" si="32"/>
        <v/>
      </c>
      <c r="GM62" s="1" t="str">
        <f t="shared" si="32"/>
        <v/>
      </c>
      <c r="GN62" s="1" t="str">
        <f t="shared" si="32"/>
        <v/>
      </c>
      <c r="GO62" s="1" t="str">
        <f t="shared" si="32"/>
        <v/>
      </c>
      <c r="GP62" s="1" t="str">
        <f t="shared" si="32"/>
        <v/>
      </c>
      <c r="GQ62" s="1" t="str">
        <f t="shared" si="32"/>
        <v/>
      </c>
      <c r="GR62" s="1" t="str">
        <f t="shared" si="32"/>
        <v/>
      </c>
      <c r="GS62" s="1" t="str">
        <f t="shared" si="32"/>
        <v/>
      </c>
      <c r="GT62" s="1" t="str">
        <f t="shared" si="32"/>
        <v/>
      </c>
      <c r="GU62" s="1" t="str">
        <f t="shared" si="32"/>
        <v/>
      </c>
      <c r="GV62" s="1" t="str">
        <f t="shared" si="32"/>
        <v/>
      </c>
      <c r="GW62" s="1" t="str">
        <f t="shared" si="32"/>
        <v/>
      </c>
      <c r="GX62" s="1" t="str">
        <f t="shared" si="32"/>
        <v/>
      </c>
      <c r="GY62" s="1" t="str">
        <f t="shared" si="39"/>
        <v/>
      </c>
      <c r="GZ62" s="1" t="str">
        <f t="shared" si="38"/>
        <v/>
      </c>
      <c r="HA62" s="1" t="str">
        <f t="shared" si="38"/>
        <v/>
      </c>
      <c r="HB62" s="1" t="str">
        <f t="shared" si="38"/>
        <v/>
      </c>
      <c r="HC62" s="1" t="str">
        <f t="shared" si="38"/>
        <v/>
      </c>
      <c r="HD62" s="1" t="str">
        <f t="shared" si="38"/>
        <v/>
      </c>
      <c r="HE62" s="1" t="str">
        <f t="shared" si="38"/>
        <v/>
      </c>
      <c r="HF62" s="1" t="str">
        <f t="shared" si="38"/>
        <v/>
      </c>
      <c r="HG62" s="1" t="str">
        <f t="shared" si="38"/>
        <v/>
      </c>
      <c r="HH62" s="1" t="str">
        <f t="shared" si="38"/>
        <v/>
      </c>
      <c r="HI62" s="1" t="str">
        <f t="shared" si="38"/>
        <v/>
      </c>
      <c r="HJ62" s="1" t="str">
        <f t="shared" si="38"/>
        <v/>
      </c>
      <c r="HK62" s="1" t="str">
        <f t="shared" si="34"/>
        <v/>
      </c>
      <c r="HL62" s="1" t="str">
        <f t="shared" si="34"/>
        <v/>
      </c>
      <c r="HM62" s="1" t="str">
        <f t="shared" si="34"/>
        <v/>
      </c>
      <c r="HN62" s="1" t="str">
        <f t="shared" si="34"/>
        <v/>
      </c>
      <c r="HO62" s="1" t="str">
        <f t="shared" si="34"/>
        <v/>
      </c>
      <c r="HP62" s="1" t="str">
        <f t="shared" si="34"/>
        <v/>
      </c>
      <c r="HQ62" s="1" t="str">
        <f t="shared" si="34"/>
        <v/>
      </c>
      <c r="HR62" s="1" t="str">
        <f t="shared" si="34"/>
        <v/>
      </c>
      <c r="HS62" s="1" t="str">
        <f t="shared" si="34"/>
        <v/>
      </c>
      <c r="HT62" s="1" t="str">
        <f t="shared" si="34"/>
        <v/>
      </c>
      <c r="HU62" s="1" t="str">
        <f t="shared" si="34"/>
        <v/>
      </c>
      <c r="HV62" s="1" t="str">
        <f t="shared" si="34"/>
        <v/>
      </c>
      <c r="HW62" s="1" t="str">
        <f t="shared" si="34"/>
        <v/>
      </c>
      <c r="HX62" s="1" t="str">
        <f t="shared" si="34"/>
        <v/>
      </c>
      <c r="HY62" s="1" t="str">
        <f t="shared" si="34"/>
        <v/>
      </c>
      <c r="HZ62" s="1" t="str">
        <f t="shared" si="34"/>
        <v/>
      </c>
      <c r="IA62" s="1" t="str">
        <f t="shared" si="35"/>
        <v/>
      </c>
      <c r="IB62" s="1" t="str">
        <f t="shared" si="35"/>
        <v/>
      </c>
      <c r="IC62" s="1" t="str">
        <f t="shared" si="35"/>
        <v/>
      </c>
      <c r="ID62" s="1" t="str">
        <f t="shared" si="35"/>
        <v/>
      </c>
      <c r="IE62" s="1" t="str">
        <f t="shared" si="35"/>
        <v/>
      </c>
      <c r="IF62" s="1" t="str">
        <f t="shared" si="35"/>
        <v/>
      </c>
      <c r="IG62" s="1" t="str">
        <f t="shared" si="35"/>
        <v/>
      </c>
      <c r="IH62" s="1" t="str">
        <f t="shared" si="35"/>
        <v/>
      </c>
      <c r="II62" s="1" t="str">
        <f t="shared" si="35"/>
        <v/>
      </c>
      <c r="IJ62" s="1" t="str">
        <f t="shared" si="35"/>
        <v/>
      </c>
      <c r="IK62" s="1" t="str">
        <f t="shared" si="35"/>
        <v/>
      </c>
      <c r="IL62" s="1" t="str">
        <f t="shared" si="35"/>
        <v/>
      </c>
      <c r="IM62" s="1" t="str">
        <f t="shared" si="35"/>
        <v/>
      </c>
      <c r="IN62" s="1" t="str">
        <f t="shared" si="35"/>
        <v/>
      </c>
      <c r="IO62" s="1" t="str">
        <f t="shared" si="35"/>
        <v/>
      </c>
      <c r="IP62" s="1" t="str">
        <f t="shared" si="35"/>
        <v/>
      </c>
      <c r="IQ62" s="1" t="str">
        <f t="shared" si="36"/>
        <v/>
      </c>
      <c r="IR62" s="1" t="str">
        <f t="shared" si="36"/>
        <v/>
      </c>
      <c r="IS62" s="1" t="str">
        <f t="shared" si="36"/>
        <v/>
      </c>
      <c r="IT62" s="1" t="str">
        <f t="shared" si="36"/>
        <v/>
      </c>
      <c r="IU62" s="1" t="str">
        <f t="shared" si="36"/>
        <v/>
      </c>
      <c r="IV62" s="1" t="str">
        <f t="shared" si="36"/>
        <v/>
      </c>
      <c r="IW62" s="1" t="str">
        <f t="shared" si="36"/>
        <v/>
      </c>
      <c r="IX62" s="1" t="str">
        <f t="shared" si="36"/>
        <v/>
      </c>
      <c r="IY62" s="1" t="str">
        <f t="shared" si="36"/>
        <v/>
      </c>
      <c r="IZ62" s="1" t="str">
        <f t="shared" si="36"/>
        <v/>
      </c>
      <c r="JA62" s="1" t="str">
        <f t="shared" si="36"/>
        <v/>
      </c>
      <c r="JB62" s="1" t="str">
        <f t="shared" si="36"/>
        <v/>
      </c>
      <c r="JC62" s="1" t="str">
        <f t="shared" si="36"/>
        <v/>
      </c>
      <c r="JD62" s="1" t="str">
        <f t="shared" si="36"/>
        <v/>
      </c>
      <c r="JE62" s="1" t="str">
        <f t="shared" si="36"/>
        <v/>
      </c>
      <c r="JF62" s="1" t="str">
        <f t="shared" si="36"/>
        <v/>
      </c>
      <c r="JG62" s="1" t="str">
        <f t="shared" si="37"/>
        <v/>
      </c>
      <c r="JH62" s="1" t="str">
        <f t="shared" si="37"/>
        <v/>
      </c>
      <c r="JI62" s="1" t="str">
        <f t="shared" si="37"/>
        <v/>
      </c>
      <c r="JJ62" s="1" t="str">
        <f t="shared" si="30"/>
        <v/>
      </c>
      <c r="JK62" s="1" t="str">
        <f t="shared" si="30"/>
        <v/>
      </c>
      <c r="JL62" s="1" t="str">
        <f t="shared" si="24"/>
        <v/>
      </c>
      <c r="JM62" s="1" t="str">
        <f t="shared" si="12"/>
        <v/>
      </c>
      <c r="JN62" s="1" t="str">
        <f t="shared" si="12"/>
        <v/>
      </c>
      <c r="JO62" s="1" t="str">
        <f t="shared" si="12"/>
        <v/>
      </c>
    </row>
    <row r="63" spans="1:275" ht="14.5" x14ac:dyDescent="0.35">
      <c r="A63" s="59" t="str">
        <f>IF('Data input'!A63&lt;&gt;"",'Data input'!A63,"")</f>
        <v/>
      </c>
      <c r="B63" s="15" t="str">
        <f>IF('Data input'!B63&lt;&gt;"",'Data input'!B63,"")</f>
        <v/>
      </c>
      <c r="C63" s="16" t="str">
        <f>IF('Data input'!C63="","",4*('Data input'!C63-'Data input'!C$108)/('Data input'!C$109-'Data input'!C$108)+1)</f>
        <v/>
      </c>
      <c r="D63" s="16" t="str">
        <f>IF('Data input'!D63="","",4*('Data input'!D63-'Data input'!D$108)/('Data input'!D$109-'Data input'!D$108)+1)</f>
        <v/>
      </c>
      <c r="E63" s="16" t="str">
        <f>IF('Data input'!E63="","",4*('Data input'!E63-'Data input'!E$108)/('Data input'!E$109-'Data input'!E$108)+1)</f>
        <v/>
      </c>
      <c r="F63" s="16" t="str">
        <f>IF('Data input'!F63="","",4*('Data input'!F63-'Data input'!F$108)/('Data input'!F$109-'Data input'!F$108)+1)</f>
        <v/>
      </c>
      <c r="G63" s="16" t="str">
        <f>IF('Data input'!G63="","",4*('Data input'!G63-'Data input'!G$108)/('Data input'!G$109-'Data input'!G$108)+1)</f>
        <v/>
      </c>
      <c r="H63" s="16" t="str">
        <f>IF('Data input'!H63="","",4*('Data input'!H63-'Data input'!H$108)/('Data input'!H$109-'Data input'!H$108)+1)</f>
        <v/>
      </c>
      <c r="I63" s="19" t="str">
        <f>IF('Data input'!I63="","",4*('Data input'!I63-'Data input'!I$108)/('Data input'!I$109-'Data input'!I$108)+1)</f>
        <v/>
      </c>
      <c r="J63" s="19" t="str">
        <f>IF('Data input'!J63="","",4*('Data input'!J63-'Data input'!J$108)/('Data input'!J$109-'Data input'!J$108)+1)</f>
        <v/>
      </c>
      <c r="K63" s="19" t="str">
        <f>IF('Data input'!K63="","",4*('Data input'!K63-'Data input'!K$108)/('Data input'!K$109-'Data input'!K$108)+1)</f>
        <v/>
      </c>
      <c r="L63" s="19" t="str">
        <f>IF('Data input'!L63="","",4*('Data input'!L63-'Data input'!L$108)/('Data input'!L$109-'Data input'!L$108)+1)</f>
        <v/>
      </c>
      <c r="M63" s="16" t="str">
        <f>IF('Data input'!M63="","",4*('Data input'!M63-'Data input'!M$108)/('Data input'!M$109-'Data input'!M$108)+1)</f>
        <v/>
      </c>
      <c r="N63" s="16" t="str">
        <f>IF('Data input'!N63="","",4*('Data input'!N63-'Data input'!N$108)/('Data input'!N$109-'Data input'!N$108)+1)</f>
        <v/>
      </c>
      <c r="O63" s="16" t="str">
        <f>IF('Data input'!O63="","",4*('Data input'!O63-'Data input'!O$108)/('Data input'!O$109-'Data input'!O$108)+1)</f>
        <v/>
      </c>
      <c r="P63" s="16" t="str">
        <f>IF('Data input'!P63="","",4*('Data input'!P63-'Data input'!P$108)/('Data input'!P$109-'Data input'!P$108)+1)</f>
        <v/>
      </c>
      <c r="Q63" s="16" t="str">
        <f>IF('Data input'!Q63="","",4*('Data input'!Q63-'Data input'!Q$108)/('Data input'!Q$109-'Data input'!Q$108)+1)</f>
        <v/>
      </c>
      <c r="R63" s="16" t="str">
        <f>IF('Data input'!R63="","",4*('Data input'!R63-'Data input'!R$108)/('Data input'!R$109-'Data input'!R$108)+1)</f>
        <v/>
      </c>
      <c r="S63" s="16" t="str">
        <f>IF('Data input'!S63="","",4*('Data input'!S63-'Data input'!S$108)/('Data input'!S$109-'Data input'!S$108)+1)</f>
        <v/>
      </c>
      <c r="T63" s="16" t="str">
        <f>IF('Data input'!T63="","",4*('Data input'!T63-'Data input'!T$108)/('Data input'!T$109-'Data input'!T$108)+1)</f>
        <v/>
      </c>
      <c r="U63" s="16" t="str">
        <f>IF('Data input'!U63="","",4*('Data input'!U63-'Data input'!U$108)/('Data input'!U$109-'Data input'!U$108)+1)</f>
        <v/>
      </c>
      <c r="V63" s="16" t="str">
        <f>IF('Data input'!V63="","",4*('Data input'!V63-'Data input'!V$108)/('Data input'!V$109-'Data input'!V$108)+1)</f>
        <v/>
      </c>
      <c r="W63" s="16" t="str">
        <f>IF('Data input'!W63="","",4*('Data input'!W63-'Data input'!W$108)/('Data input'!W$109-'Data input'!W$108)+1)</f>
        <v/>
      </c>
      <c r="X63" s="16" t="str">
        <f>IF('Data input'!X63="","",4*('Data input'!X63-'Data input'!X$108)/('Data input'!X$109-'Data input'!X$108)+1)</f>
        <v/>
      </c>
      <c r="Y63" s="16" t="str">
        <f>IF('Data input'!Y63="","",4*('Data input'!Y63-'Data input'!Y$108)/('Data input'!Y$109-'Data input'!Y$108)+1)</f>
        <v/>
      </c>
      <c r="Z63" s="16" t="str">
        <f>IF('Data input'!Z63="","",4*('Data input'!Z63-'Data input'!Z$108)/('Data input'!Z$109-'Data input'!Z$108)+1)</f>
        <v/>
      </c>
      <c r="AA63" s="62" t="str">
        <f>IF('Data input'!AA63="","",4*('Data input'!AA63-'Data input'!AA$108)/('Data input'!AA$109-'Data input'!AA$108)+1)</f>
        <v/>
      </c>
      <c r="AB63" s="78"/>
      <c r="AC63" s="79">
        <v>0</v>
      </c>
      <c r="AD63" s="80" t="e">
        <f t="shared" si="13"/>
        <v>#DIV/0!</v>
      </c>
      <c r="AE63" s="4"/>
      <c r="AF63" s="59" t="str">
        <f t="shared" si="40"/>
        <v/>
      </c>
      <c r="AG63" s="60" t="str">
        <f t="shared" si="40"/>
        <v/>
      </c>
      <c r="AH63"/>
      <c r="AI63"/>
      <c r="AJ63"/>
      <c r="AK63"/>
      <c r="AL63"/>
      <c r="AM63"/>
      <c r="AN63"/>
      <c r="AO63"/>
      <c r="AP63"/>
      <c r="AQ63"/>
      <c r="AR63"/>
      <c r="AS63" s="71" t="str">
        <f t="shared" si="15"/>
        <v/>
      </c>
      <c r="AT63" s="71" t="str">
        <f t="shared" si="15"/>
        <v/>
      </c>
      <c r="AU63" s="71" t="str">
        <f t="shared" si="15"/>
        <v/>
      </c>
      <c r="AV63" s="71" t="str">
        <f t="shared" si="15"/>
        <v/>
      </c>
      <c r="AW63" s="71" t="str">
        <f t="shared" si="15"/>
        <v/>
      </c>
      <c r="AX63" s="71" t="str">
        <f t="shared" si="16"/>
        <v/>
      </c>
      <c r="AY63" s="71" t="str">
        <f t="shared" si="16"/>
        <v/>
      </c>
      <c r="AZ63" s="71" t="str">
        <f t="shared" si="16"/>
        <v/>
      </c>
      <c r="BA63" s="71" t="str">
        <f t="shared" si="16"/>
        <v/>
      </c>
      <c r="BB63" s="71" t="str">
        <f t="shared" si="16"/>
        <v/>
      </c>
      <c r="BC63" s="18" t="str">
        <f>IF(C63&lt;&gt;"",(('Data input'!C$109-'Data input'!C$108)*(AS63-1)/4)+'Data input'!C$108,"")</f>
        <v/>
      </c>
      <c r="BD63" s="18" t="str">
        <f>IF(D63&lt;&gt;"",(('Data input'!D$109-'Data input'!D$108)*(AT63-1)/4)+'Data input'!D$108,"")</f>
        <v/>
      </c>
      <c r="BE63" s="18" t="str">
        <f>IF(E63&lt;&gt;"",(('Data input'!E$109-'Data input'!E$108)*(AU63-1)/4)+'Data input'!E$108,"")</f>
        <v/>
      </c>
      <c r="BF63" s="18" t="str">
        <f>IF(F63&lt;&gt;"",(('Data input'!F$109-'Data input'!F$108)*(AV63-1)/4)+'Data input'!F$108,"")</f>
        <v/>
      </c>
      <c r="BG63" s="18" t="str">
        <f>IF(G63&lt;&gt;"",(('Data input'!G$109-'Data input'!G$108)*(AW63-1)/4)+'Data input'!G$108,"")</f>
        <v/>
      </c>
      <c r="BH63" s="19" t="str">
        <f>IF(H63&lt;&gt;"",(('Data input'!H$109-'Data input'!H$108)*(AX63-1)/4)+'Data input'!H$108,"")</f>
        <v/>
      </c>
      <c r="BI63" s="18" t="str">
        <f>IF(I63&lt;&gt;"",(('Data input'!I$109-'Data input'!I$108)*(AY63-1)/4)+'Data input'!I$108,"")</f>
        <v/>
      </c>
      <c r="BJ63" s="19" t="str">
        <f>IF(J63&lt;&gt;"",(('Data input'!J$109-'Data input'!J$108)*(AZ63-1)/4)+'Data input'!J$108,"")</f>
        <v/>
      </c>
      <c r="BK63" s="19" t="str">
        <f>IF(K63&lt;&gt;"",(('Data input'!K$109-'Data input'!K$108)*(BA63-1)/4)+'Data input'!K$108,"")</f>
        <v/>
      </c>
      <c r="BL63" s="19" t="str">
        <f>IF(L63&lt;&gt;"",(('Data input'!L$109-'Data input'!L$108)*(BB63-1)/4)+'Data input'!L$108,"")</f>
        <v/>
      </c>
      <c r="BM63" s="18" t="str">
        <f>IF(C63&lt;&gt;"",BC63-'Data input'!C63,"")</f>
        <v/>
      </c>
      <c r="BN63" s="18" t="str">
        <f>IF(D63&lt;&gt;"",BD63-'Data input'!D63,"")</f>
        <v/>
      </c>
      <c r="BO63" s="18" t="str">
        <f>IF(E63&lt;&gt;"",BE63-'Data input'!E63,"")</f>
        <v/>
      </c>
      <c r="BP63" s="18" t="str">
        <f>IF(F63&lt;&gt;"",BF63-'Data input'!F63,"")</f>
        <v/>
      </c>
      <c r="BQ63" s="18" t="str">
        <f>IF(G63&lt;&gt;"",BG63-'Data input'!G63,"")</f>
        <v/>
      </c>
      <c r="BR63" s="19" t="str">
        <f>IF(H63&lt;&gt;"",BH63-'Data input'!H63,"")</f>
        <v/>
      </c>
      <c r="BS63" s="18" t="str">
        <f>IF(I63&lt;&gt;"",BI63-'Data input'!I63,"")</f>
        <v/>
      </c>
      <c r="BT63" s="18" t="str">
        <f>IF(J63&lt;&gt;"",BJ63-'Data input'!J63,"")</f>
        <v/>
      </c>
      <c r="BU63" s="18" t="str">
        <f>IF(K63&lt;&gt;"",BK63-'Data input'!K63,"")</f>
        <v/>
      </c>
      <c r="BV63" s="72" t="str">
        <f>IF(L63&lt;&gt;"",BL63-'Data input'!L63,"")</f>
        <v/>
      </c>
      <c r="BW63" s="121" t="str">
        <f t="shared" si="17"/>
        <v/>
      </c>
      <c r="FT63" s="1" t="str">
        <f t="shared" si="33"/>
        <v/>
      </c>
      <c r="FU63" s="1" t="str">
        <f t="shared" si="33"/>
        <v/>
      </c>
      <c r="FV63" s="1" t="str">
        <f t="shared" si="33"/>
        <v/>
      </c>
      <c r="FW63" s="1" t="str">
        <f t="shared" si="33"/>
        <v/>
      </c>
      <c r="FX63" s="1" t="str">
        <f t="shared" si="33"/>
        <v/>
      </c>
      <c r="FY63" s="1" t="str">
        <f t="shared" si="33"/>
        <v/>
      </c>
      <c r="FZ63" s="1" t="str">
        <f t="shared" si="33"/>
        <v/>
      </c>
      <c r="GA63" s="1" t="str">
        <f t="shared" si="33"/>
        <v/>
      </c>
      <c r="GB63" s="1" t="str">
        <f t="shared" si="33"/>
        <v/>
      </c>
      <c r="GC63" s="1" t="str">
        <f t="shared" si="33"/>
        <v/>
      </c>
      <c r="GD63" s="1" t="str">
        <f t="shared" si="33"/>
        <v/>
      </c>
      <c r="GE63" s="1" t="str">
        <f t="shared" si="33"/>
        <v/>
      </c>
      <c r="GF63" s="1" t="str">
        <f t="shared" si="33"/>
        <v/>
      </c>
      <c r="GG63" s="1" t="str">
        <f t="shared" si="33"/>
        <v/>
      </c>
      <c r="GH63" s="1" t="str">
        <f t="shared" si="33"/>
        <v/>
      </c>
      <c r="GI63" s="1" t="str">
        <f t="shared" si="32"/>
        <v/>
      </c>
      <c r="GJ63" s="1" t="str">
        <f t="shared" si="32"/>
        <v/>
      </c>
      <c r="GK63" s="1" t="str">
        <f t="shared" si="32"/>
        <v/>
      </c>
      <c r="GL63" s="1" t="str">
        <f t="shared" si="32"/>
        <v/>
      </c>
      <c r="GM63" s="1" t="str">
        <f t="shared" si="32"/>
        <v/>
      </c>
      <c r="GN63" s="1" t="str">
        <f t="shared" si="32"/>
        <v/>
      </c>
      <c r="GO63" s="1" t="str">
        <f t="shared" si="32"/>
        <v/>
      </c>
      <c r="GP63" s="1" t="str">
        <f t="shared" si="32"/>
        <v/>
      </c>
      <c r="GQ63" s="1" t="str">
        <f t="shared" si="32"/>
        <v/>
      </c>
      <c r="GR63" s="1" t="str">
        <f t="shared" si="32"/>
        <v/>
      </c>
      <c r="GS63" s="1" t="str">
        <f t="shared" si="32"/>
        <v/>
      </c>
      <c r="GT63" s="1" t="str">
        <f t="shared" si="32"/>
        <v/>
      </c>
      <c r="GU63" s="1" t="str">
        <f t="shared" si="32"/>
        <v/>
      </c>
      <c r="GV63" s="1" t="str">
        <f t="shared" si="32"/>
        <v/>
      </c>
      <c r="GW63" s="1" t="str">
        <f t="shared" si="32"/>
        <v/>
      </c>
      <c r="GX63" s="1" t="str">
        <f t="shared" si="32"/>
        <v/>
      </c>
      <c r="GY63" s="1" t="str">
        <f t="shared" si="39"/>
        <v/>
      </c>
      <c r="GZ63" s="1" t="str">
        <f t="shared" si="38"/>
        <v/>
      </c>
      <c r="HA63" s="1" t="str">
        <f t="shared" si="38"/>
        <v/>
      </c>
      <c r="HB63" s="1" t="str">
        <f t="shared" si="38"/>
        <v/>
      </c>
      <c r="HC63" s="1" t="str">
        <f t="shared" si="38"/>
        <v/>
      </c>
      <c r="HD63" s="1" t="str">
        <f t="shared" si="38"/>
        <v/>
      </c>
      <c r="HE63" s="1" t="str">
        <f t="shared" si="38"/>
        <v/>
      </c>
      <c r="HF63" s="1" t="str">
        <f t="shared" si="38"/>
        <v/>
      </c>
      <c r="HG63" s="1" t="str">
        <f t="shared" si="38"/>
        <v/>
      </c>
      <c r="HH63" s="1" t="str">
        <f t="shared" si="38"/>
        <v/>
      </c>
      <c r="HI63" s="1" t="str">
        <f t="shared" si="38"/>
        <v/>
      </c>
      <c r="HJ63" s="1" t="str">
        <f t="shared" si="38"/>
        <v/>
      </c>
      <c r="HK63" s="1" t="str">
        <f t="shared" si="34"/>
        <v/>
      </c>
      <c r="HL63" s="1" t="str">
        <f t="shared" si="34"/>
        <v/>
      </c>
      <c r="HM63" s="1" t="str">
        <f t="shared" si="34"/>
        <v/>
      </c>
      <c r="HN63" s="1" t="str">
        <f t="shared" si="34"/>
        <v/>
      </c>
      <c r="HO63" s="1" t="str">
        <f t="shared" si="34"/>
        <v/>
      </c>
      <c r="HP63" s="1" t="str">
        <f t="shared" si="34"/>
        <v/>
      </c>
      <c r="HQ63" s="1" t="str">
        <f t="shared" si="34"/>
        <v/>
      </c>
      <c r="HR63" s="1" t="str">
        <f t="shared" si="34"/>
        <v/>
      </c>
      <c r="HS63" s="1" t="str">
        <f t="shared" si="34"/>
        <v/>
      </c>
      <c r="HT63" s="1" t="str">
        <f t="shared" si="34"/>
        <v/>
      </c>
      <c r="HU63" s="1" t="str">
        <f t="shared" si="34"/>
        <v/>
      </c>
      <c r="HV63" s="1" t="str">
        <f t="shared" si="34"/>
        <v/>
      </c>
      <c r="HW63" s="1" t="str">
        <f t="shared" si="34"/>
        <v/>
      </c>
      <c r="HX63" s="1" t="str">
        <f t="shared" si="34"/>
        <v/>
      </c>
      <c r="HY63" s="1" t="str">
        <f t="shared" si="34"/>
        <v/>
      </c>
      <c r="HZ63" s="1" t="str">
        <f t="shared" si="34"/>
        <v/>
      </c>
      <c r="IA63" s="1" t="str">
        <f t="shared" si="35"/>
        <v/>
      </c>
      <c r="IB63" s="1" t="str">
        <f t="shared" si="35"/>
        <v/>
      </c>
      <c r="IC63" s="1" t="str">
        <f t="shared" si="35"/>
        <v/>
      </c>
      <c r="ID63" s="1" t="str">
        <f t="shared" si="35"/>
        <v/>
      </c>
      <c r="IE63" s="1" t="str">
        <f t="shared" si="35"/>
        <v/>
      </c>
      <c r="IF63" s="1" t="str">
        <f t="shared" si="35"/>
        <v/>
      </c>
      <c r="IG63" s="1" t="str">
        <f t="shared" si="35"/>
        <v/>
      </c>
      <c r="IH63" s="1" t="str">
        <f t="shared" si="35"/>
        <v/>
      </c>
      <c r="II63" s="1" t="str">
        <f t="shared" si="35"/>
        <v/>
      </c>
      <c r="IJ63" s="1" t="str">
        <f t="shared" si="35"/>
        <v/>
      </c>
      <c r="IK63" s="1" t="str">
        <f t="shared" si="35"/>
        <v/>
      </c>
      <c r="IL63" s="1" t="str">
        <f t="shared" si="35"/>
        <v/>
      </c>
      <c r="IM63" s="1" t="str">
        <f t="shared" si="35"/>
        <v/>
      </c>
      <c r="IN63" s="1" t="str">
        <f t="shared" si="35"/>
        <v/>
      </c>
      <c r="IO63" s="1" t="str">
        <f t="shared" si="35"/>
        <v/>
      </c>
      <c r="IP63" s="1" t="str">
        <f t="shared" si="35"/>
        <v/>
      </c>
      <c r="IQ63" s="1" t="str">
        <f t="shared" si="36"/>
        <v/>
      </c>
      <c r="IR63" s="1" t="str">
        <f t="shared" si="36"/>
        <v/>
      </c>
      <c r="IS63" s="1" t="str">
        <f t="shared" si="36"/>
        <v/>
      </c>
      <c r="IT63" s="1" t="str">
        <f t="shared" si="36"/>
        <v/>
      </c>
      <c r="IU63" s="1" t="str">
        <f t="shared" si="36"/>
        <v/>
      </c>
      <c r="IV63" s="1" t="str">
        <f t="shared" si="36"/>
        <v/>
      </c>
      <c r="IW63" s="1" t="str">
        <f t="shared" si="36"/>
        <v/>
      </c>
      <c r="IX63" s="1" t="str">
        <f t="shared" si="36"/>
        <v/>
      </c>
      <c r="IY63" s="1" t="str">
        <f t="shared" si="36"/>
        <v/>
      </c>
      <c r="IZ63" s="1" t="str">
        <f t="shared" si="36"/>
        <v/>
      </c>
      <c r="JA63" s="1" t="str">
        <f t="shared" si="36"/>
        <v/>
      </c>
      <c r="JB63" s="1" t="str">
        <f t="shared" si="36"/>
        <v/>
      </c>
      <c r="JC63" s="1" t="str">
        <f t="shared" si="36"/>
        <v/>
      </c>
      <c r="JD63" s="1" t="str">
        <f t="shared" si="36"/>
        <v/>
      </c>
      <c r="JE63" s="1" t="str">
        <f t="shared" si="36"/>
        <v/>
      </c>
      <c r="JF63" s="1" t="str">
        <f t="shared" si="36"/>
        <v/>
      </c>
      <c r="JG63" s="1" t="str">
        <f t="shared" si="37"/>
        <v/>
      </c>
      <c r="JH63" s="1" t="str">
        <f t="shared" si="37"/>
        <v/>
      </c>
      <c r="JI63" s="1" t="str">
        <f t="shared" si="37"/>
        <v/>
      </c>
      <c r="JJ63" s="1" t="str">
        <f t="shared" si="30"/>
        <v/>
      </c>
      <c r="JK63" s="1" t="str">
        <f t="shared" si="30"/>
        <v/>
      </c>
      <c r="JL63" s="1" t="str">
        <f t="shared" si="24"/>
        <v/>
      </c>
      <c r="JM63" s="1" t="str">
        <f t="shared" si="12"/>
        <v/>
      </c>
      <c r="JN63" s="1" t="str">
        <f t="shared" si="12"/>
        <v/>
      </c>
      <c r="JO63" s="1" t="str">
        <f t="shared" si="12"/>
        <v/>
      </c>
    </row>
    <row r="64" spans="1:275" ht="14.5" x14ac:dyDescent="0.35">
      <c r="A64" s="59" t="str">
        <f>IF('Data input'!A64&lt;&gt;"",'Data input'!A64,"")</f>
        <v/>
      </c>
      <c r="B64" s="15" t="str">
        <f>IF('Data input'!B64&lt;&gt;"",'Data input'!B64,"")</f>
        <v/>
      </c>
      <c r="C64" s="16" t="str">
        <f>IF('Data input'!C64="","",4*('Data input'!C64-'Data input'!C$108)/('Data input'!C$109-'Data input'!C$108)+1)</f>
        <v/>
      </c>
      <c r="D64" s="16" t="str">
        <f>IF('Data input'!D64="","",4*('Data input'!D64-'Data input'!D$108)/('Data input'!D$109-'Data input'!D$108)+1)</f>
        <v/>
      </c>
      <c r="E64" s="16" t="str">
        <f>IF('Data input'!E64="","",4*('Data input'!E64-'Data input'!E$108)/('Data input'!E$109-'Data input'!E$108)+1)</f>
        <v/>
      </c>
      <c r="F64" s="16" t="str">
        <f>IF('Data input'!F64="","",4*('Data input'!F64-'Data input'!F$108)/('Data input'!F$109-'Data input'!F$108)+1)</f>
        <v/>
      </c>
      <c r="G64" s="16" t="str">
        <f>IF('Data input'!G64="","",4*('Data input'!G64-'Data input'!G$108)/('Data input'!G$109-'Data input'!G$108)+1)</f>
        <v/>
      </c>
      <c r="H64" s="16" t="str">
        <f>IF('Data input'!H64="","",4*('Data input'!H64-'Data input'!H$108)/('Data input'!H$109-'Data input'!H$108)+1)</f>
        <v/>
      </c>
      <c r="I64" s="19" t="str">
        <f>IF('Data input'!I64="","",4*('Data input'!I64-'Data input'!I$108)/('Data input'!I$109-'Data input'!I$108)+1)</f>
        <v/>
      </c>
      <c r="J64" s="19" t="str">
        <f>IF('Data input'!J64="","",4*('Data input'!J64-'Data input'!J$108)/('Data input'!J$109-'Data input'!J$108)+1)</f>
        <v/>
      </c>
      <c r="K64" s="19" t="str">
        <f>IF('Data input'!K64="","",4*('Data input'!K64-'Data input'!K$108)/('Data input'!K$109-'Data input'!K$108)+1)</f>
        <v/>
      </c>
      <c r="L64" s="19" t="str">
        <f>IF('Data input'!L64="","",4*('Data input'!L64-'Data input'!L$108)/('Data input'!L$109-'Data input'!L$108)+1)</f>
        <v/>
      </c>
      <c r="M64" s="16" t="str">
        <f>IF('Data input'!M64="","",4*('Data input'!M64-'Data input'!M$108)/('Data input'!M$109-'Data input'!M$108)+1)</f>
        <v/>
      </c>
      <c r="N64" s="16" t="str">
        <f>IF('Data input'!N64="","",4*('Data input'!N64-'Data input'!N$108)/('Data input'!N$109-'Data input'!N$108)+1)</f>
        <v/>
      </c>
      <c r="O64" s="16" t="str">
        <f>IF('Data input'!O64="","",4*('Data input'!O64-'Data input'!O$108)/('Data input'!O$109-'Data input'!O$108)+1)</f>
        <v/>
      </c>
      <c r="P64" s="16" t="str">
        <f>IF('Data input'!P64="","",4*('Data input'!P64-'Data input'!P$108)/('Data input'!P$109-'Data input'!P$108)+1)</f>
        <v/>
      </c>
      <c r="Q64" s="16" t="str">
        <f>IF('Data input'!Q64="","",4*('Data input'!Q64-'Data input'!Q$108)/('Data input'!Q$109-'Data input'!Q$108)+1)</f>
        <v/>
      </c>
      <c r="R64" s="16" t="str">
        <f>IF('Data input'!R64="","",4*('Data input'!R64-'Data input'!R$108)/('Data input'!R$109-'Data input'!R$108)+1)</f>
        <v/>
      </c>
      <c r="S64" s="16" t="str">
        <f>IF('Data input'!S64="","",4*('Data input'!S64-'Data input'!S$108)/('Data input'!S$109-'Data input'!S$108)+1)</f>
        <v/>
      </c>
      <c r="T64" s="16" t="str">
        <f>IF('Data input'!T64="","",4*('Data input'!T64-'Data input'!T$108)/('Data input'!T$109-'Data input'!T$108)+1)</f>
        <v/>
      </c>
      <c r="U64" s="16" t="str">
        <f>IF('Data input'!U64="","",4*('Data input'!U64-'Data input'!U$108)/('Data input'!U$109-'Data input'!U$108)+1)</f>
        <v/>
      </c>
      <c r="V64" s="16" t="str">
        <f>IF('Data input'!V64="","",4*('Data input'!V64-'Data input'!V$108)/('Data input'!V$109-'Data input'!V$108)+1)</f>
        <v/>
      </c>
      <c r="W64" s="16" t="str">
        <f>IF('Data input'!W64="","",4*('Data input'!W64-'Data input'!W$108)/('Data input'!W$109-'Data input'!W$108)+1)</f>
        <v/>
      </c>
      <c r="X64" s="16" t="str">
        <f>IF('Data input'!X64="","",4*('Data input'!X64-'Data input'!X$108)/('Data input'!X$109-'Data input'!X$108)+1)</f>
        <v/>
      </c>
      <c r="Y64" s="16" t="str">
        <f>IF('Data input'!Y64="","",4*('Data input'!Y64-'Data input'!Y$108)/('Data input'!Y$109-'Data input'!Y$108)+1)</f>
        <v/>
      </c>
      <c r="Z64" s="16" t="str">
        <f>IF('Data input'!Z64="","",4*('Data input'!Z64-'Data input'!Z$108)/('Data input'!Z$109-'Data input'!Z$108)+1)</f>
        <v/>
      </c>
      <c r="AA64" s="62" t="str">
        <f>IF('Data input'!AA64="","",4*('Data input'!AA64-'Data input'!AA$108)/('Data input'!AA$109-'Data input'!AA$108)+1)</f>
        <v/>
      </c>
      <c r="AB64" s="78"/>
      <c r="AC64" s="79">
        <v>0</v>
      </c>
      <c r="AD64" s="80" t="e">
        <f t="shared" si="13"/>
        <v>#DIV/0!</v>
      </c>
      <c r="AE64" s="4"/>
      <c r="AF64" s="59" t="str">
        <f t="shared" si="40"/>
        <v/>
      </c>
      <c r="AG64" s="60" t="str">
        <f t="shared" si="40"/>
        <v/>
      </c>
      <c r="AH64"/>
      <c r="AI64"/>
      <c r="AJ64"/>
      <c r="AK64"/>
      <c r="AL64"/>
      <c r="AM64"/>
      <c r="AN64"/>
      <c r="AO64"/>
      <c r="AP64"/>
      <c r="AQ64"/>
      <c r="AR64"/>
      <c r="AS64" s="71" t="str">
        <f t="shared" si="15"/>
        <v/>
      </c>
      <c r="AT64" s="71" t="str">
        <f t="shared" si="15"/>
        <v/>
      </c>
      <c r="AU64" s="71" t="str">
        <f t="shared" si="15"/>
        <v/>
      </c>
      <c r="AV64" s="71" t="str">
        <f t="shared" si="15"/>
        <v/>
      </c>
      <c r="AW64" s="71" t="str">
        <f t="shared" si="15"/>
        <v/>
      </c>
      <c r="AX64" s="71" t="str">
        <f t="shared" si="16"/>
        <v/>
      </c>
      <c r="AY64" s="71" t="str">
        <f t="shared" si="16"/>
        <v/>
      </c>
      <c r="AZ64" s="71" t="str">
        <f t="shared" si="16"/>
        <v/>
      </c>
      <c r="BA64" s="71" t="str">
        <f t="shared" si="16"/>
        <v/>
      </c>
      <c r="BB64" s="71" t="str">
        <f t="shared" si="16"/>
        <v/>
      </c>
      <c r="BC64" s="18" t="str">
        <f>IF(C64&lt;&gt;"",(('Data input'!C$109-'Data input'!C$108)*(AS64-1)/4)+'Data input'!C$108,"")</f>
        <v/>
      </c>
      <c r="BD64" s="18" t="str">
        <f>IF(D64&lt;&gt;"",(('Data input'!D$109-'Data input'!D$108)*(AT64-1)/4)+'Data input'!D$108,"")</f>
        <v/>
      </c>
      <c r="BE64" s="18" t="str">
        <f>IF(E64&lt;&gt;"",(('Data input'!E$109-'Data input'!E$108)*(AU64-1)/4)+'Data input'!E$108,"")</f>
        <v/>
      </c>
      <c r="BF64" s="18" t="str">
        <f>IF(F64&lt;&gt;"",(('Data input'!F$109-'Data input'!F$108)*(AV64-1)/4)+'Data input'!F$108,"")</f>
        <v/>
      </c>
      <c r="BG64" s="18" t="str">
        <f>IF(G64&lt;&gt;"",(('Data input'!G$109-'Data input'!G$108)*(AW64-1)/4)+'Data input'!G$108,"")</f>
        <v/>
      </c>
      <c r="BH64" s="19" t="str">
        <f>IF(H64&lt;&gt;"",(('Data input'!H$109-'Data input'!H$108)*(AX64-1)/4)+'Data input'!H$108,"")</f>
        <v/>
      </c>
      <c r="BI64" s="18" t="str">
        <f>IF(I64&lt;&gt;"",(('Data input'!I$109-'Data input'!I$108)*(AY64-1)/4)+'Data input'!I$108,"")</f>
        <v/>
      </c>
      <c r="BJ64" s="19" t="str">
        <f>IF(J64&lt;&gt;"",(('Data input'!J$109-'Data input'!J$108)*(AZ64-1)/4)+'Data input'!J$108,"")</f>
        <v/>
      </c>
      <c r="BK64" s="19" t="str">
        <f>IF(K64&lt;&gt;"",(('Data input'!K$109-'Data input'!K$108)*(BA64-1)/4)+'Data input'!K$108,"")</f>
        <v/>
      </c>
      <c r="BL64" s="19" t="str">
        <f>IF(L64&lt;&gt;"",(('Data input'!L$109-'Data input'!L$108)*(BB64-1)/4)+'Data input'!L$108,"")</f>
        <v/>
      </c>
      <c r="BM64" s="18" t="str">
        <f>IF(C64&lt;&gt;"",BC64-'Data input'!C64,"")</f>
        <v/>
      </c>
      <c r="BN64" s="18" t="str">
        <f>IF(D64&lt;&gt;"",BD64-'Data input'!D64,"")</f>
        <v/>
      </c>
      <c r="BO64" s="18" t="str">
        <f>IF(E64&lt;&gt;"",BE64-'Data input'!E64,"")</f>
        <v/>
      </c>
      <c r="BP64" s="18" t="str">
        <f>IF(F64&lt;&gt;"",BF64-'Data input'!F64,"")</f>
        <v/>
      </c>
      <c r="BQ64" s="18" t="str">
        <f>IF(G64&lt;&gt;"",BG64-'Data input'!G64,"")</f>
        <v/>
      </c>
      <c r="BR64" s="19" t="str">
        <f>IF(H64&lt;&gt;"",BH64-'Data input'!H64,"")</f>
        <v/>
      </c>
      <c r="BS64" s="18" t="str">
        <f>IF(I64&lt;&gt;"",BI64-'Data input'!I64,"")</f>
        <v/>
      </c>
      <c r="BT64" s="18" t="str">
        <f>IF(J64&lt;&gt;"",BJ64-'Data input'!J64,"")</f>
        <v/>
      </c>
      <c r="BU64" s="18" t="str">
        <f>IF(K64&lt;&gt;"",BK64-'Data input'!K64,"")</f>
        <v/>
      </c>
      <c r="BV64" s="72" t="str">
        <f>IF(L64&lt;&gt;"",BL64-'Data input'!L64,"")</f>
        <v/>
      </c>
      <c r="BW64" s="121" t="str">
        <f t="shared" si="17"/>
        <v/>
      </c>
      <c r="FT64" s="1" t="str">
        <f t="shared" si="33"/>
        <v/>
      </c>
      <c r="FU64" s="1" t="str">
        <f t="shared" si="33"/>
        <v/>
      </c>
      <c r="FV64" s="1" t="str">
        <f t="shared" si="33"/>
        <v/>
      </c>
      <c r="FW64" s="1" t="str">
        <f t="shared" si="33"/>
        <v/>
      </c>
      <c r="FX64" s="1" t="str">
        <f t="shared" si="33"/>
        <v/>
      </c>
      <c r="FY64" s="1" t="str">
        <f t="shared" si="33"/>
        <v/>
      </c>
      <c r="FZ64" s="1" t="str">
        <f t="shared" si="33"/>
        <v/>
      </c>
      <c r="GA64" s="1" t="str">
        <f t="shared" si="33"/>
        <v/>
      </c>
      <c r="GB64" s="1" t="str">
        <f t="shared" si="33"/>
        <v/>
      </c>
      <c r="GC64" s="1" t="str">
        <f t="shared" si="33"/>
        <v/>
      </c>
      <c r="GD64" s="1" t="str">
        <f t="shared" si="33"/>
        <v/>
      </c>
      <c r="GE64" s="1" t="str">
        <f t="shared" si="33"/>
        <v/>
      </c>
      <c r="GF64" s="1" t="str">
        <f t="shared" si="33"/>
        <v/>
      </c>
      <c r="GG64" s="1" t="str">
        <f t="shared" si="33"/>
        <v/>
      </c>
      <c r="GH64" s="1" t="str">
        <f t="shared" si="33"/>
        <v/>
      </c>
      <c r="GI64" s="1" t="str">
        <f t="shared" si="32"/>
        <v/>
      </c>
      <c r="GJ64" s="1" t="str">
        <f t="shared" si="32"/>
        <v/>
      </c>
      <c r="GK64" s="1" t="str">
        <f t="shared" si="32"/>
        <v/>
      </c>
      <c r="GL64" s="1" t="str">
        <f t="shared" si="32"/>
        <v/>
      </c>
      <c r="GM64" s="1" t="str">
        <f t="shared" si="32"/>
        <v/>
      </c>
      <c r="GN64" s="1" t="str">
        <f t="shared" si="32"/>
        <v/>
      </c>
      <c r="GO64" s="1" t="str">
        <f t="shared" si="32"/>
        <v/>
      </c>
      <c r="GP64" s="1" t="str">
        <f t="shared" si="32"/>
        <v/>
      </c>
      <c r="GQ64" s="1" t="str">
        <f t="shared" si="32"/>
        <v/>
      </c>
      <c r="GR64" s="1" t="str">
        <f t="shared" si="32"/>
        <v/>
      </c>
      <c r="GS64" s="1" t="str">
        <f t="shared" si="32"/>
        <v/>
      </c>
      <c r="GT64" s="1" t="str">
        <f t="shared" si="32"/>
        <v/>
      </c>
      <c r="GU64" s="1" t="str">
        <f t="shared" si="32"/>
        <v/>
      </c>
      <c r="GV64" s="1" t="str">
        <f t="shared" si="32"/>
        <v/>
      </c>
      <c r="GW64" s="1" t="str">
        <f t="shared" si="32"/>
        <v/>
      </c>
      <c r="GX64" s="1" t="str">
        <f t="shared" si="32"/>
        <v/>
      </c>
      <c r="GY64" s="1" t="str">
        <f t="shared" si="39"/>
        <v/>
      </c>
      <c r="GZ64" s="1" t="str">
        <f t="shared" si="38"/>
        <v/>
      </c>
      <c r="HA64" s="1" t="str">
        <f t="shared" si="38"/>
        <v/>
      </c>
      <c r="HB64" s="1" t="str">
        <f t="shared" si="38"/>
        <v/>
      </c>
      <c r="HC64" s="1" t="str">
        <f t="shared" si="38"/>
        <v/>
      </c>
      <c r="HD64" s="1" t="str">
        <f t="shared" si="38"/>
        <v/>
      </c>
      <c r="HE64" s="1" t="str">
        <f t="shared" si="38"/>
        <v/>
      </c>
      <c r="HF64" s="1" t="str">
        <f t="shared" si="38"/>
        <v/>
      </c>
      <c r="HG64" s="1" t="str">
        <f t="shared" si="38"/>
        <v/>
      </c>
      <c r="HH64" s="1" t="str">
        <f t="shared" si="38"/>
        <v/>
      </c>
      <c r="HI64" s="1" t="str">
        <f t="shared" si="38"/>
        <v/>
      </c>
      <c r="HJ64" s="1" t="str">
        <f t="shared" si="38"/>
        <v/>
      </c>
      <c r="HK64" s="1" t="str">
        <f t="shared" si="34"/>
        <v/>
      </c>
      <c r="HL64" s="1" t="str">
        <f t="shared" si="34"/>
        <v/>
      </c>
      <c r="HM64" s="1" t="str">
        <f t="shared" si="34"/>
        <v/>
      </c>
      <c r="HN64" s="1" t="str">
        <f t="shared" si="34"/>
        <v/>
      </c>
      <c r="HO64" s="1" t="str">
        <f t="shared" si="34"/>
        <v/>
      </c>
      <c r="HP64" s="1" t="str">
        <f t="shared" si="34"/>
        <v/>
      </c>
      <c r="HQ64" s="1" t="str">
        <f t="shared" si="34"/>
        <v/>
      </c>
      <c r="HR64" s="1" t="str">
        <f t="shared" si="34"/>
        <v/>
      </c>
      <c r="HS64" s="1" t="str">
        <f t="shared" si="34"/>
        <v/>
      </c>
      <c r="HT64" s="1" t="str">
        <f t="shared" si="34"/>
        <v/>
      </c>
      <c r="HU64" s="1" t="str">
        <f t="shared" si="34"/>
        <v/>
      </c>
      <c r="HV64" s="1" t="str">
        <f t="shared" si="34"/>
        <v/>
      </c>
      <c r="HW64" s="1" t="str">
        <f t="shared" si="34"/>
        <v/>
      </c>
      <c r="HX64" s="1" t="str">
        <f t="shared" si="34"/>
        <v/>
      </c>
      <c r="HY64" s="1" t="str">
        <f t="shared" si="34"/>
        <v/>
      </c>
      <c r="HZ64" s="1" t="str">
        <f t="shared" si="34"/>
        <v/>
      </c>
      <c r="IA64" s="1" t="str">
        <f t="shared" si="35"/>
        <v/>
      </c>
      <c r="IB64" s="1" t="str">
        <f t="shared" si="35"/>
        <v/>
      </c>
      <c r="IC64" s="1" t="str">
        <f t="shared" si="35"/>
        <v/>
      </c>
      <c r="ID64" s="1" t="str">
        <f t="shared" si="35"/>
        <v/>
      </c>
      <c r="IE64" s="1" t="str">
        <f t="shared" si="35"/>
        <v/>
      </c>
      <c r="IF64" s="1" t="str">
        <f t="shared" si="35"/>
        <v/>
      </c>
      <c r="IG64" s="1" t="str">
        <f t="shared" si="35"/>
        <v/>
      </c>
      <c r="IH64" s="1" t="str">
        <f t="shared" si="35"/>
        <v/>
      </c>
      <c r="II64" s="1" t="str">
        <f t="shared" si="35"/>
        <v/>
      </c>
      <c r="IJ64" s="1" t="str">
        <f t="shared" si="35"/>
        <v/>
      </c>
      <c r="IK64" s="1" t="str">
        <f t="shared" si="35"/>
        <v/>
      </c>
      <c r="IL64" s="1" t="str">
        <f t="shared" si="35"/>
        <v/>
      </c>
      <c r="IM64" s="1" t="str">
        <f t="shared" si="35"/>
        <v/>
      </c>
      <c r="IN64" s="1" t="str">
        <f t="shared" si="35"/>
        <v/>
      </c>
      <c r="IO64" s="1" t="str">
        <f t="shared" si="35"/>
        <v/>
      </c>
      <c r="IP64" s="1" t="str">
        <f t="shared" si="35"/>
        <v/>
      </c>
      <c r="IQ64" s="1" t="str">
        <f t="shared" si="36"/>
        <v/>
      </c>
      <c r="IR64" s="1" t="str">
        <f t="shared" si="36"/>
        <v/>
      </c>
      <c r="IS64" s="1" t="str">
        <f t="shared" si="36"/>
        <v/>
      </c>
      <c r="IT64" s="1" t="str">
        <f t="shared" si="36"/>
        <v/>
      </c>
      <c r="IU64" s="1" t="str">
        <f t="shared" si="36"/>
        <v/>
      </c>
      <c r="IV64" s="1" t="str">
        <f t="shared" si="36"/>
        <v/>
      </c>
      <c r="IW64" s="1" t="str">
        <f t="shared" si="36"/>
        <v/>
      </c>
      <c r="IX64" s="1" t="str">
        <f t="shared" si="36"/>
        <v/>
      </c>
      <c r="IY64" s="1" t="str">
        <f t="shared" si="36"/>
        <v/>
      </c>
      <c r="IZ64" s="1" t="str">
        <f t="shared" si="36"/>
        <v/>
      </c>
      <c r="JA64" s="1" t="str">
        <f t="shared" si="36"/>
        <v/>
      </c>
      <c r="JB64" s="1" t="str">
        <f t="shared" si="36"/>
        <v/>
      </c>
      <c r="JC64" s="1" t="str">
        <f t="shared" si="36"/>
        <v/>
      </c>
      <c r="JD64" s="1" t="str">
        <f t="shared" si="36"/>
        <v/>
      </c>
      <c r="JE64" s="1" t="str">
        <f t="shared" si="36"/>
        <v/>
      </c>
      <c r="JF64" s="1" t="str">
        <f t="shared" si="36"/>
        <v/>
      </c>
      <c r="JG64" s="1" t="str">
        <f t="shared" si="37"/>
        <v/>
      </c>
      <c r="JH64" s="1" t="str">
        <f t="shared" si="37"/>
        <v/>
      </c>
      <c r="JI64" s="1" t="str">
        <f t="shared" si="37"/>
        <v/>
      </c>
      <c r="JJ64" s="1" t="str">
        <f t="shared" si="30"/>
        <v/>
      </c>
      <c r="JK64" s="1" t="str">
        <f t="shared" si="30"/>
        <v/>
      </c>
      <c r="JL64" s="1" t="str">
        <f t="shared" si="24"/>
        <v/>
      </c>
      <c r="JM64" s="1" t="str">
        <f t="shared" si="12"/>
        <v/>
      </c>
      <c r="JN64" s="1" t="str">
        <f t="shared" si="12"/>
        <v/>
      </c>
      <c r="JO64" s="1" t="str">
        <f t="shared" si="12"/>
        <v/>
      </c>
    </row>
    <row r="65" spans="1:275" ht="14.5" x14ac:dyDescent="0.35">
      <c r="A65" s="59" t="str">
        <f>IF('Data input'!A65&lt;&gt;"",'Data input'!A65,"")</f>
        <v/>
      </c>
      <c r="B65" s="15" t="str">
        <f>IF('Data input'!B65&lt;&gt;"",'Data input'!B65,"")</f>
        <v/>
      </c>
      <c r="C65" s="16" t="str">
        <f>IF('Data input'!C65="","",4*('Data input'!C65-'Data input'!C$108)/('Data input'!C$109-'Data input'!C$108)+1)</f>
        <v/>
      </c>
      <c r="D65" s="16" t="str">
        <f>IF('Data input'!D65="","",4*('Data input'!D65-'Data input'!D$108)/('Data input'!D$109-'Data input'!D$108)+1)</f>
        <v/>
      </c>
      <c r="E65" s="16" t="str">
        <f>IF('Data input'!E65="","",4*('Data input'!E65-'Data input'!E$108)/('Data input'!E$109-'Data input'!E$108)+1)</f>
        <v/>
      </c>
      <c r="F65" s="16" t="str">
        <f>IF('Data input'!F65="","",4*('Data input'!F65-'Data input'!F$108)/('Data input'!F$109-'Data input'!F$108)+1)</f>
        <v/>
      </c>
      <c r="G65" s="16" t="str">
        <f>IF('Data input'!G65="","",4*('Data input'!G65-'Data input'!G$108)/('Data input'!G$109-'Data input'!G$108)+1)</f>
        <v/>
      </c>
      <c r="H65" s="16" t="str">
        <f>IF('Data input'!H65="","",4*('Data input'!H65-'Data input'!H$108)/('Data input'!H$109-'Data input'!H$108)+1)</f>
        <v/>
      </c>
      <c r="I65" s="19" t="str">
        <f>IF('Data input'!I65="","",4*('Data input'!I65-'Data input'!I$108)/('Data input'!I$109-'Data input'!I$108)+1)</f>
        <v/>
      </c>
      <c r="J65" s="19" t="str">
        <f>IF('Data input'!J65="","",4*('Data input'!J65-'Data input'!J$108)/('Data input'!J$109-'Data input'!J$108)+1)</f>
        <v/>
      </c>
      <c r="K65" s="19" t="str">
        <f>IF('Data input'!K65="","",4*('Data input'!K65-'Data input'!K$108)/('Data input'!K$109-'Data input'!K$108)+1)</f>
        <v/>
      </c>
      <c r="L65" s="19" t="str">
        <f>IF('Data input'!L65="","",4*('Data input'!L65-'Data input'!L$108)/('Data input'!L$109-'Data input'!L$108)+1)</f>
        <v/>
      </c>
      <c r="M65" s="16" t="str">
        <f>IF('Data input'!M65="","",4*('Data input'!M65-'Data input'!M$108)/('Data input'!M$109-'Data input'!M$108)+1)</f>
        <v/>
      </c>
      <c r="N65" s="16" t="str">
        <f>IF('Data input'!N65="","",4*('Data input'!N65-'Data input'!N$108)/('Data input'!N$109-'Data input'!N$108)+1)</f>
        <v/>
      </c>
      <c r="O65" s="16" t="str">
        <f>IF('Data input'!O65="","",4*('Data input'!O65-'Data input'!O$108)/('Data input'!O$109-'Data input'!O$108)+1)</f>
        <v/>
      </c>
      <c r="P65" s="16" t="str">
        <f>IF('Data input'!P65="","",4*('Data input'!P65-'Data input'!P$108)/('Data input'!P$109-'Data input'!P$108)+1)</f>
        <v/>
      </c>
      <c r="Q65" s="16" t="str">
        <f>IF('Data input'!Q65="","",4*('Data input'!Q65-'Data input'!Q$108)/('Data input'!Q$109-'Data input'!Q$108)+1)</f>
        <v/>
      </c>
      <c r="R65" s="16" t="str">
        <f>IF('Data input'!R65="","",4*('Data input'!R65-'Data input'!R$108)/('Data input'!R$109-'Data input'!R$108)+1)</f>
        <v/>
      </c>
      <c r="S65" s="16" t="str">
        <f>IF('Data input'!S65="","",4*('Data input'!S65-'Data input'!S$108)/('Data input'!S$109-'Data input'!S$108)+1)</f>
        <v/>
      </c>
      <c r="T65" s="16" t="str">
        <f>IF('Data input'!T65="","",4*('Data input'!T65-'Data input'!T$108)/('Data input'!T$109-'Data input'!T$108)+1)</f>
        <v/>
      </c>
      <c r="U65" s="16" t="str">
        <f>IF('Data input'!U65="","",4*('Data input'!U65-'Data input'!U$108)/('Data input'!U$109-'Data input'!U$108)+1)</f>
        <v/>
      </c>
      <c r="V65" s="16" t="str">
        <f>IF('Data input'!V65="","",4*('Data input'!V65-'Data input'!V$108)/('Data input'!V$109-'Data input'!V$108)+1)</f>
        <v/>
      </c>
      <c r="W65" s="16" t="str">
        <f>IF('Data input'!W65="","",4*('Data input'!W65-'Data input'!W$108)/('Data input'!W$109-'Data input'!W$108)+1)</f>
        <v/>
      </c>
      <c r="X65" s="16" t="str">
        <f>IF('Data input'!X65="","",4*('Data input'!X65-'Data input'!X$108)/('Data input'!X$109-'Data input'!X$108)+1)</f>
        <v/>
      </c>
      <c r="Y65" s="16" t="str">
        <f>IF('Data input'!Y65="","",4*('Data input'!Y65-'Data input'!Y$108)/('Data input'!Y$109-'Data input'!Y$108)+1)</f>
        <v/>
      </c>
      <c r="Z65" s="16" t="str">
        <f>IF('Data input'!Z65="","",4*('Data input'!Z65-'Data input'!Z$108)/('Data input'!Z$109-'Data input'!Z$108)+1)</f>
        <v/>
      </c>
      <c r="AA65" s="62" t="str">
        <f>IF('Data input'!AA65="","",4*('Data input'!AA65-'Data input'!AA$108)/('Data input'!AA$109-'Data input'!AA$108)+1)</f>
        <v/>
      </c>
      <c r="AB65" s="78"/>
      <c r="AC65" s="79">
        <v>0</v>
      </c>
      <c r="AD65" s="80" t="e">
        <f t="shared" si="13"/>
        <v>#DIV/0!</v>
      </c>
      <c r="AE65" s="4"/>
      <c r="AF65" s="59" t="str">
        <f t="shared" si="40"/>
        <v/>
      </c>
      <c r="AG65" s="60" t="str">
        <f t="shared" si="40"/>
        <v/>
      </c>
      <c r="AH65"/>
      <c r="AI65"/>
      <c r="AJ65"/>
      <c r="AK65"/>
      <c r="AL65"/>
      <c r="AM65"/>
      <c r="AN65"/>
      <c r="AO65"/>
      <c r="AP65"/>
      <c r="AQ65"/>
      <c r="AR65"/>
      <c r="AS65" s="71" t="str">
        <f t="shared" si="15"/>
        <v/>
      </c>
      <c r="AT65" s="71" t="str">
        <f t="shared" si="15"/>
        <v/>
      </c>
      <c r="AU65" s="71" t="str">
        <f t="shared" si="15"/>
        <v/>
      </c>
      <c r="AV65" s="71" t="str">
        <f t="shared" si="15"/>
        <v/>
      </c>
      <c r="AW65" s="71" t="str">
        <f t="shared" si="15"/>
        <v/>
      </c>
      <c r="AX65" s="71" t="str">
        <f t="shared" si="16"/>
        <v/>
      </c>
      <c r="AY65" s="71" t="str">
        <f t="shared" si="16"/>
        <v/>
      </c>
      <c r="AZ65" s="71" t="str">
        <f t="shared" si="16"/>
        <v/>
      </c>
      <c r="BA65" s="71" t="str">
        <f t="shared" si="16"/>
        <v/>
      </c>
      <c r="BB65" s="71" t="str">
        <f t="shared" si="16"/>
        <v/>
      </c>
      <c r="BC65" s="18" t="str">
        <f>IF(C65&lt;&gt;"",(('Data input'!C$109-'Data input'!C$108)*(AS65-1)/4)+'Data input'!C$108,"")</f>
        <v/>
      </c>
      <c r="BD65" s="18" t="str">
        <f>IF(D65&lt;&gt;"",(('Data input'!D$109-'Data input'!D$108)*(AT65-1)/4)+'Data input'!D$108,"")</f>
        <v/>
      </c>
      <c r="BE65" s="18" t="str">
        <f>IF(E65&lt;&gt;"",(('Data input'!E$109-'Data input'!E$108)*(AU65-1)/4)+'Data input'!E$108,"")</f>
        <v/>
      </c>
      <c r="BF65" s="18" t="str">
        <f>IF(F65&lt;&gt;"",(('Data input'!F$109-'Data input'!F$108)*(AV65-1)/4)+'Data input'!F$108,"")</f>
        <v/>
      </c>
      <c r="BG65" s="18" t="str">
        <f>IF(G65&lt;&gt;"",(('Data input'!G$109-'Data input'!G$108)*(AW65-1)/4)+'Data input'!G$108,"")</f>
        <v/>
      </c>
      <c r="BH65" s="19" t="str">
        <f>IF(H65&lt;&gt;"",(('Data input'!H$109-'Data input'!H$108)*(AX65-1)/4)+'Data input'!H$108,"")</f>
        <v/>
      </c>
      <c r="BI65" s="18" t="str">
        <f>IF(I65&lt;&gt;"",(('Data input'!I$109-'Data input'!I$108)*(AY65-1)/4)+'Data input'!I$108,"")</f>
        <v/>
      </c>
      <c r="BJ65" s="19" t="str">
        <f>IF(J65&lt;&gt;"",(('Data input'!J$109-'Data input'!J$108)*(AZ65-1)/4)+'Data input'!J$108,"")</f>
        <v/>
      </c>
      <c r="BK65" s="19" t="str">
        <f>IF(K65&lt;&gt;"",(('Data input'!K$109-'Data input'!K$108)*(BA65-1)/4)+'Data input'!K$108,"")</f>
        <v/>
      </c>
      <c r="BL65" s="19" t="str">
        <f>IF(L65&lt;&gt;"",(('Data input'!L$109-'Data input'!L$108)*(BB65-1)/4)+'Data input'!L$108,"")</f>
        <v/>
      </c>
      <c r="BM65" s="18" t="str">
        <f>IF(C65&lt;&gt;"",BC65-'Data input'!C65,"")</f>
        <v/>
      </c>
      <c r="BN65" s="18" t="str">
        <f>IF(D65&lt;&gt;"",BD65-'Data input'!D65,"")</f>
        <v/>
      </c>
      <c r="BO65" s="18" t="str">
        <f>IF(E65&lt;&gt;"",BE65-'Data input'!E65,"")</f>
        <v/>
      </c>
      <c r="BP65" s="18" t="str">
        <f>IF(F65&lt;&gt;"",BF65-'Data input'!F65,"")</f>
        <v/>
      </c>
      <c r="BQ65" s="18" t="str">
        <f>IF(G65&lt;&gt;"",BG65-'Data input'!G65,"")</f>
        <v/>
      </c>
      <c r="BR65" s="19" t="str">
        <f>IF(H65&lt;&gt;"",BH65-'Data input'!H65,"")</f>
        <v/>
      </c>
      <c r="BS65" s="18" t="str">
        <f>IF(I65&lt;&gt;"",BI65-'Data input'!I65,"")</f>
        <v/>
      </c>
      <c r="BT65" s="18" t="str">
        <f>IF(J65&lt;&gt;"",BJ65-'Data input'!J65,"")</f>
        <v/>
      </c>
      <c r="BU65" s="18" t="str">
        <f>IF(K65&lt;&gt;"",BK65-'Data input'!K65,"")</f>
        <v/>
      </c>
      <c r="BV65" s="72" t="str">
        <f>IF(L65&lt;&gt;"",BL65-'Data input'!L65,"")</f>
        <v/>
      </c>
      <c r="BW65" s="121" t="str">
        <f t="shared" si="17"/>
        <v/>
      </c>
      <c r="FT65" s="1" t="str">
        <f t="shared" si="33"/>
        <v/>
      </c>
      <c r="FU65" s="1" t="str">
        <f t="shared" si="33"/>
        <v/>
      </c>
      <c r="FV65" s="1" t="str">
        <f t="shared" si="33"/>
        <v/>
      </c>
      <c r="FW65" s="1" t="str">
        <f t="shared" si="33"/>
        <v/>
      </c>
      <c r="FX65" s="1" t="str">
        <f t="shared" si="33"/>
        <v/>
      </c>
      <c r="FY65" s="1" t="str">
        <f t="shared" si="33"/>
        <v/>
      </c>
      <c r="FZ65" s="1" t="str">
        <f t="shared" si="33"/>
        <v/>
      </c>
      <c r="GA65" s="1" t="str">
        <f t="shared" si="33"/>
        <v/>
      </c>
      <c r="GB65" s="1" t="str">
        <f t="shared" si="33"/>
        <v/>
      </c>
      <c r="GC65" s="1" t="str">
        <f t="shared" si="33"/>
        <v/>
      </c>
      <c r="GD65" s="1" t="str">
        <f t="shared" si="33"/>
        <v/>
      </c>
      <c r="GE65" s="1" t="str">
        <f t="shared" si="33"/>
        <v/>
      </c>
      <c r="GF65" s="1" t="str">
        <f t="shared" si="33"/>
        <v/>
      </c>
      <c r="GG65" s="1" t="str">
        <f t="shared" si="33"/>
        <v/>
      </c>
      <c r="GH65" s="1" t="str">
        <f t="shared" si="33"/>
        <v/>
      </c>
      <c r="GI65" s="1" t="str">
        <f t="shared" si="32"/>
        <v/>
      </c>
      <c r="GJ65" s="1" t="str">
        <f t="shared" si="32"/>
        <v/>
      </c>
      <c r="GK65" s="1" t="str">
        <f t="shared" si="32"/>
        <v/>
      </c>
      <c r="GL65" s="1" t="str">
        <f t="shared" si="32"/>
        <v/>
      </c>
      <c r="GM65" s="1" t="str">
        <f t="shared" si="32"/>
        <v/>
      </c>
      <c r="GN65" s="1" t="str">
        <f t="shared" si="32"/>
        <v/>
      </c>
      <c r="GO65" s="1" t="str">
        <f t="shared" si="32"/>
        <v/>
      </c>
      <c r="GP65" s="1" t="str">
        <f t="shared" si="32"/>
        <v/>
      </c>
      <c r="GQ65" s="1" t="str">
        <f t="shared" si="32"/>
        <v/>
      </c>
      <c r="GR65" s="1" t="str">
        <f t="shared" si="32"/>
        <v/>
      </c>
      <c r="GS65" s="1" t="str">
        <f t="shared" si="32"/>
        <v/>
      </c>
      <c r="GT65" s="1" t="str">
        <f t="shared" si="32"/>
        <v/>
      </c>
      <c r="GU65" s="1" t="str">
        <f t="shared" si="32"/>
        <v/>
      </c>
      <c r="GV65" s="1" t="str">
        <f t="shared" si="32"/>
        <v/>
      </c>
      <c r="GW65" s="1" t="str">
        <f t="shared" si="32"/>
        <v/>
      </c>
      <c r="GX65" s="1" t="str">
        <f t="shared" si="32"/>
        <v/>
      </c>
      <c r="GY65" s="1" t="str">
        <f t="shared" si="39"/>
        <v/>
      </c>
      <c r="GZ65" s="1" t="str">
        <f t="shared" si="38"/>
        <v/>
      </c>
      <c r="HA65" s="1" t="str">
        <f t="shared" si="38"/>
        <v/>
      </c>
      <c r="HB65" s="1" t="str">
        <f t="shared" si="38"/>
        <v/>
      </c>
      <c r="HC65" s="1" t="str">
        <f t="shared" si="38"/>
        <v/>
      </c>
      <c r="HD65" s="1" t="str">
        <f t="shared" si="38"/>
        <v/>
      </c>
      <c r="HE65" s="1" t="str">
        <f t="shared" si="38"/>
        <v/>
      </c>
      <c r="HF65" s="1" t="str">
        <f t="shared" si="38"/>
        <v/>
      </c>
      <c r="HG65" s="1" t="str">
        <f t="shared" si="38"/>
        <v/>
      </c>
      <c r="HH65" s="1" t="str">
        <f t="shared" si="38"/>
        <v/>
      </c>
      <c r="HI65" s="1" t="str">
        <f t="shared" si="38"/>
        <v/>
      </c>
      <c r="HJ65" s="1" t="str">
        <f t="shared" si="38"/>
        <v/>
      </c>
      <c r="HK65" s="1" t="str">
        <f t="shared" si="34"/>
        <v/>
      </c>
      <c r="HL65" s="1" t="str">
        <f t="shared" si="34"/>
        <v/>
      </c>
      <c r="HM65" s="1" t="str">
        <f t="shared" si="34"/>
        <v/>
      </c>
      <c r="HN65" s="1" t="str">
        <f t="shared" si="34"/>
        <v/>
      </c>
      <c r="HO65" s="1" t="str">
        <f t="shared" si="34"/>
        <v/>
      </c>
      <c r="HP65" s="1" t="str">
        <f t="shared" si="34"/>
        <v/>
      </c>
      <c r="HQ65" s="1" t="str">
        <f t="shared" si="34"/>
        <v/>
      </c>
      <c r="HR65" s="1" t="str">
        <f t="shared" si="34"/>
        <v/>
      </c>
      <c r="HS65" s="1" t="str">
        <f t="shared" si="34"/>
        <v/>
      </c>
      <c r="HT65" s="1" t="str">
        <f t="shared" si="34"/>
        <v/>
      </c>
      <c r="HU65" s="1" t="str">
        <f t="shared" si="34"/>
        <v/>
      </c>
      <c r="HV65" s="1" t="str">
        <f t="shared" si="34"/>
        <v/>
      </c>
      <c r="HW65" s="1" t="str">
        <f t="shared" si="34"/>
        <v/>
      </c>
      <c r="HX65" s="1" t="str">
        <f t="shared" si="34"/>
        <v/>
      </c>
      <c r="HY65" s="1" t="str">
        <f t="shared" si="34"/>
        <v/>
      </c>
      <c r="HZ65" s="1" t="str">
        <f t="shared" si="34"/>
        <v/>
      </c>
      <c r="IA65" s="1" t="str">
        <f t="shared" si="35"/>
        <v/>
      </c>
      <c r="IB65" s="1" t="str">
        <f t="shared" si="35"/>
        <v/>
      </c>
      <c r="IC65" s="1" t="str">
        <f t="shared" si="35"/>
        <v/>
      </c>
      <c r="ID65" s="1" t="str">
        <f t="shared" si="35"/>
        <v/>
      </c>
      <c r="IE65" s="1" t="str">
        <f t="shared" si="35"/>
        <v/>
      </c>
      <c r="IF65" s="1" t="str">
        <f t="shared" si="35"/>
        <v/>
      </c>
      <c r="IG65" s="1" t="str">
        <f t="shared" si="35"/>
        <v/>
      </c>
      <c r="IH65" s="1" t="str">
        <f t="shared" si="35"/>
        <v/>
      </c>
      <c r="II65" s="1" t="str">
        <f t="shared" si="35"/>
        <v/>
      </c>
      <c r="IJ65" s="1" t="str">
        <f t="shared" si="35"/>
        <v/>
      </c>
      <c r="IK65" s="1" t="str">
        <f t="shared" si="35"/>
        <v/>
      </c>
      <c r="IL65" s="1" t="str">
        <f t="shared" si="35"/>
        <v/>
      </c>
      <c r="IM65" s="1" t="str">
        <f t="shared" si="35"/>
        <v/>
      </c>
      <c r="IN65" s="1" t="str">
        <f t="shared" si="35"/>
        <v/>
      </c>
      <c r="IO65" s="1" t="str">
        <f t="shared" si="35"/>
        <v/>
      </c>
      <c r="IP65" s="1" t="str">
        <f t="shared" si="35"/>
        <v/>
      </c>
      <c r="IQ65" s="1" t="str">
        <f t="shared" si="36"/>
        <v/>
      </c>
      <c r="IR65" s="1" t="str">
        <f t="shared" si="36"/>
        <v/>
      </c>
      <c r="IS65" s="1" t="str">
        <f t="shared" si="36"/>
        <v/>
      </c>
      <c r="IT65" s="1" t="str">
        <f t="shared" si="36"/>
        <v/>
      </c>
      <c r="IU65" s="1" t="str">
        <f t="shared" si="36"/>
        <v/>
      </c>
      <c r="IV65" s="1" t="str">
        <f t="shared" si="36"/>
        <v/>
      </c>
      <c r="IW65" s="1" t="str">
        <f t="shared" si="36"/>
        <v/>
      </c>
      <c r="IX65" s="1" t="str">
        <f t="shared" si="36"/>
        <v/>
      </c>
      <c r="IY65" s="1" t="str">
        <f t="shared" si="36"/>
        <v/>
      </c>
      <c r="IZ65" s="1" t="str">
        <f t="shared" si="36"/>
        <v/>
      </c>
      <c r="JA65" s="1" t="str">
        <f t="shared" si="36"/>
        <v/>
      </c>
      <c r="JB65" s="1" t="str">
        <f t="shared" si="36"/>
        <v/>
      </c>
      <c r="JC65" s="1" t="str">
        <f t="shared" si="36"/>
        <v/>
      </c>
      <c r="JD65" s="1" t="str">
        <f t="shared" si="36"/>
        <v/>
      </c>
      <c r="JE65" s="1" t="str">
        <f t="shared" si="36"/>
        <v/>
      </c>
      <c r="JF65" s="1" t="str">
        <f t="shared" si="36"/>
        <v/>
      </c>
      <c r="JG65" s="1" t="str">
        <f t="shared" si="37"/>
        <v/>
      </c>
      <c r="JH65" s="1" t="str">
        <f t="shared" si="37"/>
        <v/>
      </c>
      <c r="JI65" s="1" t="str">
        <f t="shared" si="37"/>
        <v/>
      </c>
      <c r="JJ65" s="1" t="str">
        <f t="shared" si="30"/>
        <v/>
      </c>
      <c r="JK65" s="1" t="str">
        <f t="shared" si="30"/>
        <v/>
      </c>
      <c r="JL65" s="1" t="str">
        <f t="shared" si="24"/>
        <v/>
      </c>
      <c r="JM65" s="1" t="str">
        <f t="shared" si="12"/>
        <v/>
      </c>
      <c r="JN65" s="1" t="str">
        <f t="shared" si="12"/>
        <v/>
      </c>
      <c r="JO65" s="1" t="str">
        <f t="shared" si="12"/>
        <v/>
      </c>
    </row>
    <row r="66" spans="1:275" ht="14.5" x14ac:dyDescent="0.35">
      <c r="A66" s="59" t="str">
        <f>IF('Data input'!A66&lt;&gt;"",'Data input'!A66,"")</f>
        <v/>
      </c>
      <c r="B66" s="15" t="str">
        <f>IF('Data input'!B66&lt;&gt;"",'Data input'!B66,"")</f>
        <v/>
      </c>
      <c r="C66" s="16" t="str">
        <f>IF('Data input'!C66="","",4*('Data input'!C66-'Data input'!C$108)/('Data input'!C$109-'Data input'!C$108)+1)</f>
        <v/>
      </c>
      <c r="D66" s="16" t="str">
        <f>IF('Data input'!D66="","",4*('Data input'!D66-'Data input'!D$108)/('Data input'!D$109-'Data input'!D$108)+1)</f>
        <v/>
      </c>
      <c r="E66" s="16" t="str">
        <f>IF('Data input'!E66="","",4*('Data input'!E66-'Data input'!E$108)/('Data input'!E$109-'Data input'!E$108)+1)</f>
        <v/>
      </c>
      <c r="F66" s="16" t="str">
        <f>IF('Data input'!F66="","",4*('Data input'!F66-'Data input'!F$108)/('Data input'!F$109-'Data input'!F$108)+1)</f>
        <v/>
      </c>
      <c r="G66" s="16" t="str">
        <f>IF('Data input'!G66="","",4*('Data input'!G66-'Data input'!G$108)/('Data input'!G$109-'Data input'!G$108)+1)</f>
        <v/>
      </c>
      <c r="H66" s="16" t="str">
        <f>IF('Data input'!H66="","",4*('Data input'!H66-'Data input'!H$108)/('Data input'!H$109-'Data input'!H$108)+1)</f>
        <v/>
      </c>
      <c r="I66" s="19" t="str">
        <f>IF('Data input'!I66="","",4*('Data input'!I66-'Data input'!I$108)/('Data input'!I$109-'Data input'!I$108)+1)</f>
        <v/>
      </c>
      <c r="J66" s="19" t="str">
        <f>IF('Data input'!J66="","",4*('Data input'!J66-'Data input'!J$108)/('Data input'!J$109-'Data input'!J$108)+1)</f>
        <v/>
      </c>
      <c r="K66" s="19" t="str">
        <f>IF('Data input'!K66="","",4*('Data input'!K66-'Data input'!K$108)/('Data input'!K$109-'Data input'!K$108)+1)</f>
        <v/>
      </c>
      <c r="L66" s="19" t="str">
        <f>IF('Data input'!L66="","",4*('Data input'!L66-'Data input'!L$108)/('Data input'!L$109-'Data input'!L$108)+1)</f>
        <v/>
      </c>
      <c r="M66" s="16" t="str">
        <f>IF('Data input'!M66="","",4*('Data input'!M66-'Data input'!M$108)/('Data input'!M$109-'Data input'!M$108)+1)</f>
        <v/>
      </c>
      <c r="N66" s="16" t="str">
        <f>IF('Data input'!N66="","",4*('Data input'!N66-'Data input'!N$108)/('Data input'!N$109-'Data input'!N$108)+1)</f>
        <v/>
      </c>
      <c r="O66" s="16" t="str">
        <f>IF('Data input'!O66="","",4*('Data input'!O66-'Data input'!O$108)/('Data input'!O$109-'Data input'!O$108)+1)</f>
        <v/>
      </c>
      <c r="P66" s="16" t="str">
        <f>IF('Data input'!P66="","",4*('Data input'!P66-'Data input'!P$108)/('Data input'!P$109-'Data input'!P$108)+1)</f>
        <v/>
      </c>
      <c r="Q66" s="16" t="str">
        <f>IF('Data input'!Q66="","",4*('Data input'!Q66-'Data input'!Q$108)/('Data input'!Q$109-'Data input'!Q$108)+1)</f>
        <v/>
      </c>
      <c r="R66" s="16" t="str">
        <f>IF('Data input'!R66="","",4*('Data input'!R66-'Data input'!R$108)/('Data input'!R$109-'Data input'!R$108)+1)</f>
        <v/>
      </c>
      <c r="S66" s="16" t="str">
        <f>IF('Data input'!S66="","",4*('Data input'!S66-'Data input'!S$108)/('Data input'!S$109-'Data input'!S$108)+1)</f>
        <v/>
      </c>
      <c r="T66" s="16" t="str">
        <f>IF('Data input'!T66="","",4*('Data input'!T66-'Data input'!T$108)/('Data input'!T$109-'Data input'!T$108)+1)</f>
        <v/>
      </c>
      <c r="U66" s="16" t="str">
        <f>IF('Data input'!U66="","",4*('Data input'!U66-'Data input'!U$108)/('Data input'!U$109-'Data input'!U$108)+1)</f>
        <v/>
      </c>
      <c r="V66" s="16" t="str">
        <f>IF('Data input'!V66="","",4*('Data input'!V66-'Data input'!V$108)/('Data input'!V$109-'Data input'!V$108)+1)</f>
        <v/>
      </c>
      <c r="W66" s="16" t="str">
        <f>IF('Data input'!W66="","",4*('Data input'!W66-'Data input'!W$108)/('Data input'!W$109-'Data input'!W$108)+1)</f>
        <v/>
      </c>
      <c r="X66" s="16" t="str">
        <f>IF('Data input'!X66="","",4*('Data input'!X66-'Data input'!X$108)/('Data input'!X$109-'Data input'!X$108)+1)</f>
        <v/>
      </c>
      <c r="Y66" s="16" t="str">
        <f>IF('Data input'!Y66="","",4*('Data input'!Y66-'Data input'!Y$108)/('Data input'!Y$109-'Data input'!Y$108)+1)</f>
        <v/>
      </c>
      <c r="Z66" s="16" t="str">
        <f>IF('Data input'!Z66="","",4*('Data input'!Z66-'Data input'!Z$108)/('Data input'!Z$109-'Data input'!Z$108)+1)</f>
        <v/>
      </c>
      <c r="AA66" s="62" t="str">
        <f>IF('Data input'!AA66="","",4*('Data input'!AA66-'Data input'!AA$108)/('Data input'!AA$109-'Data input'!AA$108)+1)</f>
        <v/>
      </c>
      <c r="AB66" s="78"/>
      <c r="AC66" s="79">
        <v>0</v>
      </c>
      <c r="AD66" s="80" t="e">
        <f t="shared" si="13"/>
        <v>#DIV/0!</v>
      </c>
      <c r="AE66" s="4"/>
      <c r="AF66" s="59" t="str">
        <f t="shared" si="40"/>
        <v/>
      </c>
      <c r="AG66" s="60" t="str">
        <f t="shared" si="40"/>
        <v/>
      </c>
      <c r="AH66"/>
      <c r="AI66"/>
      <c r="AJ66"/>
      <c r="AK66"/>
      <c r="AL66"/>
      <c r="AM66"/>
      <c r="AN66"/>
      <c r="AO66"/>
      <c r="AP66"/>
      <c r="AQ66"/>
      <c r="AR66"/>
      <c r="AS66" s="71" t="str">
        <f t="shared" si="15"/>
        <v/>
      </c>
      <c r="AT66" s="71" t="str">
        <f t="shared" si="15"/>
        <v/>
      </c>
      <c r="AU66" s="71" t="str">
        <f t="shared" si="15"/>
        <v/>
      </c>
      <c r="AV66" s="71" t="str">
        <f t="shared" si="15"/>
        <v/>
      </c>
      <c r="AW66" s="71" t="str">
        <f t="shared" si="15"/>
        <v/>
      </c>
      <c r="AX66" s="71" t="str">
        <f t="shared" si="16"/>
        <v/>
      </c>
      <c r="AY66" s="71" t="str">
        <f t="shared" si="16"/>
        <v/>
      </c>
      <c r="AZ66" s="71" t="str">
        <f t="shared" si="16"/>
        <v/>
      </c>
      <c r="BA66" s="71" t="str">
        <f t="shared" si="16"/>
        <v/>
      </c>
      <c r="BB66" s="71" t="str">
        <f t="shared" si="16"/>
        <v/>
      </c>
      <c r="BC66" s="18" t="str">
        <f>IF(C66&lt;&gt;"",(('Data input'!C$109-'Data input'!C$108)*(AS66-1)/4)+'Data input'!C$108,"")</f>
        <v/>
      </c>
      <c r="BD66" s="18" t="str">
        <f>IF(D66&lt;&gt;"",(('Data input'!D$109-'Data input'!D$108)*(AT66-1)/4)+'Data input'!D$108,"")</f>
        <v/>
      </c>
      <c r="BE66" s="18" t="str">
        <f>IF(E66&lt;&gt;"",(('Data input'!E$109-'Data input'!E$108)*(AU66-1)/4)+'Data input'!E$108,"")</f>
        <v/>
      </c>
      <c r="BF66" s="18" t="str">
        <f>IF(F66&lt;&gt;"",(('Data input'!F$109-'Data input'!F$108)*(AV66-1)/4)+'Data input'!F$108,"")</f>
        <v/>
      </c>
      <c r="BG66" s="18" t="str">
        <f>IF(G66&lt;&gt;"",(('Data input'!G$109-'Data input'!G$108)*(AW66-1)/4)+'Data input'!G$108,"")</f>
        <v/>
      </c>
      <c r="BH66" s="19" t="str">
        <f>IF(H66&lt;&gt;"",(('Data input'!H$109-'Data input'!H$108)*(AX66-1)/4)+'Data input'!H$108,"")</f>
        <v/>
      </c>
      <c r="BI66" s="18" t="str">
        <f>IF(I66&lt;&gt;"",(('Data input'!I$109-'Data input'!I$108)*(AY66-1)/4)+'Data input'!I$108,"")</f>
        <v/>
      </c>
      <c r="BJ66" s="19" t="str">
        <f>IF(J66&lt;&gt;"",(('Data input'!J$109-'Data input'!J$108)*(AZ66-1)/4)+'Data input'!J$108,"")</f>
        <v/>
      </c>
      <c r="BK66" s="19" t="str">
        <f>IF(K66&lt;&gt;"",(('Data input'!K$109-'Data input'!K$108)*(BA66-1)/4)+'Data input'!K$108,"")</f>
        <v/>
      </c>
      <c r="BL66" s="19" t="str">
        <f>IF(L66&lt;&gt;"",(('Data input'!L$109-'Data input'!L$108)*(BB66-1)/4)+'Data input'!L$108,"")</f>
        <v/>
      </c>
      <c r="BM66" s="18" t="str">
        <f>IF(C66&lt;&gt;"",BC66-'Data input'!C66,"")</f>
        <v/>
      </c>
      <c r="BN66" s="18" t="str">
        <f>IF(D66&lt;&gt;"",BD66-'Data input'!D66,"")</f>
        <v/>
      </c>
      <c r="BO66" s="18" t="str">
        <f>IF(E66&lt;&gt;"",BE66-'Data input'!E66,"")</f>
        <v/>
      </c>
      <c r="BP66" s="18" t="str">
        <f>IF(F66&lt;&gt;"",BF66-'Data input'!F66,"")</f>
        <v/>
      </c>
      <c r="BQ66" s="18" t="str">
        <f>IF(G66&lt;&gt;"",BG66-'Data input'!G66,"")</f>
        <v/>
      </c>
      <c r="BR66" s="19" t="str">
        <f>IF(H66&lt;&gt;"",BH66-'Data input'!H66,"")</f>
        <v/>
      </c>
      <c r="BS66" s="18" t="str">
        <f>IF(I66&lt;&gt;"",BI66-'Data input'!I66,"")</f>
        <v/>
      </c>
      <c r="BT66" s="18" t="str">
        <f>IF(J66&lt;&gt;"",BJ66-'Data input'!J66,"")</f>
        <v/>
      </c>
      <c r="BU66" s="18" t="str">
        <f>IF(K66&lt;&gt;"",BK66-'Data input'!K66,"")</f>
        <v/>
      </c>
      <c r="BV66" s="72" t="str">
        <f>IF(L66&lt;&gt;"",BL66-'Data input'!L66,"")</f>
        <v/>
      </c>
      <c r="BW66" s="121" t="str">
        <f t="shared" si="17"/>
        <v/>
      </c>
      <c r="FT66" s="1" t="str">
        <f t="shared" si="33"/>
        <v/>
      </c>
      <c r="FU66" s="1" t="str">
        <f t="shared" si="33"/>
        <v/>
      </c>
      <c r="FV66" s="1" t="str">
        <f t="shared" si="33"/>
        <v/>
      </c>
      <c r="FW66" s="1" t="str">
        <f t="shared" si="33"/>
        <v/>
      </c>
      <c r="FX66" s="1" t="str">
        <f t="shared" si="33"/>
        <v/>
      </c>
      <c r="FY66" s="1" t="str">
        <f t="shared" si="33"/>
        <v/>
      </c>
      <c r="FZ66" s="1" t="str">
        <f t="shared" si="33"/>
        <v/>
      </c>
      <c r="GA66" s="1" t="str">
        <f t="shared" si="33"/>
        <v/>
      </c>
      <c r="GB66" s="1" t="str">
        <f t="shared" si="33"/>
        <v/>
      </c>
      <c r="GC66" s="1" t="str">
        <f t="shared" si="33"/>
        <v/>
      </c>
      <c r="GD66" s="1" t="str">
        <f t="shared" si="33"/>
        <v/>
      </c>
      <c r="GE66" s="1" t="str">
        <f t="shared" si="33"/>
        <v/>
      </c>
      <c r="GF66" s="1" t="str">
        <f t="shared" si="33"/>
        <v/>
      </c>
      <c r="GG66" s="1" t="str">
        <f t="shared" si="33"/>
        <v/>
      </c>
      <c r="GH66" s="1" t="str">
        <f t="shared" si="33"/>
        <v/>
      </c>
      <c r="GI66" s="1" t="str">
        <f t="shared" si="32"/>
        <v/>
      </c>
      <c r="GJ66" s="1" t="str">
        <f t="shared" si="32"/>
        <v/>
      </c>
      <c r="GK66" s="1" t="str">
        <f t="shared" si="32"/>
        <v/>
      </c>
      <c r="GL66" s="1" t="str">
        <f t="shared" si="32"/>
        <v/>
      </c>
      <c r="GM66" s="1" t="str">
        <f t="shared" si="32"/>
        <v/>
      </c>
      <c r="GN66" s="1" t="str">
        <f t="shared" si="32"/>
        <v/>
      </c>
      <c r="GO66" s="1" t="str">
        <f t="shared" si="32"/>
        <v/>
      </c>
      <c r="GP66" s="1" t="str">
        <f t="shared" si="32"/>
        <v/>
      </c>
      <c r="GQ66" s="1" t="str">
        <f t="shared" si="32"/>
        <v/>
      </c>
      <c r="GR66" s="1" t="str">
        <f t="shared" si="32"/>
        <v/>
      </c>
      <c r="GS66" s="1" t="str">
        <f t="shared" si="32"/>
        <v/>
      </c>
      <c r="GT66" s="1" t="str">
        <f t="shared" si="32"/>
        <v/>
      </c>
      <c r="GU66" s="1" t="str">
        <f t="shared" si="32"/>
        <v/>
      </c>
      <c r="GV66" s="1" t="str">
        <f t="shared" si="32"/>
        <v/>
      </c>
      <c r="GW66" s="1" t="str">
        <f t="shared" si="32"/>
        <v/>
      </c>
      <c r="GX66" s="1" t="str">
        <f t="shared" si="32"/>
        <v/>
      </c>
      <c r="GY66" s="1" t="str">
        <f t="shared" si="39"/>
        <v/>
      </c>
      <c r="GZ66" s="1" t="str">
        <f t="shared" si="38"/>
        <v/>
      </c>
      <c r="HA66" s="1" t="str">
        <f t="shared" si="38"/>
        <v/>
      </c>
      <c r="HB66" s="1" t="str">
        <f t="shared" si="38"/>
        <v/>
      </c>
      <c r="HC66" s="1" t="str">
        <f t="shared" si="38"/>
        <v/>
      </c>
      <c r="HD66" s="1" t="str">
        <f t="shared" si="38"/>
        <v/>
      </c>
      <c r="HE66" s="1" t="str">
        <f t="shared" si="38"/>
        <v/>
      </c>
      <c r="HF66" s="1" t="str">
        <f t="shared" si="38"/>
        <v/>
      </c>
      <c r="HG66" s="1" t="str">
        <f t="shared" si="38"/>
        <v/>
      </c>
      <c r="HH66" s="1" t="str">
        <f t="shared" si="38"/>
        <v/>
      </c>
      <c r="HI66" s="1" t="str">
        <f t="shared" si="38"/>
        <v/>
      </c>
      <c r="HJ66" s="1" t="str">
        <f t="shared" si="38"/>
        <v/>
      </c>
      <c r="HK66" s="1" t="str">
        <f t="shared" si="34"/>
        <v/>
      </c>
      <c r="HL66" s="1" t="str">
        <f t="shared" si="34"/>
        <v/>
      </c>
      <c r="HM66" s="1" t="str">
        <f t="shared" si="34"/>
        <v/>
      </c>
      <c r="HN66" s="1" t="str">
        <f t="shared" si="34"/>
        <v/>
      </c>
      <c r="HO66" s="1" t="str">
        <f t="shared" si="34"/>
        <v/>
      </c>
      <c r="HP66" s="1" t="str">
        <f t="shared" si="34"/>
        <v/>
      </c>
      <c r="HQ66" s="1" t="str">
        <f t="shared" si="34"/>
        <v/>
      </c>
      <c r="HR66" s="1" t="str">
        <f t="shared" si="34"/>
        <v/>
      </c>
      <c r="HS66" s="1" t="str">
        <f t="shared" si="34"/>
        <v/>
      </c>
      <c r="HT66" s="1" t="str">
        <f t="shared" si="34"/>
        <v/>
      </c>
      <c r="HU66" s="1" t="str">
        <f t="shared" si="34"/>
        <v/>
      </c>
      <c r="HV66" s="1" t="str">
        <f t="shared" si="34"/>
        <v/>
      </c>
      <c r="HW66" s="1" t="str">
        <f t="shared" ref="HW66:IL82" si="41">IF(EA66&gt;0.0001,CONCATENATE(EA$2,"; "),"")</f>
        <v/>
      </c>
      <c r="HX66" s="1" t="str">
        <f t="shared" si="41"/>
        <v/>
      </c>
      <c r="HY66" s="1" t="str">
        <f t="shared" si="41"/>
        <v/>
      </c>
      <c r="HZ66" s="1" t="str">
        <f t="shared" si="41"/>
        <v/>
      </c>
      <c r="IA66" s="1" t="str">
        <f t="shared" si="35"/>
        <v/>
      </c>
      <c r="IB66" s="1" t="str">
        <f t="shared" si="35"/>
        <v/>
      </c>
      <c r="IC66" s="1" t="str">
        <f t="shared" si="35"/>
        <v/>
      </c>
      <c r="ID66" s="1" t="str">
        <f t="shared" si="35"/>
        <v/>
      </c>
      <c r="IE66" s="1" t="str">
        <f t="shared" si="35"/>
        <v/>
      </c>
      <c r="IF66" s="1" t="str">
        <f t="shared" si="35"/>
        <v/>
      </c>
      <c r="IG66" s="1" t="str">
        <f t="shared" si="35"/>
        <v/>
      </c>
      <c r="IH66" s="1" t="str">
        <f t="shared" si="35"/>
        <v/>
      </c>
      <c r="II66" s="1" t="str">
        <f t="shared" si="35"/>
        <v/>
      </c>
      <c r="IJ66" s="1" t="str">
        <f t="shared" si="35"/>
        <v/>
      </c>
      <c r="IK66" s="1" t="str">
        <f t="shared" si="35"/>
        <v/>
      </c>
      <c r="IL66" s="1" t="str">
        <f t="shared" si="35"/>
        <v/>
      </c>
      <c r="IM66" s="1" t="str">
        <f t="shared" ref="IM66:JB82" si="42">IF(EQ66&gt;0.0001,CONCATENATE(EQ$2,"; "),"")</f>
        <v/>
      </c>
      <c r="IN66" s="1" t="str">
        <f t="shared" si="42"/>
        <v/>
      </c>
      <c r="IO66" s="1" t="str">
        <f t="shared" si="42"/>
        <v/>
      </c>
      <c r="IP66" s="1" t="str">
        <f t="shared" si="42"/>
        <v/>
      </c>
      <c r="IQ66" s="1" t="str">
        <f t="shared" si="36"/>
        <v/>
      </c>
      <c r="IR66" s="1" t="str">
        <f t="shared" si="36"/>
        <v/>
      </c>
      <c r="IS66" s="1" t="str">
        <f t="shared" si="36"/>
        <v/>
      </c>
      <c r="IT66" s="1" t="str">
        <f t="shared" si="36"/>
        <v/>
      </c>
      <c r="IU66" s="1" t="str">
        <f t="shared" si="36"/>
        <v/>
      </c>
      <c r="IV66" s="1" t="str">
        <f t="shared" si="36"/>
        <v/>
      </c>
      <c r="IW66" s="1" t="str">
        <f t="shared" si="36"/>
        <v/>
      </c>
      <c r="IX66" s="1" t="str">
        <f t="shared" si="36"/>
        <v/>
      </c>
      <c r="IY66" s="1" t="str">
        <f t="shared" si="36"/>
        <v/>
      </c>
      <c r="IZ66" s="1" t="str">
        <f t="shared" si="36"/>
        <v/>
      </c>
      <c r="JA66" s="1" t="str">
        <f t="shared" si="36"/>
        <v/>
      </c>
      <c r="JB66" s="1" t="str">
        <f t="shared" si="36"/>
        <v/>
      </c>
      <c r="JC66" s="1" t="str">
        <f t="shared" ref="JC66:JF102" si="43">IF(FG66&gt;0.0001,CONCATENATE(FG$2,"; "),"")</f>
        <v/>
      </c>
      <c r="JD66" s="1" t="str">
        <f t="shared" si="43"/>
        <v/>
      </c>
      <c r="JE66" s="1" t="str">
        <f t="shared" si="43"/>
        <v/>
      </c>
      <c r="JF66" s="1" t="str">
        <f t="shared" si="43"/>
        <v/>
      </c>
      <c r="JG66" s="1" t="str">
        <f t="shared" si="37"/>
        <v/>
      </c>
      <c r="JH66" s="1" t="str">
        <f t="shared" si="37"/>
        <v/>
      </c>
      <c r="JI66" s="1" t="str">
        <f t="shared" si="37"/>
        <v/>
      </c>
      <c r="JJ66" s="1" t="str">
        <f t="shared" si="30"/>
        <v/>
      </c>
      <c r="JK66" s="1" t="str">
        <f t="shared" si="30"/>
        <v/>
      </c>
      <c r="JL66" s="1" t="str">
        <f t="shared" si="24"/>
        <v/>
      </c>
      <c r="JM66" s="1" t="str">
        <f t="shared" si="12"/>
        <v/>
      </c>
      <c r="JN66" s="1" t="str">
        <f t="shared" si="12"/>
        <v/>
      </c>
      <c r="JO66" s="1" t="str">
        <f t="shared" si="12"/>
        <v/>
      </c>
    </row>
    <row r="67" spans="1:275" ht="14.5" x14ac:dyDescent="0.35">
      <c r="A67" s="59" t="str">
        <f>IF('Data input'!A67&lt;&gt;"",'Data input'!A67,"")</f>
        <v/>
      </c>
      <c r="B67" s="15" t="str">
        <f>IF('Data input'!B67&lt;&gt;"",'Data input'!B67,"")</f>
        <v/>
      </c>
      <c r="C67" s="16" t="str">
        <f>IF('Data input'!C67="","",4*('Data input'!C67-'Data input'!C$108)/('Data input'!C$109-'Data input'!C$108)+1)</f>
        <v/>
      </c>
      <c r="D67" s="16" t="str">
        <f>IF('Data input'!D67="","",4*('Data input'!D67-'Data input'!D$108)/('Data input'!D$109-'Data input'!D$108)+1)</f>
        <v/>
      </c>
      <c r="E67" s="16" t="str">
        <f>IF('Data input'!E67="","",4*('Data input'!E67-'Data input'!E$108)/('Data input'!E$109-'Data input'!E$108)+1)</f>
        <v/>
      </c>
      <c r="F67" s="16" t="str">
        <f>IF('Data input'!F67="","",4*('Data input'!F67-'Data input'!F$108)/('Data input'!F$109-'Data input'!F$108)+1)</f>
        <v/>
      </c>
      <c r="G67" s="16" t="str">
        <f>IF('Data input'!G67="","",4*('Data input'!G67-'Data input'!G$108)/('Data input'!G$109-'Data input'!G$108)+1)</f>
        <v/>
      </c>
      <c r="H67" s="16" t="str">
        <f>IF('Data input'!H67="","",4*('Data input'!H67-'Data input'!H$108)/('Data input'!H$109-'Data input'!H$108)+1)</f>
        <v/>
      </c>
      <c r="I67" s="19" t="str">
        <f>IF('Data input'!I67="","",4*('Data input'!I67-'Data input'!I$108)/('Data input'!I$109-'Data input'!I$108)+1)</f>
        <v/>
      </c>
      <c r="J67" s="19" t="str">
        <f>IF('Data input'!J67="","",4*('Data input'!J67-'Data input'!J$108)/('Data input'!J$109-'Data input'!J$108)+1)</f>
        <v/>
      </c>
      <c r="K67" s="19" t="str">
        <f>IF('Data input'!K67="","",4*('Data input'!K67-'Data input'!K$108)/('Data input'!K$109-'Data input'!K$108)+1)</f>
        <v/>
      </c>
      <c r="L67" s="19" t="str">
        <f>IF('Data input'!L67="","",4*('Data input'!L67-'Data input'!L$108)/('Data input'!L$109-'Data input'!L$108)+1)</f>
        <v/>
      </c>
      <c r="M67" s="16" t="str">
        <f>IF('Data input'!M67="","",4*('Data input'!M67-'Data input'!M$108)/('Data input'!M$109-'Data input'!M$108)+1)</f>
        <v/>
      </c>
      <c r="N67" s="16" t="str">
        <f>IF('Data input'!N67="","",4*('Data input'!N67-'Data input'!N$108)/('Data input'!N$109-'Data input'!N$108)+1)</f>
        <v/>
      </c>
      <c r="O67" s="16" t="str">
        <f>IF('Data input'!O67="","",4*('Data input'!O67-'Data input'!O$108)/('Data input'!O$109-'Data input'!O$108)+1)</f>
        <v/>
      </c>
      <c r="P67" s="16" t="str">
        <f>IF('Data input'!P67="","",4*('Data input'!P67-'Data input'!P$108)/('Data input'!P$109-'Data input'!P$108)+1)</f>
        <v/>
      </c>
      <c r="Q67" s="16" t="str">
        <f>IF('Data input'!Q67="","",4*('Data input'!Q67-'Data input'!Q$108)/('Data input'!Q$109-'Data input'!Q$108)+1)</f>
        <v/>
      </c>
      <c r="R67" s="16" t="str">
        <f>IF('Data input'!R67="","",4*('Data input'!R67-'Data input'!R$108)/('Data input'!R$109-'Data input'!R$108)+1)</f>
        <v/>
      </c>
      <c r="S67" s="16" t="str">
        <f>IF('Data input'!S67="","",4*('Data input'!S67-'Data input'!S$108)/('Data input'!S$109-'Data input'!S$108)+1)</f>
        <v/>
      </c>
      <c r="T67" s="16" t="str">
        <f>IF('Data input'!T67="","",4*('Data input'!T67-'Data input'!T$108)/('Data input'!T$109-'Data input'!T$108)+1)</f>
        <v/>
      </c>
      <c r="U67" s="16" t="str">
        <f>IF('Data input'!U67="","",4*('Data input'!U67-'Data input'!U$108)/('Data input'!U$109-'Data input'!U$108)+1)</f>
        <v/>
      </c>
      <c r="V67" s="16" t="str">
        <f>IF('Data input'!V67="","",4*('Data input'!V67-'Data input'!V$108)/('Data input'!V$109-'Data input'!V$108)+1)</f>
        <v/>
      </c>
      <c r="W67" s="16" t="str">
        <f>IF('Data input'!W67="","",4*('Data input'!W67-'Data input'!W$108)/('Data input'!W$109-'Data input'!W$108)+1)</f>
        <v/>
      </c>
      <c r="X67" s="16" t="str">
        <f>IF('Data input'!X67="","",4*('Data input'!X67-'Data input'!X$108)/('Data input'!X$109-'Data input'!X$108)+1)</f>
        <v/>
      </c>
      <c r="Y67" s="16" t="str">
        <f>IF('Data input'!Y67="","",4*('Data input'!Y67-'Data input'!Y$108)/('Data input'!Y$109-'Data input'!Y$108)+1)</f>
        <v/>
      </c>
      <c r="Z67" s="16" t="str">
        <f>IF('Data input'!Z67="","",4*('Data input'!Z67-'Data input'!Z$108)/('Data input'!Z$109-'Data input'!Z$108)+1)</f>
        <v/>
      </c>
      <c r="AA67" s="62" t="str">
        <f>IF('Data input'!AA67="","",4*('Data input'!AA67-'Data input'!AA$108)/('Data input'!AA$109-'Data input'!AA$108)+1)</f>
        <v/>
      </c>
      <c r="AB67" s="78"/>
      <c r="AC67" s="79">
        <v>0</v>
      </c>
      <c r="AD67" s="80" t="e">
        <f t="shared" si="13"/>
        <v>#DIV/0!</v>
      </c>
      <c r="AE67" s="4"/>
      <c r="AF67" s="59" t="str">
        <f t="shared" si="40"/>
        <v/>
      </c>
      <c r="AG67" s="60" t="str">
        <f t="shared" si="40"/>
        <v/>
      </c>
      <c r="AH67"/>
      <c r="AI67"/>
      <c r="AJ67"/>
      <c r="AK67"/>
      <c r="AL67"/>
      <c r="AM67"/>
      <c r="AN67"/>
      <c r="AO67"/>
      <c r="AP67"/>
      <c r="AQ67"/>
      <c r="AR67"/>
      <c r="AS67" s="71" t="str">
        <f t="shared" ref="AS67:AW102" si="44">IF(C67&lt;&gt;"",C67+AH67,"")</f>
        <v/>
      </c>
      <c r="AT67" s="71" t="str">
        <f t="shared" si="44"/>
        <v/>
      </c>
      <c r="AU67" s="71" t="str">
        <f t="shared" si="44"/>
        <v/>
      </c>
      <c r="AV67" s="71" t="str">
        <f t="shared" si="44"/>
        <v/>
      </c>
      <c r="AW67" s="71" t="str">
        <f t="shared" si="44"/>
        <v/>
      </c>
      <c r="AX67" s="71" t="str">
        <f t="shared" ref="AX67:BB102" si="45">IF(H67&lt;&gt;"",H67-AM67,"")</f>
        <v/>
      </c>
      <c r="AY67" s="71" t="str">
        <f t="shared" si="45"/>
        <v/>
      </c>
      <c r="AZ67" s="71" t="str">
        <f t="shared" si="45"/>
        <v/>
      </c>
      <c r="BA67" s="71" t="str">
        <f t="shared" si="45"/>
        <v/>
      </c>
      <c r="BB67" s="71" t="str">
        <f t="shared" si="45"/>
        <v/>
      </c>
      <c r="BC67" s="18" t="str">
        <f>IF(C67&lt;&gt;"",(('Data input'!C$109-'Data input'!C$108)*(AS67-1)/4)+'Data input'!C$108,"")</f>
        <v/>
      </c>
      <c r="BD67" s="18" t="str">
        <f>IF(D67&lt;&gt;"",(('Data input'!D$109-'Data input'!D$108)*(AT67-1)/4)+'Data input'!D$108,"")</f>
        <v/>
      </c>
      <c r="BE67" s="18" t="str">
        <f>IF(E67&lt;&gt;"",(('Data input'!E$109-'Data input'!E$108)*(AU67-1)/4)+'Data input'!E$108,"")</f>
        <v/>
      </c>
      <c r="BF67" s="18" t="str">
        <f>IF(F67&lt;&gt;"",(('Data input'!F$109-'Data input'!F$108)*(AV67-1)/4)+'Data input'!F$108,"")</f>
        <v/>
      </c>
      <c r="BG67" s="18" t="str">
        <f>IF(G67&lt;&gt;"",(('Data input'!G$109-'Data input'!G$108)*(AW67-1)/4)+'Data input'!G$108,"")</f>
        <v/>
      </c>
      <c r="BH67" s="19" t="str">
        <f>IF(H67&lt;&gt;"",(('Data input'!H$109-'Data input'!H$108)*(AX67-1)/4)+'Data input'!H$108,"")</f>
        <v/>
      </c>
      <c r="BI67" s="18" t="str">
        <f>IF(I67&lt;&gt;"",(('Data input'!I$109-'Data input'!I$108)*(AY67-1)/4)+'Data input'!I$108,"")</f>
        <v/>
      </c>
      <c r="BJ67" s="19" t="str">
        <f>IF(J67&lt;&gt;"",(('Data input'!J$109-'Data input'!J$108)*(AZ67-1)/4)+'Data input'!J$108,"")</f>
        <v/>
      </c>
      <c r="BK67" s="19" t="str">
        <f>IF(K67&lt;&gt;"",(('Data input'!K$109-'Data input'!K$108)*(BA67-1)/4)+'Data input'!K$108,"")</f>
        <v/>
      </c>
      <c r="BL67" s="19" t="str">
        <f>IF(L67&lt;&gt;"",(('Data input'!L$109-'Data input'!L$108)*(BB67-1)/4)+'Data input'!L$108,"")</f>
        <v/>
      </c>
      <c r="BM67" s="18" t="str">
        <f>IF(C67&lt;&gt;"",BC67-'Data input'!C67,"")</f>
        <v/>
      </c>
      <c r="BN67" s="18" t="str">
        <f>IF(D67&lt;&gt;"",BD67-'Data input'!D67,"")</f>
        <v/>
      </c>
      <c r="BO67" s="18" t="str">
        <f>IF(E67&lt;&gt;"",BE67-'Data input'!E67,"")</f>
        <v/>
      </c>
      <c r="BP67" s="18" t="str">
        <f>IF(F67&lt;&gt;"",BF67-'Data input'!F67,"")</f>
        <v/>
      </c>
      <c r="BQ67" s="18" t="str">
        <f>IF(G67&lt;&gt;"",BG67-'Data input'!G67,"")</f>
        <v/>
      </c>
      <c r="BR67" s="19" t="str">
        <f>IF(H67&lt;&gt;"",BH67-'Data input'!H67,"")</f>
        <v/>
      </c>
      <c r="BS67" s="18" t="str">
        <f>IF(I67&lt;&gt;"",BI67-'Data input'!I67,"")</f>
        <v/>
      </c>
      <c r="BT67" s="18" t="str">
        <f>IF(J67&lt;&gt;"",BJ67-'Data input'!J67,"")</f>
        <v/>
      </c>
      <c r="BU67" s="18" t="str">
        <f>IF(K67&lt;&gt;"",BK67-'Data input'!K67,"")</f>
        <v/>
      </c>
      <c r="BV67" s="72" t="str">
        <f>IF(L67&lt;&gt;"",BL67-'Data input'!L67,"")</f>
        <v/>
      </c>
      <c r="BW67" s="121" t="str">
        <f t="shared" si="17"/>
        <v/>
      </c>
      <c r="FT67" s="1" t="str">
        <f t="shared" ref="FT67:GI83" si="46">IF(BX67&gt;0.0001,CONCATENATE(BX$2,"; "),"")</f>
        <v/>
      </c>
      <c r="FU67" s="1" t="str">
        <f t="shared" si="46"/>
        <v/>
      </c>
      <c r="FV67" s="1" t="str">
        <f t="shared" si="46"/>
        <v/>
      </c>
      <c r="FW67" s="1" t="str">
        <f t="shared" si="46"/>
        <v/>
      </c>
      <c r="FX67" s="1" t="str">
        <f t="shared" si="46"/>
        <v/>
      </c>
      <c r="FY67" s="1" t="str">
        <f t="shared" si="46"/>
        <v/>
      </c>
      <c r="FZ67" s="1" t="str">
        <f t="shared" si="46"/>
        <v/>
      </c>
      <c r="GA67" s="1" t="str">
        <f t="shared" si="46"/>
        <v/>
      </c>
      <c r="GB67" s="1" t="str">
        <f t="shared" si="46"/>
        <v/>
      </c>
      <c r="GC67" s="1" t="str">
        <f t="shared" si="46"/>
        <v/>
      </c>
      <c r="GD67" s="1" t="str">
        <f t="shared" si="46"/>
        <v/>
      </c>
      <c r="GE67" s="1" t="str">
        <f t="shared" si="46"/>
        <v/>
      </c>
      <c r="GF67" s="1" t="str">
        <f t="shared" si="46"/>
        <v/>
      </c>
      <c r="GG67" s="1" t="str">
        <f t="shared" si="46"/>
        <v/>
      </c>
      <c r="GH67" s="1" t="str">
        <f t="shared" si="46"/>
        <v/>
      </c>
      <c r="GI67" s="1" t="str">
        <f t="shared" si="32"/>
        <v/>
      </c>
      <c r="GJ67" s="1" t="str">
        <f t="shared" si="32"/>
        <v/>
      </c>
      <c r="GK67" s="1" t="str">
        <f t="shared" si="32"/>
        <v/>
      </c>
      <c r="GL67" s="1" t="str">
        <f t="shared" si="32"/>
        <v/>
      </c>
      <c r="GM67" s="1" t="str">
        <f t="shared" si="32"/>
        <v/>
      </c>
      <c r="GN67" s="1" t="str">
        <f t="shared" si="32"/>
        <v/>
      </c>
      <c r="GO67" s="1" t="str">
        <f t="shared" si="32"/>
        <v/>
      </c>
      <c r="GP67" s="1" t="str">
        <f t="shared" si="32"/>
        <v/>
      </c>
      <c r="GQ67" s="1" t="str">
        <f t="shared" si="32"/>
        <v/>
      </c>
      <c r="GR67" s="1" t="str">
        <f t="shared" si="32"/>
        <v/>
      </c>
      <c r="GS67" s="1" t="str">
        <f t="shared" si="32"/>
        <v/>
      </c>
      <c r="GT67" s="1" t="str">
        <f t="shared" si="32"/>
        <v/>
      </c>
      <c r="GU67" s="1" t="str">
        <f t="shared" si="32"/>
        <v/>
      </c>
      <c r="GV67" s="1" t="str">
        <f t="shared" si="32"/>
        <v/>
      </c>
      <c r="GW67" s="1" t="str">
        <f t="shared" si="32"/>
        <v/>
      </c>
      <c r="GX67" s="1" t="str">
        <f t="shared" si="32"/>
        <v/>
      </c>
      <c r="GY67" s="1" t="str">
        <f t="shared" si="39"/>
        <v/>
      </c>
      <c r="GZ67" s="1" t="str">
        <f t="shared" si="38"/>
        <v/>
      </c>
      <c r="HA67" s="1" t="str">
        <f t="shared" si="38"/>
        <v/>
      </c>
      <c r="HB67" s="1" t="str">
        <f t="shared" si="38"/>
        <v/>
      </c>
      <c r="HC67" s="1" t="str">
        <f t="shared" si="38"/>
        <v/>
      </c>
      <c r="HD67" s="1" t="str">
        <f t="shared" si="38"/>
        <v/>
      </c>
      <c r="HE67" s="1" t="str">
        <f t="shared" si="38"/>
        <v/>
      </c>
      <c r="HF67" s="1" t="str">
        <f t="shared" si="38"/>
        <v/>
      </c>
      <c r="HG67" s="1" t="str">
        <f t="shared" si="38"/>
        <v/>
      </c>
      <c r="HH67" s="1" t="str">
        <f t="shared" si="38"/>
        <v/>
      </c>
      <c r="HI67" s="1" t="str">
        <f t="shared" si="38"/>
        <v/>
      </c>
      <c r="HJ67" s="1" t="str">
        <f t="shared" si="38"/>
        <v/>
      </c>
      <c r="HK67" s="1" t="str">
        <f t="shared" si="38"/>
        <v/>
      </c>
      <c r="HL67" s="1" t="str">
        <f t="shared" si="38"/>
        <v/>
      </c>
      <c r="HM67" s="1" t="str">
        <f t="shared" si="38"/>
        <v/>
      </c>
      <c r="HN67" s="1" t="str">
        <f t="shared" si="38"/>
        <v/>
      </c>
      <c r="HO67" s="1" t="str">
        <f t="shared" si="38"/>
        <v/>
      </c>
      <c r="HP67" s="1" t="str">
        <f t="shared" ref="HP67:IE91" si="47">IF(DT67&gt;0.0001,CONCATENATE(DT$2,"; "),"")</f>
        <v/>
      </c>
      <c r="HQ67" s="1" t="str">
        <f t="shared" si="47"/>
        <v/>
      </c>
      <c r="HR67" s="1" t="str">
        <f t="shared" si="47"/>
        <v/>
      </c>
      <c r="HS67" s="1" t="str">
        <f t="shared" si="47"/>
        <v/>
      </c>
      <c r="HT67" s="1" t="str">
        <f t="shared" si="47"/>
        <v/>
      </c>
      <c r="HU67" s="1" t="str">
        <f t="shared" si="47"/>
        <v/>
      </c>
      <c r="HV67" s="1" t="str">
        <f t="shared" si="47"/>
        <v/>
      </c>
      <c r="HW67" s="1" t="str">
        <f t="shared" si="41"/>
        <v/>
      </c>
      <c r="HX67" s="1" t="str">
        <f t="shared" si="41"/>
        <v/>
      </c>
      <c r="HY67" s="1" t="str">
        <f t="shared" si="41"/>
        <v/>
      </c>
      <c r="HZ67" s="1" t="str">
        <f t="shared" si="41"/>
        <v/>
      </c>
      <c r="IA67" s="1" t="str">
        <f t="shared" si="41"/>
        <v/>
      </c>
      <c r="IB67" s="1" t="str">
        <f t="shared" si="41"/>
        <v/>
      </c>
      <c r="IC67" s="1" t="str">
        <f t="shared" si="41"/>
        <v/>
      </c>
      <c r="ID67" s="1" t="str">
        <f t="shared" si="41"/>
        <v/>
      </c>
      <c r="IE67" s="1" t="str">
        <f t="shared" si="41"/>
        <v/>
      </c>
      <c r="IF67" s="1" t="str">
        <f t="shared" si="41"/>
        <v/>
      </c>
      <c r="IG67" s="1" t="str">
        <f t="shared" si="41"/>
        <v/>
      </c>
      <c r="IH67" s="1" t="str">
        <f t="shared" si="41"/>
        <v/>
      </c>
      <c r="II67" s="1" t="str">
        <f t="shared" si="41"/>
        <v/>
      </c>
      <c r="IJ67" s="1" t="str">
        <f t="shared" si="41"/>
        <v/>
      </c>
      <c r="IK67" s="1" t="str">
        <f t="shared" si="41"/>
        <v/>
      </c>
      <c r="IL67" s="1" t="str">
        <f t="shared" si="41"/>
        <v/>
      </c>
      <c r="IM67" s="1" t="str">
        <f t="shared" si="42"/>
        <v/>
      </c>
      <c r="IN67" s="1" t="str">
        <f t="shared" si="42"/>
        <v/>
      </c>
      <c r="IO67" s="1" t="str">
        <f t="shared" si="42"/>
        <v/>
      </c>
      <c r="IP67" s="1" t="str">
        <f t="shared" si="42"/>
        <v/>
      </c>
      <c r="IQ67" s="1" t="str">
        <f t="shared" si="42"/>
        <v/>
      </c>
      <c r="IR67" s="1" t="str">
        <f t="shared" si="42"/>
        <v/>
      </c>
      <c r="IS67" s="1" t="str">
        <f t="shared" si="42"/>
        <v/>
      </c>
      <c r="IT67" s="1" t="str">
        <f t="shared" si="42"/>
        <v/>
      </c>
      <c r="IU67" s="1" t="str">
        <f t="shared" si="42"/>
        <v/>
      </c>
      <c r="IV67" s="1" t="str">
        <f t="shared" si="42"/>
        <v/>
      </c>
      <c r="IW67" s="1" t="str">
        <f t="shared" si="42"/>
        <v/>
      </c>
      <c r="IX67" s="1" t="str">
        <f t="shared" si="42"/>
        <v/>
      </c>
      <c r="IY67" s="1" t="str">
        <f t="shared" si="42"/>
        <v/>
      </c>
      <c r="IZ67" s="1" t="str">
        <f t="shared" si="42"/>
        <v/>
      </c>
      <c r="JA67" s="1" t="str">
        <f t="shared" si="42"/>
        <v/>
      </c>
      <c r="JB67" s="1" t="str">
        <f t="shared" si="42"/>
        <v/>
      </c>
      <c r="JC67" s="1" t="str">
        <f t="shared" si="43"/>
        <v/>
      </c>
      <c r="JD67" s="1" t="str">
        <f t="shared" si="43"/>
        <v/>
      </c>
      <c r="JE67" s="1" t="str">
        <f t="shared" si="43"/>
        <v/>
      </c>
      <c r="JF67" s="1" t="str">
        <f t="shared" si="43"/>
        <v/>
      </c>
      <c r="JG67" s="1" t="str">
        <f t="shared" si="37"/>
        <v/>
      </c>
      <c r="JH67" s="1" t="str">
        <f t="shared" si="37"/>
        <v/>
      </c>
      <c r="JI67" s="1" t="str">
        <f t="shared" si="37"/>
        <v/>
      </c>
      <c r="JJ67" s="1" t="str">
        <f t="shared" si="30"/>
        <v/>
      </c>
      <c r="JK67" s="1" t="str">
        <f t="shared" si="30"/>
        <v/>
      </c>
      <c r="JL67" s="1" t="str">
        <f t="shared" si="24"/>
        <v/>
      </c>
      <c r="JM67" s="1" t="str">
        <f t="shared" si="24"/>
        <v/>
      </c>
      <c r="JN67" s="1" t="str">
        <f t="shared" si="24"/>
        <v/>
      </c>
      <c r="JO67" s="1" t="str">
        <f t="shared" si="24"/>
        <v/>
      </c>
    </row>
    <row r="68" spans="1:275" ht="14.5" x14ac:dyDescent="0.35">
      <c r="A68" s="59" t="str">
        <f>IF('Data input'!A68&lt;&gt;"",'Data input'!A68,"")</f>
        <v/>
      </c>
      <c r="B68" s="15" t="str">
        <f>IF('Data input'!B68&lt;&gt;"",'Data input'!B68,"")</f>
        <v/>
      </c>
      <c r="C68" s="16" t="str">
        <f>IF('Data input'!C68="","",4*('Data input'!C68-'Data input'!C$108)/('Data input'!C$109-'Data input'!C$108)+1)</f>
        <v/>
      </c>
      <c r="D68" s="16" t="str">
        <f>IF('Data input'!D68="","",4*('Data input'!D68-'Data input'!D$108)/('Data input'!D$109-'Data input'!D$108)+1)</f>
        <v/>
      </c>
      <c r="E68" s="16" t="str">
        <f>IF('Data input'!E68="","",4*('Data input'!E68-'Data input'!E$108)/('Data input'!E$109-'Data input'!E$108)+1)</f>
        <v/>
      </c>
      <c r="F68" s="16" t="str">
        <f>IF('Data input'!F68="","",4*('Data input'!F68-'Data input'!F$108)/('Data input'!F$109-'Data input'!F$108)+1)</f>
        <v/>
      </c>
      <c r="G68" s="16" t="str">
        <f>IF('Data input'!G68="","",4*('Data input'!G68-'Data input'!G$108)/('Data input'!G$109-'Data input'!G$108)+1)</f>
        <v/>
      </c>
      <c r="H68" s="16" t="str">
        <f>IF('Data input'!H68="","",4*('Data input'!H68-'Data input'!H$108)/('Data input'!H$109-'Data input'!H$108)+1)</f>
        <v/>
      </c>
      <c r="I68" s="19" t="str">
        <f>IF('Data input'!I68="","",4*('Data input'!I68-'Data input'!I$108)/('Data input'!I$109-'Data input'!I$108)+1)</f>
        <v/>
      </c>
      <c r="J68" s="19" t="str">
        <f>IF('Data input'!J68="","",4*('Data input'!J68-'Data input'!J$108)/('Data input'!J$109-'Data input'!J$108)+1)</f>
        <v/>
      </c>
      <c r="K68" s="19" t="str">
        <f>IF('Data input'!K68="","",4*('Data input'!K68-'Data input'!K$108)/('Data input'!K$109-'Data input'!K$108)+1)</f>
        <v/>
      </c>
      <c r="L68" s="19" t="str">
        <f>IF('Data input'!L68="","",4*('Data input'!L68-'Data input'!L$108)/('Data input'!L$109-'Data input'!L$108)+1)</f>
        <v/>
      </c>
      <c r="M68" s="16" t="str">
        <f>IF('Data input'!M68="","",4*('Data input'!M68-'Data input'!M$108)/('Data input'!M$109-'Data input'!M$108)+1)</f>
        <v/>
      </c>
      <c r="N68" s="16" t="str">
        <f>IF('Data input'!N68="","",4*('Data input'!N68-'Data input'!N$108)/('Data input'!N$109-'Data input'!N$108)+1)</f>
        <v/>
      </c>
      <c r="O68" s="16" t="str">
        <f>IF('Data input'!O68="","",4*('Data input'!O68-'Data input'!O$108)/('Data input'!O$109-'Data input'!O$108)+1)</f>
        <v/>
      </c>
      <c r="P68" s="16" t="str">
        <f>IF('Data input'!P68="","",4*('Data input'!P68-'Data input'!P$108)/('Data input'!P$109-'Data input'!P$108)+1)</f>
        <v/>
      </c>
      <c r="Q68" s="16" t="str">
        <f>IF('Data input'!Q68="","",4*('Data input'!Q68-'Data input'!Q$108)/('Data input'!Q$109-'Data input'!Q$108)+1)</f>
        <v/>
      </c>
      <c r="R68" s="16" t="str">
        <f>IF('Data input'!R68="","",4*('Data input'!R68-'Data input'!R$108)/('Data input'!R$109-'Data input'!R$108)+1)</f>
        <v/>
      </c>
      <c r="S68" s="16" t="str">
        <f>IF('Data input'!S68="","",4*('Data input'!S68-'Data input'!S$108)/('Data input'!S$109-'Data input'!S$108)+1)</f>
        <v/>
      </c>
      <c r="T68" s="16" t="str">
        <f>IF('Data input'!T68="","",4*('Data input'!T68-'Data input'!T$108)/('Data input'!T$109-'Data input'!T$108)+1)</f>
        <v/>
      </c>
      <c r="U68" s="16" t="str">
        <f>IF('Data input'!U68="","",4*('Data input'!U68-'Data input'!U$108)/('Data input'!U$109-'Data input'!U$108)+1)</f>
        <v/>
      </c>
      <c r="V68" s="16" t="str">
        <f>IF('Data input'!V68="","",4*('Data input'!V68-'Data input'!V$108)/('Data input'!V$109-'Data input'!V$108)+1)</f>
        <v/>
      </c>
      <c r="W68" s="16" t="str">
        <f>IF('Data input'!W68="","",4*('Data input'!W68-'Data input'!W$108)/('Data input'!W$109-'Data input'!W$108)+1)</f>
        <v/>
      </c>
      <c r="X68" s="16" t="str">
        <f>IF('Data input'!X68="","",4*('Data input'!X68-'Data input'!X$108)/('Data input'!X$109-'Data input'!X$108)+1)</f>
        <v/>
      </c>
      <c r="Y68" s="16" t="str">
        <f>IF('Data input'!Y68="","",4*('Data input'!Y68-'Data input'!Y$108)/('Data input'!Y$109-'Data input'!Y$108)+1)</f>
        <v/>
      </c>
      <c r="Z68" s="16" t="str">
        <f>IF('Data input'!Z68="","",4*('Data input'!Z68-'Data input'!Z$108)/('Data input'!Z$109-'Data input'!Z$108)+1)</f>
        <v/>
      </c>
      <c r="AA68" s="62" t="str">
        <f>IF('Data input'!AA68="","",4*('Data input'!AA68-'Data input'!AA$108)/('Data input'!AA$109-'Data input'!AA$108)+1)</f>
        <v/>
      </c>
      <c r="AB68" s="78"/>
      <c r="AC68" s="79">
        <v>0</v>
      </c>
      <c r="AD68" s="80" t="e">
        <f t="shared" ref="AD68:AD102" si="48">AC68/$AC$107</f>
        <v>#DIV/0!</v>
      </c>
      <c r="AE68" s="4"/>
      <c r="AF68" s="59" t="str">
        <f t="shared" si="40"/>
        <v/>
      </c>
      <c r="AG68" s="60" t="str">
        <f t="shared" si="40"/>
        <v/>
      </c>
      <c r="AH68"/>
      <c r="AI68"/>
      <c r="AJ68"/>
      <c r="AK68"/>
      <c r="AL68"/>
      <c r="AM68"/>
      <c r="AN68"/>
      <c r="AO68"/>
      <c r="AP68"/>
      <c r="AQ68"/>
      <c r="AR68"/>
      <c r="AS68" s="71" t="str">
        <f t="shared" si="44"/>
        <v/>
      </c>
      <c r="AT68" s="71" t="str">
        <f t="shared" si="44"/>
        <v/>
      </c>
      <c r="AU68" s="71" t="str">
        <f t="shared" si="44"/>
        <v/>
      </c>
      <c r="AV68" s="71" t="str">
        <f t="shared" si="44"/>
        <v/>
      </c>
      <c r="AW68" s="71" t="str">
        <f t="shared" si="44"/>
        <v/>
      </c>
      <c r="AX68" s="71" t="str">
        <f t="shared" si="45"/>
        <v/>
      </c>
      <c r="AY68" s="71" t="str">
        <f t="shared" si="45"/>
        <v/>
      </c>
      <c r="AZ68" s="71" t="str">
        <f t="shared" si="45"/>
        <v/>
      </c>
      <c r="BA68" s="71" t="str">
        <f t="shared" si="45"/>
        <v/>
      </c>
      <c r="BB68" s="71" t="str">
        <f t="shared" si="45"/>
        <v/>
      </c>
      <c r="BC68" s="18" t="str">
        <f>IF(C68&lt;&gt;"",(('Data input'!C$109-'Data input'!C$108)*(AS68-1)/4)+'Data input'!C$108,"")</f>
        <v/>
      </c>
      <c r="BD68" s="18" t="str">
        <f>IF(D68&lt;&gt;"",(('Data input'!D$109-'Data input'!D$108)*(AT68-1)/4)+'Data input'!D$108,"")</f>
        <v/>
      </c>
      <c r="BE68" s="18" t="str">
        <f>IF(E68&lt;&gt;"",(('Data input'!E$109-'Data input'!E$108)*(AU68-1)/4)+'Data input'!E$108,"")</f>
        <v/>
      </c>
      <c r="BF68" s="18" t="str">
        <f>IF(F68&lt;&gt;"",(('Data input'!F$109-'Data input'!F$108)*(AV68-1)/4)+'Data input'!F$108,"")</f>
        <v/>
      </c>
      <c r="BG68" s="18" t="str">
        <f>IF(G68&lt;&gt;"",(('Data input'!G$109-'Data input'!G$108)*(AW68-1)/4)+'Data input'!G$108,"")</f>
        <v/>
      </c>
      <c r="BH68" s="19" t="str">
        <f>IF(H68&lt;&gt;"",(('Data input'!H$109-'Data input'!H$108)*(AX68-1)/4)+'Data input'!H$108,"")</f>
        <v/>
      </c>
      <c r="BI68" s="18" t="str">
        <f>IF(I68&lt;&gt;"",(('Data input'!I$109-'Data input'!I$108)*(AY68-1)/4)+'Data input'!I$108,"")</f>
        <v/>
      </c>
      <c r="BJ68" s="19" t="str">
        <f>IF(J68&lt;&gt;"",(('Data input'!J$109-'Data input'!J$108)*(AZ68-1)/4)+'Data input'!J$108,"")</f>
        <v/>
      </c>
      <c r="BK68" s="19" t="str">
        <f>IF(K68&lt;&gt;"",(('Data input'!K$109-'Data input'!K$108)*(BA68-1)/4)+'Data input'!K$108,"")</f>
        <v/>
      </c>
      <c r="BL68" s="19" t="str">
        <f>IF(L68&lt;&gt;"",(('Data input'!L$109-'Data input'!L$108)*(BB68-1)/4)+'Data input'!L$108,"")</f>
        <v/>
      </c>
      <c r="BM68" s="18" t="str">
        <f>IF(C68&lt;&gt;"",BC68-'Data input'!C68,"")</f>
        <v/>
      </c>
      <c r="BN68" s="18" t="str">
        <f>IF(D68&lt;&gt;"",BD68-'Data input'!D68,"")</f>
        <v/>
      </c>
      <c r="BO68" s="18" t="str">
        <f>IF(E68&lt;&gt;"",BE68-'Data input'!E68,"")</f>
        <v/>
      </c>
      <c r="BP68" s="18" t="str">
        <f>IF(F68&lt;&gt;"",BF68-'Data input'!F68,"")</f>
        <v/>
      </c>
      <c r="BQ68" s="18" t="str">
        <f>IF(G68&lt;&gt;"",BG68-'Data input'!G68,"")</f>
        <v/>
      </c>
      <c r="BR68" s="19" t="str">
        <f>IF(H68&lt;&gt;"",BH68-'Data input'!H68,"")</f>
        <v/>
      </c>
      <c r="BS68" s="18" t="str">
        <f>IF(I68&lt;&gt;"",BI68-'Data input'!I68,"")</f>
        <v/>
      </c>
      <c r="BT68" s="18" t="str">
        <f>IF(J68&lt;&gt;"",BJ68-'Data input'!J68,"")</f>
        <v/>
      </c>
      <c r="BU68" s="18" t="str">
        <f>IF(K68&lt;&gt;"",BK68-'Data input'!K68,"")</f>
        <v/>
      </c>
      <c r="BV68" s="72" t="str">
        <f>IF(L68&lt;&gt;"",BL68-'Data input'!L68,"")</f>
        <v/>
      </c>
      <c r="BW68" s="121" t="str">
        <f t="shared" ref="BW68:BW102" si="49">CONCATENATE(FT68,FU68,FV68,FW68,FX68,FY68,FZ68,GA68,GB68,GC68,GD68,GE68,GF68,GG68,GH68,GI68,GJ68,GK68,GL68,GM68,GN68,GO68,GP68,GQ68,GR68,GS68,GT68,GU68,GV68,GW68,GX68,GY68,GZ68,HA68,HB68,HC68,HD68,HE68,HF68,HG68,HH68,HI68,HJ68,HK68,HL68,HM68,HN68,HO68,HP68,HQ68,HR68,HS68,HT68,HU68,HV68,HW68,HX68,HY68,HZ68,IA68,IB68,IC68,ID68,IE68,IF68,IG68,IH68,II68,IJ68,IK68,IL68,IM68,IN68,IO68,IP68,IQ68,IR68,IS68,IT68,IU68,IV68,IW68,IX68,IY68,IZ68,JA68,JB68,JC68,JD68,JE68,JF68,JG68,JH68,JI68,JJ68,JK68,JL68,JM68,JN68,JO68)</f>
        <v/>
      </c>
      <c r="FT68" s="1" t="str">
        <f t="shared" si="46"/>
        <v/>
      </c>
      <c r="FU68" s="1" t="str">
        <f t="shared" si="46"/>
        <v/>
      </c>
      <c r="FV68" s="1" t="str">
        <f t="shared" si="46"/>
        <v/>
      </c>
      <c r="FW68" s="1" t="str">
        <f t="shared" si="46"/>
        <v/>
      </c>
      <c r="FX68" s="1" t="str">
        <f t="shared" si="46"/>
        <v/>
      </c>
      <c r="FY68" s="1" t="str">
        <f t="shared" si="46"/>
        <v/>
      </c>
      <c r="FZ68" s="1" t="str">
        <f t="shared" si="46"/>
        <v/>
      </c>
      <c r="GA68" s="1" t="str">
        <f t="shared" si="46"/>
        <v/>
      </c>
      <c r="GB68" s="1" t="str">
        <f t="shared" si="46"/>
        <v/>
      </c>
      <c r="GC68" s="1" t="str">
        <f t="shared" si="46"/>
        <v/>
      </c>
      <c r="GD68" s="1" t="str">
        <f t="shared" si="46"/>
        <v/>
      </c>
      <c r="GE68" s="1" t="str">
        <f t="shared" si="46"/>
        <v/>
      </c>
      <c r="GF68" s="1" t="str">
        <f t="shared" si="46"/>
        <v/>
      </c>
      <c r="GG68" s="1" t="str">
        <f t="shared" si="46"/>
        <v/>
      </c>
      <c r="GH68" s="1" t="str">
        <f t="shared" si="46"/>
        <v/>
      </c>
      <c r="GI68" s="1" t="str">
        <f t="shared" si="32"/>
        <v/>
      </c>
      <c r="GJ68" s="1" t="str">
        <f t="shared" si="32"/>
        <v/>
      </c>
      <c r="GK68" s="1" t="str">
        <f t="shared" si="32"/>
        <v/>
      </c>
      <c r="GL68" s="1" t="str">
        <f t="shared" si="32"/>
        <v/>
      </c>
      <c r="GM68" s="1" t="str">
        <f t="shared" si="32"/>
        <v/>
      </c>
      <c r="GN68" s="1" t="str">
        <f t="shared" si="32"/>
        <v/>
      </c>
      <c r="GO68" s="1" t="str">
        <f t="shared" si="32"/>
        <v/>
      </c>
      <c r="GP68" s="1" t="str">
        <f t="shared" si="32"/>
        <v/>
      </c>
      <c r="GQ68" s="1" t="str">
        <f t="shared" si="32"/>
        <v/>
      </c>
      <c r="GR68" s="1" t="str">
        <f t="shared" si="32"/>
        <v/>
      </c>
      <c r="GS68" s="1" t="str">
        <f t="shared" si="32"/>
        <v/>
      </c>
      <c r="GT68" s="1" t="str">
        <f t="shared" ref="GT68:HI96" si="50">IF(CX68&gt;0.0001,CONCATENATE(CX$2,"; "),"")</f>
        <v/>
      </c>
      <c r="GU68" s="1" t="str">
        <f t="shared" si="50"/>
        <v/>
      </c>
      <c r="GV68" s="1" t="str">
        <f t="shared" si="50"/>
        <v/>
      </c>
      <c r="GW68" s="1" t="str">
        <f t="shared" si="50"/>
        <v/>
      </c>
      <c r="GX68" s="1" t="str">
        <f t="shared" si="50"/>
        <v/>
      </c>
      <c r="GY68" s="1" t="str">
        <f t="shared" si="39"/>
        <v/>
      </c>
      <c r="GZ68" s="1" t="str">
        <f t="shared" si="38"/>
        <v/>
      </c>
      <c r="HA68" s="1" t="str">
        <f t="shared" si="38"/>
        <v/>
      </c>
      <c r="HB68" s="1" t="str">
        <f t="shared" si="38"/>
        <v/>
      </c>
      <c r="HC68" s="1" t="str">
        <f t="shared" si="38"/>
        <v/>
      </c>
      <c r="HD68" s="1" t="str">
        <f t="shared" si="38"/>
        <v/>
      </c>
      <c r="HE68" s="1" t="str">
        <f t="shared" si="38"/>
        <v/>
      </c>
      <c r="HF68" s="1" t="str">
        <f t="shared" si="38"/>
        <v/>
      </c>
      <c r="HG68" s="1" t="str">
        <f t="shared" si="38"/>
        <v/>
      </c>
      <c r="HH68" s="1" t="str">
        <f t="shared" si="38"/>
        <v/>
      </c>
      <c r="HI68" s="1" t="str">
        <f t="shared" si="38"/>
        <v/>
      </c>
      <c r="HJ68" s="1" t="str">
        <f t="shared" si="38"/>
        <v/>
      </c>
      <c r="HK68" s="1" t="str">
        <f t="shared" si="38"/>
        <v/>
      </c>
      <c r="HL68" s="1" t="str">
        <f t="shared" si="38"/>
        <v/>
      </c>
      <c r="HM68" s="1" t="str">
        <f t="shared" si="38"/>
        <v/>
      </c>
      <c r="HN68" s="1" t="str">
        <f t="shared" si="38"/>
        <v/>
      </c>
      <c r="HO68" s="1" t="str">
        <f t="shared" si="38"/>
        <v/>
      </c>
      <c r="HP68" s="1" t="str">
        <f t="shared" si="47"/>
        <v/>
      </c>
      <c r="HQ68" s="1" t="str">
        <f t="shared" si="47"/>
        <v/>
      </c>
      <c r="HR68" s="1" t="str">
        <f t="shared" si="47"/>
        <v/>
      </c>
      <c r="HS68" s="1" t="str">
        <f t="shared" si="47"/>
        <v/>
      </c>
      <c r="HT68" s="1" t="str">
        <f t="shared" si="47"/>
        <v/>
      </c>
      <c r="HU68" s="1" t="str">
        <f t="shared" si="47"/>
        <v/>
      </c>
      <c r="HV68" s="1" t="str">
        <f t="shared" si="47"/>
        <v/>
      </c>
      <c r="HW68" s="1" t="str">
        <f t="shared" si="41"/>
        <v/>
      </c>
      <c r="HX68" s="1" t="str">
        <f t="shared" si="41"/>
        <v/>
      </c>
      <c r="HY68" s="1" t="str">
        <f t="shared" si="41"/>
        <v/>
      </c>
      <c r="HZ68" s="1" t="str">
        <f t="shared" si="41"/>
        <v/>
      </c>
      <c r="IA68" s="1" t="str">
        <f t="shared" si="41"/>
        <v/>
      </c>
      <c r="IB68" s="1" t="str">
        <f t="shared" si="41"/>
        <v/>
      </c>
      <c r="IC68" s="1" t="str">
        <f t="shared" si="41"/>
        <v/>
      </c>
      <c r="ID68" s="1" t="str">
        <f t="shared" si="41"/>
        <v/>
      </c>
      <c r="IE68" s="1" t="str">
        <f t="shared" si="41"/>
        <v/>
      </c>
      <c r="IF68" s="1" t="str">
        <f t="shared" si="41"/>
        <v/>
      </c>
      <c r="IG68" s="1" t="str">
        <f t="shared" si="41"/>
        <v/>
      </c>
      <c r="IH68" s="1" t="str">
        <f t="shared" si="41"/>
        <v/>
      </c>
      <c r="II68" s="1" t="str">
        <f t="shared" si="41"/>
        <v/>
      </c>
      <c r="IJ68" s="1" t="str">
        <f t="shared" si="41"/>
        <v/>
      </c>
      <c r="IK68" s="1" t="str">
        <f t="shared" si="41"/>
        <v/>
      </c>
      <c r="IL68" s="1" t="str">
        <f t="shared" si="41"/>
        <v/>
      </c>
      <c r="IM68" s="1" t="str">
        <f t="shared" si="42"/>
        <v/>
      </c>
      <c r="IN68" s="1" t="str">
        <f t="shared" si="42"/>
        <v/>
      </c>
      <c r="IO68" s="1" t="str">
        <f t="shared" si="42"/>
        <v/>
      </c>
      <c r="IP68" s="1" t="str">
        <f t="shared" si="42"/>
        <v/>
      </c>
      <c r="IQ68" s="1" t="str">
        <f t="shared" si="42"/>
        <v/>
      </c>
      <c r="IR68" s="1" t="str">
        <f t="shared" si="42"/>
        <v/>
      </c>
      <c r="IS68" s="1" t="str">
        <f t="shared" si="42"/>
        <v/>
      </c>
      <c r="IT68" s="1" t="str">
        <f t="shared" si="42"/>
        <v/>
      </c>
      <c r="IU68" s="1" t="str">
        <f t="shared" si="42"/>
        <v/>
      </c>
      <c r="IV68" s="1" t="str">
        <f t="shared" si="42"/>
        <v/>
      </c>
      <c r="IW68" s="1" t="str">
        <f t="shared" si="42"/>
        <v/>
      </c>
      <c r="IX68" s="1" t="str">
        <f t="shared" si="42"/>
        <v/>
      </c>
      <c r="IY68" s="1" t="str">
        <f t="shared" si="42"/>
        <v/>
      </c>
      <c r="IZ68" s="1" t="str">
        <f t="shared" si="42"/>
        <v/>
      </c>
      <c r="JA68" s="1" t="str">
        <f t="shared" si="42"/>
        <v/>
      </c>
      <c r="JB68" s="1" t="str">
        <f t="shared" si="42"/>
        <v/>
      </c>
      <c r="JC68" s="1" t="str">
        <f t="shared" si="43"/>
        <v/>
      </c>
      <c r="JD68" s="1" t="str">
        <f t="shared" si="43"/>
        <v/>
      </c>
      <c r="JE68" s="1" t="str">
        <f t="shared" si="43"/>
        <v/>
      </c>
      <c r="JF68" s="1" t="str">
        <f t="shared" si="43"/>
        <v/>
      </c>
      <c r="JG68" s="1" t="str">
        <f t="shared" si="37"/>
        <v/>
      </c>
      <c r="JH68" s="1" t="str">
        <f t="shared" si="37"/>
        <v/>
      </c>
      <c r="JI68" s="1" t="str">
        <f t="shared" si="37"/>
        <v/>
      </c>
      <c r="JJ68" s="1" t="str">
        <f t="shared" si="30"/>
        <v/>
      </c>
      <c r="JK68" s="1" t="str">
        <f t="shared" si="30"/>
        <v/>
      </c>
      <c r="JL68" s="1" t="str">
        <f t="shared" si="24"/>
        <v/>
      </c>
      <c r="JM68" s="1" t="str">
        <f t="shared" si="24"/>
        <v/>
      </c>
      <c r="JN68" s="1" t="str">
        <f t="shared" si="24"/>
        <v/>
      </c>
      <c r="JO68" s="1" t="str">
        <f t="shared" si="24"/>
        <v/>
      </c>
    </row>
    <row r="69" spans="1:275" ht="14.5" x14ac:dyDescent="0.35">
      <c r="A69" s="59" t="str">
        <f>IF('Data input'!A69&lt;&gt;"",'Data input'!A69,"")</f>
        <v/>
      </c>
      <c r="B69" s="15" t="str">
        <f>IF('Data input'!B69&lt;&gt;"",'Data input'!B69,"")</f>
        <v/>
      </c>
      <c r="C69" s="16" t="str">
        <f>IF('Data input'!C69="","",4*('Data input'!C69-'Data input'!C$108)/('Data input'!C$109-'Data input'!C$108)+1)</f>
        <v/>
      </c>
      <c r="D69" s="16" t="str">
        <f>IF('Data input'!D69="","",4*('Data input'!D69-'Data input'!D$108)/('Data input'!D$109-'Data input'!D$108)+1)</f>
        <v/>
      </c>
      <c r="E69" s="16" t="str">
        <f>IF('Data input'!E69="","",4*('Data input'!E69-'Data input'!E$108)/('Data input'!E$109-'Data input'!E$108)+1)</f>
        <v/>
      </c>
      <c r="F69" s="16" t="str">
        <f>IF('Data input'!F69="","",4*('Data input'!F69-'Data input'!F$108)/('Data input'!F$109-'Data input'!F$108)+1)</f>
        <v/>
      </c>
      <c r="G69" s="16" t="str">
        <f>IF('Data input'!G69="","",4*('Data input'!G69-'Data input'!G$108)/('Data input'!G$109-'Data input'!G$108)+1)</f>
        <v/>
      </c>
      <c r="H69" s="16" t="str">
        <f>IF('Data input'!H69="","",4*('Data input'!H69-'Data input'!H$108)/('Data input'!H$109-'Data input'!H$108)+1)</f>
        <v/>
      </c>
      <c r="I69" s="19" t="str">
        <f>IF('Data input'!I69="","",4*('Data input'!I69-'Data input'!I$108)/('Data input'!I$109-'Data input'!I$108)+1)</f>
        <v/>
      </c>
      <c r="J69" s="19" t="str">
        <f>IF('Data input'!J69="","",4*('Data input'!J69-'Data input'!J$108)/('Data input'!J$109-'Data input'!J$108)+1)</f>
        <v/>
      </c>
      <c r="K69" s="19" t="str">
        <f>IF('Data input'!K69="","",4*('Data input'!K69-'Data input'!K$108)/('Data input'!K$109-'Data input'!K$108)+1)</f>
        <v/>
      </c>
      <c r="L69" s="19" t="str">
        <f>IF('Data input'!L69="","",4*('Data input'!L69-'Data input'!L$108)/('Data input'!L$109-'Data input'!L$108)+1)</f>
        <v/>
      </c>
      <c r="M69" s="16" t="str">
        <f>IF('Data input'!M69="","",4*('Data input'!M69-'Data input'!M$108)/('Data input'!M$109-'Data input'!M$108)+1)</f>
        <v/>
      </c>
      <c r="N69" s="16" t="str">
        <f>IF('Data input'!N69="","",4*('Data input'!N69-'Data input'!N$108)/('Data input'!N$109-'Data input'!N$108)+1)</f>
        <v/>
      </c>
      <c r="O69" s="16" t="str">
        <f>IF('Data input'!O69="","",4*('Data input'!O69-'Data input'!O$108)/('Data input'!O$109-'Data input'!O$108)+1)</f>
        <v/>
      </c>
      <c r="P69" s="16" t="str">
        <f>IF('Data input'!P69="","",4*('Data input'!P69-'Data input'!P$108)/('Data input'!P$109-'Data input'!P$108)+1)</f>
        <v/>
      </c>
      <c r="Q69" s="16" t="str">
        <f>IF('Data input'!Q69="","",4*('Data input'!Q69-'Data input'!Q$108)/('Data input'!Q$109-'Data input'!Q$108)+1)</f>
        <v/>
      </c>
      <c r="R69" s="16" t="str">
        <f>IF('Data input'!R69="","",4*('Data input'!R69-'Data input'!R$108)/('Data input'!R$109-'Data input'!R$108)+1)</f>
        <v/>
      </c>
      <c r="S69" s="16" t="str">
        <f>IF('Data input'!S69="","",4*('Data input'!S69-'Data input'!S$108)/('Data input'!S$109-'Data input'!S$108)+1)</f>
        <v/>
      </c>
      <c r="T69" s="16" t="str">
        <f>IF('Data input'!T69="","",4*('Data input'!T69-'Data input'!T$108)/('Data input'!T$109-'Data input'!T$108)+1)</f>
        <v/>
      </c>
      <c r="U69" s="16" t="str">
        <f>IF('Data input'!U69="","",4*('Data input'!U69-'Data input'!U$108)/('Data input'!U$109-'Data input'!U$108)+1)</f>
        <v/>
      </c>
      <c r="V69" s="16" t="str">
        <f>IF('Data input'!V69="","",4*('Data input'!V69-'Data input'!V$108)/('Data input'!V$109-'Data input'!V$108)+1)</f>
        <v/>
      </c>
      <c r="W69" s="16" t="str">
        <f>IF('Data input'!W69="","",4*('Data input'!W69-'Data input'!W$108)/('Data input'!W$109-'Data input'!W$108)+1)</f>
        <v/>
      </c>
      <c r="X69" s="16" t="str">
        <f>IF('Data input'!X69="","",4*('Data input'!X69-'Data input'!X$108)/('Data input'!X$109-'Data input'!X$108)+1)</f>
        <v/>
      </c>
      <c r="Y69" s="16" t="str">
        <f>IF('Data input'!Y69="","",4*('Data input'!Y69-'Data input'!Y$108)/('Data input'!Y$109-'Data input'!Y$108)+1)</f>
        <v/>
      </c>
      <c r="Z69" s="16" t="str">
        <f>IF('Data input'!Z69="","",4*('Data input'!Z69-'Data input'!Z$108)/('Data input'!Z$109-'Data input'!Z$108)+1)</f>
        <v/>
      </c>
      <c r="AA69" s="62" t="str">
        <f>IF('Data input'!AA69="","",4*('Data input'!AA69-'Data input'!AA$108)/('Data input'!AA$109-'Data input'!AA$108)+1)</f>
        <v/>
      </c>
      <c r="AB69" s="78"/>
      <c r="AC69" s="79">
        <v>0</v>
      </c>
      <c r="AD69" s="80" t="e">
        <f t="shared" si="48"/>
        <v>#DIV/0!</v>
      </c>
      <c r="AE69" s="4"/>
      <c r="AF69" s="59" t="str">
        <f t="shared" si="40"/>
        <v/>
      </c>
      <c r="AG69" s="60" t="str">
        <f t="shared" si="40"/>
        <v/>
      </c>
      <c r="AH69"/>
      <c r="AI69"/>
      <c r="AJ69"/>
      <c r="AK69"/>
      <c r="AL69"/>
      <c r="AM69"/>
      <c r="AN69"/>
      <c r="AO69"/>
      <c r="AP69"/>
      <c r="AQ69"/>
      <c r="AR69"/>
      <c r="AS69" s="71" t="str">
        <f t="shared" si="44"/>
        <v/>
      </c>
      <c r="AT69" s="71" t="str">
        <f t="shared" si="44"/>
        <v/>
      </c>
      <c r="AU69" s="71" t="str">
        <f t="shared" si="44"/>
        <v/>
      </c>
      <c r="AV69" s="71" t="str">
        <f t="shared" si="44"/>
        <v/>
      </c>
      <c r="AW69" s="71" t="str">
        <f t="shared" si="44"/>
        <v/>
      </c>
      <c r="AX69" s="71" t="str">
        <f t="shared" si="45"/>
        <v/>
      </c>
      <c r="AY69" s="71" t="str">
        <f t="shared" si="45"/>
        <v/>
      </c>
      <c r="AZ69" s="71" t="str">
        <f t="shared" si="45"/>
        <v/>
      </c>
      <c r="BA69" s="71" t="str">
        <f t="shared" si="45"/>
        <v/>
      </c>
      <c r="BB69" s="71" t="str">
        <f t="shared" si="45"/>
        <v/>
      </c>
      <c r="BC69" s="18" t="str">
        <f>IF(C69&lt;&gt;"",(('Data input'!C$109-'Data input'!C$108)*(AS69-1)/4)+'Data input'!C$108,"")</f>
        <v/>
      </c>
      <c r="BD69" s="18" t="str">
        <f>IF(D69&lt;&gt;"",(('Data input'!D$109-'Data input'!D$108)*(AT69-1)/4)+'Data input'!D$108,"")</f>
        <v/>
      </c>
      <c r="BE69" s="18" t="str">
        <f>IF(E69&lt;&gt;"",(('Data input'!E$109-'Data input'!E$108)*(AU69-1)/4)+'Data input'!E$108,"")</f>
        <v/>
      </c>
      <c r="BF69" s="18" t="str">
        <f>IF(F69&lt;&gt;"",(('Data input'!F$109-'Data input'!F$108)*(AV69-1)/4)+'Data input'!F$108,"")</f>
        <v/>
      </c>
      <c r="BG69" s="18" t="str">
        <f>IF(G69&lt;&gt;"",(('Data input'!G$109-'Data input'!G$108)*(AW69-1)/4)+'Data input'!G$108,"")</f>
        <v/>
      </c>
      <c r="BH69" s="19" t="str">
        <f>IF(H69&lt;&gt;"",(('Data input'!H$109-'Data input'!H$108)*(AX69-1)/4)+'Data input'!H$108,"")</f>
        <v/>
      </c>
      <c r="BI69" s="18" t="str">
        <f>IF(I69&lt;&gt;"",(('Data input'!I$109-'Data input'!I$108)*(AY69-1)/4)+'Data input'!I$108,"")</f>
        <v/>
      </c>
      <c r="BJ69" s="19" t="str">
        <f>IF(J69&lt;&gt;"",(('Data input'!J$109-'Data input'!J$108)*(AZ69-1)/4)+'Data input'!J$108,"")</f>
        <v/>
      </c>
      <c r="BK69" s="19" t="str">
        <f>IF(K69&lt;&gt;"",(('Data input'!K$109-'Data input'!K$108)*(BA69-1)/4)+'Data input'!K$108,"")</f>
        <v/>
      </c>
      <c r="BL69" s="19" t="str">
        <f>IF(L69&lt;&gt;"",(('Data input'!L$109-'Data input'!L$108)*(BB69-1)/4)+'Data input'!L$108,"")</f>
        <v/>
      </c>
      <c r="BM69" s="18" t="str">
        <f>IF(C69&lt;&gt;"",BC69-'Data input'!C69,"")</f>
        <v/>
      </c>
      <c r="BN69" s="18" t="str">
        <f>IF(D69&lt;&gt;"",BD69-'Data input'!D69,"")</f>
        <v/>
      </c>
      <c r="BO69" s="18" t="str">
        <f>IF(E69&lt;&gt;"",BE69-'Data input'!E69,"")</f>
        <v/>
      </c>
      <c r="BP69" s="18" t="str">
        <f>IF(F69&lt;&gt;"",BF69-'Data input'!F69,"")</f>
        <v/>
      </c>
      <c r="BQ69" s="18" t="str">
        <f>IF(G69&lt;&gt;"",BG69-'Data input'!G69,"")</f>
        <v/>
      </c>
      <c r="BR69" s="19" t="str">
        <f>IF(H69&lt;&gt;"",BH69-'Data input'!H69,"")</f>
        <v/>
      </c>
      <c r="BS69" s="18" t="str">
        <f>IF(I69&lt;&gt;"",BI69-'Data input'!I69,"")</f>
        <v/>
      </c>
      <c r="BT69" s="18" t="str">
        <f>IF(J69&lt;&gt;"",BJ69-'Data input'!J69,"")</f>
        <v/>
      </c>
      <c r="BU69" s="18" t="str">
        <f>IF(K69&lt;&gt;"",BK69-'Data input'!K69,"")</f>
        <v/>
      </c>
      <c r="BV69" s="72" t="str">
        <f>IF(L69&lt;&gt;"",BL69-'Data input'!L69,"")</f>
        <v/>
      </c>
      <c r="BW69" s="121" t="str">
        <f t="shared" si="49"/>
        <v/>
      </c>
      <c r="FT69" s="1" t="str">
        <f t="shared" si="46"/>
        <v/>
      </c>
      <c r="FU69" s="1" t="str">
        <f t="shared" si="46"/>
        <v/>
      </c>
      <c r="FV69" s="1" t="str">
        <f t="shared" si="46"/>
        <v/>
      </c>
      <c r="FW69" s="1" t="str">
        <f t="shared" si="46"/>
        <v/>
      </c>
      <c r="FX69" s="1" t="str">
        <f t="shared" si="46"/>
        <v/>
      </c>
      <c r="FY69" s="1" t="str">
        <f t="shared" si="46"/>
        <v/>
      </c>
      <c r="FZ69" s="1" t="str">
        <f t="shared" si="46"/>
        <v/>
      </c>
      <c r="GA69" s="1" t="str">
        <f t="shared" si="46"/>
        <v/>
      </c>
      <c r="GB69" s="1" t="str">
        <f t="shared" si="46"/>
        <v/>
      </c>
      <c r="GC69" s="1" t="str">
        <f t="shared" si="46"/>
        <v/>
      </c>
      <c r="GD69" s="1" t="str">
        <f t="shared" si="46"/>
        <v/>
      </c>
      <c r="GE69" s="1" t="str">
        <f t="shared" si="46"/>
        <v/>
      </c>
      <c r="GF69" s="1" t="str">
        <f t="shared" si="46"/>
        <v/>
      </c>
      <c r="GG69" s="1" t="str">
        <f t="shared" si="46"/>
        <v/>
      </c>
      <c r="GH69" s="1" t="str">
        <f t="shared" si="46"/>
        <v/>
      </c>
      <c r="GI69" s="1" t="str">
        <f t="shared" si="46"/>
        <v/>
      </c>
      <c r="GJ69" s="1" t="str">
        <f t="shared" ref="GJ69:GS94" si="51">IF(CN69&gt;0.0001,CONCATENATE(CN$2,"; "),"")</f>
        <v/>
      </c>
      <c r="GK69" s="1" t="str">
        <f t="shared" si="51"/>
        <v/>
      </c>
      <c r="GL69" s="1" t="str">
        <f t="shared" si="51"/>
        <v/>
      </c>
      <c r="GM69" s="1" t="str">
        <f t="shared" si="51"/>
        <v/>
      </c>
      <c r="GN69" s="1" t="str">
        <f t="shared" si="51"/>
        <v/>
      </c>
      <c r="GO69" s="1" t="str">
        <f t="shared" si="51"/>
        <v/>
      </c>
      <c r="GP69" s="1" t="str">
        <f t="shared" si="51"/>
        <v/>
      </c>
      <c r="GQ69" s="1" t="str">
        <f t="shared" si="51"/>
        <v/>
      </c>
      <c r="GR69" s="1" t="str">
        <f t="shared" si="51"/>
        <v/>
      </c>
      <c r="GS69" s="1" t="str">
        <f t="shared" si="51"/>
        <v/>
      </c>
      <c r="GT69" s="1" t="str">
        <f t="shared" si="50"/>
        <v/>
      </c>
      <c r="GU69" s="1" t="str">
        <f t="shared" si="50"/>
        <v/>
      </c>
      <c r="GV69" s="1" t="str">
        <f t="shared" si="50"/>
        <v/>
      </c>
      <c r="GW69" s="1" t="str">
        <f t="shared" si="50"/>
        <v/>
      </c>
      <c r="GX69" s="1" t="str">
        <f t="shared" si="50"/>
        <v/>
      </c>
      <c r="GY69" s="1" t="str">
        <f t="shared" si="39"/>
        <v/>
      </c>
      <c r="GZ69" s="1" t="str">
        <f t="shared" si="38"/>
        <v/>
      </c>
      <c r="HA69" s="1" t="str">
        <f t="shared" si="38"/>
        <v/>
      </c>
      <c r="HB69" s="1" t="str">
        <f t="shared" si="38"/>
        <v/>
      </c>
      <c r="HC69" s="1" t="str">
        <f t="shared" si="38"/>
        <v/>
      </c>
      <c r="HD69" s="1" t="str">
        <f t="shared" si="38"/>
        <v/>
      </c>
      <c r="HE69" s="1" t="str">
        <f t="shared" si="38"/>
        <v/>
      </c>
      <c r="HF69" s="1" t="str">
        <f t="shared" si="38"/>
        <v/>
      </c>
      <c r="HG69" s="1" t="str">
        <f t="shared" si="38"/>
        <v/>
      </c>
      <c r="HH69" s="1" t="str">
        <f t="shared" si="38"/>
        <v/>
      </c>
      <c r="HI69" s="1" t="str">
        <f t="shared" si="38"/>
        <v/>
      </c>
      <c r="HJ69" s="1" t="str">
        <f t="shared" si="38"/>
        <v/>
      </c>
      <c r="HK69" s="1" t="str">
        <f t="shared" si="38"/>
        <v/>
      </c>
      <c r="HL69" s="1" t="str">
        <f t="shared" si="38"/>
        <v/>
      </c>
      <c r="HM69" s="1" t="str">
        <f t="shared" si="38"/>
        <v/>
      </c>
      <c r="HN69" s="1" t="str">
        <f t="shared" si="38"/>
        <v/>
      </c>
      <c r="HO69" s="1" t="str">
        <f t="shared" si="38"/>
        <v/>
      </c>
      <c r="HP69" s="1" t="str">
        <f t="shared" si="47"/>
        <v/>
      </c>
      <c r="HQ69" s="1" t="str">
        <f t="shared" si="47"/>
        <v/>
      </c>
      <c r="HR69" s="1" t="str">
        <f t="shared" si="47"/>
        <v/>
      </c>
      <c r="HS69" s="1" t="str">
        <f t="shared" si="47"/>
        <v/>
      </c>
      <c r="HT69" s="1" t="str">
        <f t="shared" si="47"/>
        <v/>
      </c>
      <c r="HU69" s="1" t="str">
        <f t="shared" si="47"/>
        <v/>
      </c>
      <c r="HV69" s="1" t="str">
        <f t="shared" si="47"/>
        <v/>
      </c>
      <c r="HW69" s="1" t="str">
        <f t="shared" si="41"/>
        <v/>
      </c>
      <c r="HX69" s="1" t="str">
        <f t="shared" si="41"/>
        <v/>
      </c>
      <c r="HY69" s="1" t="str">
        <f t="shared" si="41"/>
        <v/>
      </c>
      <c r="HZ69" s="1" t="str">
        <f t="shared" si="41"/>
        <v/>
      </c>
      <c r="IA69" s="1" t="str">
        <f t="shared" si="41"/>
        <v/>
      </c>
      <c r="IB69" s="1" t="str">
        <f t="shared" si="41"/>
        <v/>
      </c>
      <c r="IC69" s="1" t="str">
        <f t="shared" si="41"/>
        <v/>
      </c>
      <c r="ID69" s="1" t="str">
        <f t="shared" si="41"/>
        <v/>
      </c>
      <c r="IE69" s="1" t="str">
        <f t="shared" si="41"/>
        <v/>
      </c>
      <c r="IF69" s="1" t="str">
        <f t="shared" si="41"/>
        <v/>
      </c>
      <c r="IG69" s="1" t="str">
        <f t="shared" si="41"/>
        <v/>
      </c>
      <c r="IH69" s="1" t="str">
        <f t="shared" si="41"/>
        <v/>
      </c>
      <c r="II69" s="1" t="str">
        <f t="shared" si="41"/>
        <v/>
      </c>
      <c r="IJ69" s="1" t="str">
        <f t="shared" si="41"/>
        <v/>
      </c>
      <c r="IK69" s="1" t="str">
        <f t="shared" si="41"/>
        <v/>
      </c>
      <c r="IL69" s="1" t="str">
        <f t="shared" si="41"/>
        <v/>
      </c>
      <c r="IM69" s="1" t="str">
        <f t="shared" si="42"/>
        <v/>
      </c>
      <c r="IN69" s="1" t="str">
        <f t="shared" si="42"/>
        <v/>
      </c>
      <c r="IO69" s="1" t="str">
        <f t="shared" si="42"/>
        <v/>
      </c>
      <c r="IP69" s="1" t="str">
        <f t="shared" si="42"/>
        <v/>
      </c>
      <c r="IQ69" s="1" t="str">
        <f t="shared" si="42"/>
        <v/>
      </c>
      <c r="IR69" s="1" t="str">
        <f t="shared" si="42"/>
        <v/>
      </c>
      <c r="IS69" s="1" t="str">
        <f t="shared" si="42"/>
        <v/>
      </c>
      <c r="IT69" s="1" t="str">
        <f t="shared" si="42"/>
        <v/>
      </c>
      <c r="IU69" s="1" t="str">
        <f t="shared" si="42"/>
        <v/>
      </c>
      <c r="IV69" s="1" t="str">
        <f t="shared" si="42"/>
        <v/>
      </c>
      <c r="IW69" s="1" t="str">
        <f t="shared" si="42"/>
        <v/>
      </c>
      <c r="IX69" s="1" t="str">
        <f t="shared" si="42"/>
        <v/>
      </c>
      <c r="IY69" s="1" t="str">
        <f t="shared" si="42"/>
        <v/>
      </c>
      <c r="IZ69" s="1" t="str">
        <f t="shared" si="42"/>
        <v/>
      </c>
      <c r="JA69" s="1" t="str">
        <f t="shared" si="42"/>
        <v/>
      </c>
      <c r="JB69" s="1" t="str">
        <f t="shared" si="42"/>
        <v/>
      </c>
      <c r="JC69" s="1" t="str">
        <f t="shared" si="43"/>
        <v/>
      </c>
      <c r="JD69" s="1" t="str">
        <f t="shared" si="43"/>
        <v/>
      </c>
      <c r="JE69" s="1" t="str">
        <f t="shared" si="43"/>
        <v/>
      </c>
      <c r="JF69" s="1" t="str">
        <f t="shared" si="43"/>
        <v/>
      </c>
      <c r="JG69" s="1" t="str">
        <f t="shared" si="37"/>
        <v/>
      </c>
      <c r="JH69" s="1" t="str">
        <f t="shared" si="37"/>
        <v/>
      </c>
      <c r="JI69" s="1" t="str">
        <f t="shared" si="37"/>
        <v/>
      </c>
      <c r="JJ69" s="1" t="str">
        <f t="shared" si="30"/>
        <v/>
      </c>
      <c r="JK69" s="1" t="str">
        <f t="shared" si="30"/>
        <v/>
      </c>
      <c r="JL69" s="1" t="str">
        <f t="shared" si="24"/>
        <v/>
      </c>
      <c r="JM69" s="1" t="str">
        <f t="shared" si="24"/>
        <v/>
      </c>
      <c r="JN69" s="1" t="str">
        <f t="shared" si="24"/>
        <v/>
      </c>
      <c r="JO69" s="1" t="str">
        <f t="shared" si="24"/>
        <v/>
      </c>
    </row>
    <row r="70" spans="1:275" ht="14.5" x14ac:dyDescent="0.35">
      <c r="A70" s="59" t="str">
        <f>IF('Data input'!A70&lt;&gt;"",'Data input'!A70,"")</f>
        <v/>
      </c>
      <c r="B70" s="15" t="str">
        <f>IF('Data input'!B70&lt;&gt;"",'Data input'!B70,"")</f>
        <v/>
      </c>
      <c r="C70" s="16" t="str">
        <f>IF('Data input'!C70="","",4*('Data input'!C70-'Data input'!C$108)/('Data input'!C$109-'Data input'!C$108)+1)</f>
        <v/>
      </c>
      <c r="D70" s="16" t="str">
        <f>IF('Data input'!D70="","",4*('Data input'!D70-'Data input'!D$108)/('Data input'!D$109-'Data input'!D$108)+1)</f>
        <v/>
      </c>
      <c r="E70" s="16" t="str">
        <f>IF('Data input'!E70="","",4*('Data input'!E70-'Data input'!E$108)/('Data input'!E$109-'Data input'!E$108)+1)</f>
        <v/>
      </c>
      <c r="F70" s="16" t="str">
        <f>IF('Data input'!F70="","",4*('Data input'!F70-'Data input'!F$108)/('Data input'!F$109-'Data input'!F$108)+1)</f>
        <v/>
      </c>
      <c r="G70" s="16" t="str">
        <f>IF('Data input'!G70="","",4*('Data input'!G70-'Data input'!G$108)/('Data input'!G$109-'Data input'!G$108)+1)</f>
        <v/>
      </c>
      <c r="H70" s="16" t="str">
        <f>IF('Data input'!H70="","",4*('Data input'!H70-'Data input'!H$108)/('Data input'!H$109-'Data input'!H$108)+1)</f>
        <v/>
      </c>
      <c r="I70" s="19" t="str">
        <f>IF('Data input'!I70="","",4*('Data input'!I70-'Data input'!I$108)/('Data input'!I$109-'Data input'!I$108)+1)</f>
        <v/>
      </c>
      <c r="J70" s="19" t="str">
        <f>IF('Data input'!J70="","",4*('Data input'!J70-'Data input'!J$108)/('Data input'!J$109-'Data input'!J$108)+1)</f>
        <v/>
      </c>
      <c r="K70" s="19" t="str">
        <f>IF('Data input'!K70="","",4*('Data input'!K70-'Data input'!K$108)/('Data input'!K$109-'Data input'!K$108)+1)</f>
        <v/>
      </c>
      <c r="L70" s="19" t="str">
        <f>IF('Data input'!L70="","",4*('Data input'!L70-'Data input'!L$108)/('Data input'!L$109-'Data input'!L$108)+1)</f>
        <v/>
      </c>
      <c r="M70" s="16" t="str">
        <f>IF('Data input'!M70="","",4*('Data input'!M70-'Data input'!M$108)/('Data input'!M$109-'Data input'!M$108)+1)</f>
        <v/>
      </c>
      <c r="N70" s="16" t="str">
        <f>IF('Data input'!N70="","",4*('Data input'!N70-'Data input'!N$108)/('Data input'!N$109-'Data input'!N$108)+1)</f>
        <v/>
      </c>
      <c r="O70" s="16" t="str">
        <f>IF('Data input'!O70="","",4*('Data input'!O70-'Data input'!O$108)/('Data input'!O$109-'Data input'!O$108)+1)</f>
        <v/>
      </c>
      <c r="P70" s="16" t="str">
        <f>IF('Data input'!P70="","",4*('Data input'!P70-'Data input'!P$108)/('Data input'!P$109-'Data input'!P$108)+1)</f>
        <v/>
      </c>
      <c r="Q70" s="16" t="str">
        <f>IF('Data input'!Q70="","",4*('Data input'!Q70-'Data input'!Q$108)/('Data input'!Q$109-'Data input'!Q$108)+1)</f>
        <v/>
      </c>
      <c r="R70" s="16" t="str">
        <f>IF('Data input'!R70="","",4*('Data input'!R70-'Data input'!R$108)/('Data input'!R$109-'Data input'!R$108)+1)</f>
        <v/>
      </c>
      <c r="S70" s="16" t="str">
        <f>IF('Data input'!S70="","",4*('Data input'!S70-'Data input'!S$108)/('Data input'!S$109-'Data input'!S$108)+1)</f>
        <v/>
      </c>
      <c r="T70" s="16" t="str">
        <f>IF('Data input'!T70="","",4*('Data input'!T70-'Data input'!T$108)/('Data input'!T$109-'Data input'!T$108)+1)</f>
        <v/>
      </c>
      <c r="U70" s="16" t="str">
        <f>IF('Data input'!U70="","",4*('Data input'!U70-'Data input'!U$108)/('Data input'!U$109-'Data input'!U$108)+1)</f>
        <v/>
      </c>
      <c r="V70" s="16" t="str">
        <f>IF('Data input'!V70="","",4*('Data input'!V70-'Data input'!V$108)/('Data input'!V$109-'Data input'!V$108)+1)</f>
        <v/>
      </c>
      <c r="W70" s="16" t="str">
        <f>IF('Data input'!W70="","",4*('Data input'!W70-'Data input'!W$108)/('Data input'!W$109-'Data input'!W$108)+1)</f>
        <v/>
      </c>
      <c r="X70" s="16" t="str">
        <f>IF('Data input'!X70="","",4*('Data input'!X70-'Data input'!X$108)/('Data input'!X$109-'Data input'!X$108)+1)</f>
        <v/>
      </c>
      <c r="Y70" s="16" t="str">
        <f>IF('Data input'!Y70="","",4*('Data input'!Y70-'Data input'!Y$108)/('Data input'!Y$109-'Data input'!Y$108)+1)</f>
        <v/>
      </c>
      <c r="Z70" s="16" t="str">
        <f>IF('Data input'!Z70="","",4*('Data input'!Z70-'Data input'!Z$108)/('Data input'!Z$109-'Data input'!Z$108)+1)</f>
        <v/>
      </c>
      <c r="AA70" s="62" t="str">
        <f>IF('Data input'!AA70="","",4*('Data input'!AA70-'Data input'!AA$108)/('Data input'!AA$109-'Data input'!AA$108)+1)</f>
        <v/>
      </c>
      <c r="AB70" s="78"/>
      <c r="AC70" s="79">
        <v>0</v>
      </c>
      <c r="AD70" s="80" t="e">
        <f t="shared" si="48"/>
        <v>#DIV/0!</v>
      </c>
      <c r="AE70" s="4"/>
      <c r="AF70" s="59" t="str">
        <f t="shared" si="40"/>
        <v/>
      </c>
      <c r="AG70" s="60" t="str">
        <f t="shared" si="40"/>
        <v/>
      </c>
      <c r="AH70"/>
      <c r="AI70"/>
      <c r="AJ70"/>
      <c r="AK70"/>
      <c r="AL70"/>
      <c r="AM70"/>
      <c r="AN70"/>
      <c r="AO70"/>
      <c r="AP70"/>
      <c r="AQ70"/>
      <c r="AR70"/>
      <c r="AS70" s="71" t="str">
        <f t="shared" si="44"/>
        <v/>
      </c>
      <c r="AT70" s="71" t="str">
        <f t="shared" si="44"/>
        <v/>
      </c>
      <c r="AU70" s="71" t="str">
        <f t="shared" si="44"/>
        <v/>
      </c>
      <c r="AV70" s="71" t="str">
        <f t="shared" si="44"/>
        <v/>
      </c>
      <c r="AW70" s="71" t="str">
        <f t="shared" si="44"/>
        <v/>
      </c>
      <c r="AX70" s="71" t="str">
        <f t="shared" si="45"/>
        <v/>
      </c>
      <c r="AY70" s="71" t="str">
        <f t="shared" si="45"/>
        <v/>
      </c>
      <c r="AZ70" s="71" t="str">
        <f t="shared" si="45"/>
        <v/>
      </c>
      <c r="BA70" s="71" t="str">
        <f t="shared" si="45"/>
        <v/>
      </c>
      <c r="BB70" s="71" t="str">
        <f t="shared" si="45"/>
        <v/>
      </c>
      <c r="BC70" s="18" t="str">
        <f>IF(C70&lt;&gt;"",(('Data input'!C$109-'Data input'!C$108)*(AS70-1)/4)+'Data input'!C$108,"")</f>
        <v/>
      </c>
      <c r="BD70" s="18" t="str">
        <f>IF(D70&lt;&gt;"",(('Data input'!D$109-'Data input'!D$108)*(AT70-1)/4)+'Data input'!D$108,"")</f>
        <v/>
      </c>
      <c r="BE70" s="18" t="str">
        <f>IF(E70&lt;&gt;"",(('Data input'!E$109-'Data input'!E$108)*(AU70-1)/4)+'Data input'!E$108,"")</f>
        <v/>
      </c>
      <c r="BF70" s="18" t="str">
        <f>IF(F70&lt;&gt;"",(('Data input'!F$109-'Data input'!F$108)*(AV70-1)/4)+'Data input'!F$108,"")</f>
        <v/>
      </c>
      <c r="BG70" s="18" t="str">
        <f>IF(G70&lt;&gt;"",(('Data input'!G$109-'Data input'!G$108)*(AW70-1)/4)+'Data input'!G$108,"")</f>
        <v/>
      </c>
      <c r="BH70" s="19" t="str">
        <f>IF(H70&lt;&gt;"",(('Data input'!H$109-'Data input'!H$108)*(AX70-1)/4)+'Data input'!H$108,"")</f>
        <v/>
      </c>
      <c r="BI70" s="18" t="str">
        <f>IF(I70&lt;&gt;"",(('Data input'!I$109-'Data input'!I$108)*(AY70-1)/4)+'Data input'!I$108,"")</f>
        <v/>
      </c>
      <c r="BJ70" s="19" t="str">
        <f>IF(J70&lt;&gt;"",(('Data input'!J$109-'Data input'!J$108)*(AZ70-1)/4)+'Data input'!J$108,"")</f>
        <v/>
      </c>
      <c r="BK70" s="19" t="str">
        <f>IF(K70&lt;&gt;"",(('Data input'!K$109-'Data input'!K$108)*(BA70-1)/4)+'Data input'!K$108,"")</f>
        <v/>
      </c>
      <c r="BL70" s="19" t="str">
        <f>IF(L70&lt;&gt;"",(('Data input'!L$109-'Data input'!L$108)*(BB70-1)/4)+'Data input'!L$108,"")</f>
        <v/>
      </c>
      <c r="BM70" s="18" t="str">
        <f>IF(C70&lt;&gt;"",BC70-'Data input'!C70,"")</f>
        <v/>
      </c>
      <c r="BN70" s="18" t="str">
        <f>IF(D70&lt;&gt;"",BD70-'Data input'!D70,"")</f>
        <v/>
      </c>
      <c r="BO70" s="18" t="str">
        <f>IF(E70&lt;&gt;"",BE70-'Data input'!E70,"")</f>
        <v/>
      </c>
      <c r="BP70" s="18" t="str">
        <f>IF(F70&lt;&gt;"",BF70-'Data input'!F70,"")</f>
        <v/>
      </c>
      <c r="BQ70" s="18" t="str">
        <f>IF(G70&lt;&gt;"",BG70-'Data input'!G70,"")</f>
        <v/>
      </c>
      <c r="BR70" s="19" t="str">
        <f>IF(H70&lt;&gt;"",BH70-'Data input'!H70,"")</f>
        <v/>
      </c>
      <c r="BS70" s="18" t="str">
        <f>IF(I70&lt;&gt;"",BI70-'Data input'!I70,"")</f>
        <v/>
      </c>
      <c r="BT70" s="18" t="str">
        <f>IF(J70&lt;&gt;"",BJ70-'Data input'!J70,"")</f>
        <v/>
      </c>
      <c r="BU70" s="18" t="str">
        <f>IF(K70&lt;&gt;"",BK70-'Data input'!K70,"")</f>
        <v/>
      </c>
      <c r="BV70" s="72" t="str">
        <f>IF(L70&lt;&gt;"",BL70-'Data input'!L70,"")</f>
        <v/>
      </c>
      <c r="BW70" s="121" t="str">
        <f t="shared" si="49"/>
        <v/>
      </c>
      <c r="FT70" s="1" t="str">
        <f t="shared" si="46"/>
        <v/>
      </c>
      <c r="FU70" s="1" t="str">
        <f t="shared" si="46"/>
        <v/>
      </c>
      <c r="FV70" s="1" t="str">
        <f t="shared" si="46"/>
        <v/>
      </c>
      <c r="FW70" s="1" t="str">
        <f t="shared" si="46"/>
        <v/>
      </c>
      <c r="FX70" s="1" t="str">
        <f t="shared" si="46"/>
        <v/>
      </c>
      <c r="FY70" s="1" t="str">
        <f t="shared" si="46"/>
        <v/>
      </c>
      <c r="FZ70" s="1" t="str">
        <f t="shared" si="46"/>
        <v/>
      </c>
      <c r="GA70" s="1" t="str">
        <f t="shared" si="46"/>
        <v/>
      </c>
      <c r="GB70" s="1" t="str">
        <f t="shared" si="46"/>
        <v/>
      </c>
      <c r="GC70" s="1" t="str">
        <f t="shared" si="46"/>
        <v/>
      </c>
      <c r="GD70" s="1" t="str">
        <f t="shared" si="46"/>
        <v/>
      </c>
      <c r="GE70" s="1" t="str">
        <f t="shared" si="46"/>
        <v/>
      </c>
      <c r="GF70" s="1" t="str">
        <f t="shared" si="46"/>
        <v/>
      </c>
      <c r="GG70" s="1" t="str">
        <f t="shared" si="46"/>
        <v/>
      </c>
      <c r="GH70" s="1" t="str">
        <f t="shared" si="46"/>
        <v/>
      </c>
      <c r="GI70" s="1" t="str">
        <f t="shared" si="46"/>
        <v/>
      </c>
      <c r="GJ70" s="1" t="str">
        <f t="shared" si="51"/>
        <v/>
      </c>
      <c r="GK70" s="1" t="str">
        <f t="shared" si="51"/>
        <v/>
      </c>
      <c r="GL70" s="1" t="str">
        <f t="shared" si="51"/>
        <v/>
      </c>
      <c r="GM70" s="1" t="str">
        <f t="shared" si="51"/>
        <v/>
      </c>
      <c r="GN70" s="1" t="str">
        <f t="shared" si="51"/>
        <v/>
      </c>
      <c r="GO70" s="1" t="str">
        <f t="shared" si="51"/>
        <v/>
      </c>
      <c r="GP70" s="1" t="str">
        <f t="shared" si="51"/>
        <v/>
      </c>
      <c r="GQ70" s="1" t="str">
        <f t="shared" si="51"/>
        <v/>
      </c>
      <c r="GR70" s="1" t="str">
        <f t="shared" si="51"/>
        <v/>
      </c>
      <c r="GS70" s="1" t="str">
        <f t="shared" si="51"/>
        <v/>
      </c>
      <c r="GT70" s="1" t="str">
        <f t="shared" si="50"/>
        <v/>
      </c>
      <c r="GU70" s="1" t="str">
        <f t="shared" si="50"/>
        <v/>
      </c>
      <c r="GV70" s="1" t="str">
        <f t="shared" si="50"/>
        <v/>
      </c>
      <c r="GW70" s="1" t="str">
        <f t="shared" si="50"/>
        <v/>
      </c>
      <c r="GX70" s="1" t="str">
        <f t="shared" si="50"/>
        <v/>
      </c>
      <c r="GY70" s="1" t="str">
        <f t="shared" si="39"/>
        <v/>
      </c>
      <c r="GZ70" s="1" t="str">
        <f t="shared" si="38"/>
        <v/>
      </c>
      <c r="HA70" s="1" t="str">
        <f t="shared" si="38"/>
        <v/>
      </c>
      <c r="HB70" s="1" t="str">
        <f t="shared" si="38"/>
        <v/>
      </c>
      <c r="HC70" s="1" t="str">
        <f t="shared" si="38"/>
        <v/>
      </c>
      <c r="HD70" s="1" t="str">
        <f t="shared" si="38"/>
        <v/>
      </c>
      <c r="HE70" s="1" t="str">
        <f t="shared" si="38"/>
        <v/>
      </c>
      <c r="HF70" s="1" t="str">
        <f t="shared" si="38"/>
        <v/>
      </c>
      <c r="HG70" s="1" t="str">
        <f t="shared" si="38"/>
        <v/>
      </c>
      <c r="HH70" s="1" t="str">
        <f t="shared" si="38"/>
        <v/>
      </c>
      <c r="HI70" s="1" t="str">
        <f t="shared" si="38"/>
        <v/>
      </c>
      <c r="HJ70" s="1" t="str">
        <f t="shared" si="38"/>
        <v/>
      </c>
      <c r="HK70" s="1" t="str">
        <f t="shared" si="38"/>
        <v/>
      </c>
      <c r="HL70" s="1" t="str">
        <f t="shared" si="38"/>
        <v/>
      </c>
      <c r="HM70" s="1" t="str">
        <f t="shared" si="38"/>
        <v/>
      </c>
      <c r="HN70" s="1" t="str">
        <f t="shared" si="38"/>
        <v/>
      </c>
      <c r="HO70" s="1" t="str">
        <f t="shared" si="38"/>
        <v/>
      </c>
      <c r="HP70" s="1" t="str">
        <f t="shared" si="47"/>
        <v/>
      </c>
      <c r="HQ70" s="1" t="str">
        <f t="shared" si="47"/>
        <v/>
      </c>
      <c r="HR70" s="1" t="str">
        <f t="shared" si="47"/>
        <v/>
      </c>
      <c r="HS70" s="1" t="str">
        <f t="shared" si="47"/>
        <v/>
      </c>
      <c r="HT70" s="1" t="str">
        <f t="shared" si="47"/>
        <v/>
      </c>
      <c r="HU70" s="1" t="str">
        <f t="shared" si="47"/>
        <v/>
      </c>
      <c r="HV70" s="1" t="str">
        <f t="shared" si="47"/>
        <v/>
      </c>
      <c r="HW70" s="1" t="str">
        <f t="shared" si="41"/>
        <v/>
      </c>
      <c r="HX70" s="1" t="str">
        <f t="shared" si="41"/>
        <v/>
      </c>
      <c r="HY70" s="1" t="str">
        <f t="shared" si="41"/>
        <v/>
      </c>
      <c r="HZ70" s="1" t="str">
        <f t="shared" si="41"/>
        <v/>
      </c>
      <c r="IA70" s="1" t="str">
        <f t="shared" si="41"/>
        <v/>
      </c>
      <c r="IB70" s="1" t="str">
        <f t="shared" si="41"/>
        <v/>
      </c>
      <c r="IC70" s="1" t="str">
        <f t="shared" si="41"/>
        <v/>
      </c>
      <c r="ID70" s="1" t="str">
        <f t="shared" si="41"/>
        <v/>
      </c>
      <c r="IE70" s="1" t="str">
        <f t="shared" si="41"/>
        <v/>
      </c>
      <c r="IF70" s="1" t="str">
        <f t="shared" si="41"/>
        <v/>
      </c>
      <c r="IG70" s="1" t="str">
        <f t="shared" si="41"/>
        <v/>
      </c>
      <c r="IH70" s="1" t="str">
        <f t="shared" si="41"/>
        <v/>
      </c>
      <c r="II70" s="1" t="str">
        <f t="shared" si="41"/>
        <v/>
      </c>
      <c r="IJ70" s="1" t="str">
        <f t="shared" si="41"/>
        <v/>
      </c>
      <c r="IK70" s="1" t="str">
        <f t="shared" si="41"/>
        <v/>
      </c>
      <c r="IL70" s="1" t="str">
        <f t="shared" si="41"/>
        <v/>
      </c>
      <c r="IM70" s="1" t="str">
        <f t="shared" si="42"/>
        <v/>
      </c>
      <c r="IN70" s="1" t="str">
        <f t="shared" si="42"/>
        <v/>
      </c>
      <c r="IO70" s="1" t="str">
        <f t="shared" si="42"/>
        <v/>
      </c>
      <c r="IP70" s="1" t="str">
        <f t="shared" si="42"/>
        <v/>
      </c>
      <c r="IQ70" s="1" t="str">
        <f t="shared" si="42"/>
        <v/>
      </c>
      <c r="IR70" s="1" t="str">
        <f t="shared" si="42"/>
        <v/>
      </c>
      <c r="IS70" s="1" t="str">
        <f t="shared" si="42"/>
        <v/>
      </c>
      <c r="IT70" s="1" t="str">
        <f t="shared" si="42"/>
        <v/>
      </c>
      <c r="IU70" s="1" t="str">
        <f t="shared" si="42"/>
        <v/>
      </c>
      <c r="IV70" s="1" t="str">
        <f t="shared" si="42"/>
        <v/>
      </c>
      <c r="IW70" s="1" t="str">
        <f t="shared" si="42"/>
        <v/>
      </c>
      <c r="IX70" s="1" t="str">
        <f t="shared" si="42"/>
        <v/>
      </c>
      <c r="IY70" s="1" t="str">
        <f t="shared" si="42"/>
        <v/>
      </c>
      <c r="IZ70" s="1" t="str">
        <f t="shared" si="42"/>
        <v/>
      </c>
      <c r="JA70" s="1" t="str">
        <f t="shared" si="42"/>
        <v/>
      </c>
      <c r="JB70" s="1" t="str">
        <f t="shared" si="42"/>
        <v/>
      </c>
      <c r="JC70" s="1" t="str">
        <f t="shared" si="43"/>
        <v/>
      </c>
      <c r="JD70" s="1" t="str">
        <f t="shared" si="43"/>
        <v/>
      </c>
      <c r="JE70" s="1" t="str">
        <f t="shared" si="43"/>
        <v/>
      </c>
      <c r="JF70" s="1" t="str">
        <f t="shared" si="43"/>
        <v/>
      </c>
      <c r="JG70" s="1" t="str">
        <f t="shared" si="37"/>
        <v/>
      </c>
      <c r="JH70" s="1" t="str">
        <f t="shared" si="37"/>
        <v/>
      </c>
      <c r="JI70" s="1" t="str">
        <f t="shared" si="37"/>
        <v/>
      </c>
      <c r="JJ70" s="1" t="str">
        <f t="shared" si="30"/>
        <v/>
      </c>
      <c r="JK70" s="1" t="str">
        <f t="shared" si="30"/>
        <v/>
      </c>
      <c r="JL70" s="1" t="str">
        <f t="shared" si="24"/>
        <v/>
      </c>
      <c r="JM70" s="1" t="str">
        <f t="shared" si="24"/>
        <v/>
      </c>
      <c r="JN70" s="1" t="str">
        <f t="shared" si="24"/>
        <v/>
      </c>
      <c r="JO70" s="1" t="str">
        <f t="shared" si="24"/>
        <v/>
      </c>
    </row>
    <row r="71" spans="1:275" ht="14.5" x14ac:dyDescent="0.35">
      <c r="A71" s="59" t="str">
        <f>IF('Data input'!A71&lt;&gt;"",'Data input'!A71,"")</f>
        <v/>
      </c>
      <c r="B71" s="15" t="str">
        <f>IF('Data input'!B71&lt;&gt;"",'Data input'!B71,"")</f>
        <v/>
      </c>
      <c r="C71" s="16" t="str">
        <f>IF('Data input'!C71="","",4*('Data input'!C71-'Data input'!C$108)/('Data input'!C$109-'Data input'!C$108)+1)</f>
        <v/>
      </c>
      <c r="D71" s="16" t="str">
        <f>IF('Data input'!D71="","",4*('Data input'!D71-'Data input'!D$108)/('Data input'!D$109-'Data input'!D$108)+1)</f>
        <v/>
      </c>
      <c r="E71" s="16" t="str">
        <f>IF('Data input'!E71="","",4*('Data input'!E71-'Data input'!E$108)/('Data input'!E$109-'Data input'!E$108)+1)</f>
        <v/>
      </c>
      <c r="F71" s="16" t="str">
        <f>IF('Data input'!F71="","",4*('Data input'!F71-'Data input'!F$108)/('Data input'!F$109-'Data input'!F$108)+1)</f>
        <v/>
      </c>
      <c r="G71" s="16" t="str">
        <f>IF('Data input'!G71="","",4*('Data input'!G71-'Data input'!G$108)/('Data input'!G$109-'Data input'!G$108)+1)</f>
        <v/>
      </c>
      <c r="H71" s="16" t="str">
        <f>IF('Data input'!H71="","",4*('Data input'!H71-'Data input'!H$108)/('Data input'!H$109-'Data input'!H$108)+1)</f>
        <v/>
      </c>
      <c r="I71" s="19" t="str">
        <f>IF('Data input'!I71="","",4*('Data input'!I71-'Data input'!I$108)/('Data input'!I$109-'Data input'!I$108)+1)</f>
        <v/>
      </c>
      <c r="J71" s="19" t="str">
        <f>IF('Data input'!J71="","",4*('Data input'!J71-'Data input'!J$108)/('Data input'!J$109-'Data input'!J$108)+1)</f>
        <v/>
      </c>
      <c r="K71" s="19" t="str">
        <f>IF('Data input'!K71="","",4*('Data input'!K71-'Data input'!K$108)/('Data input'!K$109-'Data input'!K$108)+1)</f>
        <v/>
      </c>
      <c r="L71" s="19" t="str">
        <f>IF('Data input'!L71="","",4*('Data input'!L71-'Data input'!L$108)/('Data input'!L$109-'Data input'!L$108)+1)</f>
        <v/>
      </c>
      <c r="M71" s="16" t="str">
        <f>IF('Data input'!M71="","",4*('Data input'!M71-'Data input'!M$108)/('Data input'!M$109-'Data input'!M$108)+1)</f>
        <v/>
      </c>
      <c r="N71" s="16" t="str">
        <f>IF('Data input'!N71="","",4*('Data input'!N71-'Data input'!N$108)/('Data input'!N$109-'Data input'!N$108)+1)</f>
        <v/>
      </c>
      <c r="O71" s="16" t="str">
        <f>IF('Data input'!O71="","",4*('Data input'!O71-'Data input'!O$108)/('Data input'!O$109-'Data input'!O$108)+1)</f>
        <v/>
      </c>
      <c r="P71" s="16" t="str">
        <f>IF('Data input'!P71="","",4*('Data input'!P71-'Data input'!P$108)/('Data input'!P$109-'Data input'!P$108)+1)</f>
        <v/>
      </c>
      <c r="Q71" s="16" t="str">
        <f>IF('Data input'!Q71="","",4*('Data input'!Q71-'Data input'!Q$108)/('Data input'!Q$109-'Data input'!Q$108)+1)</f>
        <v/>
      </c>
      <c r="R71" s="16" t="str">
        <f>IF('Data input'!R71="","",4*('Data input'!R71-'Data input'!R$108)/('Data input'!R$109-'Data input'!R$108)+1)</f>
        <v/>
      </c>
      <c r="S71" s="16" t="str">
        <f>IF('Data input'!S71="","",4*('Data input'!S71-'Data input'!S$108)/('Data input'!S$109-'Data input'!S$108)+1)</f>
        <v/>
      </c>
      <c r="T71" s="16" t="str">
        <f>IF('Data input'!T71="","",4*('Data input'!T71-'Data input'!T$108)/('Data input'!T$109-'Data input'!T$108)+1)</f>
        <v/>
      </c>
      <c r="U71" s="16" t="str">
        <f>IF('Data input'!U71="","",4*('Data input'!U71-'Data input'!U$108)/('Data input'!U$109-'Data input'!U$108)+1)</f>
        <v/>
      </c>
      <c r="V71" s="16" t="str">
        <f>IF('Data input'!V71="","",4*('Data input'!V71-'Data input'!V$108)/('Data input'!V$109-'Data input'!V$108)+1)</f>
        <v/>
      </c>
      <c r="W71" s="16" t="str">
        <f>IF('Data input'!W71="","",4*('Data input'!W71-'Data input'!W$108)/('Data input'!W$109-'Data input'!W$108)+1)</f>
        <v/>
      </c>
      <c r="X71" s="16" t="str">
        <f>IF('Data input'!X71="","",4*('Data input'!X71-'Data input'!X$108)/('Data input'!X$109-'Data input'!X$108)+1)</f>
        <v/>
      </c>
      <c r="Y71" s="16" t="str">
        <f>IF('Data input'!Y71="","",4*('Data input'!Y71-'Data input'!Y$108)/('Data input'!Y$109-'Data input'!Y$108)+1)</f>
        <v/>
      </c>
      <c r="Z71" s="16" t="str">
        <f>IF('Data input'!Z71="","",4*('Data input'!Z71-'Data input'!Z$108)/('Data input'!Z$109-'Data input'!Z$108)+1)</f>
        <v/>
      </c>
      <c r="AA71" s="62" t="str">
        <f>IF('Data input'!AA71="","",4*('Data input'!AA71-'Data input'!AA$108)/('Data input'!AA$109-'Data input'!AA$108)+1)</f>
        <v/>
      </c>
      <c r="AB71" s="78"/>
      <c r="AC71" s="79">
        <v>0</v>
      </c>
      <c r="AD71" s="80" t="e">
        <f t="shared" si="48"/>
        <v>#DIV/0!</v>
      </c>
      <c r="AE71" s="4"/>
      <c r="AF71" s="59" t="str">
        <f t="shared" si="40"/>
        <v/>
      </c>
      <c r="AG71" s="60" t="str">
        <f t="shared" si="40"/>
        <v/>
      </c>
      <c r="AH71"/>
      <c r="AI71"/>
      <c r="AJ71"/>
      <c r="AK71"/>
      <c r="AL71"/>
      <c r="AM71"/>
      <c r="AN71"/>
      <c r="AO71"/>
      <c r="AP71"/>
      <c r="AQ71"/>
      <c r="AR71"/>
      <c r="AS71" s="71" t="str">
        <f t="shared" si="44"/>
        <v/>
      </c>
      <c r="AT71" s="71" t="str">
        <f t="shared" si="44"/>
        <v/>
      </c>
      <c r="AU71" s="71" t="str">
        <f t="shared" si="44"/>
        <v/>
      </c>
      <c r="AV71" s="71" t="str">
        <f t="shared" si="44"/>
        <v/>
      </c>
      <c r="AW71" s="71" t="str">
        <f t="shared" si="44"/>
        <v/>
      </c>
      <c r="AX71" s="71" t="str">
        <f t="shared" si="45"/>
        <v/>
      </c>
      <c r="AY71" s="71" t="str">
        <f t="shared" si="45"/>
        <v/>
      </c>
      <c r="AZ71" s="71" t="str">
        <f t="shared" si="45"/>
        <v/>
      </c>
      <c r="BA71" s="71" t="str">
        <f t="shared" si="45"/>
        <v/>
      </c>
      <c r="BB71" s="71" t="str">
        <f t="shared" si="45"/>
        <v/>
      </c>
      <c r="BC71" s="18" t="str">
        <f>IF(C71&lt;&gt;"",(('Data input'!C$109-'Data input'!C$108)*(AS71-1)/4)+'Data input'!C$108,"")</f>
        <v/>
      </c>
      <c r="BD71" s="18" t="str">
        <f>IF(D71&lt;&gt;"",(('Data input'!D$109-'Data input'!D$108)*(AT71-1)/4)+'Data input'!D$108,"")</f>
        <v/>
      </c>
      <c r="BE71" s="18" t="str">
        <f>IF(E71&lt;&gt;"",(('Data input'!E$109-'Data input'!E$108)*(AU71-1)/4)+'Data input'!E$108,"")</f>
        <v/>
      </c>
      <c r="BF71" s="18" t="str">
        <f>IF(F71&lt;&gt;"",(('Data input'!F$109-'Data input'!F$108)*(AV71-1)/4)+'Data input'!F$108,"")</f>
        <v/>
      </c>
      <c r="BG71" s="18" t="str">
        <f>IF(G71&lt;&gt;"",(('Data input'!G$109-'Data input'!G$108)*(AW71-1)/4)+'Data input'!G$108,"")</f>
        <v/>
      </c>
      <c r="BH71" s="19" t="str">
        <f>IF(H71&lt;&gt;"",(('Data input'!H$109-'Data input'!H$108)*(AX71-1)/4)+'Data input'!H$108,"")</f>
        <v/>
      </c>
      <c r="BI71" s="18" t="str">
        <f>IF(I71&lt;&gt;"",(('Data input'!I$109-'Data input'!I$108)*(AY71-1)/4)+'Data input'!I$108,"")</f>
        <v/>
      </c>
      <c r="BJ71" s="19" t="str">
        <f>IF(J71&lt;&gt;"",(('Data input'!J$109-'Data input'!J$108)*(AZ71-1)/4)+'Data input'!J$108,"")</f>
        <v/>
      </c>
      <c r="BK71" s="19" t="str">
        <f>IF(K71&lt;&gt;"",(('Data input'!K$109-'Data input'!K$108)*(BA71-1)/4)+'Data input'!K$108,"")</f>
        <v/>
      </c>
      <c r="BL71" s="19" t="str">
        <f>IF(L71&lt;&gt;"",(('Data input'!L$109-'Data input'!L$108)*(BB71-1)/4)+'Data input'!L$108,"")</f>
        <v/>
      </c>
      <c r="BM71" s="18" t="str">
        <f>IF(C71&lt;&gt;"",BC71-'Data input'!C71,"")</f>
        <v/>
      </c>
      <c r="BN71" s="18" t="str">
        <f>IF(D71&lt;&gt;"",BD71-'Data input'!D71,"")</f>
        <v/>
      </c>
      <c r="BO71" s="18" t="str">
        <f>IF(E71&lt;&gt;"",BE71-'Data input'!E71,"")</f>
        <v/>
      </c>
      <c r="BP71" s="18" t="str">
        <f>IF(F71&lt;&gt;"",BF71-'Data input'!F71,"")</f>
        <v/>
      </c>
      <c r="BQ71" s="18" t="str">
        <f>IF(G71&lt;&gt;"",BG71-'Data input'!G71,"")</f>
        <v/>
      </c>
      <c r="BR71" s="19" t="str">
        <f>IF(H71&lt;&gt;"",BH71-'Data input'!H71,"")</f>
        <v/>
      </c>
      <c r="BS71" s="18" t="str">
        <f>IF(I71&lt;&gt;"",BI71-'Data input'!I71,"")</f>
        <v/>
      </c>
      <c r="BT71" s="18" t="str">
        <f>IF(J71&lt;&gt;"",BJ71-'Data input'!J71,"")</f>
        <v/>
      </c>
      <c r="BU71" s="18" t="str">
        <f>IF(K71&lt;&gt;"",BK71-'Data input'!K71,"")</f>
        <v/>
      </c>
      <c r="BV71" s="72" t="str">
        <f>IF(L71&lt;&gt;"",BL71-'Data input'!L71,"")</f>
        <v/>
      </c>
      <c r="BW71" s="121" t="str">
        <f t="shared" si="49"/>
        <v/>
      </c>
      <c r="FT71" s="1" t="str">
        <f t="shared" si="46"/>
        <v/>
      </c>
      <c r="FU71" s="1" t="str">
        <f t="shared" si="46"/>
        <v/>
      </c>
      <c r="FV71" s="1" t="str">
        <f t="shared" si="46"/>
        <v/>
      </c>
      <c r="FW71" s="1" t="str">
        <f t="shared" si="46"/>
        <v/>
      </c>
      <c r="FX71" s="1" t="str">
        <f t="shared" si="46"/>
        <v/>
      </c>
      <c r="FY71" s="1" t="str">
        <f t="shared" si="46"/>
        <v/>
      </c>
      <c r="FZ71" s="1" t="str">
        <f t="shared" si="46"/>
        <v/>
      </c>
      <c r="GA71" s="1" t="str">
        <f t="shared" si="46"/>
        <v/>
      </c>
      <c r="GB71" s="1" t="str">
        <f t="shared" si="46"/>
        <v/>
      </c>
      <c r="GC71" s="1" t="str">
        <f t="shared" si="46"/>
        <v/>
      </c>
      <c r="GD71" s="1" t="str">
        <f t="shared" si="46"/>
        <v/>
      </c>
      <c r="GE71" s="1" t="str">
        <f t="shared" si="46"/>
        <v/>
      </c>
      <c r="GF71" s="1" t="str">
        <f t="shared" si="46"/>
        <v/>
      </c>
      <c r="GG71" s="1" t="str">
        <f t="shared" si="46"/>
        <v/>
      </c>
      <c r="GH71" s="1" t="str">
        <f t="shared" si="46"/>
        <v/>
      </c>
      <c r="GI71" s="1" t="str">
        <f t="shared" si="46"/>
        <v/>
      </c>
      <c r="GJ71" s="1" t="str">
        <f t="shared" si="51"/>
        <v/>
      </c>
      <c r="GK71" s="1" t="str">
        <f t="shared" si="51"/>
        <v/>
      </c>
      <c r="GL71" s="1" t="str">
        <f t="shared" si="51"/>
        <v/>
      </c>
      <c r="GM71" s="1" t="str">
        <f t="shared" si="51"/>
        <v/>
      </c>
      <c r="GN71" s="1" t="str">
        <f t="shared" si="51"/>
        <v/>
      </c>
      <c r="GO71" s="1" t="str">
        <f t="shared" si="51"/>
        <v/>
      </c>
      <c r="GP71" s="1" t="str">
        <f t="shared" si="51"/>
        <v/>
      </c>
      <c r="GQ71" s="1" t="str">
        <f t="shared" si="51"/>
        <v/>
      </c>
      <c r="GR71" s="1" t="str">
        <f t="shared" si="51"/>
        <v/>
      </c>
      <c r="GS71" s="1" t="str">
        <f t="shared" si="51"/>
        <v/>
      </c>
      <c r="GT71" s="1" t="str">
        <f t="shared" si="50"/>
        <v/>
      </c>
      <c r="GU71" s="1" t="str">
        <f t="shared" si="50"/>
        <v/>
      </c>
      <c r="GV71" s="1" t="str">
        <f t="shared" si="50"/>
        <v/>
      </c>
      <c r="GW71" s="1" t="str">
        <f t="shared" si="50"/>
        <v/>
      </c>
      <c r="GX71" s="1" t="str">
        <f t="shared" si="50"/>
        <v/>
      </c>
      <c r="GY71" s="1" t="str">
        <f t="shared" si="39"/>
        <v/>
      </c>
      <c r="GZ71" s="1" t="str">
        <f t="shared" si="38"/>
        <v/>
      </c>
      <c r="HA71" s="1" t="str">
        <f t="shared" si="38"/>
        <v/>
      </c>
      <c r="HB71" s="1" t="str">
        <f t="shared" si="38"/>
        <v/>
      </c>
      <c r="HC71" s="1" t="str">
        <f t="shared" si="38"/>
        <v/>
      </c>
      <c r="HD71" s="1" t="str">
        <f t="shared" si="38"/>
        <v/>
      </c>
      <c r="HE71" s="1" t="str">
        <f t="shared" si="38"/>
        <v/>
      </c>
      <c r="HF71" s="1" t="str">
        <f t="shared" si="38"/>
        <v/>
      </c>
      <c r="HG71" s="1" t="str">
        <f t="shared" si="38"/>
        <v/>
      </c>
      <c r="HH71" s="1" t="str">
        <f t="shared" si="38"/>
        <v/>
      </c>
      <c r="HI71" s="1" t="str">
        <f t="shared" si="38"/>
        <v/>
      </c>
      <c r="HJ71" s="1" t="str">
        <f t="shared" si="38"/>
        <v/>
      </c>
      <c r="HK71" s="1" t="str">
        <f t="shared" si="38"/>
        <v/>
      </c>
      <c r="HL71" s="1" t="str">
        <f t="shared" si="38"/>
        <v/>
      </c>
      <c r="HM71" s="1" t="str">
        <f t="shared" si="38"/>
        <v/>
      </c>
      <c r="HN71" s="1" t="str">
        <f t="shared" si="38"/>
        <v/>
      </c>
      <c r="HO71" s="1" t="str">
        <f t="shared" ref="HO71:ID102" si="52">IF(DS71&gt;0.0001,CONCATENATE(DS$2,"; "),"")</f>
        <v/>
      </c>
      <c r="HP71" s="1" t="str">
        <f t="shared" si="47"/>
        <v/>
      </c>
      <c r="HQ71" s="1" t="str">
        <f t="shared" si="47"/>
        <v/>
      </c>
      <c r="HR71" s="1" t="str">
        <f t="shared" si="47"/>
        <v/>
      </c>
      <c r="HS71" s="1" t="str">
        <f t="shared" si="47"/>
        <v/>
      </c>
      <c r="HT71" s="1" t="str">
        <f t="shared" si="47"/>
        <v/>
      </c>
      <c r="HU71" s="1" t="str">
        <f t="shared" si="47"/>
        <v/>
      </c>
      <c r="HV71" s="1" t="str">
        <f t="shared" si="47"/>
        <v/>
      </c>
      <c r="HW71" s="1" t="str">
        <f t="shared" si="41"/>
        <v/>
      </c>
      <c r="HX71" s="1" t="str">
        <f t="shared" si="41"/>
        <v/>
      </c>
      <c r="HY71" s="1" t="str">
        <f t="shared" si="41"/>
        <v/>
      </c>
      <c r="HZ71" s="1" t="str">
        <f t="shared" si="41"/>
        <v/>
      </c>
      <c r="IA71" s="1" t="str">
        <f t="shared" si="41"/>
        <v/>
      </c>
      <c r="IB71" s="1" t="str">
        <f t="shared" si="41"/>
        <v/>
      </c>
      <c r="IC71" s="1" t="str">
        <f t="shared" si="41"/>
        <v/>
      </c>
      <c r="ID71" s="1" t="str">
        <f t="shared" si="41"/>
        <v/>
      </c>
      <c r="IE71" s="1" t="str">
        <f t="shared" si="41"/>
        <v/>
      </c>
      <c r="IF71" s="1" t="str">
        <f t="shared" si="41"/>
        <v/>
      </c>
      <c r="IG71" s="1" t="str">
        <f t="shared" si="41"/>
        <v/>
      </c>
      <c r="IH71" s="1" t="str">
        <f t="shared" si="41"/>
        <v/>
      </c>
      <c r="II71" s="1" t="str">
        <f t="shared" si="41"/>
        <v/>
      </c>
      <c r="IJ71" s="1" t="str">
        <f t="shared" si="41"/>
        <v/>
      </c>
      <c r="IK71" s="1" t="str">
        <f t="shared" si="41"/>
        <v/>
      </c>
      <c r="IL71" s="1" t="str">
        <f t="shared" si="41"/>
        <v/>
      </c>
      <c r="IM71" s="1" t="str">
        <f t="shared" si="42"/>
        <v/>
      </c>
      <c r="IN71" s="1" t="str">
        <f t="shared" si="42"/>
        <v/>
      </c>
      <c r="IO71" s="1" t="str">
        <f t="shared" si="42"/>
        <v/>
      </c>
      <c r="IP71" s="1" t="str">
        <f t="shared" si="42"/>
        <v/>
      </c>
      <c r="IQ71" s="1" t="str">
        <f t="shared" si="42"/>
        <v/>
      </c>
      <c r="IR71" s="1" t="str">
        <f t="shared" si="42"/>
        <v/>
      </c>
      <c r="IS71" s="1" t="str">
        <f t="shared" si="42"/>
        <v/>
      </c>
      <c r="IT71" s="1" t="str">
        <f t="shared" si="42"/>
        <v/>
      </c>
      <c r="IU71" s="1" t="str">
        <f t="shared" si="42"/>
        <v/>
      </c>
      <c r="IV71" s="1" t="str">
        <f t="shared" si="42"/>
        <v/>
      </c>
      <c r="IW71" s="1" t="str">
        <f t="shared" si="42"/>
        <v/>
      </c>
      <c r="IX71" s="1" t="str">
        <f t="shared" si="42"/>
        <v/>
      </c>
      <c r="IY71" s="1" t="str">
        <f t="shared" si="42"/>
        <v/>
      </c>
      <c r="IZ71" s="1" t="str">
        <f t="shared" si="42"/>
        <v/>
      </c>
      <c r="JA71" s="1" t="str">
        <f t="shared" si="42"/>
        <v/>
      </c>
      <c r="JB71" s="1" t="str">
        <f t="shared" si="42"/>
        <v/>
      </c>
      <c r="JC71" s="1" t="str">
        <f t="shared" si="43"/>
        <v/>
      </c>
      <c r="JD71" s="1" t="str">
        <f t="shared" si="43"/>
        <v/>
      </c>
      <c r="JE71" s="1" t="str">
        <f t="shared" si="43"/>
        <v/>
      </c>
      <c r="JF71" s="1" t="str">
        <f t="shared" si="43"/>
        <v/>
      </c>
      <c r="JG71" s="1" t="str">
        <f t="shared" si="37"/>
        <v/>
      </c>
      <c r="JH71" s="1" t="str">
        <f t="shared" si="37"/>
        <v/>
      </c>
      <c r="JI71" s="1" t="str">
        <f t="shared" si="37"/>
        <v/>
      </c>
      <c r="JJ71" s="1" t="str">
        <f t="shared" si="30"/>
        <v/>
      </c>
      <c r="JK71" s="1" t="str">
        <f t="shared" si="30"/>
        <v/>
      </c>
      <c r="JL71" s="1" t="str">
        <f t="shared" si="24"/>
        <v/>
      </c>
      <c r="JM71" s="1" t="str">
        <f t="shared" si="24"/>
        <v/>
      </c>
      <c r="JN71" s="1" t="str">
        <f t="shared" si="24"/>
        <v/>
      </c>
      <c r="JO71" s="1" t="str">
        <f t="shared" si="24"/>
        <v/>
      </c>
    </row>
    <row r="72" spans="1:275" ht="14.5" x14ac:dyDescent="0.35">
      <c r="A72" s="59" t="str">
        <f>IF('Data input'!A72&lt;&gt;"",'Data input'!A72,"")</f>
        <v/>
      </c>
      <c r="B72" s="15" t="str">
        <f>IF('Data input'!B72&lt;&gt;"",'Data input'!B72,"")</f>
        <v/>
      </c>
      <c r="C72" s="16" t="str">
        <f>IF('Data input'!C72="","",4*('Data input'!C72-'Data input'!C$108)/('Data input'!C$109-'Data input'!C$108)+1)</f>
        <v/>
      </c>
      <c r="D72" s="16" t="str">
        <f>IF('Data input'!D72="","",4*('Data input'!D72-'Data input'!D$108)/('Data input'!D$109-'Data input'!D$108)+1)</f>
        <v/>
      </c>
      <c r="E72" s="16" t="str">
        <f>IF('Data input'!E72="","",4*('Data input'!E72-'Data input'!E$108)/('Data input'!E$109-'Data input'!E$108)+1)</f>
        <v/>
      </c>
      <c r="F72" s="16" t="str">
        <f>IF('Data input'!F72="","",4*('Data input'!F72-'Data input'!F$108)/('Data input'!F$109-'Data input'!F$108)+1)</f>
        <v/>
      </c>
      <c r="G72" s="16" t="str">
        <f>IF('Data input'!G72="","",4*('Data input'!G72-'Data input'!G$108)/('Data input'!G$109-'Data input'!G$108)+1)</f>
        <v/>
      </c>
      <c r="H72" s="16" t="str">
        <f>IF('Data input'!H72="","",4*('Data input'!H72-'Data input'!H$108)/('Data input'!H$109-'Data input'!H$108)+1)</f>
        <v/>
      </c>
      <c r="I72" s="19" t="str">
        <f>IF('Data input'!I72="","",4*('Data input'!I72-'Data input'!I$108)/('Data input'!I$109-'Data input'!I$108)+1)</f>
        <v/>
      </c>
      <c r="J72" s="19" t="str">
        <f>IF('Data input'!J72="","",4*('Data input'!J72-'Data input'!J$108)/('Data input'!J$109-'Data input'!J$108)+1)</f>
        <v/>
      </c>
      <c r="K72" s="19" t="str">
        <f>IF('Data input'!K72="","",4*('Data input'!K72-'Data input'!K$108)/('Data input'!K$109-'Data input'!K$108)+1)</f>
        <v/>
      </c>
      <c r="L72" s="19" t="str">
        <f>IF('Data input'!L72="","",4*('Data input'!L72-'Data input'!L$108)/('Data input'!L$109-'Data input'!L$108)+1)</f>
        <v/>
      </c>
      <c r="M72" s="16" t="str">
        <f>IF('Data input'!M72="","",4*('Data input'!M72-'Data input'!M$108)/('Data input'!M$109-'Data input'!M$108)+1)</f>
        <v/>
      </c>
      <c r="N72" s="16" t="str">
        <f>IF('Data input'!N72="","",4*('Data input'!N72-'Data input'!N$108)/('Data input'!N$109-'Data input'!N$108)+1)</f>
        <v/>
      </c>
      <c r="O72" s="16" t="str">
        <f>IF('Data input'!O72="","",4*('Data input'!O72-'Data input'!O$108)/('Data input'!O$109-'Data input'!O$108)+1)</f>
        <v/>
      </c>
      <c r="P72" s="16" t="str">
        <f>IF('Data input'!P72="","",4*('Data input'!P72-'Data input'!P$108)/('Data input'!P$109-'Data input'!P$108)+1)</f>
        <v/>
      </c>
      <c r="Q72" s="16" t="str">
        <f>IF('Data input'!Q72="","",4*('Data input'!Q72-'Data input'!Q$108)/('Data input'!Q$109-'Data input'!Q$108)+1)</f>
        <v/>
      </c>
      <c r="R72" s="16" t="str">
        <f>IF('Data input'!R72="","",4*('Data input'!R72-'Data input'!R$108)/('Data input'!R$109-'Data input'!R$108)+1)</f>
        <v/>
      </c>
      <c r="S72" s="16" t="str">
        <f>IF('Data input'!S72="","",4*('Data input'!S72-'Data input'!S$108)/('Data input'!S$109-'Data input'!S$108)+1)</f>
        <v/>
      </c>
      <c r="T72" s="16" t="str">
        <f>IF('Data input'!T72="","",4*('Data input'!T72-'Data input'!T$108)/('Data input'!T$109-'Data input'!T$108)+1)</f>
        <v/>
      </c>
      <c r="U72" s="16" t="str">
        <f>IF('Data input'!U72="","",4*('Data input'!U72-'Data input'!U$108)/('Data input'!U$109-'Data input'!U$108)+1)</f>
        <v/>
      </c>
      <c r="V72" s="16" t="str">
        <f>IF('Data input'!V72="","",4*('Data input'!V72-'Data input'!V$108)/('Data input'!V$109-'Data input'!V$108)+1)</f>
        <v/>
      </c>
      <c r="W72" s="16" t="str">
        <f>IF('Data input'!W72="","",4*('Data input'!W72-'Data input'!W$108)/('Data input'!W$109-'Data input'!W$108)+1)</f>
        <v/>
      </c>
      <c r="X72" s="16" t="str">
        <f>IF('Data input'!X72="","",4*('Data input'!X72-'Data input'!X$108)/('Data input'!X$109-'Data input'!X$108)+1)</f>
        <v/>
      </c>
      <c r="Y72" s="16" t="str">
        <f>IF('Data input'!Y72="","",4*('Data input'!Y72-'Data input'!Y$108)/('Data input'!Y$109-'Data input'!Y$108)+1)</f>
        <v/>
      </c>
      <c r="Z72" s="16" t="str">
        <f>IF('Data input'!Z72="","",4*('Data input'!Z72-'Data input'!Z$108)/('Data input'!Z$109-'Data input'!Z$108)+1)</f>
        <v/>
      </c>
      <c r="AA72" s="62" t="str">
        <f>IF('Data input'!AA72="","",4*('Data input'!AA72-'Data input'!AA$108)/('Data input'!AA$109-'Data input'!AA$108)+1)</f>
        <v/>
      </c>
      <c r="AB72" s="78"/>
      <c r="AC72" s="79">
        <v>0</v>
      </c>
      <c r="AD72" s="80" t="e">
        <f t="shared" si="48"/>
        <v>#DIV/0!</v>
      </c>
      <c r="AE72" s="4"/>
      <c r="AF72" s="59" t="str">
        <f t="shared" si="40"/>
        <v/>
      </c>
      <c r="AG72" s="60" t="str">
        <f t="shared" si="40"/>
        <v/>
      </c>
      <c r="AH72"/>
      <c r="AI72"/>
      <c r="AJ72"/>
      <c r="AK72"/>
      <c r="AL72"/>
      <c r="AM72"/>
      <c r="AN72"/>
      <c r="AO72"/>
      <c r="AP72"/>
      <c r="AQ72"/>
      <c r="AR72"/>
      <c r="AS72" s="71" t="str">
        <f t="shared" si="44"/>
        <v/>
      </c>
      <c r="AT72" s="71" t="str">
        <f t="shared" si="44"/>
        <v/>
      </c>
      <c r="AU72" s="71" t="str">
        <f t="shared" si="44"/>
        <v/>
      </c>
      <c r="AV72" s="71" t="str">
        <f t="shared" si="44"/>
        <v/>
      </c>
      <c r="AW72" s="71" t="str">
        <f t="shared" si="44"/>
        <v/>
      </c>
      <c r="AX72" s="71" t="str">
        <f t="shared" si="45"/>
        <v/>
      </c>
      <c r="AY72" s="71" t="str">
        <f t="shared" si="45"/>
        <v/>
      </c>
      <c r="AZ72" s="71" t="str">
        <f t="shared" si="45"/>
        <v/>
      </c>
      <c r="BA72" s="71" t="str">
        <f t="shared" si="45"/>
        <v/>
      </c>
      <c r="BB72" s="71" t="str">
        <f t="shared" si="45"/>
        <v/>
      </c>
      <c r="BC72" s="18" t="str">
        <f>IF(C72&lt;&gt;"",(('Data input'!C$109-'Data input'!C$108)*(AS72-1)/4)+'Data input'!C$108,"")</f>
        <v/>
      </c>
      <c r="BD72" s="18" t="str">
        <f>IF(D72&lt;&gt;"",(('Data input'!D$109-'Data input'!D$108)*(AT72-1)/4)+'Data input'!D$108,"")</f>
        <v/>
      </c>
      <c r="BE72" s="18" t="str">
        <f>IF(E72&lt;&gt;"",(('Data input'!E$109-'Data input'!E$108)*(AU72-1)/4)+'Data input'!E$108,"")</f>
        <v/>
      </c>
      <c r="BF72" s="18" t="str">
        <f>IF(F72&lt;&gt;"",(('Data input'!F$109-'Data input'!F$108)*(AV72-1)/4)+'Data input'!F$108,"")</f>
        <v/>
      </c>
      <c r="BG72" s="18" t="str">
        <f>IF(G72&lt;&gt;"",(('Data input'!G$109-'Data input'!G$108)*(AW72-1)/4)+'Data input'!G$108,"")</f>
        <v/>
      </c>
      <c r="BH72" s="19" t="str">
        <f>IF(H72&lt;&gt;"",(('Data input'!H$109-'Data input'!H$108)*(AX72-1)/4)+'Data input'!H$108,"")</f>
        <v/>
      </c>
      <c r="BI72" s="18" t="str">
        <f>IF(I72&lt;&gt;"",(('Data input'!I$109-'Data input'!I$108)*(AY72-1)/4)+'Data input'!I$108,"")</f>
        <v/>
      </c>
      <c r="BJ72" s="19" t="str">
        <f>IF(J72&lt;&gt;"",(('Data input'!J$109-'Data input'!J$108)*(AZ72-1)/4)+'Data input'!J$108,"")</f>
        <v/>
      </c>
      <c r="BK72" s="19" t="str">
        <f>IF(K72&lt;&gt;"",(('Data input'!K$109-'Data input'!K$108)*(BA72-1)/4)+'Data input'!K$108,"")</f>
        <v/>
      </c>
      <c r="BL72" s="19" t="str">
        <f>IF(L72&lt;&gt;"",(('Data input'!L$109-'Data input'!L$108)*(BB72-1)/4)+'Data input'!L$108,"")</f>
        <v/>
      </c>
      <c r="BM72" s="18" t="str">
        <f>IF(C72&lt;&gt;"",BC72-'Data input'!C72,"")</f>
        <v/>
      </c>
      <c r="BN72" s="18" t="str">
        <f>IF(D72&lt;&gt;"",BD72-'Data input'!D72,"")</f>
        <v/>
      </c>
      <c r="BO72" s="18" t="str">
        <f>IF(E72&lt;&gt;"",BE72-'Data input'!E72,"")</f>
        <v/>
      </c>
      <c r="BP72" s="18" t="str">
        <f>IF(F72&lt;&gt;"",BF72-'Data input'!F72,"")</f>
        <v/>
      </c>
      <c r="BQ72" s="18" t="str">
        <f>IF(G72&lt;&gt;"",BG72-'Data input'!G72,"")</f>
        <v/>
      </c>
      <c r="BR72" s="19" t="str">
        <f>IF(H72&lt;&gt;"",BH72-'Data input'!H72,"")</f>
        <v/>
      </c>
      <c r="BS72" s="18" t="str">
        <f>IF(I72&lt;&gt;"",BI72-'Data input'!I72,"")</f>
        <v/>
      </c>
      <c r="BT72" s="18" t="str">
        <f>IF(J72&lt;&gt;"",BJ72-'Data input'!J72,"")</f>
        <v/>
      </c>
      <c r="BU72" s="18" t="str">
        <f>IF(K72&lt;&gt;"",BK72-'Data input'!K72,"")</f>
        <v/>
      </c>
      <c r="BV72" s="72" t="str">
        <f>IF(L72&lt;&gt;"",BL72-'Data input'!L72,"")</f>
        <v/>
      </c>
      <c r="BW72" s="121" t="str">
        <f t="shared" si="49"/>
        <v/>
      </c>
      <c r="FT72" s="1" t="str">
        <f t="shared" si="46"/>
        <v/>
      </c>
      <c r="FU72" s="1" t="str">
        <f t="shared" si="46"/>
        <v/>
      </c>
      <c r="FV72" s="1" t="str">
        <f t="shared" si="46"/>
        <v/>
      </c>
      <c r="FW72" s="1" t="str">
        <f t="shared" si="46"/>
        <v/>
      </c>
      <c r="FX72" s="1" t="str">
        <f t="shared" si="46"/>
        <v/>
      </c>
      <c r="FY72" s="1" t="str">
        <f t="shared" si="46"/>
        <v/>
      </c>
      <c r="FZ72" s="1" t="str">
        <f t="shared" si="46"/>
        <v/>
      </c>
      <c r="GA72" s="1" t="str">
        <f t="shared" si="46"/>
        <v/>
      </c>
      <c r="GB72" s="1" t="str">
        <f t="shared" si="46"/>
        <v/>
      </c>
      <c r="GC72" s="1" t="str">
        <f t="shared" si="46"/>
        <v/>
      </c>
      <c r="GD72" s="1" t="str">
        <f t="shared" si="46"/>
        <v/>
      </c>
      <c r="GE72" s="1" t="str">
        <f t="shared" si="46"/>
        <v/>
      </c>
      <c r="GF72" s="1" t="str">
        <f t="shared" si="46"/>
        <v/>
      </c>
      <c r="GG72" s="1" t="str">
        <f t="shared" si="46"/>
        <v/>
      </c>
      <c r="GH72" s="1" t="str">
        <f t="shared" si="46"/>
        <v/>
      </c>
      <c r="GI72" s="1" t="str">
        <f t="shared" si="46"/>
        <v/>
      </c>
      <c r="GJ72" s="1" t="str">
        <f t="shared" si="51"/>
        <v/>
      </c>
      <c r="GK72" s="1" t="str">
        <f t="shared" si="51"/>
        <v/>
      </c>
      <c r="GL72" s="1" t="str">
        <f t="shared" si="51"/>
        <v/>
      </c>
      <c r="GM72" s="1" t="str">
        <f t="shared" si="51"/>
        <v/>
      </c>
      <c r="GN72" s="1" t="str">
        <f t="shared" si="51"/>
        <v/>
      </c>
      <c r="GO72" s="1" t="str">
        <f t="shared" si="51"/>
        <v/>
      </c>
      <c r="GP72" s="1" t="str">
        <f t="shared" si="51"/>
        <v/>
      </c>
      <c r="GQ72" s="1" t="str">
        <f t="shared" si="51"/>
        <v/>
      </c>
      <c r="GR72" s="1" t="str">
        <f t="shared" si="51"/>
        <v/>
      </c>
      <c r="GS72" s="1" t="str">
        <f t="shared" si="51"/>
        <v/>
      </c>
      <c r="GT72" s="1" t="str">
        <f t="shared" si="50"/>
        <v/>
      </c>
      <c r="GU72" s="1" t="str">
        <f t="shared" si="50"/>
        <v/>
      </c>
      <c r="GV72" s="1" t="str">
        <f t="shared" si="50"/>
        <v/>
      </c>
      <c r="GW72" s="1" t="str">
        <f t="shared" si="50"/>
        <v/>
      </c>
      <c r="GX72" s="1" t="str">
        <f t="shared" si="50"/>
        <v/>
      </c>
      <c r="GY72" s="1" t="str">
        <f t="shared" si="39"/>
        <v/>
      </c>
      <c r="GZ72" s="1" t="str">
        <f t="shared" si="39"/>
        <v/>
      </c>
      <c r="HA72" s="1" t="str">
        <f t="shared" si="39"/>
        <v/>
      </c>
      <c r="HB72" s="1" t="str">
        <f t="shared" si="39"/>
        <v/>
      </c>
      <c r="HC72" s="1" t="str">
        <f t="shared" si="39"/>
        <v/>
      </c>
      <c r="HD72" s="1" t="str">
        <f t="shared" si="39"/>
        <v/>
      </c>
      <c r="HE72" s="1" t="str">
        <f t="shared" si="39"/>
        <v/>
      </c>
      <c r="HF72" s="1" t="str">
        <f t="shared" si="39"/>
        <v/>
      </c>
      <c r="HG72" s="1" t="str">
        <f t="shared" si="39"/>
        <v/>
      </c>
      <c r="HH72" s="1" t="str">
        <f t="shared" si="39"/>
        <v/>
      </c>
      <c r="HI72" s="1" t="str">
        <f t="shared" si="39"/>
        <v/>
      </c>
      <c r="HJ72" s="1" t="str">
        <f t="shared" si="39"/>
        <v/>
      </c>
      <c r="HK72" s="1" t="str">
        <f t="shared" si="39"/>
        <v/>
      </c>
      <c r="HL72" s="1" t="str">
        <f t="shared" si="39"/>
        <v/>
      </c>
      <c r="HM72" s="1" t="str">
        <f t="shared" si="39"/>
        <v/>
      </c>
      <c r="HN72" s="1" t="str">
        <f t="shared" si="39"/>
        <v/>
      </c>
      <c r="HO72" s="1" t="str">
        <f t="shared" si="52"/>
        <v/>
      </c>
      <c r="HP72" s="1" t="str">
        <f t="shared" si="47"/>
        <v/>
      </c>
      <c r="HQ72" s="1" t="str">
        <f t="shared" si="47"/>
        <v/>
      </c>
      <c r="HR72" s="1" t="str">
        <f t="shared" si="47"/>
        <v/>
      </c>
      <c r="HS72" s="1" t="str">
        <f t="shared" si="47"/>
        <v/>
      </c>
      <c r="HT72" s="1" t="str">
        <f t="shared" si="47"/>
        <v/>
      </c>
      <c r="HU72" s="1" t="str">
        <f t="shared" si="47"/>
        <v/>
      </c>
      <c r="HV72" s="1" t="str">
        <f t="shared" si="47"/>
        <v/>
      </c>
      <c r="HW72" s="1" t="str">
        <f t="shared" si="41"/>
        <v/>
      </c>
      <c r="HX72" s="1" t="str">
        <f t="shared" si="41"/>
        <v/>
      </c>
      <c r="HY72" s="1" t="str">
        <f t="shared" si="41"/>
        <v/>
      </c>
      <c r="HZ72" s="1" t="str">
        <f t="shared" si="41"/>
        <v/>
      </c>
      <c r="IA72" s="1" t="str">
        <f t="shared" si="41"/>
        <v/>
      </c>
      <c r="IB72" s="1" t="str">
        <f t="shared" si="41"/>
        <v/>
      </c>
      <c r="IC72" s="1" t="str">
        <f t="shared" si="41"/>
        <v/>
      </c>
      <c r="ID72" s="1" t="str">
        <f t="shared" si="41"/>
        <v/>
      </c>
      <c r="IE72" s="1" t="str">
        <f t="shared" si="41"/>
        <v/>
      </c>
      <c r="IF72" s="1" t="str">
        <f t="shared" si="41"/>
        <v/>
      </c>
      <c r="IG72" s="1" t="str">
        <f t="shared" si="41"/>
        <v/>
      </c>
      <c r="IH72" s="1" t="str">
        <f t="shared" si="41"/>
        <v/>
      </c>
      <c r="II72" s="1" t="str">
        <f t="shared" si="41"/>
        <v/>
      </c>
      <c r="IJ72" s="1" t="str">
        <f t="shared" si="41"/>
        <v/>
      </c>
      <c r="IK72" s="1" t="str">
        <f t="shared" si="41"/>
        <v/>
      </c>
      <c r="IL72" s="1" t="str">
        <f t="shared" si="41"/>
        <v/>
      </c>
      <c r="IM72" s="1" t="str">
        <f t="shared" si="42"/>
        <v/>
      </c>
      <c r="IN72" s="1" t="str">
        <f t="shared" si="42"/>
        <v/>
      </c>
      <c r="IO72" s="1" t="str">
        <f t="shared" si="42"/>
        <v/>
      </c>
      <c r="IP72" s="1" t="str">
        <f t="shared" si="42"/>
        <v/>
      </c>
      <c r="IQ72" s="1" t="str">
        <f t="shared" si="42"/>
        <v/>
      </c>
      <c r="IR72" s="1" t="str">
        <f t="shared" si="42"/>
        <v/>
      </c>
      <c r="IS72" s="1" t="str">
        <f t="shared" si="42"/>
        <v/>
      </c>
      <c r="IT72" s="1" t="str">
        <f t="shared" si="42"/>
        <v/>
      </c>
      <c r="IU72" s="1" t="str">
        <f t="shared" si="42"/>
        <v/>
      </c>
      <c r="IV72" s="1" t="str">
        <f t="shared" si="42"/>
        <v/>
      </c>
      <c r="IW72" s="1" t="str">
        <f t="shared" si="42"/>
        <v/>
      </c>
      <c r="IX72" s="1" t="str">
        <f t="shared" si="42"/>
        <v/>
      </c>
      <c r="IY72" s="1" t="str">
        <f t="shared" si="42"/>
        <v/>
      </c>
      <c r="IZ72" s="1" t="str">
        <f t="shared" si="42"/>
        <v/>
      </c>
      <c r="JA72" s="1" t="str">
        <f t="shared" si="42"/>
        <v/>
      </c>
      <c r="JB72" s="1" t="str">
        <f t="shared" si="42"/>
        <v/>
      </c>
      <c r="JC72" s="1" t="str">
        <f t="shared" si="43"/>
        <v/>
      </c>
      <c r="JD72" s="1" t="str">
        <f t="shared" si="43"/>
        <v/>
      </c>
      <c r="JE72" s="1" t="str">
        <f t="shared" si="43"/>
        <v/>
      </c>
      <c r="JF72" s="1" t="str">
        <f t="shared" si="43"/>
        <v/>
      </c>
      <c r="JG72" s="1" t="str">
        <f t="shared" si="37"/>
        <v/>
      </c>
      <c r="JH72" s="1" t="str">
        <f t="shared" si="37"/>
        <v/>
      </c>
      <c r="JI72" s="1" t="str">
        <f t="shared" si="37"/>
        <v/>
      </c>
      <c r="JJ72" s="1" t="str">
        <f t="shared" si="30"/>
        <v/>
      </c>
      <c r="JK72" s="1" t="str">
        <f t="shared" si="30"/>
        <v/>
      </c>
      <c r="JL72" s="1" t="str">
        <f t="shared" si="24"/>
        <v/>
      </c>
      <c r="JM72" s="1" t="str">
        <f t="shared" si="24"/>
        <v/>
      </c>
      <c r="JN72" s="1" t="str">
        <f t="shared" si="24"/>
        <v/>
      </c>
      <c r="JO72" s="1" t="str">
        <f t="shared" si="24"/>
        <v/>
      </c>
    </row>
    <row r="73" spans="1:275" ht="14.5" x14ac:dyDescent="0.35">
      <c r="A73" s="59" t="str">
        <f>IF('Data input'!A73&lt;&gt;"",'Data input'!A73,"")</f>
        <v/>
      </c>
      <c r="B73" s="15" t="str">
        <f>IF('Data input'!B73&lt;&gt;"",'Data input'!B73,"")</f>
        <v/>
      </c>
      <c r="C73" s="16" t="str">
        <f>IF('Data input'!C73="","",4*('Data input'!C73-'Data input'!C$108)/('Data input'!C$109-'Data input'!C$108)+1)</f>
        <v/>
      </c>
      <c r="D73" s="16" t="str">
        <f>IF('Data input'!D73="","",4*('Data input'!D73-'Data input'!D$108)/('Data input'!D$109-'Data input'!D$108)+1)</f>
        <v/>
      </c>
      <c r="E73" s="16" t="str">
        <f>IF('Data input'!E73="","",4*('Data input'!E73-'Data input'!E$108)/('Data input'!E$109-'Data input'!E$108)+1)</f>
        <v/>
      </c>
      <c r="F73" s="16" t="str">
        <f>IF('Data input'!F73="","",4*('Data input'!F73-'Data input'!F$108)/('Data input'!F$109-'Data input'!F$108)+1)</f>
        <v/>
      </c>
      <c r="G73" s="16" t="str">
        <f>IF('Data input'!G73="","",4*('Data input'!G73-'Data input'!G$108)/('Data input'!G$109-'Data input'!G$108)+1)</f>
        <v/>
      </c>
      <c r="H73" s="16" t="str">
        <f>IF('Data input'!H73="","",4*('Data input'!H73-'Data input'!H$108)/('Data input'!H$109-'Data input'!H$108)+1)</f>
        <v/>
      </c>
      <c r="I73" s="19" t="str">
        <f>IF('Data input'!I73="","",4*('Data input'!I73-'Data input'!I$108)/('Data input'!I$109-'Data input'!I$108)+1)</f>
        <v/>
      </c>
      <c r="J73" s="19" t="str">
        <f>IF('Data input'!J73="","",4*('Data input'!J73-'Data input'!J$108)/('Data input'!J$109-'Data input'!J$108)+1)</f>
        <v/>
      </c>
      <c r="K73" s="19" t="str">
        <f>IF('Data input'!K73="","",4*('Data input'!K73-'Data input'!K$108)/('Data input'!K$109-'Data input'!K$108)+1)</f>
        <v/>
      </c>
      <c r="L73" s="19" t="str">
        <f>IF('Data input'!L73="","",4*('Data input'!L73-'Data input'!L$108)/('Data input'!L$109-'Data input'!L$108)+1)</f>
        <v/>
      </c>
      <c r="M73" s="16" t="str">
        <f>IF('Data input'!M73="","",4*('Data input'!M73-'Data input'!M$108)/('Data input'!M$109-'Data input'!M$108)+1)</f>
        <v/>
      </c>
      <c r="N73" s="16" t="str">
        <f>IF('Data input'!N73="","",4*('Data input'!N73-'Data input'!N$108)/('Data input'!N$109-'Data input'!N$108)+1)</f>
        <v/>
      </c>
      <c r="O73" s="16" t="str">
        <f>IF('Data input'!O73="","",4*('Data input'!O73-'Data input'!O$108)/('Data input'!O$109-'Data input'!O$108)+1)</f>
        <v/>
      </c>
      <c r="P73" s="16" t="str">
        <f>IF('Data input'!P73="","",4*('Data input'!P73-'Data input'!P$108)/('Data input'!P$109-'Data input'!P$108)+1)</f>
        <v/>
      </c>
      <c r="Q73" s="16" t="str">
        <f>IF('Data input'!Q73="","",4*('Data input'!Q73-'Data input'!Q$108)/('Data input'!Q$109-'Data input'!Q$108)+1)</f>
        <v/>
      </c>
      <c r="R73" s="16" t="str">
        <f>IF('Data input'!R73="","",4*('Data input'!R73-'Data input'!R$108)/('Data input'!R$109-'Data input'!R$108)+1)</f>
        <v/>
      </c>
      <c r="S73" s="16" t="str">
        <f>IF('Data input'!S73="","",4*('Data input'!S73-'Data input'!S$108)/('Data input'!S$109-'Data input'!S$108)+1)</f>
        <v/>
      </c>
      <c r="T73" s="16" t="str">
        <f>IF('Data input'!T73="","",4*('Data input'!T73-'Data input'!T$108)/('Data input'!T$109-'Data input'!T$108)+1)</f>
        <v/>
      </c>
      <c r="U73" s="16" t="str">
        <f>IF('Data input'!U73="","",4*('Data input'!U73-'Data input'!U$108)/('Data input'!U$109-'Data input'!U$108)+1)</f>
        <v/>
      </c>
      <c r="V73" s="16" t="str">
        <f>IF('Data input'!V73="","",4*('Data input'!V73-'Data input'!V$108)/('Data input'!V$109-'Data input'!V$108)+1)</f>
        <v/>
      </c>
      <c r="W73" s="16" t="str">
        <f>IF('Data input'!W73="","",4*('Data input'!W73-'Data input'!W$108)/('Data input'!W$109-'Data input'!W$108)+1)</f>
        <v/>
      </c>
      <c r="X73" s="16" t="str">
        <f>IF('Data input'!X73="","",4*('Data input'!X73-'Data input'!X$108)/('Data input'!X$109-'Data input'!X$108)+1)</f>
        <v/>
      </c>
      <c r="Y73" s="16" t="str">
        <f>IF('Data input'!Y73="","",4*('Data input'!Y73-'Data input'!Y$108)/('Data input'!Y$109-'Data input'!Y$108)+1)</f>
        <v/>
      </c>
      <c r="Z73" s="16" t="str">
        <f>IF('Data input'!Z73="","",4*('Data input'!Z73-'Data input'!Z$108)/('Data input'!Z$109-'Data input'!Z$108)+1)</f>
        <v/>
      </c>
      <c r="AA73" s="62" t="str">
        <f>IF('Data input'!AA73="","",4*('Data input'!AA73-'Data input'!AA$108)/('Data input'!AA$109-'Data input'!AA$108)+1)</f>
        <v/>
      </c>
      <c r="AB73" s="78"/>
      <c r="AC73" s="79">
        <v>0</v>
      </c>
      <c r="AD73" s="80" t="e">
        <f t="shared" si="48"/>
        <v>#DIV/0!</v>
      </c>
      <c r="AE73" s="4"/>
      <c r="AF73" s="59" t="str">
        <f t="shared" si="40"/>
        <v/>
      </c>
      <c r="AG73" s="60" t="str">
        <f t="shared" si="40"/>
        <v/>
      </c>
      <c r="AH73"/>
      <c r="AI73"/>
      <c r="AJ73"/>
      <c r="AK73"/>
      <c r="AL73"/>
      <c r="AM73"/>
      <c r="AN73"/>
      <c r="AO73"/>
      <c r="AP73"/>
      <c r="AQ73"/>
      <c r="AR73"/>
      <c r="AS73" s="71" t="str">
        <f t="shared" si="44"/>
        <v/>
      </c>
      <c r="AT73" s="71" t="str">
        <f t="shared" si="44"/>
        <v/>
      </c>
      <c r="AU73" s="71" t="str">
        <f t="shared" si="44"/>
        <v/>
      </c>
      <c r="AV73" s="71" t="str">
        <f t="shared" si="44"/>
        <v/>
      </c>
      <c r="AW73" s="71" t="str">
        <f t="shared" si="44"/>
        <v/>
      </c>
      <c r="AX73" s="71" t="str">
        <f t="shared" si="45"/>
        <v/>
      </c>
      <c r="AY73" s="71" t="str">
        <f t="shared" si="45"/>
        <v/>
      </c>
      <c r="AZ73" s="71" t="str">
        <f t="shared" si="45"/>
        <v/>
      </c>
      <c r="BA73" s="71" t="str">
        <f t="shared" si="45"/>
        <v/>
      </c>
      <c r="BB73" s="71" t="str">
        <f t="shared" si="45"/>
        <v/>
      </c>
      <c r="BC73" s="18" t="str">
        <f>IF(C73&lt;&gt;"",(('Data input'!C$109-'Data input'!C$108)*(AS73-1)/4)+'Data input'!C$108,"")</f>
        <v/>
      </c>
      <c r="BD73" s="18" t="str">
        <f>IF(D73&lt;&gt;"",(('Data input'!D$109-'Data input'!D$108)*(AT73-1)/4)+'Data input'!D$108,"")</f>
        <v/>
      </c>
      <c r="BE73" s="18" t="str">
        <f>IF(E73&lt;&gt;"",(('Data input'!E$109-'Data input'!E$108)*(AU73-1)/4)+'Data input'!E$108,"")</f>
        <v/>
      </c>
      <c r="BF73" s="18" t="str">
        <f>IF(F73&lt;&gt;"",(('Data input'!F$109-'Data input'!F$108)*(AV73-1)/4)+'Data input'!F$108,"")</f>
        <v/>
      </c>
      <c r="BG73" s="18" t="str">
        <f>IF(G73&lt;&gt;"",(('Data input'!G$109-'Data input'!G$108)*(AW73-1)/4)+'Data input'!G$108,"")</f>
        <v/>
      </c>
      <c r="BH73" s="19" t="str">
        <f>IF(H73&lt;&gt;"",(('Data input'!H$109-'Data input'!H$108)*(AX73-1)/4)+'Data input'!H$108,"")</f>
        <v/>
      </c>
      <c r="BI73" s="18" t="str">
        <f>IF(I73&lt;&gt;"",(('Data input'!I$109-'Data input'!I$108)*(AY73-1)/4)+'Data input'!I$108,"")</f>
        <v/>
      </c>
      <c r="BJ73" s="19" t="str">
        <f>IF(J73&lt;&gt;"",(('Data input'!J$109-'Data input'!J$108)*(AZ73-1)/4)+'Data input'!J$108,"")</f>
        <v/>
      </c>
      <c r="BK73" s="19" t="str">
        <f>IF(K73&lt;&gt;"",(('Data input'!K$109-'Data input'!K$108)*(BA73-1)/4)+'Data input'!K$108,"")</f>
        <v/>
      </c>
      <c r="BL73" s="19" t="str">
        <f>IF(L73&lt;&gt;"",(('Data input'!L$109-'Data input'!L$108)*(BB73-1)/4)+'Data input'!L$108,"")</f>
        <v/>
      </c>
      <c r="BM73" s="18" t="str">
        <f>IF(C73&lt;&gt;"",BC73-'Data input'!C73,"")</f>
        <v/>
      </c>
      <c r="BN73" s="18" t="str">
        <f>IF(D73&lt;&gt;"",BD73-'Data input'!D73,"")</f>
        <v/>
      </c>
      <c r="BO73" s="18" t="str">
        <f>IF(E73&lt;&gt;"",BE73-'Data input'!E73,"")</f>
        <v/>
      </c>
      <c r="BP73" s="18" t="str">
        <f>IF(F73&lt;&gt;"",BF73-'Data input'!F73,"")</f>
        <v/>
      </c>
      <c r="BQ73" s="18" t="str">
        <f>IF(G73&lt;&gt;"",BG73-'Data input'!G73,"")</f>
        <v/>
      </c>
      <c r="BR73" s="19" t="str">
        <f>IF(H73&lt;&gt;"",BH73-'Data input'!H73,"")</f>
        <v/>
      </c>
      <c r="BS73" s="18" t="str">
        <f>IF(I73&lt;&gt;"",BI73-'Data input'!I73,"")</f>
        <v/>
      </c>
      <c r="BT73" s="18" t="str">
        <f>IF(J73&lt;&gt;"",BJ73-'Data input'!J73,"")</f>
        <v/>
      </c>
      <c r="BU73" s="18" t="str">
        <f>IF(K73&lt;&gt;"",BK73-'Data input'!K73,"")</f>
        <v/>
      </c>
      <c r="BV73" s="72" t="str">
        <f>IF(L73&lt;&gt;"",BL73-'Data input'!L73,"")</f>
        <v/>
      </c>
      <c r="BW73" s="121" t="str">
        <f t="shared" si="49"/>
        <v/>
      </c>
      <c r="FT73" s="1" t="str">
        <f t="shared" si="46"/>
        <v/>
      </c>
      <c r="FU73" s="1" t="str">
        <f t="shared" si="46"/>
        <v/>
      </c>
      <c r="FV73" s="1" t="str">
        <f t="shared" si="46"/>
        <v/>
      </c>
      <c r="FW73" s="1" t="str">
        <f t="shared" si="46"/>
        <v/>
      </c>
      <c r="FX73" s="1" t="str">
        <f t="shared" si="46"/>
        <v/>
      </c>
      <c r="FY73" s="1" t="str">
        <f t="shared" si="46"/>
        <v/>
      </c>
      <c r="FZ73" s="1" t="str">
        <f t="shared" si="46"/>
        <v/>
      </c>
      <c r="GA73" s="1" t="str">
        <f t="shared" si="46"/>
        <v/>
      </c>
      <c r="GB73" s="1" t="str">
        <f t="shared" si="46"/>
        <v/>
      </c>
      <c r="GC73" s="1" t="str">
        <f t="shared" si="46"/>
        <v/>
      </c>
      <c r="GD73" s="1" t="str">
        <f t="shared" si="46"/>
        <v/>
      </c>
      <c r="GE73" s="1" t="str">
        <f t="shared" si="46"/>
        <v/>
      </c>
      <c r="GF73" s="1" t="str">
        <f t="shared" si="46"/>
        <v/>
      </c>
      <c r="GG73" s="1" t="str">
        <f t="shared" si="46"/>
        <v/>
      </c>
      <c r="GH73" s="1" t="str">
        <f t="shared" si="46"/>
        <v/>
      </c>
      <c r="GI73" s="1" t="str">
        <f t="shared" si="46"/>
        <v/>
      </c>
      <c r="GJ73" s="1" t="str">
        <f t="shared" si="51"/>
        <v/>
      </c>
      <c r="GK73" s="1" t="str">
        <f t="shared" si="51"/>
        <v/>
      </c>
      <c r="GL73" s="1" t="str">
        <f t="shared" si="51"/>
        <v/>
      </c>
      <c r="GM73" s="1" t="str">
        <f t="shared" si="51"/>
        <v/>
      </c>
      <c r="GN73" s="1" t="str">
        <f t="shared" si="51"/>
        <v/>
      </c>
      <c r="GO73" s="1" t="str">
        <f t="shared" si="51"/>
        <v/>
      </c>
      <c r="GP73" s="1" t="str">
        <f t="shared" si="51"/>
        <v/>
      </c>
      <c r="GQ73" s="1" t="str">
        <f t="shared" si="51"/>
        <v/>
      </c>
      <c r="GR73" s="1" t="str">
        <f t="shared" si="51"/>
        <v/>
      </c>
      <c r="GS73" s="1" t="str">
        <f t="shared" si="51"/>
        <v/>
      </c>
      <c r="GT73" s="1" t="str">
        <f t="shared" si="50"/>
        <v/>
      </c>
      <c r="GU73" s="1" t="str">
        <f t="shared" si="50"/>
        <v/>
      </c>
      <c r="GV73" s="1" t="str">
        <f t="shared" si="50"/>
        <v/>
      </c>
      <c r="GW73" s="1" t="str">
        <f t="shared" si="50"/>
        <v/>
      </c>
      <c r="GX73" s="1" t="str">
        <f t="shared" si="50"/>
        <v/>
      </c>
      <c r="GY73" s="1" t="str">
        <f t="shared" si="39"/>
        <v/>
      </c>
      <c r="GZ73" s="1" t="str">
        <f t="shared" si="39"/>
        <v/>
      </c>
      <c r="HA73" s="1" t="str">
        <f t="shared" si="39"/>
        <v/>
      </c>
      <c r="HB73" s="1" t="str">
        <f t="shared" si="39"/>
        <v/>
      </c>
      <c r="HC73" s="1" t="str">
        <f t="shared" si="39"/>
        <v/>
      </c>
      <c r="HD73" s="1" t="str">
        <f t="shared" si="39"/>
        <v/>
      </c>
      <c r="HE73" s="1" t="str">
        <f t="shared" si="39"/>
        <v/>
      </c>
      <c r="HF73" s="1" t="str">
        <f t="shared" si="39"/>
        <v/>
      </c>
      <c r="HG73" s="1" t="str">
        <f t="shared" si="39"/>
        <v/>
      </c>
      <c r="HH73" s="1" t="str">
        <f t="shared" si="39"/>
        <v/>
      </c>
      <c r="HI73" s="1" t="str">
        <f t="shared" si="39"/>
        <v/>
      </c>
      <c r="HJ73" s="1" t="str">
        <f t="shared" si="39"/>
        <v/>
      </c>
      <c r="HK73" s="1" t="str">
        <f t="shared" si="39"/>
        <v/>
      </c>
      <c r="HL73" s="1" t="str">
        <f t="shared" si="39"/>
        <v/>
      </c>
      <c r="HM73" s="1" t="str">
        <f t="shared" si="39"/>
        <v/>
      </c>
      <c r="HN73" s="1" t="str">
        <f t="shared" si="39"/>
        <v/>
      </c>
      <c r="HO73" s="1" t="str">
        <f t="shared" si="52"/>
        <v/>
      </c>
      <c r="HP73" s="1" t="str">
        <f t="shared" si="47"/>
        <v/>
      </c>
      <c r="HQ73" s="1" t="str">
        <f t="shared" si="47"/>
        <v/>
      </c>
      <c r="HR73" s="1" t="str">
        <f t="shared" si="47"/>
        <v/>
      </c>
      <c r="HS73" s="1" t="str">
        <f t="shared" si="47"/>
        <v/>
      </c>
      <c r="HT73" s="1" t="str">
        <f t="shared" si="47"/>
        <v/>
      </c>
      <c r="HU73" s="1" t="str">
        <f t="shared" si="47"/>
        <v/>
      </c>
      <c r="HV73" s="1" t="str">
        <f t="shared" si="47"/>
        <v/>
      </c>
      <c r="HW73" s="1" t="str">
        <f t="shared" si="41"/>
        <v/>
      </c>
      <c r="HX73" s="1" t="str">
        <f t="shared" si="41"/>
        <v/>
      </c>
      <c r="HY73" s="1" t="str">
        <f t="shared" si="41"/>
        <v/>
      </c>
      <c r="HZ73" s="1" t="str">
        <f t="shared" si="41"/>
        <v/>
      </c>
      <c r="IA73" s="1" t="str">
        <f t="shared" si="41"/>
        <v/>
      </c>
      <c r="IB73" s="1" t="str">
        <f t="shared" si="41"/>
        <v/>
      </c>
      <c r="IC73" s="1" t="str">
        <f t="shared" si="41"/>
        <v/>
      </c>
      <c r="ID73" s="1" t="str">
        <f t="shared" si="41"/>
        <v/>
      </c>
      <c r="IE73" s="1" t="str">
        <f t="shared" si="41"/>
        <v/>
      </c>
      <c r="IF73" s="1" t="str">
        <f t="shared" si="41"/>
        <v/>
      </c>
      <c r="IG73" s="1" t="str">
        <f t="shared" si="41"/>
        <v/>
      </c>
      <c r="IH73" s="1" t="str">
        <f t="shared" si="41"/>
        <v/>
      </c>
      <c r="II73" s="1" t="str">
        <f t="shared" si="41"/>
        <v/>
      </c>
      <c r="IJ73" s="1" t="str">
        <f t="shared" si="41"/>
        <v/>
      </c>
      <c r="IK73" s="1" t="str">
        <f t="shared" si="41"/>
        <v/>
      </c>
      <c r="IL73" s="1" t="str">
        <f t="shared" si="41"/>
        <v/>
      </c>
      <c r="IM73" s="1" t="str">
        <f t="shared" si="42"/>
        <v/>
      </c>
      <c r="IN73" s="1" t="str">
        <f t="shared" si="42"/>
        <v/>
      </c>
      <c r="IO73" s="1" t="str">
        <f t="shared" si="42"/>
        <v/>
      </c>
      <c r="IP73" s="1" t="str">
        <f t="shared" si="42"/>
        <v/>
      </c>
      <c r="IQ73" s="1" t="str">
        <f t="shared" si="42"/>
        <v/>
      </c>
      <c r="IR73" s="1" t="str">
        <f t="shared" si="42"/>
        <v/>
      </c>
      <c r="IS73" s="1" t="str">
        <f t="shared" si="42"/>
        <v/>
      </c>
      <c r="IT73" s="1" t="str">
        <f t="shared" si="42"/>
        <v/>
      </c>
      <c r="IU73" s="1" t="str">
        <f t="shared" si="42"/>
        <v/>
      </c>
      <c r="IV73" s="1" t="str">
        <f t="shared" si="42"/>
        <v/>
      </c>
      <c r="IW73" s="1" t="str">
        <f t="shared" si="42"/>
        <v/>
      </c>
      <c r="IX73" s="1" t="str">
        <f t="shared" si="42"/>
        <v/>
      </c>
      <c r="IY73" s="1" t="str">
        <f t="shared" si="42"/>
        <v/>
      </c>
      <c r="IZ73" s="1" t="str">
        <f t="shared" si="42"/>
        <v/>
      </c>
      <c r="JA73" s="1" t="str">
        <f t="shared" si="42"/>
        <v/>
      </c>
      <c r="JB73" s="1" t="str">
        <f t="shared" si="42"/>
        <v/>
      </c>
      <c r="JC73" s="1" t="str">
        <f t="shared" si="43"/>
        <v/>
      </c>
      <c r="JD73" s="1" t="str">
        <f t="shared" si="43"/>
        <v/>
      </c>
      <c r="JE73" s="1" t="str">
        <f t="shared" si="43"/>
        <v/>
      </c>
      <c r="JF73" s="1" t="str">
        <f t="shared" si="43"/>
        <v/>
      </c>
      <c r="JG73" s="1" t="str">
        <f t="shared" si="37"/>
        <v/>
      </c>
      <c r="JH73" s="1" t="str">
        <f t="shared" si="37"/>
        <v/>
      </c>
      <c r="JI73" s="1" t="str">
        <f t="shared" si="37"/>
        <v/>
      </c>
      <c r="JJ73" s="1" t="str">
        <f t="shared" si="30"/>
        <v/>
      </c>
      <c r="JK73" s="1" t="str">
        <f t="shared" si="30"/>
        <v/>
      </c>
      <c r="JL73" s="1" t="str">
        <f t="shared" si="24"/>
        <v/>
      </c>
      <c r="JM73" s="1" t="str">
        <f t="shared" si="24"/>
        <v/>
      </c>
      <c r="JN73" s="1" t="str">
        <f t="shared" si="24"/>
        <v/>
      </c>
      <c r="JO73" s="1" t="str">
        <f t="shared" si="24"/>
        <v/>
      </c>
    </row>
    <row r="74" spans="1:275" ht="14.5" x14ac:dyDescent="0.35">
      <c r="A74" s="59" t="str">
        <f>IF('Data input'!A74&lt;&gt;"",'Data input'!A74,"")</f>
        <v/>
      </c>
      <c r="B74" s="15" t="str">
        <f>IF('Data input'!B74&lt;&gt;"",'Data input'!B74,"")</f>
        <v/>
      </c>
      <c r="C74" s="16" t="str">
        <f>IF('Data input'!C74="","",4*('Data input'!C74-'Data input'!C$108)/('Data input'!C$109-'Data input'!C$108)+1)</f>
        <v/>
      </c>
      <c r="D74" s="16" t="str">
        <f>IF('Data input'!D74="","",4*('Data input'!D74-'Data input'!D$108)/('Data input'!D$109-'Data input'!D$108)+1)</f>
        <v/>
      </c>
      <c r="E74" s="16" t="str">
        <f>IF('Data input'!E74="","",4*('Data input'!E74-'Data input'!E$108)/('Data input'!E$109-'Data input'!E$108)+1)</f>
        <v/>
      </c>
      <c r="F74" s="16" t="str">
        <f>IF('Data input'!F74="","",4*('Data input'!F74-'Data input'!F$108)/('Data input'!F$109-'Data input'!F$108)+1)</f>
        <v/>
      </c>
      <c r="G74" s="16" t="str">
        <f>IF('Data input'!G74="","",4*('Data input'!G74-'Data input'!G$108)/('Data input'!G$109-'Data input'!G$108)+1)</f>
        <v/>
      </c>
      <c r="H74" s="16" t="str">
        <f>IF('Data input'!H74="","",4*('Data input'!H74-'Data input'!H$108)/('Data input'!H$109-'Data input'!H$108)+1)</f>
        <v/>
      </c>
      <c r="I74" s="19" t="str">
        <f>IF('Data input'!I74="","",4*('Data input'!I74-'Data input'!I$108)/('Data input'!I$109-'Data input'!I$108)+1)</f>
        <v/>
      </c>
      <c r="J74" s="19" t="str">
        <f>IF('Data input'!J74="","",4*('Data input'!J74-'Data input'!J$108)/('Data input'!J$109-'Data input'!J$108)+1)</f>
        <v/>
      </c>
      <c r="K74" s="19" t="str">
        <f>IF('Data input'!K74="","",4*('Data input'!K74-'Data input'!K$108)/('Data input'!K$109-'Data input'!K$108)+1)</f>
        <v/>
      </c>
      <c r="L74" s="19" t="str">
        <f>IF('Data input'!L74="","",4*('Data input'!L74-'Data input'!L$108)/('Data input'!L$109-'Data input'!L$108)+1)</f>
        <v/>
      </c>
      <c r="M74" s="16" t="str">
        <f>IF('Data input'!M74="","",4*('Data input'!M74-'Data input'!M$108)/('Data input'!M$109-'Data input'!M$108)+1)</f>
        <v/>
      </c>
      <c r="N74" s="16" t="str">
        <f>IF('Data input'!N74="","",4*('Data input'!N74-'Data input'!N$108)/('Data input'!N$109-'Data input'!N$108)+1)</f>
        <v/>
      </c>
      <c r="O74" s="16" t="str">
        <f>IF('Data input'!O74="","",4*('Data input'!O74-'Data input'!O$108)/('Data input'!O$109-'Data input'!O$108)+1)</f>
        <v/>
      </c>
      <c r="P74" s="16" t="str">
        <f>IF('Data input'!P74="","",4*('Data input'!P74-'Data input'!P$108)/('Data input'!P$109-'Data input'!P$108)+1)</f>
        <v/>
      </c>
      <c r="Q74" s="16" t="str">
        <f>IF('Data input'!Q74="","",4*('Data input'!Q74-'Data input'!Q$108)/('Data input'!Q$109-'Data input'!Q$108)+1)</f>
        <v/>
      </c>
      <c r="R74" s="16" t="str">
        <f>IF('Data input'!R74="","",4*('Data input'!R74-'Data input'!R$108)/('Data input'!R$109-'Data input'!R$108)+1)</f>
        <v/>
      </c>
      <c r="S74" s="16" t="str">
        <f>IF('Data input'!S74="","",4*('Data input'!S74-'Data input'!S$108)/('Data input'!S$109-'Data input'!S$108)+1)</f>
        <v/>
      </c>
      <c r="T74" s="16" t="str">
        <f>IF('Data input'!T74="","",4*('Data input'!T74-'Data input'!T$108)/('Data input'!T$109-'Data input'!T$108)+1)</f>
        <v/>
      </c>
      <c r="U74" s="16" t="str">
        <f>IF('Data input'!U74="","",4*('Data input'!U74-'Data input'!U$108)/('Data input'!U$109-'Data input'!U$108)+1)</f>
        <v/>
      </c>
      <c r="V74" s="16" t="str">
        <f>IF('Data input'!V74="","",4*('Data input'!V74-'Data input'!V$108)/('Data input'!V$109-'Data input'!V$108)+1)</f>
        <v/>
      </c>
      <c r="W74" s="16" t="str">
        <f>IF('Data input'!W74="","",4*('Data input'!W74-'Data input'!W$108)/('Data input'!W$109-'Data input'!W$108)+1)</f>
        <v/>
      </c>
      <c r="X74" s="16" t="str">
        <f>IF('Data input'!X74="","",4*('Data input'!X74-'Data input'!X$108)/('Data input'!X$109-'Data input'!X$108)+1)</f>
        <v/>
      </c>
      <c r="Y74" s="16" t="str">
        <f>IF('Data input'!Y74="","",4*('Data input'!Y74-'Data input'!Y$108)/('Data input'!Y$109-'Data input'!Y$108)+1)</f>
        <v/>
      </c>
      <c r="Z74" s="16" t="str">
        <f>IF('Data input'!Z74="","",4*('Data input'!Z74-'Data input'!Z$108)/('Data input'!Z$109-'Data input'!Z$108)+1)</f>
        <v/>
      </c>
      <c r="AA74" s="62" t="str">
        <f>IF('Data input'!AA74="","",4*('Data input'!AA74-'Data input'!AA$108)/('Data input'!AA$109-'Data input'!AA$108)+1)</f>
        <v/>
      </c>
      <c r="AB74" s="78"/>
      <c r="AC74" s="79">
        <v>0</v>
      </c>
      <c r="AD74" s="80" t="e">
        <f t="shared" si="48"/>
        <v>#DIV/0!</v>
      </c>
      <c r="AE74" s="4"/>
      <c r="AF74" s="59" t="str">
        <f t="shared" si="40"/>
        <v/>
      </c>
      <c r="AG74" s="60" t="str">
        <f t="shared" si="40"/>
        <v/>
      </c>
      <c r="AH74"/>
      <c r="AI74"/>
      <c r="AJ74"/>
      <c r="AK74"/>
      <c r="AL74"/>
      <c r="AM74"/>
      <c r="AN74"/>
      <c r="AO74"/>
      <c r="AP74"/>
      <c r="AQ74"/>
      <c r="AR74"/>
      <c r="AS74" s="71" t="str">
        <f t="shared" si="44"/>
        <v/>
      </c>
      <c r="AT74" s="71" t="str">
        <f t="shared" si="44"/>
        <v/>
      </c>
      <c r="AU74" s="71" t="str">
        <f t="shared" si="44"/>
        <v/>
      </c>
      <c r="AV74" s="71" t="str">
        <f t="shared" si="44"/>
        <v/>
      </c>
      <c r="AW74" s="71" t="str">
        <f t="shared" si="44"/>
        <v/>
      </c>
      <c r="AX74" s="71" t="str">
        <f t="shared" si="45"/>
        <v/>
      </c>
      <c r="AY74" s="71" t="str">
        <f t="shared" si="45"/>
        <v/>
      </c>
      <c r="AZ74" s="71" t="str">
        <f t="shared" si="45"/>
        <v/>
      </c>
      <c r="BA74" s="71" t="str">
        <f t="shared" si="45"/>
        <v/>
      </c>
      <c r="BB74" s="71" t="str">
        <f t="shared" si="45"/>
        <v/>
      </c>
      <c r="BC74" s="18" t="str">
        <f>IF(C74&lt;&gt;"",(('Data input'!C$109-'Data input'!C$108)*(AS74-1)/4)+'Data input'!C$108,"")</f>
        <v/>
      </c>
      <c r="BD74" s="18" t="str">
        <f>IF(D74&lt;&gt;"",(('Data input'!D$109-'Data input'!D$108)*(AT74-1)/4)+'Data input'!D$108,"")</f>
        <v/>
      </c>
      <c r="BE74" s="18" t="str">
        <f>IF(E74&lt;&gt;"",(('Data input'!E$109-'Data input'!E$108)*(AU74-1)/4)+'Data input'!E$108,"")</f>
        <v/>
      </c>
      <c r="BF74" s="18" t="str">
        <f>IF(F74&lt;&gt;"",(('Data input'!F$109-'Data input'!F$108)*(AV74-1)/4)+'Data input'!F$108,"")</f>
        <v/>
      </c>
      <c r="BG74" s="18" t="str">
        <f>IF(G74&lt;&gt;"",(('Data input'!G$109-'Data input'!G$108)*(AW74-1)/4)+'Data input'!G$108,"")</f>
        <v/>
      </c>
      <c r="BH74" s="19" t="str">
        <f>IF(H74&lt;&gt;"",(('Data input'!H$109-'Data input'!H$108)*(AX74-1)/4)+'Data input'!H$108,"")</f>
        <v/>
      </c>
      <c r="BI74" s="18" t="str">
        <f>IF(I74&lt;&gt;"",(('Data input'!I$109-'Data input'!I$108)*(AY74-1)/4)+'Data input'!I$108,"")</f>
        <v/>
      </c>
      <c r="BJ74" s="19" t="str">
        <f>IF(J74&lt;&gt;"",(('Data input'!J$109-'Data input'!J$108)*(AZ74-1)/4)+'Data input'!J$108,"")</f>
        <v/>
      </c>
      <c r="BK74" s="19" t="str">
        <f>IF(K74&lt;&gt;"",(('Data input'!K$109-'Data input'!K$108)*(BA74-1)/4)+'Data input'!K$108,"")</f>
        <v/>
      </c>
      <c r="BL74" s="19" t="str">
        <f>IF(L74&lt;&gt;"",(('Data input'!L$109-'Data input'!L$108)*(BB74-1)/4)+'Data input'!L$108,"")</f>
        <v/>
      </c>
      <c r="BM74" s="18" t="str">
        <f>IF(C74&lt;&gt;"",BC74-'Data input'!C74,"")</f>
        <v/>
      </c>
      <c r="BN74" s="18" t="str">
        <f>IF(D74&lt;&gt;"",BD74-'Data input'!D74,"")</f>
        <v/>
      </c>
      <c r="BO74" s="18" t="str">
        <f>IF(E74&lt;&gt;"",BE74-'Data input'!E74,"")</f>
        <v/>
      </c>
      <c r="BP74" s="18" t="str">
        <f>IF(F74&lt;&gt;"",BF74-'Data input'!F74,"")</f>
        <v/>
      </c>
      <c r="BQ74" s="18" t="str">
        <f>IF(G74&lt;&gt;"",BG74-'Data input'!G74,"")</f>
        <v/>
      </c>
      <c r="BR74" s="19" t="str">
        <f>IF(H74&lt;&gt;"",BH74-'Data input'!H74,"")</f>
        <v/>
      </c>
      <c r="BS74" s="18" t="str">
        <f>IF(I74&lt;&gt;"",BI74-'Data input'!I74,"")</f>
        <v/>
      </c>
      <c r="BT74" s="18" t="str">
        <f>IF(J74&lt;&gt;"",BJ74-'Data input'!J74,"")</f>
        <v/>
      </c>
      <c r="BU74" s="18" t="str">
        <f>IF(K74&lt;&gt;"",BK74-'Data input'!K74,"")</f>
        <v/>
      </c>
      <c r="BV74" s="72" t="str">
        <f>IF(L74&lt;&gt;"",BL74-'Data input'!L74,"")</f>
        <v/>
      </c>
      <c r="BW74" s="121" t="str">
        <f t="shared" si="49"/>
        <v/>
      </c>
      <c r="FT74" s="1" t="str">
        <f t="shared" si="46"/>
        <v/>
      </c>
      <c r="FU74" s="1" t="str">
        <f t="shared" si="46"/>
        <v/>
      </c>
      <c r="FV74" s="1" t="str">
        <f t="shared" si="46"/>
        <v/>
      </c>
      <c r="FW74" s="1" t="str">
        <f t="shared" si="46"/>
        <v/>
      </c>
      <c r="FX74" s="1" t="str">
        <f t="shared" si="46"/>
        <v/>
      </c>
      <c r="FY74" s="1" t="str">
        <f t="shared" si="46"/>
        <v/>
      </c>
      <c r="FZ74" s="1" t="str">
        <f t="shared" si="46"/>
        <v/>
      </c>
      <c r="GA74" s="1" t="str">
        <f t="shared" si="46"/>
        <v/>
      </c>
      <c r="GB74" s="1" t="str">
        <f t="shared" si="46"/>
        <v/>
      </c>
      <c r="GC74" s="1" t="str">
        <f t="shared" si="46"/>
        <v/>
      </c>
      <c r="GD74" s="1" t="str">
        <f t="shared" si="46"/>
        <v/>
      </c>
      <c r="GE74" s="1" t="str">
        <f t="shared" si="46"/>
        <v/>
      </c>
      <c r="GF74" s="1" t="str">
        <f t="shared" si="46"/>
        <v/>
      </c>
      <c r="GG74" s="1" t="str">
        <f t="shared" si="46"/>
        <v/>
      </c>
      <c r="GH74" s="1" t="str">
        <f t="shared" si="46"/>
        <v/>
      </c>
      <c r="GI74" s="1" t="str">
        <f t="shared" si="46"/>
        <v/>
      </c>
      <c r="GJ74" s="1" t="str">
        <f t="shared" si="51"/>
        <v/>
      </c>
      <c r="GK74" s="1" t="str">
        <f t="shared" si="51"/>
        <v/>
      </c>
      <c r="GL74" s="1" t="str">
        <f t="shared" si="51"/>
        <v/>
      </c>
      <c r="GM74" s="1" t="str">
        <f t="shared" si="51"/>
        <v/>
      </c>
      <c r="GN74" s="1" t="str">
        <f t="shared" si="51"/>
        <v/>
      </c>
      <c r="GO74" s="1" t="str">
        <f t="shared" si="51"/>
        <v/>
      </c>
      <c r="GP74" s="1" t="str">
        <f t="shared" si="51"/>
        <v/>
      </c>
      <c r="GQ74" s="1" t="str">
        <f t="shared" si="51"/>
        <v/>
      </c>
      <c r="GR74" s="1" t="str">
        <f t="shared" si="51"/>
        <v/>
      </c>
      <c r="GS74" s="1" t="str">
        <f t="shared" si="51"/>
        <v/>
      </c>
      <c r="GT74" s="1" t="str">
        <f t="shared" si="50"/>
        <v/>
      </c>
      <c r="GU74" s="1" t="str">
        <f t="shared" si="50"/>
        <v/>
      </c>
      <c r="GV74" s="1" t="str">
        <f t="shared" si="50"/>
        <v/>
      </c>
      <c r="GW74" s="1" t="str">
        <f t="shared" si="50"/>
        <v/>
      </c>
      <c r="GX74" s="1" t="str">
        <f t="shared" si="50"/>
        <v/>
      </c>
      <c r="GY74" s="1" t="str">
        <f t="shared" si="39"/>
        <v/>
      </c>
      <c r="GZ74" s="1" t="str">
        <f t="shared" si="39"/>
        <v/>
      </c>
      <c r="HA74" s="1" t="str">
        <f t="shared" si="39"/>
        <v/>
      </c>
      <c r="HB74" s="1" t="str">
        <f t="shared" si="39"/>
        <v/>
      </c>
      <c r="HC74" s="1" t="str">
        <f t="shared" si="39"/>
        <v/>
      </c>
      <c r="HD74" s="1" t="str">
        <f t="shared" si="39"/>
        <v/>
      </c>
      <c r="HE74" s="1" t="str">
        <f t="shared" si="39"/>
        <v/>
      </c>
      <c r="HF74" s="1" t="str">
        <f t="shared" si="39"/>
        <v/>
      </c>
      <c r="HG74" s="1" t="str">
        <f t="shared" si="39"/>
        <v/>
      </c>
      <c r="HH74" s="1" t="str">
        <f t="shared" si="39"/>
        <v/>
      </c>
      <c r="HI74" s="1" t="str">
        <f t="shared" si="39"/>
        <v/>
      </c>
      <c r="HJ74" s="1" t="str">
        <f t="shared" si="39"/>
        <v/>
      </c>
      <c r="HK74" s="1" t="str">
        <f t="shared" si="39"/>
        <v/>
      </c>
      <c r="HL74" s="1" t="str">
        <f t="shared" si="39"/>
        <v/>
      </c>
      <c r="HM74" s="1" t="str">
        <f t="shared" si="39"/>
        <v/>
      </c>
      <c r="HN74" s="1" t="str">
        <f t="shared" si="39"/>
        <v/>
      </c>
      <c r="HO74" s="1" t="str">
        <f t="shared" si="52"/>
        <v/>
      </c>
      <c r="HP74" s="1" t="str">
        <f t="shared" si="47"/>
        <v/>
      </c>
      <c r="HQ74" s="1" t="str">
        <f t="shared" si="47"/>
        <v/>
      </c>
      <c r="HR74" s="1" t="str">
        <f t="shared" si="47"/>
        <v/>
      </c>
      <c r="HS74" s="1" t="str">
        <f t="shared" si="47"/>
        <v/>
      </c>
      <c r="HT74" s="1" t="str">
        <f t="shared" si="47"/>
        <v/>
      </c>
      <c r="HU74" s="1" t="str">
        <f t="shared" si="47"/>
        <v/>
      </c>
      <c r="HV74" s="1" t="str">
        <f t="shared" si="47"/>
        <v/>
      </c>
      <c r="HW74" s="1" t="str">
        <f t="shared" si="41"/>
        <v/>
      </c>
      <c r="HX74" s="1" t="str">
        <f t="shared" si="41"/>
        <v/>
      </c>
      <c r="HY74" s="1" t="str">
        <f t="shared" si="41"/>
        <v/>
      </c>
      <c r="HZ74" s="1" t="str">
        <f t="shared" si="41"/>
        <v/>
      </c>
      <c r="IA74" s="1" t="str">
        <f t="shared" si="41"/>
        <v/>
      </c>
      <c r="IB74" s="1" t="str">
        <f t="shared" si="41"/>
        <v/>
      </c>
      <c r="IC74" s="1" t="str">
        <f t="shared" si="41"/>
        <v/>
      </c>
      <c r="ID74" s="1" t="str">
        <f t="shared" si="41"/>
        <v/>
      </c>
      <c r="IE74" s="1" t="str">
        <f t="shared" si="41"/>
        <v/>
      </c>
      <c r="IF74" s="1" t="str">
        <f t="shared" si="41"/>
        <v/>
      </c>
      <c r="IG74" s="1" t="str">
        <f t="shared" si="41"/>
        <v/>
      </c>
      <c r="IH74" s="1" t="str">
        <f t="shared" si="41"/>
        <v/>
      </c>
      <c r="II74" s="1" t="str">
        <f t="shared" si="41"/>
        <v/>
      </c>
      <c r="IJ74" s="1" t="str">
        <f t="shared" si="41"/>
        <v/>
      </c>
      <c r="IK74" s="1" t="str">
        <f t="shared" si="41"/>
        <v/>
      </c>
      <c r="IL74" s="1" t="str">
        <f t="shared" si="41"/>
        <v/>
      </c>
      <c r="IM74" s="1" t="str">
        <f t="shared" si="42"/>
        <v/>
      </c>
      <c r="IN74" s="1" t="str">
        <f t="shared" si="42"/>
        <v/>
      </c>
      <c r="IO74" s="1" t="str">
        <f t="shared" si="42"/>
        <v/>
      </c>
      <c r="IP74" s="1" t="str">
        <f t="shared" si="42"/>
        <v/>
      </c>
      <c r="IQ74" s="1" t="str">
        <f t="shared" si="42"/>
        <v/>
      </c>
      <c r="IR74" s="1" t="str">
        <f t="shared" si="42"/>
        <v/>
      </c>
      <c r="IS74" s="1" t="str">
        <f t="shared" si="42"/>
        <v/>
      </c>
      <c r="IT74" s="1" t="str">
        <f t="shared" si="42"/>
        <v/>
      </c>
      <c r="IU74" s="1" t="str">
        <f t="shared" si="42"/>
        <v/>
      </c>
      <c r="IV74" s="1" t="str">
        <f t="shared" si="42"/>
        <v/>
      </c>
      <c r="IW74" s="1" t="str">
        <f t="shared" si="42"/>
        <v/>
      </c>
      <c r="IX74" s="1" t="str">
        <f t="shared" si="42"/>
        <v/>
      </c>
      <c r="IY74" s="1" t="str">
        <f t="shared" si="42"/>
        <v/>
      </c>
      <c r="IZ74" s="1" t="str">
        <f t="shared" si="42"/>
        <v/>
      </c>
      <c r="JA74" s="1" t="str">
        <f t="shared" si="42"/>
        <v/>
      </c>
      <c r="JB74" s="1" t="str">
        <f t="shared" si="42"/>
        <v/>
      </c>
      <c r="JC74" s="1" t="str">
        <f t="shared" si="43"/>
        <v/>
      </c>
      <c r="JD74" s="1" t="str">
        <f t="shared" si="43"/>
        <v/>
      </c>
      <c r="JE74" s="1" t="str">
        <f t="shared" si="43"/>
        <v/>
      </c>
      <c r="JF74" s="1" t="str">
        <f t="shared" si="43"/>
        <v/>
      </c>
      <c r="JG74" s="1" t="str">
        <f t="shared" si="37"/>
        <v/>
      </c>
      <c r="JH74" s="1" t="str">
        <f t="shared" si="37"/>
        <v/>
      </c>
      <c r="JI74" s="1" t="str">
        <f t="shared" si="37"/>
        <v/>
      </c>
      <c r="JJ74" s="1" t="str">
        <f t="shared" si="30"/>
        <v/>
      </c>
      <c r="JK74" s="1" t="str">
        <f t="shared" si="30"/>
        <v/>
      </c>
      <c r="JL74" s="1" t="str">
        <f t="shared" si="24"/>
        <v/>
      </c>
      <c r="JM74" s="1" t="str">
        <f t="shared" si="24"/>
        <v/>
      </c>
      <c r="JN74" s="1" t="str">
        <f t="shared" si="24"/>
        <v/>
      </c>
      <c r="JO74" s="1" t="str">
        <f t="shared" si="24"/>
        <v/>
      </c>
    </row>
    <row r="75" spans="1:275" ht="14.5" x14ac:dyDescent="0.35">
      <c r="A75" s="59" t="str">
        <f>IF('Data input'!A75&lt;&gt;"",'Data input'!A75,"")</f>
        <v/>
      </c>
      <c r="B75" s="15" t="str">
        <f>IF('Data input'!B75&lt;&gt;"",'Data input'!B75,"")</f>
        <v/>
      </c>
      <c r="C75" s="16" t="str">
        <f>IF('Data input'!C75="","",4*('Data input'!C75-'Data input'!C$108)/('Data input'!C$109-'Data input'!C$108)+1)</f>
        <v/>
      </c>
      <c r="D75" s="16" t="str">
        <f>IF('Data input'!D75="","",4*('Data input'!D75-'Data input'!D$108)/('Data input'!D$109-'Data input'!D$108)+1)</f>
        <v/>
      </c>
      <c r="E75" s="16" t="str">
        <f>IF('Data input'!E75="","",4*('Data input'!E75-'Data input'!E$108)/('Data input'!E$109-'Data input'!E$108)+1)</f>
        <v/>
      </c>
      <c r="F75" s="16" t="str">
        <f>IF('Data input'!F75="","",4*('Data input'!F75-'Data input'!F$108)/('Data input'!F$109-'Data input'!F$108)+1)</f>
        <v/>
      </c>
      <c r="G75" s="16" t="str">
        <f>IF('Data input'!G75="","",4*('Data input'!G75-'Data input'!G$108)/('Data input'!G$109-'Data input'!G$108)+1)</f>
        <v/>
      </c>
      <c r="H75" s="16" t="str">
        <f>IF('Data input'!H75="","",4*('Data input'!H75-'Data input'!H$108)/('Data input'!H$109-'Data input'!H$108)+1)</f>
        <v/>
      </c>
      <c r="I75" s="19" t="str">
        <f>IF('Data input'!I75="","",4*('Data input'!I75-'Data input'!I$108)/('Data input'!I$109-'Data input'!I$108)+1)</f>
        <v/>
      </c>
      <c r="J75" s="19" t="str">
        <f>IF('Data input'!J75="","",4*('Data input'!J75-'Data input'!J$108)/('Data input'!J$109-'Data input'!J$108)+1)</f>
        <v/>
      </c>
      <c r="K75" s="19" t="str">
        <f>IF('Data input'!K75="","",4*('Data input'!K75-'Data input'!K$108)/('Data input'!K$109-'Data input'!K$108)+1)</f>
        <v/>
      </c>
      <c r="L75" s="19" t="str">
        <f>IF('Data input'!L75="","",4*('Data input'!L75-'Data input'!L$108)/('Data input'!L$109-'Data input'!L$108)+1)</f>
        <v/>
      </c>
      <c r="M75" s="16" t="str">
        <f>IF('Data input'!M75="","",4*('Data input'!M75-'Data input'!M$108)/('Data input'!M$109-'Data input'!M$108)+1)</f>
        <v/>
      </c>
      <c r="N75" s="16" t="str">
        <f>IF('Data input'!N75="","",4*('Data input'!N75-'Data input'!N$108)/('Data input'!N$109-'Data input'!N$108)+1)</f>
        <v/>
      </c>
      <c r="O75" s="16" t="str">
        <f>IF('Data input'!O75="","",4*('Data input'!O75-'Data input'!O$108)/('Data input'!O$109-'Data input'!O$108)+1)</f>
        <v/>
      </c>
      <c r="P75" s="16" t="str">
        <f>IF('Data input'!P75="","",4*('Data input'!P75-'Data input'!P$108)/('Data input'!P$109-'Data input'!P$108)+1)</f>
        <v/>
      </c>
      <c r="Q75" s="16" t="str">
        <f>IF('Data input'!Q75="","",4*('Data input'!Q75-'Data input'!Q$108)/('Data input'!Q$109-'Data input'!Q$108)+1)</f>
        <v/>
      </c>
      <c r="R75" s="16" t="str">
        <f>IF('Data input'!R75="","",4*('Data input'!R75-'Data input'!R$108)/('Data input'!R$109-'Data input'!R$108)+1)</f>
        <v/>
      </c>
      <c r="S75" s="16" t="str">
        <f>IF('Data input'!S75="","",4*('Data input'!S75-'Data input'!S$108)/('Data input'!S$109-'Data input'!S$108)+1)</f>
        <v/>
      </c>
      <c r="T75" s="16" t="str">
        <f>IF('Data input'!T75="","",4*('Data input'!T75-'Data input'!T$108)/('Data input'!T$109-'Data input'!T$108)+1)</f>
        <v/>
      </c>
      <c r="U75" s="16" t="str">
        <f>IF('Data input'!U75="","",4*('Data input'!U75-'Data input'!U$108)/('Data input'!U$109-'Data input'!U$108)+1)</f>
        <v/>
      </c>
      <c r="V75" s="16" t="str">
        <f>IF('Data input'!V75="","",4*('Data input'!V75-'Data input'!V$108)/('Data input'!V$109-'Data input'!V$108)+1)</f>
        <v/>
      </c>
      <c r="W75" s="16" t="str">
        <f>IF('Data input'!W75="","",4*('Data input'!W75-'Data input'!W$108)/('Data input'!W$109-'Data input'!W$108)+1)</f>
        <v/>
      </c>
      <c r="X75" s="16" t="str">
        <f>IF('Data input'!X75="","",4*('Data input'!X75-'Data input'!X$108)/('Data input'!X$109-'Data input'!X$108)+1)</f>
        <v/>
      </c>
      <c r="Y75" s="16" t="str">
        <f>IF('Data input'!Y75="","",4*('Data input'!Y75-'Data input'!Y$108)/('Data input'!Y$109-'Data input'!Y$108)+1)</f>
        <v/>
      </c>
      <c r="Z75" s="16" t="str">
        <f>IF('Data input'!Z75="","",4*('Data input'!Z75-'Data input'!Z$108)/('Data input'!Z$109-'Data input'!Z$108)+1)</f>
        <v/>
      </c>
      <c r="AA75" s="62" t="str">
        <f>IF('Data input'!AA75="","",4*('Data input'!AA75-'Data input'!AA$108)/('Data input'!AA$109-'Data input'!AA$108)+1)</f>
        <v/>
      </c>
      <c r="AB75" s="78"/>
      <c r="AC75" s="79">
        <v>0</v>
      </c>
      <c r="AD75" s="80" t="e">
        <f t="shared" si="48"/>
        <v>#DIV/0!</v>
      </c>
      <c r="AE75" s="4"/>
      <c r="AF75" s="59" t="str">
        <f t="shared" si="40"/>
        <v/>
      </c>
      <c r="AG75" s="60" t="str">
        <f t="shared" si="40"/>
        <v/>
      </c>
      <c r="AH75"/>
      <c r="AI75"/>
      <c r="AJ75"/>
      <c r="AK75"/>
      <c r="AL75"/>
      <c r="AM75"/>
      <c r="AN75"/>
      <c r="AO75"/>
      <c r="AP75"/>
      <c r="AQ75"/>
      <c r="AR75"/>
      <c r="AS75" s="71" t="str">
        <f t="shared" si="44"/>
        <v/>
      </c>
      <c r="AT75" s="71" t="str">
        <f t="shared" si="44"/>
        <v/>
      </c>
      <c r="AU75" s="71" t="str">
        <f t="shared" si="44"/>
        <v/>
      </c>
      <c r="AV75" s="71" t="str">
        <f t="shared" si="44"/>
        <v/>
      </c>
      <c r="AW75" s="71" t="str">
        <f t="shared" si="44"/>
        <v/>
      </c>
      <c r="AX75" s="71" t="str">
        <f t="shared" si="45"/>
        <v/>
      </c>
      <c r="AY75" s="71" t="str">
        <f t="shared" si="45"/>
        <v/>
      </c>
      <c r="AZ75" s="71" t="str">
        <f t="shared" si="45"/>
        <v/>
      </c>
      <c r="BA75" s="71" t="str">
        <f t="shared" si="45"/>
        <v/>
      </c>
      <c r="BB75" s="71" t="str">
        <f t="shared" si="45"/>
        <v/>
      </c>
      <c r="BC75" s="18" t="str">
        <f>IF(C75&lt;&gt;"",(('Data input'!C$109-'Data input'!C$108)*(AS75-1)/4)+'Data input'!C$108,"")</f>
        <v/>
      </c>
      <c r="BD75" s="18" t="str">
        <f>IF(D75&lt;&gt;"",(('Data input'!D$109-'Data input'!D$108)*(AT75-1)/4)+'Data input'!D$108,"")</f>
        <v/>
      </c>
      <c r="BE75" s="18" t="str">
        <f>IF(E75&lt;&gt;"",(('Data input'!E$109-'Data input'!E$108)*(AU75-1)/4)+'Data input'!E$108,"")</f>
        <v/>
      </c>
      <c r="BF75" s="18" t="str">
        <f>IF(F75&lt;&gt;"",(('Data input'!F$109-'Data input'!F$108)*(AV75-1)/4)+'Data input'!F$108,"")</f>
        <v/>
      </c>
      <c r="BG75" s="18" t="str">
        <f>IF(G75&lt;&gt;"",(('Data input'!G$109-'Data input'!G$108)*(AW75-1)/4)+'Data input'!G$108,"")</f>
        <v/>
      </c>
      <c r="BH75" s="19" t="str">
        <f>IF(H75&lt;&gt;"",(('Data input'!H$109-'Data input'!H$108)*(AX75-1)/4)+'Data input'!H$108,"")</f>
        <v/>
      </c>
      <c r="BI75" s="18" t="str">
        <f>IF(I75&lt;&gt;"",(('Data input'!I$109-'Data input'!I$108)*(AY75-1)/4)+'Data input'!I$108,"")</f>
        <v/>
      </c>
      <c r="BJ75" s="19" t="str">
        <f>IF(J75&lt;&gt;"",(('Data input'!J$109-'Data input'!J$108)*(AZ75-1)/4)+'Data input'!J$108,"")</f>
        <v/>
      </c>
      <c r="BK75" s="19" t="str">
        <f>IF(K75&lt;&gt;"",(('Data input'!K$109-'Data input'!K$108)*(BA75-1)/4)+'Data input'!K$108,"")</f>
        <v/>
      </c>
      <c r="BL75" s="19" t="str">
        <f>IF(L75&lt;&gt;"",(('Data input'!L$109-'Data input'!L$108)*(BB75-1)/4)+'Data input'!L$108,"")</f>
        <v/>
      </c>
      <c r="BM75" s="18" t="str">
        <f>IF(C75&lt;&gt;"",BC75-'Data input'!C75,"")</f>
        <v/>
      </c>
      <c r="BN75" s="18" t="str">
        <f>IF(D75&lt;&gt;"",BD75-'Data input'!D75,"")</f>
        <v/>
      </c>
      <c r="BO75" s="18" t="str">
        <f>IF(E75&lt;&gt;"",BE75-'Data input'!E75,"")</f>
        <v/>
      </c>
      <c r="BP75" s="18" t="str">
        <f>IF(F75&lt;&gt;"",BF75-'Data input'!F75,"")</f>
        <v/>
      </c>
      <c r="BQ75" s="18" t="str">
        <f>IF(G75&lt;&gt;"",BG75-'Data input'!G75,"")</f>
        <v/>
      </c>
      <c r="BR75" s="19" t="str">
        <f>IF(H75&lt;&gt;"",BH75-'Data input'!H75,"")</f>
        <v/>
      </c>
      <c r="BS75" s="18" t="str">
        <f>IF(I75&lt;&gt;"",BI75-'Data input'!I75,"")</f>
        <v/>
      </c>
      <c r="BT75" s="18" t="str">
        <f>IF(J75&lt;&gt;"",BJ75-'Data input'!J75,"")</f>
        <v/>
      </c>
      <c r="BU75" s="18" t="str">
        <f>IF(K75&lt;&gt;"",BK75-'Data input'!K75,"")</f>
        <v/>
      </c>
      <c r="BV75" s="72" t="str">
        <f>IF(L75&lt;&gt;"",BL75-'Data input'!L75,"")</f>
        <v/>
      </c>
      <c r="BW75" s="121" t="str">
        <f t="shared" si="49"/>
        <v/>
      </c>
      <c r="FT75" s="1" t="str">
        <f t="shared" si="46"/>
        <v/>
      </c>
      <c r="FU75" s="1" t="str">
        <f t="shared" si="46"/>
        <v/>
      </c>
      <c r="FV75" s="1" t="str">
        <f t="shared" si="46"/>
        <v/>
      </c>
      <c r="FW75" s="1" t="str">
        <f t="shared" si="46"/>
        <v/>
      </c>
      <c r="FX75" s="1" t="str">
        <f t="shared" si="46"/>
        <v/>
      </c>
      <c r="FY75" s="1" t="str">
        <f t="shared" si="46"/>
        <v/>
      </c>
      <c r="FZ75" s="1" t="str">
        <f t="shared" si="46"/>
        <v/>
      </c>
      <c r="GA75" s="1" t="str">
        <f t="shared" si="46"/>
        <v/>
      </c>
      <c r="GB75" s="1" t="str">
        <f t="shared" si="46"/>
        <v/>
      </c>
      <c r="GC75" s="1" t="str">
        <f t="shared" si="46"/>
        <v/>
      </c>
      <c r="GD75" s="1" t="str">
        <f t="shared" si="46"/>
        <v/>
      </c>
      <c r="GE75" s="1" t="str">
        <f t="shared" si="46"/>
        <v/>
      </c>
      <c r="GF75" s="1" t="str">
        <f t="shared" si="46"/>
        <v/>
      </c>
      <c r="GG75" s="1" t="str">
        <f t="shared" si="46"/>
        <v/>
      </c>
      <c r="GH75" s="1" t="str">
        <f t="shared" si="46"/>
        <v/>
      </c>
      <c r="GI75" s="1" t="str">
        <f t="shared" si="46"/>
        <v/>
      </c>
      <c r="GJ75" s="1" t="str">
        <f t="shared" si="51"/>
        <v/>
      </c>
      <c r="GK75" s="1" t="str">
        <f t="shared" si="51"/>
        <v/>
      </c>
      <c r="GL75" s="1" t="str">
        <f t="shared" si="51"/>
        <v/>
      </c>
      <c r="GM75" s="1" t="str">
        <f t="shared" si="51"/>
        <v/>
      </c>
      <c r="GN75" s="1" t="str">
        <f t="shared" si="51"/>
        <v/>
      </c>
      <c r="GO75" s="1" t="str">
        <f t="shared" si="51"/>
        <v/>
      </c>
      <c r="GP75" s="1" t="str">
        <f t="shared" si="51"/>
        <v/>
      </c>
      <c r="GQ75" s="1" t="str">
        <f t="shared" si="51"/>
        <v/>
      </c>
      <c r="GR75" s="1" t="str">
        <f t="shared" si="51"/>
        <v/>
      </c>
      <c r="GS75" s="1" t="str">
        <f t="shared" si="51"/>
        <v/>
      </c>
      <c r="GT75" s="1" t="str">
        <f t="shared" si="50"/>
        <v/>
      </c>
      <c r="GU75" s="1" t="str">
        <f t="shared" si="50"/>
        <v/>
      </c>
      <c r="GV75" s="1" t="str">
        <f t="shared" si="50"/>
        <v/>
      </c>
      <c r="GW75" s="1" t="str">
        <f t="shared" si="50"/>
        <v/>
      </c>
      <c r="GX75" s="1" t="str">
        <f t="shared" si="50"/>
        <v/>
      </c>
      <c r="GY75" s="1" t="str">
        <f t="shared" si="39"/>
        <v/>
      </c>
      <c r="GZ75" s="1" t="str">
        <f t="shared" si="39"/>
        <v/>
      </c>
      <c r="HA75" s="1" t="str">
        <f t="shared" si="39"/>
        <v/>
      </c>
      <c r="HB75" s="1" t="str">
        <f t="shared" si="39"/>
        <v/>
      </c>
      <c r="HC75" s="1" t="str">
        <f t="shared" si="39"/>
        <v/>
      </c>
      <c r="HD75" s="1" t="str">
        <f t="shared" si="39"/>
        <v/>
      </c>
      <c r="HE75" s="1" t="str">
        <f t="shared" si="39"/>
        <v/>
      </c>
      <c r="HF75" s="1" t="str">
        <f t="shared" si="39"/>
        <v/>
      </c>
      <c r="HG75" s="1" t="str">
        <f t="shared" si="39"/>
        <v/>
      </c>
      <c r="HH75" s="1" t="str">
        <f t="shared" si="39"/>
        <v/>
      </c>
      <c r="HI75" s="1" t="str">
        <f t="shared" si="39"/>
        <v/>
      </c>
      <c r="HJ75" s="1" t="str">
        <f t="shared" si="39"/>
        <v/>
      </c>
      <c r="HK75" s="1" t="str">
        <f t="shared" si="39"/>
        <v/>
      </c>
      <c r="HL75" s="1" t="str">
        <f t="shared" si="39"/>
        <v/>
      </c>
      <c r="HM75" s="1" t="str">
        <f t="shared" si="39"/>
        <v/>
      </c>
      <c r="HN75" s="1" t="str">
        <f t="shared" si="39"/>
        <v/>
      </c>
      <c r="HO75" s="1" t="str">
        <f t="shared" si="52"/>
        <v/>
      </c>
      <c r="HP75" s="1" t="str">
        <f t="shared" si="47"/>
        <v/>
      </c>
      <c r="HQ75" s="1" t="str">
        <f t="shared" si="47"/>
        <v/>
      </c>
      <c r="HR75" s="1" t="str">
        <f t="shared" si="47"/>
        <v/>
      </c>
      <c r="HS75" s="1" t="str">
        <f t="shared" si="47"/>
        <v/>
      </c>
      <c r="HT75" s="1" t="str">
        <f t="shared" si="47"/>
        <v/>
      </c>
      <c r="HU75" s="1" t="str">
        <f t="shared" si="47"/>
        <v/>
      </c>
      <c r="HV75" s="1" t="str">
        <f t="shared" si="47"/>
        <v/>
      </c>
      <c r="HW75" s="1" t="str">
        <f t="shared" si="41"/>
        <v/>
      </c>
      <c r="HX75" s="1" t="str">
        <f t="shared" si="41"/>
        <v/>
      </c>
      <c r="HY75" s="1" t="str">
        <f t="shared" si="41"/>
        <v/>
      </c>
      <c r="HZ75" s="1" t="str">
        <f t="shared" si="41"/>
        <v/>
      </c>
      <c r="IA75" s="1" t="str">
        <f t="shared" si="41"/>
        <v/>
      </c>
      <c r="IB75" s="1" t="str">
        <f t="shared" si="41"/>
        <v/>
      </c>
      <c r="IC75" s="1" t="str">
        <f t="shared" si="41"/>
        <v/>
      </c>
      <c r="ID75" s="1" t="str">
        <f t="shared" si="41"/>
        <v/>
      </c>
      <c r="IE75" s="1" t="str">
        <f t="shared" si="41"/>
        <v/>
      </c>
      <c r="IF75" s="1" t="str">
        <f t="shared" si="41"/>
        <v/>
      </c>
      <c r="IG75" s="1" t="str">
        <f t="shared" si="41"/>
        <v/>
      </c>
      <c r="IH75" s="1" t="str">
        <f t="shared" si="41"/>
        <v/>
      </c>
      <c r="II75" s="1" t="str">
        <f t="shared" si="41"/>
        <v/>
      </c>
      <c r="IJ75" s="1" t="str">
        <f t="shared" si="41"/>
        <v/>
      </c>
      <c r="IK75" s="1" t="str">
        <f t="shared" si="41"/>
        <v/>
      </c>
      <c r="IL75" s="1" t="str">
        <f t="shared" si="41"/>
        <v/>
      </c>
      <c r="IM75" s="1" t="str">
        <f t="shared" si="42"/>
        <v/>
      </c>
      <c r="IN75" s="1" t="str">
        <f t="shared" si="42"/>
        <v/>
      </c>
      <c r="IO75" s="1" t="str">
        <f t="shared" si="42"/>
        <v/>
      </c>
      <c r="IP75" s="1" t="str">
        <f t="shared" si="42"/>
        <v/>
      </c>
      <c r="IQ75" s="1" t="str">
        <f t="shared" si="42"/>
        <v/>
      </c>
      <c r="IR75" s="1" t="str">
        <f t="shared" si="42"/>
        <v/>
      </c>
      <c r="IS75" s="1" t="str">
        <f t="shared" si="42"/>
        <v/>
      </c>
      <c r="IT75" s="1" t="str">
        <f t="shared" si="42"/>
        <v/>
      </c>
      <c r="IU75" s="1" t="str">
        <f t="shared" si="42"/>
        <v/>
      </c>
      <c r="IV75" s="1" t="str">
        <f t="shared" si="42"/>
        <v/>
      </c>
      <c r="IW75" s="1" t="str">
        <f t="shared" si="42"/>
        <v/>
      </c>
      <c r="IX75" s="1" t="str">
        <f t="shared" si="42"/>
        <v/>
      </c>
      <c r="IY75" s="1" t="str">
        <f t="shared" si="42"/>
        <v/>
      </c>
      <c r="IZ75" s="1" t="str">
        <f t="shared" si="42"/>
        <v/>
      </c>
      <c r="JA75" s="1" t="str">
        <f t="shared" si="42"/>
        <v/>
      </c>
      <c r="JB75" s="1" t="str">
        <f t="shared" si="42"/>
        <v/>
      </c>
      <c r="JC75" s="1" t="str">
        <f t="shared" si="43"/>
        <v/>
      </c>
      <c r="JD75" s="1" t="str">
        <f t="shared" si="43"/>
        <v/>
      </c>
      <c r="JE75" s="1" t="str">
        <f t="shared" si="43"/>
        <v/>
      </c>
      <c r="JF75" s="1" t="str">
        <f t="shared" si="43"/>
        <v/>
      </c>
      <c r="JG75" s="1" t="str">
        <f t="shared" si="37"/>
        <v/>
      </c>
      <c r="JH75" s="1" t="str">
        <f t="shared" si="37"/>
        <v/>
      </c>
      <c r="JI75" s="1" t="str">
        <f t="shared" si="37"/>
        <v/>
      </c>
      <c r="JJ75" s="1" t="str">
        <f t="shared" si="30"/>
        <v/>
      </c>
      <c r="JK75" s="1" t="str">
        <f t="shared" si="30"/>
        <v/>
      </c>
      <c r="JL75" s="1" t="str">
        <f t="shared" si="24"/>
        <v/>
      </c>
      <c r="JM75" s="1" t="str">
        <f t="shared" si="24"/>
        <v/>
      </c>
      <c r="JN75" s="1" t="str">
        <f t="shared" si="24"/>
        <v/>
      </c>
      <c r="JO75" s="1" t="str">
        <f t="shared" si="24"/>
        <v/>
      </c>
    </row>
    <row r="76" spans="1:275" ht="14.5" x14ac:dyDescent="0.35">
      <c r="A76" s="59" t="str">
        <f>IF('Data input'!A76&lt;&gt;"",'Data input'!A76,"")</f>
        <v/>
      </c>
      <c r="B76" s="15" t="str">
        <f>IF('Data input'!B76&lt;&gt;"",'Data input'!B76,"")</f>
        <v/>
      </c>
      <c r="C76" s="16" t="str">
        <f>IF('Data input'!C76="","",4*('Data input'!C76-'Data input'!C$108)/('Data input'!C$109-'Data input'!C$108)+1)</f>
        <v/>
      </c>
      <c r="D76" s="16" t="str">
        <f>IF('Data input'!D76="","",4*('Data input'!D76-'Data input'!D$108)/('Data input'!D$109-'Data input'!D$108)+1)</f>
        <v/>
      </c>
      <c r="E76" s="16" t="str">
        <f>IF('Data input'!E76="","",4*('Data input'!E76-'Data input'!E$108)/('Data input'!E$109-'Data input'!E$108)+1)</f>
        <v/>
      </c>
      <c r="F76" s="16" t="str">
        <f>IF('Data input'!F76="","",4*('Data input'!F76-'Data input'!F$108)/('Data input'!F$109-'Data input'!F$108)+1)</f>
        <v/>
      </c>
      <c r="G76" s="16" t="str">
        <f>IF('Data input'!G76="","",4*('Data input'!G76-'Data input'!G$108)/('Data input'!G$109-'Data input'!G$108)+1)</f>
        <v/>
      </c>
      <c r="H76" s="16" t="str">
        <f>IF('Data input'!H76="","",4*('Data input'!H76-'Data input'!H$108)/('Data input'!H$109-'Data input'!H$108)+1)</f>
        <v/>
      </c>
      <c r="I76" s="19" t="str">
        <f>IF('Data input'!I76="","",4*('Data input'!I76-'Data input'!I$108)/('Data input'!I$109-'Data input'!I$108)+1)</f>
        <v/>
      </c>
      <c r="J76" s="19" t="str">
        <f>IF('Data input'!J76="","",4*('Data input'!J76-'Data input'!J$108)/('Data input'!J$109-'Data input'!J$108)+1)</f>
        <v/>
      </c>
      <c r="K76" s="19" t="str">
        <f>IF('Data input'!K76="","",4*('Data input'!K76-'Data input'!K$108)/('Data input'!K$109-'Data input'!K$108)+1)</f>
        <v/>
      </c>
      <c r="L76" s="19" t="str">
        <f>IF('Data input'!L76="","",4*('Data input'!L76-'Data input'!L$108)/('Data input'!L$109-'Data input'!L$108)+1)</f>
        <v/>
      </c>
      <c r="M76" s="16" t="str">
        <f>IF('Data input'!M76="","",4*('Data input'!M76-'Data input'!M$108)/('Data input'!M$109-'Data input'!M$108)+1)</f>
        <v/>
      </c>
      <c r="N76" s="16" t="str">
        <f>IF('Data input'!N76="","",4*('Data input'!N76-'Data input'!N$108)/('Data input'!N$109-'Data input'!N$108)+1)</f>
        <v/>
      </c>
      <c r="O76" s="16" t="str">
        <f>IF('Data input'!O76="","",4*('Data input'!O76-'Data input'!O$108)/('Data input'!O$109-'Data input'!O$108)+1)</f>
        <v/>
      </c>
      <c r="P76" s="16" t="str">
        <f>IF('Data input'!P76="","",4*('Data input'!P76-'Data input'!P$108)/('Data input'!P$109-'Data input'!P$108)+1)</f>
        <v/>
      </c>
      <c r="Q76" s="16" t="str">
        <f>IF('Data input'!Q76="","",4*('Data input'!Q76-'Data input'!Q$108)/('Data input'!Q$109-'Data input'!Q$108)+1)</f>
        <v/>
      </c>
      <c r="R76" s="16" t="str">
        <f>IF('Data input'!R76="","",4*('Data input'!R76-'Data input'!R$108)/('Data input'!R$109-'Data input'!R$108)+1)</f>
        <v/>
      </c>
      <c r="S76" s="16" t="str">
        <f>IF('Data input'!S76="","",4*('Data input'!S76-'Data input'!S$108)/('Data input'!S$109-'Data input'!S$108)+1)</f>
        <v/>
      </c>
      <c r="T76" s="16" t="str">
        <f>IF('Data input'!T76="","",4*('Data input'!T76-'Data input'!T$108)/('Data input'!T$109-'Data input'!T$108)+1)</f>
        <v/>
      </c>
      <c r="U76" s="16" t="str">
        <f>IF('Data input'!U76="","",4*('Data input'!U76-'Data input'!U$108)/('Data input'!U$109-'Data input'!U$108)+1)</f>
        <v/>
      </c>
      <c r="V76" s="16" t="str">
        <f>IF('Data input'!V76="","",4*('Data input'!V76-'Data input'!V$108)/('Data input'!V$109-'Data input'!V$108)+1)</f>
        <v/>
      </c>
      <c r="W76" s="16" t="str">
        <f>IF('Data input'!W76="","",4*('Data input'!W76-'Data input'!W$108)/('Data input'!W$109-'Data input'!W$108)+1)</f>
        <v/>
      </c>
      <c r="X76" s="16" t="str">
        <f>IF('Data input'!X76="","",4*('Data input'!X76-'Data input'!X$108)/('Data input'!X$109-'Data input'!X$108)+1)</f>
        <v/>
      </c>
      <c r="Y76" s="16" t="str">
        <f>IF('Data input'!Y76="","",4*('Data input'!Y76-'Data input'!Y$108)/('Data input'!Y$109-'Data input'!Y$108)+1)</f>
        <v/>
      </c>
      <c r="Z76" s="16" t="str">
        <f>IF('Data input'!Z76="","",4*('Data input'!Z76-'Data input'!Z$108)/('Data input'!Z$109-'Data input'!Z$108)+1)</f>
        <v/>
      </c>
      <c r="AA76" s="62" t="str">
        <f>IF('Data input'!AA76="","",4*('Data input'!AA76-'Data input'!AA$108)/('Data input'!AA$109-'Data input'!AA$108)+1)</f>
        <v/>
      </c>
      <c r="AB76" s="78"/>
      <c r="AC76" s="79">
        <v>0</v>
      </c>
      <c r="AD76" s="80" t="e">
        <f t="shared" si="48"/>
        <v>#DIV/0!</v>
      </c>
      <c r="AE76" s="4"/>
      <c r="AF76" s="59" t="str">
        <f t="shared" si="40"/>
        <v/>
      </c>
      <c r="AG76" s="60" t="str">
        <f t="shared" si="40"/>
        <v/>
      </c>
      <c r="AH76"/>
      <c r="AI76"/>
      <c r="AJ76"/>
      <c r="AK76"/>
      <c r="AL76"/>
      <c r="AM76"/>
      <c r="AN76"/>
      <c r="AO76"/>
      <c r="AP76"/>
      <c r="AQ76"/>
      <c r="AR76"/>
      <c r="AS76" s="71" t="str">
        <f t="shared" si="44"/>
        <v/>
      </c>
      <c r="AT76" s="71" t="str">
        <f t="shared" si="44"/>
        <v/>
      </c>
      <c r="AU76" s="71" t="str">
        <f t="shared" si="44"/>
        <v/>
      </c>
      <c r="AV76" s="71" t="str">
        <f t="shared" si="44"/>
        <v/>
      </c>
      <c r="AW76" s="71" t="str">
        <f t="shared" si="44"/>
        <v/>
      </c>
      <c r="AX76" s="71" t="str">
        <f t="shared" si="45"/>
        <v/>
      </c>
      <c r="AY76" s="71" t="str">
        <f t="shared" si="45"/>
        <v/>
      </c>
      <c r="AZ76" s="71" t="str">
        <f t="shared" si="45"/>
        <v/>
      </c>
      <c r="BA76" s="71" t="str">
        <f t="shared" si="45"/>
        <v/>
      </c>
      <c r="BB76" s="71" t="str">
        <f t="shared" si="45"/>
        <v/>
      </c>
      <c r="BC76" s="18" t="str">
        <f>IF(C76&lt;&gt;"",(('Data input'!C$109-'Data input'!C$108)*(AS76-1)/4)+'Data input'!C$108,"")</f>
        <v/>
      </c>
      <c r="BD76" s="18" t="str">
        <f>IF(D76&lt;&gt;"",(('Data input'!D$109-'Data input'!D$108)*(AT76-1)/4)+'Data input'!D$108,"")</f>
        <v/>
      </c>
      <c r="BE76" s="18" t="str">
        <f>IF(E76&lt;&gt;"",(('Data input'!E$109-'Data input'!E$108)*(AU76-1)/4)+'Data input'!E$108,"")</f>
        <v/>
      </c>
      <c r="BF76" s="18" t="str">
        <f>IF(F76&lt;&gt;"",(('Data input'!F$109-'Data input'!F$108)*(AV76-1)/4)+'Data input'!F$108,"")</f>
        <v/>
      </c>
      <c r="BG76" s="18" t="str">
        <f>IF(G76&lt;&gt;"",(('Data input'!G$109-'Data input'!G$108)*(AW76-1)/4)+'Data input'!G$108,"")</f>
        <v/>
      </c>
      <c r="BH76" s="19" t="str">
        <f>IF(H76&lt;&gt;"",(('Data input'!H$109-'Data input'!H$108)*(AX76-1)/4)+'Data input'!H$108,"")</f>
        <v/>
      </c>
      <c r="BI76" s="18" t="str">
        <f>IF(I76&lt;&gt;"",(('Data input'!I$109-'Data input'!I$108)*(AY76-1)/4)+'Data input'!I$108,"")</f>
        <v/>
      </c>
      <c r="BJ76" s="19" t="str">
        <f>IF(J76&lt;&gt;"",(('Data input'!J$109-'Data input'!J$108)*(AZ76-1)/4)+'Data input'!J$108,"")</f>
        <v/>
      </c>
      <c r="BK76" s="19" t="str">
        <f>IF(K76&lt;&gt;"",(('Data input'!K$109-'Data input'!K$108)*(BA76-1)/4)+'Data input'!K$108,"")</f>
        <v/>
      </c>
      <c r="BL76" s="19" t="str">
        <f>IF(L76&lt;&gt;"",(('Data input'!L$109-'Data input'!L$108)*(BB76-1)/4)+'Data input'!L$108,"")</f>
        <v/>
      </c>
      <c r="BM76" s="18" t="str">
        <f>IF(C76&lt;&gt;"",BC76-'Data input'!C76,"")</f>
        <v/>
      </c>
      <c r="BN76" s="18" t="str">
        <f>IF(D76&lt;&gt;"",BD76-'Data input'!D76,"")</f>
        <v/>
      </c>
      <c r="BO76" s="18" t="str">
        <f>IF(E76&lt;&gt;"",BE76-'Data input'!E76,"")</f>
        <v/>
      </c>
      <c r="BP76" s="18" t="str">
        <f>IF(F76&lt;&gt;"",BF76-'Data input'!F76,"")</f>
        <v/>
      </c>
      <c r="BQ76" s="18" t="str">
        <f>IF(G76&lt;&gt;"",BG76-'Data input'!G76,"")</f>
        <v/>
      </c>
      <c r="BR76" s="19" t="str">
        <f>IF(H76&lt;&gt;"",BH76-'Data input'!H76,"")</f>
        <v/>
      </c>
      <c r="BS76" s="18" t="str">
        <f>IF(I76&lt;&gt;"",BI76-'Data input'!I76,"")</f>
        <v/>
      </c>
      <c r="BT76" s="18" t="str">
        <f>IF(J76&lt;&gt;"",BJ76-'Data input'!J76,"")</f>
        <v/>
      </c>
      <c r="BU76" s="18" t="str">
        <f>IF(K76&lt;&gt;"",BK76-'Data input'!K76,"")</f>
        <v/>
      </c>
      <c r="BV76" s="72" t="str">
        <f>IF(L76&lt;&gt;"",BL76-'Data input'!L76,"")</f>
        <v/>
      </c>
      <c r="BW76" s="121" t="str">
        <f t="shared" si="49"/>
        <v/>
      </c>
      <c r="FT76" s="1" t="str">
        <f t="shared" si="46"/>
        <v/>
      </c>
      <c r="FU76" s="1" t="str">
        <f t="shared" si="46"/>
        <v/>
      </c>
      <c r="FV76" s="1" t="str">
        <f t="shared" si="46"/>
        <v/>
      </c>
      <c r="FW76" s="1" t="str">
        <f t="shared" si="46"/>
        <v/>
      </c>
      <c r="FX76" s="1" t="str">
        <f t="shared" si="46"/>
        <v/>
      </c>
      <c r="FY76" s="1" t="str">
        <f t="shared" si="46"/>
        <v/>
      </c>
      <c r="FZ76" s="1" t="str">
        <f t="shared" si="46"/>
        <v/>
      </c>
      <c r="GA76" s="1" t="str">
        <f t="shared" si="46"/>
        <v/>
      </c>
      <c r="GB76" s="1" t="str">
        <f t="shared" si="46"/>
        <v/>
      </c>
      <c r="GC76" s="1" t="str">
        <f t="shared" si="46"/>
        <v/>
      </c>
      <c r="GD76" s="1" t="str">
        <f t="shared" si="46"/>
        <v/>
      </c>
      <c r="GE76" s="1" t="str">
        <f t="shared" si="46"/>
        <v/>
      </c>
      <c r="GF76" s="1" t="str">
        <f t="shared" si="46"/>
        <v/>
      </c>
      <c r="GG76" s="1" t="str">
        <f t="shared" si="46"/>
        <v/>
      </c>
      <c r="GH76" s="1" t="str">
        <f t="shared" si="46"/>
        <v/>
      </c>
      <c r="GI76" s="1" t="str">
        <f t="shared" si="46"/>
        <v/>
      </c>
      <c r="GJ76" s="1" t="str">
        <f t="shared" si="51"/>
        <v/>
      </c>
      <c r="GK76" s="1" t="str">
        <f t="shared" si="51"/>
        <v/>
      </c>
      <c r="GL76" s="1" t="str">
        <f t="shared" si="51"/>
        <v/>
      </c>
      <c r="GM76" s="1" t="str">
        <f t="shared" si="51"/>
        <v/>
      </c>
      <c r="GN76" s="1" t="str">
        <f t="shared" si="51"/>
        <v/>
      </c>
      <c r="GO76" s="1" t="str">
        <f t="shared" si="51"/>
        <v/>
      </c>
      <c r="GP76" s="1" t="str">
        <f t="shared" si="51"/>
        <v/>
      </c>
      <c r="GQ76" s="1" t="str">
        <f t="shared" si="51"/>
        <v/>
      </c>
      <c r="GR76" s="1" t="str">
        <f t="shared" si="51"/>
        <v/>
      </c>
      <c r="GS76" s="1" t="str">
        <f t="shared" si="51"/>
        <v/>
      </c>
      <c r="GT76" s="1" t="str">
        <f t="shared" si="50"/>
        <v/>
      </c>
      <c r="GU76" s="1" t="str">
        <f t="shared" si="50"/>
        <v/>
      </c>
      <c r="GV76" s="1" t="str">
        <f t="shared" si="50"/>
        <v/>
      </c>
      <c r="GW76" s="1" t="str">
        <f t="shared" si="50"/>
        <v/>
      </c>
      <c r="GX76" s="1" t="str">
        <f t="shared" si="50"/>
        <v/>
      </c>
      <c r="GY76" s="1" t="str">
        <f t="shared" si="39"/>
        <v/>
      </c>
      <c r="GZ76" s="1" t="str">
        <f t="shared" si="39"/>
        <v/>
      </c>
      <c r="HA76" s="1" t="str">
        <f t="shared" si="39"/>
        <v/>
      </c>
      <c r="HB76" s="1" t="str">
        <f t="shared" si="39"/>
        <v/>
      </c>
      <c r="HC76" s="1" t="str">
        <f t="shared" si="39"/>
        <v/>
      </c>
      <c r="HD76" s="1" t="str">
        <f t="shared" si="39"/>
        <v/>
      </c>
      <c r="HE76" s="1" t="str">
        <f t="shared" si="39"/>
        <v/>
      </c>
      <c r="HF76" s="1" t="str">
        <f t="shared" si="39"/>
        <v/>
      </c>
      <c r="HG76" s="1" t="str">
        <f t="shared" si="39"/>
        <v/>
      </c>
      <c r="HH76" s="1" t="str">
        <f t="shared" si="39"/>
        <v/>
      </c>
      <c r="HI76" s="1" t="str">
        <f t="shared" si="39"/>
        <v/>
      </c>
      <c r="HJ76" s="1" t="str">
        <f t="shared" si="39"/>
        <v/>
      </c>
      <c r="HK76" s="1" t="str">
        <f t="shared" si="39"/>
        <v/>
      </c>
      <c r="HL76" s="1" t="str">
        <f t="shared" si="39"/>
        <v/>
      </c>
      <c r="HM76" s="1" t="str">
        <f t="shared" si="39"/>
        <v/>
      </c>
      <c r="HN76" s="1" t="str">
        <f t="shared" si="39"/>
        <v/>
      </c>
      <c r="HO76" s="1" t="str">
        <f t="shared" si="52"/>
        <v/>
      </c>
      <c r="HP76" s="1" t="str">
        <f t="shared" si="47"/>
        <v/>
      </c>
      <c r="HQ76" s="1" t="str">
        <f t="shared" si="47"/>
        <v/>
      </c>
      <c r="HR76" s="1" t="str">
        <f t="shared" si="47"/>
        <v/>
      </c>
      <c r="HS76" s="1" t="str">
        <f t="shared" si="47"/>
        <v/>
      </c>
      <c r="HT76" s="1" t="str">
        <f t="shared" si="47"/>
        <v/>
      </c>
      <c r="HU76" s="1" t="str">
        <f t="shared" si="47"/>
        <v/>
      </c>
      <c r="HV76" s="1" t="str">
        <f t="shared" si="47"/>
        <v/>
      </c>
      <c r="HW76" s="1" t="str">
        <f t="shared" si="41"/>
        <v/>
      </c>
      <c r="HX76" s="1" t="str">
        <f t="shared" si="41"/>
        <v/>
      </c>
      <c r="HY76" s="1" t="str">
        <f t="shared" si="41"/>
        <v/>
      </c>
      <c r="HZ76" s="1" t="str">
        <f t="shared" si="41"/>
        <v/>
      </c>
      <c r="IA76" s="1" t="str">
        <f t="shared" si="41"/>
        <v/>
      </c>
      <c r="IB76" s="1" t="str">
        <f t="shared" si="41"/>
        <v/>
      </c>
      <c r="IC76" s="1" t="str">
        <f t="shared" si="41"/>
        <v/>
      </c>
      <c r="ID76" s="1" t="str">
        <f t="shared" si="41"/>
        <v/>
      </c>
      <c r="IE76" s="1" t="str">
        <f t="shared" si="41"/>
        <v/>
      </c>
      <c r="IF76" s="1" t="str">
        <f t="shared" si="41"/>
        <v/>
      </c>
      <c r="IG76" s="1" t="str">
        <f t="shared" si="41"/>
        <v/>
      </c>
      <c r="IH76" s="1" t="str">
        <f t="shared" si="41"/>
        <v/>
      </c>
      <c r="II76" s="1" t="str">
        <f t="shared" si="41"/>
        <v/>
      </c>
      <c r="IJ76" s="1" t="str">
        <f t="shared" si="41"/>
        <v/>
      </c>
      <c r="IK76" s="1" t="str">
        <f t="shared" si="41"/>
        <v/>
      </c>
      <c r="IL76" s="1" t="str">
        <f t="shared" si="41"/>
        <v/>
      </c>
      <c r="IM76" s="1" t="str">
        <f t="shared" si="42"/>
        <v/>
      </c>
      <c r="IN76" s="1" t="str">
        <f t="shared" si="42"/>
        <v/>
      </c>
      <c r="IO76" s="1" t="str">
        <f t="shared" si="42"/>
        <v/>
      </c>
      <c r="IP76" s="1" t="str">
        <f t="shared" si="42"/>
        <v/>
      </c>
      <c r="IQ76" s="1" t="str">
        <f t="shared" si="42"/>
        <v/>
      </c>
      <c r="IR76" s="1" t="str">
        <f t="shared" si="42"/>
        <v/>
      </c>
      <c r="IS76" s="1" t="str">
        <f t="shared" si="42"/>
        <v/>
      </c>
      <c r="IT76" s="1" t="str">
        <f t="shared" si="42"/>
        <v/>
      </c>
      <c r="IU76" s="1" t="str">
        <f t="shared" si="42"/>
        <v/>
      </c>
      <c r="IV76" s="1" t="str">
        <f t="shared" si="42"/>
        <v/>
      </c>
      <c r="IW76" s="1" t="str">
        <f t="shared" si="42"/>
        <v/>
      </c>
      <c r="IX76" s="1" t="str">
        <f t="shared" si="42"/>
        <v/>
      </c>
      <c r="IY76" s="1" t="str">
        <f t="shared" si="42"/>
        <v/>
      </c>
      <c r="IZ76" s="1" t="str">
        <f t="shared" si="42"/>
        <v/>
      </c>
      <c r="JA76" s="1" t="str">
        <f t="shared" si="42"/>
        <v/>
      </c>
      <c r="JB76" s="1" t="str">
        <f t="shared" si="42"/>
        <v/>
      </c>
      <c r="JC76" s="1" t="str">
        <f t="shared" si="43"/>
        <v/>
      </c>
      <c r="JD76" s="1" t="str">
        <f t="shared" si="43"/>
        <v/>
      </c>
      <c r="JE76" s="1" t="str">
        <f t="shared" si="43"/>
        <v/>
      </c>
      <c r="JF76" s="1" t="str">
        <f t="shared" si="43"/>
        <v/>
      </c>
      <c r="JG76" s="1" t="str">
        <f t="shared" si="37"/>
        <v/>
      </c>
      <c r="JH76" s="1" t="str">
        <f t="shared" si="37"/>
        <v/>
      </c>
      <c r="JI76" s="1" t="str">
        <f t="shared" si="37"/>
        <v/>
      </c>
      <c r="JJ76" s="1" t="str">
        <f t="shared" si="30"/>
        <v/>
      </c>
      <c r="JK76" s="1" t="str">
        <f t="shared" si="30"/>
        <v/>
      </c>
      <c r="JL76" s="1" t="str">
        <f t="shared" si="24"/>
        <v/>
      </c>
      <c r="JM76" s="1" t="str">
        <f t="shared" si="24"/>
        <v/>
      </c>
      <c r="JN76" s="1" t="str">
        <f t="shared" si="24"/>
        <v/>
      </c>
      <c r="JO76" s="1" t="str">
        <f t="shared" si="24"/>
        <v/>
      </c>
    </row>
    <row r="77" spans="1:275" ht="14.5" x14ac:dyDescent="0.35">
      <c r="A77" s="59" t="str">
        <f>IF('Data input'!A77&lt;&gt;"",'Data input'!A77,"")</f>
        <v/>
      </c>
      <c r="B77" s="15" t="str">
        <f>IF('Data input'!B77&lt;&gt;"",'Data input'!B77,"")</f>
        <v/>
      </c>
      <c r="C77" s="16" t="str">
        <f>IF('Data input'!C77="","",4*('Data input'!C77-'Data input'!C$108)/('Data input'!C$109-'Data input'!C$108)+1)</f>
        <v/>
      </c>
      <c r="D77" s="16" t="str">
        <f>IF('Data input'!D77="","",4*('Data input'!D77-'Data input'!D$108)/('Data input'!D$109-'Data input'!D$108)+1)</f>
        <v/>
      </c>
      <c r="E77" s="16" t="str">
        <f>IF('Data input'!E77="","",4*('Data input'!E77-'Data input'!E$108)/('Data input'!E$109-'Data input'!E$108)+1)</f>
        <v/>
      </c>
      <c r="F77" s="16" t="str">
        <f>IF('Data input'!F77="","",4*('Data input'!F77-'Data input'!F$108)/('Data input'!F$109-'Data input'!F$108)+1)</f>
        <v/>
      </c>
      <c r="G77" s="16" t="str">
        <f>IF('Data input'!G77="","",4*('Data input'!G77-'Data input'!G$108)/('Data input'!G$109-'Data input'!G$108)+1)</f>
        <v/>
      </c>
      <c r="H77" s="16" t="str">
        <f>IF('Data input'!H77="","",4*('Data input'!H77-'Data input'!H$108)/('Data input'!H$109-'Data input'!H$108)+1)</f>
        <v/>
      </c>
      <c r="I77" s="19" t="str">
        <f>IF('Data input'!I77="","",4*('Data input'!I77-'Data input'!I$108)/('Data input'!I$109-'Data input'!I$108)+1)</f>
        <v/>
      </c>
      <c r="J77" s="19" t="str">
        <f>IF('Data input'!J77="","",4*('Data input'!J77-'Data input'!J$108)/('Data input'!J$109-'Data input'!J$108)+1)</f>
        <v/>
      </c>
      <c r="K77" s="19" t="str">
        <f>IF('Data input'!K77="","",4*('Data input'!K77-'Data input'!K$108)/('Data input'!K$109-'Data input'!K$108)+1)</f>
        <v/>
      </c>
      <c r="L77" s="19" t="str">
        <f>IF('Data input'!L77="","",4*('Data input'!L77-'Data input'!L$108)/('Data input'!L$109-'Data input'!L$108)+1)</f>
        <v/>
      </c>
      <c r="M77" s="16" t="str">
        <f>IF('Data input'!M77="","",4*('Data input'!M77-'Data input'!M$108)/('Data input'!M$109-'Data input'!M$108)+1)</f>
        <v/>
      </c>
      <c r="N77" s="16" t="str">
        <f>IF('Data input'!N77="","",4*('Data input'!N77-'Data input'!N$108)/('Data input'!N$109-'Data input'!N$108)+1)</f>
        <v/>
      </c>
      <c r="O77" s="16" t="str">
        <f>IF('Data input'!O77="","",4*('Data input'!O77-'Data input'!O$108)/('Data input'!O$109-'Data input'!O$108)+1)</f>
        <v/>
      </c>
      <c r="P77" s="16" t="str">
        <f>IF('Data input'!P77="","",4*('Data input'!P77-'Data input'!P$108)/('Data input'!P$109-'Data input'!P$108)+1)</f>
        <v/>
      </c>
      <c r="Q77" s="16" t="str">
        <f>IF('Data input'!Q77="","",4*('Data input'!Q77-'Data input'!Q$108)/('Data input'!Q$109-'Data input'!Q$108)+1)</f>
        <v/>
      </c>
      <c r="R77" s="16" t="str">
        <f>IF('Data input'!R77="","",4*('Data input'!R77-'Data input'!R$108)/('Data input'!R$109-'Data input'!R$108)+1)</f>
        <v/>
      </c>
      <c r="S77" s="16" t="str">
        <f>IF('Data input'!S77="","",4*('Data input'!S77-'Data input'!S$108)/('Data input'!S$109-'Data input'!S$108)+1)</f>
        <v/>
      </c>
      <c r="T77" s="16" t="str">
        <f>IF('Data input'!T77="","",4*('Data input'!T77-'Data input'!T$108)/('Data input'!T$109-'Data input'!T$108)+1)</f>
        <v/>
      </c>
      <c r="U77" s="16" t="str">
        <f>IF('Data input'!U77="","",4*('Data input'!U77-'Data input'!U$108)/('Data input'!U$109-'Data input'!U$108)+1)</f>
        <v/>
      </c>
      <c r="V77" s="16" t="str">
        <f>IF('Data input'!V77="","",4*('Data input'!V77-'Data input'!V$108)/('Data input'!V$109-'Data input'!V$108)+1)</f>
        <v/>
      </c>
      <c r="W77" s="16" t="str">
        <f>IF('Data input'!W77="","",4*('Data input'!W77-'Data input'!W$108)/('Data input'!W$109-'Data input'!W$108)+1)</f>
        <v/>
      </c>
      <c r="X77" s="16" t="str">
        <f>IF('Data input'!X77="","",4*('Data input'!X77-'Data input'!X$108)/('Data input'!X$109-'Data input'!X$108)+1)</f>
        <v/>
      </c>
      <c r="Y77" s="16" t="str">
        <f>IF('Data input'!Y77="","",4*('Data input'!Y77-'Data input'!Y$108)/('Data input'!Y$109-'Data input'!Y$108)+1)</f>
        <v/>
      </c>
      <c r="Z77" s="16" t="str">
        <f>IF('Data input'!Z77="","",4*('Data input'!Z77-'Data input'!Z$108)/('Data input'!Z$109-'Data input'!Z$108)+1)</f>
        <v/>
      </c>
      <c r="AA77" s="62" t="str">
        <f>IF('Data input'!AA77="","",4*('Data input'!AA77-'Data input'!AA$108)/('Data input'!AA$109-'Data input'!AA$108)+1)</f>
        <v/>
      </c>
      <c r="AB77" s="78"/>
      <c r="AC77" s="79">
        <v>0</v>
      </c>
      <c r="AD77" s="80" t="e">
        <f t="shared" si="48"/>
        <v>#DIV/0!</v>
      </c>
      <c r="AE77" s="4"/>
      <c r="AF77" s="59" t="str">
        <f t="shared" si="40"/>
        <v/>
      </c>
      <c r="AG77" s="60" t="str">
        <f t="shared" si="40"/>
        <v/>
      </c>
      <c r="AH77"/>
      <c r="AI77"/>
      <c r="AJ77"/>
      <c r="AK77"/>
      <c r="AL77"/>
      <c r="AM77"/>
      <c r="AN77"/>
      <c r="AO77"/>
      <c r="AP77"/>
      <c r="AQ77"/>
      <c r="AR77"/>
      <c r="AS77" s="71" t="str">
        <f t="shared" si="44"/>
        <v/>
      </c>
      <c r="AT77" s="71" t="str">
        <f t="shared" si="44"/>
        <v/>
      </c>
      <c r="AU77" s="71" t="str">
        <f t="shared" si="44"/>
        <v/>
      </c>
      <c r="AV77" s="71" t="str">
        <f t="shared" si="44"/>
        <v/>
      </c>
      <c r="AW77" s="71" t="str">
        <f t="shared" si="44"/>
        <v/>
      </c>
      <c r="AX77" s="71" t="str">
        <f t="shared" si="45"/>
        <v/>
      </c>
      <c r="AY77" s="71" t="str">
        <f t="shared" si="45"/>
        <v/>
      </c>
      <c r="AZ77" s="71" t="str">
        <f t="shared" si="45"/>
        <v/>
      </c>
      <c r="BA77" s="71" t="str">
        <f t="shared" si="45"/>
        <v/>
      </c>
      <c r="BB77" s="71" t="str">
        <f t="shared" si="45"/>
        <v/>
      </c>
      <c r="BC77" s="18" t="str">
        <f>IF(C77&lt;&gt;"",(('Data input'!C$109-'Data input'!C$108)*(AS77-1)/4)+'Data input'!C$108,"")</f>
        <v/>
      </c>
      <c r="BD77" s="18" t="str">
        <f>IF(D77&lt;&gt;"",(('Data input'!D$109-'Data input'!D$108)*(AT77-1)/4)+'Data input'!D$108,"")</f>
        <v/>
      </c>
      <c r="BE77" s="18" t="str">
        <f>IF(E77&lt;&gt;"",(('Data input'!E$109-'Data input'!E$108)*(AU77-1)/4)+'Data input'!E$108,"")</f>
        <v/>
      </c>
      <c r="BF77" s="18" t="str">
        <f>IF(F77&lt;&gt;"",(('Data input'!F$109-'Data input'!F$108)*(AV77-1)/4)+'Data input'!F$108,"")</f>
        <v/>
      </c>
      <c r="BG77" s="18" t="str">
        <f>IF(G77&lt;&gt;"",(('Data input'!G$109-'Data input'!G$108)*(AW77-1)/4)+'Data input'!G$108,"")</f>
        <v/>
      </c>
      <c r="BH77" s="19" t="str">
        <f>IF(H77&lt;&gt;"",(('Data input'!H$109-'Data input'!H$108)*(AX77-1)/4)+'Data input'!H$108,"")</f>
        <v/>
      </c>
      <c r="BI77" s="18" t="str">
        <f>IF(I77&lt;&gt;"",(('Data input'!I$109-'Data input'!I$108)*(AY77-1)/4)+'Data input'!I$108,"")</f>
        <v/>
      </c>
      <c r="BJ77" s="19" t="str">
        <f>IF(J77&lt;&gt;"",(('Data input'!J$109-'Data input'!J$108)*(AZ77-1)/4)+'Data input'!J$108,"")</f>
        <v/>
      </c>
      <c r="BK77" s="19" t="str">
        <f>IF(K77&lt;&gt;"",(('Data input'!K$109-'Data input'!K$108)*(BA77-1)/4)+'Data input'!K$108,"")</f>
        <v/>
      </c>
      <c r="BL77" s="19" t="str">
        <f>IF(L77&lt;&gt;"",(('Data input'!L$109-'Data input'!L$108)*(BB77-1)/4)+'Data input'!L$108,"")</f>
        <v/>
      </c>
      <c r="BM77" s="18" t="str">
        <f>IF(C77&lt;&gt;"",BC77-'Data input'!C77,"")</f>
        <v/>
      </c>
      <c r="BN77" s="18" t="str">
        <f>IF(D77&lt;&gt;"",BD77-'Data input'!D77,"")</f>
        <v/>
      </c>
      <c r="BO77" s="18" t="str">
        <f>IF(E77&lt;&gt;"",BE77-'Data input'!E77,"")</f>
        <v/>
      </c>
      <c r="BP77" s="18" t="str">
        <f>IF(F77&lt;&gt;"",BF77-'Data input'!F77,"")</f>
        <v/>
      </c>
      <c r="BQ77" s="18" t="str">
        <f>IF(G77&lt;&gt;"",BG77-'Data input'!G77,"")</f>
        <v/>
      </c>
      <c r="BR77" s="19" t="str">
        <f>IF(H77&lt;&gt;"",BH77-'Data input'!H77,"")</f>
        <v/>
      </c>
      <c r="BS77" s="18" t="str">
        <f>IF(I77&lt;&gt;"",BI77-'Data input'!I77,"")</f>
        <v/>
      </c>
      <c r="BT77" s="18" t="str">
        <f>IF(J77&lt;&gt;"",BJ77-'Data input'!J77,"")</f>
        <v/>
      </c>
      <c r="BU77" s="18" t="str">
        <f>IF(K77&lt;&gt;"",BK77-'Data input'!K77,"")</f>
        <v/>
      </c>
      <c r="BV77" s="72" t="str">
        <f>IF(L77&lt;&gt;"",BL77-'Data input'!L77,"")</f>
        <v/>
      </c>
      <c r="BW77" s="121" t="str">
        <f t="shared" si="49"/>
        <v/>
      </c>
      <c r="FT77" s="1" t="str">
        <f t="shared" si="46"/>
        <v/>
      </c>
      <c r="FU77" s="1" t="str">
        <f t="shared" si="46"/>
        <v/>
      </c>
      <c r="FV77" s="1" t="str">
        <f t="shared" si="46"/>
        <v/>
      </c>
      <c r="FW77" s="1" t="str">
        <f t="shared" si="46"/>
        <v/>
      </c>
      <c r="FX77" s="1" t="str">
        <f t="shared" si="46"/>
        <v/>
      </c>
      <c r="FY77" s="1" t="str">
        <f t="shared" si="46"/>
        <v/>
      </c>
      <c r="FZ77" s="1" t="str">
        <f t="shared" si="46"/>
        <v/>
      </c>
      <c r="GA77" s="1" t="str">
        <f t="shared" si="46"/>
        <v/>
      </c>
      <c r="GB77" s="1" t="str">
        <f t="shared" si="46"/>
        <v/>
      </c>
      <c r="GC77" s="1" t="str">
        <f t="shared" si="46"/>
        <v/>
      </c>
      <c r="GD77" s="1" t="str">
        <f t="shared" si="46"/>
        <v/>
      </c>
      <c r="GE77" s="1" t="str">
        <f t="shared" si="46"/>
        <v/>
      </c>
      <c r="GF77" s="1" t="str">
        <f t="shared" si="46"/>
        <v/>
      </c>
      <c r="GG77" s="1" t="str">
        <f t="shared" si="46"/>
        <v/>
      </c>
      <c r="GH77" s="1" t="str">
        <f t="shared" si="46"/>
        <v/>
      </c>
      <c r="GI77" s="1" t="str">
        <f t="shared" si="46"/>
        <v/>
      </c>
      <c r="GJ77" s="1" t="str">
        <f t="shared" si="51"/>
        <v/>
      </c>
      <c r="GK77" s="1" t="str">
        <f t="shared" si="51"/>
        <v/>
      </c>
      <c r="GL77" s="1" t="str">
        <f t="shared" si="51"/>
        <v/>
      </c>
      <c r="GM77" s="1" t="str">
        <f t="shared" si="51"/>
        <v/>
      </c>
      <c r="GN77" s="1" t="str">
        <f t="shared" si="51"/>
        <v/>
      </c>
      <c r="GO77" s="1" t="str">
        <f t="shared" si="51"/>
        <v/>
      </c>
      <c r="GP77" s="1" t="str">
        <f t="shared" si="51"/>
        <v/>
      </c>
      <c r="GQ77" s="1" t="str">
        <f t="shared" si="51"/>
        <v/>
      </c>
      <c r="GR77" s="1" t="str">
        <f t="shared" si="51"/>
        <v/>
      </c>
      <c r="GS77" s="1" t="str">
        <f t="shared" si="51"/>
        <v/>
      </c>
      <c r="GT77" s="1" t="str">
        <f t="shared" si="50"/>
        <v/>
      </c>
      <c r="GU77" s="1" t="str">
        <f t="shared" si="50"/>
        <v/>
      </c>
      <c r="GV77" s="1" t="str">
        <f t="shared" si="50"/>
        <v/>
      </c>
      <c r="GW77" s="1" t="str">
        <f t="shared" si="50"/>
        <v/>
      </c>
      <c r="GX77" s="1" t="str">
        <f t="shared" si="50"/>
        <v/>
      </c>
      <c r="GY77" s="1" t="str">
        <f t="shared" si="39"/>
        <v/>
      </c>
      <c r="GZ77" s="1" t="str">
        <f t="shared" si="39"/>
        <v/>
      </c>
      <c r="HA77" s="1" t="str">
        <f t="shared" si="39"/>
        <v/>
      </c>
      <c r="HB77" s="1" t="str">
        <f t="shared" si="39"/>
        <v/>
      </c>
      <c r="HC77" s="1" t="str">
        <f t="shared" si="39"/>
        <v/>
      </c>
      <c r="HD77" s="1" t="str">
        <f t="shared" si="39"/>
        <v/>
      </c>
      <c r="HE77" s="1" t="str">
        <f t="shared" si="39"/>
        <v/>
      </c>
      <c r="HF77" s="1" t="str">
        <f t="shared" si="39"/>
        <v/>
      </c>
      <c r="HG77" s="1" t="str">
        <f t="shared" si="39"/>
        <v/>
      </c>
      <c r="HH77" s="1" t="str">
        <f t="shared" si="39"/>
        <v/>
      </c>
      <c r="HI77" s="1" t="str">
        <f t="shared" si="39"/>
        <v/>
      </c>
      <c r="HJ77" s="1" t="str">
        <f t="shared" si="39"/>
        <v/>
      </c>
      <c r="HK77" s="1" t="str">
        <f t="shared" si="39"/>
        <v/>
      </c>
      <c r="HL77" s="1" t="str">
        <f t="shared" si="39"/>
        <v/>
      </c>
      <c r="HM77" s="1" t="str">
        <f t="shared" si="39"/>
        <v/>
      </c>
      <c r="HN77" s="1" t="str">
        <f t="shared" si="39"/>
        <v/>
      </c>
      <c r="HO77" s="1" t="str">
        <f t="shared" si="52"/>
        <v/>
      </c>
      <c r="HP77" s="1" t="str">
        <f t="shared" si="47"/>
        <v/>
      </c>
      <c r="HQ77" s="1" t="str">
        <f t="shared" si="47"/>
        <v/>
      </c>
      <c r="HR77" s="1" t="str">
        <f t="shared" si="47"/>
        <v/>
      </c>
      <c r="HS77" s="1" t="str">
        <f t="shared" si="47"/>
        <v/>
      </c>
      <c r="HT77" s="1" t="str">
        <f t="shared" si="47"/>
        <v/>
      </c>
      <c r="HU77" s="1" t="str">
        <f t="shared" si="47"/>
        <v/>
      </c>
      <c r="HV77" s="1" t="str">
        <f t="shared" si="47"/>
        <v/>
      </c>
      <c r="HW77" s="1" t="str">
        <f t="shared" si="41"/>
        <v/>
      </c>
      <c r="HX77" s="1" t="str">
        <f t="shared" si="41"/>
        <v/>
      </c>
      <c r="HY77" s="1" t="str">
        <f t="shared" si="41"/>
        <v/>
      </c>
      <c r="HZ77" s="1" t="str">
        <f t="shared" si="41"/>
        <v/>
      </c>
      <c r="IA77" s="1" t="str">
        <f t="shared" si="41"/>
        <v/>
      </c>
      <c r="IB77" s="1" t="str">
        <f t="shared" si="41"/>
        <v/>
      </c>
      <c r="IC77" s="1" t="str">
        <f t="shared" si="41"/>
        <v/>
      </c>
      <c r="ID77" s="1" t="str">
        <f t="shared" si="41"/>
        <v/>
      </c>
      <c r="IE77" s="1" t="str">
        <f t="shared" si="41"/>
        <v/>
      </c>
      <c r="IF77" s="1" t="str">
        <f t="shared" si="41"/>
        <v/>
      </c>
      <c r="IG77" s="1" t="str">
        <f t="shared" si="41"/>
        <v/>
      </c>
      <c r="IH77" s="1" t="str">
        <f t="shared" si="41"/>
        <v/>
      </c>
      <c r="II77" s="1" t="str">
        <f t="shared" si="41"/>
        <v/>
      </c>
      <c r="IJ77" s="1" t="str">
        <f t="shared" si="41"/>
        <v/>
      </c>
      <c r="IK77" s="1" t="str">
        <f t="shared" si="41"/>
        <v/>
      </c>
      <c r="IL77" s="1" t="str">
        <f t="shared" si="41"/>
        <v/>
      </c>
      <c r="IM77" s="1" t="str">
        <f t="shared" si="42"/>
        <v/>
      </c>
      <c r="IN77" s="1" t="str">
        <f t="shared" si="42"/>
        <v/>
      </c>
      <c r="IO77" s="1" t="str">
        <f t="shared" si="42"/>
        <v/>
      </c>
      <c r="IP77" s="1" t="str">
        <f t="shared" si="42"/>
        <v/>
      </c>
      <c r="IQ77" s="1" t="str">
        <f t="shared" si="42"/>
        <v/>
      </c>
      <c r="IR77" s="1" t="str">
        <f t="shared" si="42"/>
        <v/>
      </c>
      <c r="IS77" s="1" t="str">
        <f t="shared" si="42"/>
        <v/>
      </c>
      <c r="IT77" s="1" t="str">
        <f t="shared" si="42"/>
        <v/>
      </c>
      <c r="IU77" s="1" t="str">
        <f t="shared" si="42"/>
        <v/>
      </c>
      <c r="IV77" s="1" t="str">
        <f t="shared" si="42"/>
        <v/>
      </c>
      <c r="IW77" s="1" t="str">
        <f t="shared" si="42"/>
        <v/>
      </c>
      <c r="IX77" s="1" t="str">
        <f t="shared" si="42"/>
        <v/>
      </c>
      <c r="IY77" s="1" t="str">
        <f t="shared" si="42"/>
        <v/>
      </c>
      <c r="IZ77" s="1" t="str">
        <f t="shared" si="42"/>
        <v/>
      </c>
      <c r="JA77" s="1" t="str">
        <f t="shared" si="42"/>
        <v/>
      </c>
      <c r="JB77" s="1" t="str">
        <f t="shared" si="42"/>
        <v/>
      </c>
      <c r="JC77" s="1" t="str">
        <f t="shared" si="43"/>
        <v/>
      </c>
      <c r="JD77" s="1" t="str">
        <f t="shared" si="43"/>
        <v/>
      </c>
      <c r="JE77" s="1" t="str">
        <f t="shared" si="43"/>
        <v/>
      </c>
      <c r="JF77" s="1" t="str">
        <f t="shared" si="43"/>
        <v/>
      </c>
      <c r="JG77" s="1" t="str">
        <f t="shared" si="37"/>
        <v/>
      </c>
      <c r="JH77" s="1" t="str">
        <f t="shared" si="37"/>
        <v/>
      </c>
      <c r="JI77" s="1" t="str">
        <f t="shared" si="37"/>
        <v/>
      </c>
      <c r="JJ77" s="1" t="str">
        <f t="shared" si="30"/>
        <v/>
      </c>
      <c r="JK77" s="1" t="str">
        <f t="shared" si="30"/>
        <v/>
      </c>
      <c r="JL77" s="1" t="str">
        <f t="shared" si="24"/>
        <v/>
      </c>
      <c r="JM77" s="1" t="str">
        <f t="shared" si="24"/>
        <v/>
      </c>
      <c r="JN77" s="1" t="str">
        <f t="shared" si="24"/>
        <v/>
      </c>
      <c r="JO77" s="1" t="str">
        <f t="shared" si="24"/>
        <v/>
      </c>
    </row>
    <row r="78" spans="1:275" ht="14.5" x14ac:dyDescent="0.35">
      <c r="A78" s="59" t="str">
        <f>IF('Data input'!A78&lt;&gt;"",'Data input'!A78,"")</f>
        <v/>
      </c>
      <c r="B78" s="15" t="str">
        <f>IF('Data input'!B78&lt;&gt;"",'Data input'!B78,"")</f>
        <v/>
      </c>
      <c r="C78" s="16" t="str">
        <f>IF('Data input'!C78="","",4*('Data input'!C78-'Data input'!C$108)/('Data input'!C$109-'Data input'!C$108)+1)</f>
        <v/>
      </c>
      <c r="D78" s="16" t="str">
        <f>IF('Data input'!D78="","",4*('Data input'!D78-'Data input'!D$108)/('Data input'!D$109-'Data input'!D$108)+1)</f>
        <v/>
      </c>
      <c r="E78" s="16" t="str">
        <f>IF('Data input'!E78="","",4*('Data input'!E78-'Data input'!E$108)/('Data input'!E$109-'Data input'!E$108)+1)</f>
        <v/>
      </c>
      <c r="F78" s="16" t="str">
        <f>IF('Data input'!F78="","",4*('Data input'!F78-'Data input'!F$108)/('Data input'!F$109-'Data input'!F$108)+1)</f>
        <v/>
      </c>
      <c r="G78" s="16" t="str">
        <f>IF('Data input'!G78="","",4*('Data input'!G78-'Data input'!G$108)/('Data input'!G$109-'Data input'!G$108)+1)</f>
        <v/>
      </c>
      <c r="H78" s="16" t="str">
        <f>IF('Data input'!H78="","",4*('Data input'!H78-'Data input'!H$108)/('Data input'!H$109-'Data input'!H$108)+1)</f>
        <v/>
      </c>
      <c r="I78" s="19" t="str">
        <f>IF('Data input'!I78="","",4*('Data input'!I78-'Data input'!I$108)/('Data input'!I$109-'Data input'!I$108)+1)</f>
        <v/>
      </c>
      <c r="J78" s="19" t="str">
        <f>IF('Data input'!J78="","",4*('Data input'!J78-'Data input'!J$108)/('Data input'!J$109-'Data input'!J$108)+1)</f>
        <v/>
      </c>
      <c r="K78" s="19" t="str">
        <f>IF('Data input'!K78="","",4*('Data input'!K78-'Data input'!K$108)/('Data input'!K$109-'Data input'!K$108)+1)</f>
        <v/>
      </c>
      <c r="L78" s="19" t="str">
        <f>IF('Data input'!L78="","",4*('Data input'!L78-'Data input'!L$108)/('Data input'!L$109-'Data input'!L$108)+1)</f>
        <v/>
      </c>
      <c r="M78" s="16" t="str">
        <f>IF('Data input'!M78="","",4*('Data input'!M78-'Data input'!M$108)/('Data input'!M$109-'Data input'!M$108)+1)</f>
        <v/>
      </c>
      <c r="N78" s="16" t="str">
        <f>IF('Data input'!N78="","",4*('Data input'!N78-'Data input'!N$108)/('Data input'!N$109-'Data input'!N$108)+1)</f>
        <v/>
      </c>
      <c r="O78" s="16" t="str">
        <f>IF('Data input'!O78="","",4*('Data input'!O78-'Data input'!O$108)/('Data input'!O$109-'Data input'!O$108)+1)</f>
        <v/>
      </c>
      <c r="P78" s="16" t="str">
        <f>IF('Data input'!P78="","",4*('Data input'!P78-'Data input'!P$108)/('Data input'!P$109-'Data input'!P$108)+1)</f>
        <v/>
      </c>
      <c r="Q78" s="16" t="str">
        <f>IF('Data input'!Q78="","",4*('Data input'!Q78-'Data input'!Q$108)/('Data input'!Q$109-'Data input'!Q$108)+1)</f>
        <v/>
      </c>
      <c r="R78" s="16" t="str">
        <f>IF('Data input'!R78="","",4*('Data input'!R78-'Data input'!R$108)/('Data input'!R$109-'Data input'!R$108)+1)</f>
        <v/>
      </c>
      <c r="S78" s="16" t="str">
        <f>IF('Data input'!S78="","",4*('Data input'!S78-'Data input'!S$108)/('Data input'!S$109-'Data input'!S$108)+1)</f>
        <v/>
      </c>
      <c r="T78" s="16" t="str">
        <f>IF('Data input'!T78="","",4*('Data input'!T78-'Data input'!T$108)/('Data input'!T$109-'Data input'!T$108)+1)</f>
        <v/>
      </c>
      <c r="U78" s="16" t="str">
        <f>IF('Data input'!U78="","",4*('Data input'!U78-'Data input'!U$108)/('Data input'!U$109-'Data input'!U$108)+1)</f>
        <v/>
      </c>
      <c r="V78" s="16" t="str">
        <f>IF('Data input'!V78="","",4*('Data input'!V78-'Data input'!V$108)/('Data input'!V$109-'Data input'!V$108)+1)</f>
        <v/>
      </c>
      <c r="W78" s="16" t="str">
        <f>IF('Data input'!W78="","",4*('Data input'!W78-'Data input'!W$108)/('Data input'!W$109-'Data input'!W$108)+1)</f>
        <v/>
      </c>
      <c r="X78" s="16" t="str">
        <f>IF('Data input'!X78="","",4*('Data input'!X78-'Data input'!X$108)/('Data input'!X$109-'Data input'!X$108)+1)</f>
        <v/>
      </c>
      <c r="Y78" s="16" t="str">
        <f>IF('Data input'!Y78="","",4*('Data input'!Y78-'Data input'!Y$108)/('Data input'!Y$109-'Data input'!Y$108)+1)</f>
        <v/>
      </c>
      <c r="Z78" s="16" t="str">
        <f>IF('Data input'!Z78="","",4*('Data input'!Z78-'Data input'!Z$108)/('Data input'!Z$109-'Data input'!Z$108)+1)</f>
        <v/>
      </c>
      <c r="AA78" s="62" t="str">
        <f>IF('Data input'!AA78="","",4*('Data input'!AA78-'Data input'!AA$108)/('Data input'!AA$109-'Data input'!AA$108)+1)</f>
        <v/>
      </c>
      <c r="AB78" s="78"/>
      <c r="AC78" s="79">
        <v>0</v>
      </c>
      <c r="AD78" s="80" t="e">
        <f t="shared" si="48"/>
        <v>#DIV/0!</v>
      </c>
      <c r="AE78" s="4"/>
      <c r="AF78" s="59" t="str">
        <f t="shared" si="40"/>
        <v/>
      </c>
      <c r="AG78" s="60" t="str">
        <f t="shared" si="40"/>
        <v/>
      </c>
      <c r="AH78"/>
      <c r="AI78"/>
      <c r="AJ78"/>
      <c r="AK78"/>
      <c r="AL78"/>
      <c r="AM78"/>
      <c r="AN78"/>
      <c r="AO78"/>
      <c r="AP78"/>
      <c r="AQ78"/>
      <c r="AR78"/>
      <c r="AS78" s="71" t="str">
        <f t="shared" si="44"/>
        <v/>
      </c>
      <c r="AT78" s="71" t="str">
        <f t="shared" si="44"/>
        <v/>
      </c>
      <c r="AU78" s="71" t="str">
        <f t="shared" si="44"/>
        <v/>
      </c>
      <c r="AV78" s="71" t="str">
        <f t="shared" si="44"/>
        <v/>
      </c>
      <c r="AW78" s="71" t="str">
        <f t="shared" si="44"/>
        <v/>
      </c>
      <c r="AX78" s="71" t="str">
        <f t="shared" si="45"/>
        <v/>
      </c>
      <c r="AY78" s="71" t="str">
        <f t="shared" si="45"/>
        <v/>
      </c>
      <c r="AZ78" s="71" t="str">
        <f t="shared" si="45"/>
        <v/>
      </c>
      <c r="BA78" s="71" t="str">
        <f t="shared" si="45"/>
        <v/>
      </c>
      <c r="BB78" s="71" t="str">
        <f t="shared" si="45"/>
        <v/>
      </c>
      <c r="BC78" s="18" t="str">
        <f>IF(C78&lt;&gt;"",(('Data input'!C$109-'Data input'!C$108)*(AS78-1)/4)+'Data input'!C$108,"")</f>
        <v/>
      </c>
      <c r="BD78" s="18" t="str">
        <f>IF(D78&lt;&gt;"",(('Data input'!D$109-'Data input'!D$108)*(AT78-1)/4)+'Data input'!D$108,"")</f>
        <v/>
      </c>
      <c r="BE78" s="18" t="str">
        <f>IF(E78&lt;&gt;"",(('Data input'!E$109-'Data input'!E$108)*(AU78-1)/4)+'Data input'!E$108,"")</f>
        <v/>
      </c>
      <c r="BF78" s="18" t="str">
        <f>IF(F78&lt;&gt;"",(('Data input'!F$109-'Data input'!F$108)*(AV78-1)/4)+'Data input'!F$108,"")</f>
        <v/>
      </c>
      <c r="BG78" s="18" t="str">
        <f>IF(G78&lt;&gt;"",(('Data input'!G$109-'Data input'!G$108)*(AW78-1)/4)+'Data input'!G$108,"")</f>
        <v/>
      </c>
      <c r="BH78" s="19" t="str">
        <f>IF(H78&lt;&gt;"",(('Data input'!H$109-'Data input'!H$108)*(AX78-1)/4)+'Data input'!H$108,"")</f>
        <v/>
      </c>
      <c r="BI78" s="18" t="str">
        <f>IF(I78&lt;&gt;"",(('Data input'!I$109-'Data input'!I$108)*(AY78-1)/4)+'Data input'!I$108,"")</f>
        <v/>
      </c>
      <c r="BJ78" s="19" t="str">
        <f>IF(J78&lt;&gt;"",(('Data input'!J$109-'Data input'!J$108)*(AZ78-1)/4)+'Data input'!J$108,"")</f>
        <v/>
      </c>
      <c r="BK78" s="19" t="str">
        <f>IF(K78&lt;&gt;"",(('Data input'!K$109-'Data input'!K$108)*(BA78-1)/4)+'Data input'!K$108,"")</f>
        <v/>
      </c>
      <c r="BL78" s="19" t="str">
        <f>IF(L78&lt;&gt;"",(('Data input'!L$109-'Data input'!L$108)*(BB78-1)/4)+'Data input'!L$108,"")</f>
        <v/>
      </c>
      <c r="BM78" s="18" t="str">
        <f>IF(C78&lt;&gt;"",BC78-'Data input'!C78,"")</f>
        <v/>
      </c>
      <c r="BN78" s="18" t="str">
        <f>IF(D78&lt;&gt;"",BD78-'Data input'!D78,"")</f>
        <v/>
      </c>
      <c r="BO78" s="18" t="str">
        <f>IF(E78&lt;&gt;"",BE78-'Data input'!E78,"")</f>
        <v/>
      </c>
      <c r="BP78" s="18" t="str">
        <f>IF(F78&lt;&gt;"",BF78-'Data input'!F78,"")</f>
        <v/>
      </c>
      <c r="BQ78" s="18" t="str">
        <f>IF(G78&lt;&gt;"",BG78-'Data input'!G78,"")</f>
        <v/>
      </c>
      <c r="BR78" s="19" t="str">
        <f>IF(H78&lt;&gt;"",BH78-'Data input'!H78,"")</f>
        <v/>
      </c>
      <c r="BS78" s="18" t="str">
        <f>IF(I78&lt;&gt;"",BI78-'Data input'!I78,"")</f>
        <v/>
      </c>
      <c r="BT78" s="18" t="str">
        <f>IF(J78&lt;&gt;"",BJ78-'Data input'!J78,"")</f>
        <v/>
      </c>
      <c r="BU78" s="18" t="str">
        <f>IF(K78&lt;&gt;"",BK78-'Data input'!K78,"")</f>
        <v/>
      </c>
      <c r="BV78" s="72" t="str">
        <f>IF(L78&lt;&gt;"",BL78-'Data input'!L78,"")</f>
        <v/>
      </c>
      <c r="BW78" s="121" t="str">
        <f t="shared" si="49"/>
        <v/>
      </c>
      <c r="FT78" s="1" t="str">
        <f t="shared" si="46"/>
        <v/>
      </c>
      <c r="FU78" s="1" t="str">
        <f t="shared" si="46"/>
        <v/>
      </c>
      <c r="FV78" s="1" t="str">
        <f t="shared" si="46"/>
        <v/>
      </c>
      <c r="FW78" s="1" t="str">
        <f t="shared" si="46"/>
        <v/>
      </c>
      <c r="FX78" s="1" t="str">
        <f t="shared" si="46"/>
        <v/>
      </c>
      <c r="FY78" s="1" t="str">
        <f t="shared" si="46"/>
        <v/>
      </c>
      <c r="FZ78" s="1" t="str">
        <f t="shared" si="46"/>
        <v/>
      </c>
      <c r="GA78" s="1" t="str">
        <f t="shared" si="46"/>
        <v/>
      </c>
      <c r="GB78" s="1" t="str">
        <f t="shared" si="46"/>
        <v/>
      </c>
      <c r="GC78" s="1" t="str">
        <f t="shared" si="46"/>
        <v/>
      </c>
      <c r="GD78" s="1" t="str">
        <f t="shared" si="46"/>
        <v/>
      </c>
      <c r="GE78" s="1" t="str">
        <f t="shared" si="46"/>
        <v/>
      </c>
      <c r="GF78" s="1" t="str">
        <f t="shared" si="46"/>
        <v/>
      </c>
      <c r="GG78" s="1" t="str">
        <f t="shared" si="46"/>
        <v/>
      </c>
      <c r="GH78" s="1" t="str">
        <f t="shared" si="46"/>
        <v/>
      </c>
      <c r="GI78" s="1" t="str">
        <f t="shared" si="46"/>
        <v/>
      </c>
      <c r="GJ78" s="1" t="str">
        <f t="shared" si="51"/>
        <v/>
      </c>
      <c r="GK78" s="1" t="str">
        <f t="shared" si="51"/>
        <v/>
      </c>
      <c r="GL78" s="1" t="str">
        <f t="shared" si="51"/>
        <v/>
      </c>
      <c r="GM78" s="1" t="str">
        <f t="shared" si="51"/>
        <v/>
      </c>
      <c r="GN78" s="1" t="str">
        <f t="shared" si="51"/>
        <v/>
      </c>
      <c r="GO78" s="1" t="str">
        <f t="shared" si="51"/>
        <v/>
      </c>
      <c r="GP78" s="1" t="str">
        <f t="shared" si="51"/>
        <v/>
      </c>
      <c r="GQ78" s="1" t="str">
        <f t="shared" si="51"/>
        <v/>
      </c>
      <c r="GR78" s="1" t="str">
        <f t="shared" si="51"/>
        <v/>
      </c>
      <c r="GS78" s="1" t="str">
        <f t="shared" si="51"/>
        <v/>
      </c>
      <c r="GT78" s="1" t="str">
        <f t="shared" si="50"/>
        <v/>
      </c>
      <c r="GU78" s="1" t="str">
        <f t="shared" si="50"/>
        <v/>
      </c>
      <c r="GV78" s="1" t="str">
        <f t="shared" si="50"/>
        <v/>
      </c>
      <c r="GW78" s="1" t="str">
        <f t="shared" si="50"/>
        <v/>
      </c>
      <c r="GX78" s="1" t="str">
        <f t="shared" si="50"/>
        <v/>
      </c>
      <c r="GY78" s="1" t="str">
        <f t="shared" si="39"/>
        <v/>
      </c>
      <c r="GZ78" s="1" t="str">
        <f t="shared" si="39"/>
        <v/>
      </c>
      <c r="HA78" s="1" t="str">
        <f t="shared" si="39"/>
        <v/>
      </c>
      <c r="HB78" s="1" t="str">
        <f t="shared" si="39"/>
        <v/>
      </c>
      <c r="HC78" s="1" t="str">
        <f t="shared" si="39"/>
        <v/>
      </c>
      <c r="HD78" s="1" t="str">
        <f t="shared" si="39"/>
        <v/>
      </c>
      <c r="HE78" s="1" t="str">
        <f t="shared" si="39"/>
        <v/>
      </c>
      <c r="HF78" s="1" t="str">
        <f t="shared" si="39"/>
        <v/>
      </c>
      <c r="HG78" s="1" t="str">
        <f t="shared" si="39"/>
        <v/>
      </c>
      <c r="HH78" s="1" t="str">
        <f t="shared" si="39"/>
        <v/>
      </c>
      <c r="HI78" s="1" t="str">
        <f t="shared" si="39"/>
        <v/>
      </c>
      <c r="HJ78" s="1" t="str">
        <f t="shared" si="39"/>
        <v/>
      </c>
      <c r="HK78" s="1" t="str">
        <f t="shared" si="39"/>
        <v/>
      </c>
      <c r="HL78" s="1" t="str">
        <f t="shared" si="39"/>
        <v/>
      </c>
      <c r="HM78" s="1" t="str">
        <f t="shared" si="39"/>
        <v/>
      </c>
      <c r="HN78" s="1" t="str">
        <f t="shared" si="39"/>
        <v/>
      </c>
      <c r="HO78" s="1" t="str">
        <f t="shared" si="52"/>
        <v/>
      </c>
      <c r="HP78" s="1" t="str">
        <f t="shared" si="47"/>
        <v/>
      </c>
      <c r="HQ78" s="1" t="str">
        <f t="shared" si="47"/>
        <v/>
      </c>
      <c r="HR78" s="1" t="str">
        <f t="shared" si="47"/>
        <v/>
      </c>
      <c r="HS78" s="1" t="str">
        <f t="shared" si="47"/>
        <v/>
      </c>
      <c r="HT78" s="1" t="str">
        <f t="shared" si="47"/>
        <v/>
      </c>
      <c r="HU78" s="1" t="str">
        <f t="shared" si="47"/>
        <v/>
      </c>
      <c r="HV78" s="1" t="str">
        <f t="shared" si="47"/>
        <v/>
      </c>
      <c r="HW78" s="1" t="str">
        <f t="shared" si="41"/>
        <v/>
      </c>
      <c r="HX78" s="1" t="str">
        <f t="shared" si="41"/>
        <v/>
      </c>
      <c r="HY78" s="1" t="str">
        <f t="shared" si="41"/>
        <v/>
      </c>
      <c r="HZ78" s="1" t="str">
        <f t="shared" si="41"/>
        <v/>
      </c>
      <c r="IA78" s="1" t="str">
        <f t="shared" si="41"/>
        <v/>
      </c>
      <c r="IB78" s="1" t="str">
        <f t="shared" si="41"/>
        <v/>
      </c>
      <c r="IC78" s="1" t="str">
        <f t="shared" si="41"/>
        <v/>
      </c>
      <c r="ID78" s="1" t="str">
        <f t="shared" si="41"/>
        <v/>
      </c>
      <c r="IE78" s="1" t="str">
        <f t="shared" si="41"/>
        <v/>
      </c>
      <c r="IF78" s="1" t="str">
        <f t="shared" si="41"/>
        <v/>
      </c>
      <c r="IG78" s="1" t="str">
        <f t="shared" si="41"/>
        <v/>
      </c>
      <c r="IH78" s="1" t="str">
        <f t="shared" si="41"/>
        <v/>
      </c>
      <c r="II78" s="1" t="str">
        <f t="shared" si="41"/>
        <v/>
      </c>
      <c r="IJ78" s="1" t="str">
        <f t="shared" si="41"/>
        <v/>
      </c>
      <c r="IK78" s="1" t="str">
        <f t="shared" si="41"/>
        <v/>
      </c>
      <c r="IL78" s="1" t="str">
        <f t="shared" si="41"/>
        <v/>
      </c>
      <c r="IM78" s="1" t="str">
        <f t="shared" si="42"/>
        <v/>
      </c>
      <c r="IN78" s="1" t="str">
        <f t="shared" si="42"/>
        <v/>
      </c>
      <c r="IO78" s="1" t="str">
        <f t="shared" si="42"/>
        <v/>
      </c>
      <c r="IP78" s="1" t="str">
        <f t="shared" si="42"/>
        <v/>
      </c>
      <c r="IQ78" s="1" t="str">
        <f t="shared" si="42"/>
        <v/>
      </c>
      <c r="IR78" s="1" t="str">
        <f t="shared" si="42"/>
        <v/>
      </c>
      <c r="IS78" s="1" t="str">
        <f t="shared" si="42"/>
        <v/>
      </c>
      <c r="IT78" s="1" t="str">
        <f t="shared" si="42"/>
        <v/>
      </c>
      <c r="IU78" s="1" t="str">
        <f t="shared" si="42"/>
        <v/>
      </c>
      <c r="IV78" s="1" t="str">
        <f t="shared" si="42"/>
        <v/>
      </c>
      <c r="IW78" s="1" t="str">
        <f t="shared" si="42"/>
        <v/>
      </c>
      <c r="IX78" s="1" t="str">
        <f t="shared" si="42"/>
        <v/>
      </c>
      <c r="IY78" s="1" t="str">
        <f t="shared" si="42"/>
        <v/>
      </c>
      <c r="IZ78" s="1" t="str">
        <f t="shared" si="42"/>
        <v/>
      </c>
      <c r="JA78" s="1" t="str">
        <f t="shared" si="42"/>
        <v/>
      </c>
      <c r="JB78" s="1" t="str">
        <f t="shared" si="42"/>
        <v/>
      </c>
      <c r="JC78" s="1" t="str">
        <f t="shared" si="43"/>
        <v/>
      </c>
      <c r="JD78" s="1" t="str">
        <f t="shared" si="43"/>
        <v/>
      </c>
      <c r="JE78" s="1" t="str">
        <f t="shared" si="43"/>
        <v/>
      </c>
      <c r="JF78" s="1" t="str">
        <f t="shared" si="43"/>
        <v/>
      </c>
      <c r="JG78" s="1" t="str">
        <f t="shared" si="37"/>
        <v/>
      </c>
      <c r="JH78" s="1" t="str">
        <f t="shared" si="37"/>
        <v/>
      </c>
      <c r="JI78" s="1" t="str">
        <f t="shared" si="37"/>
        <v/>
      </c>
      <c r="JJ78" s="1" t="str">
        <f t="shared" si="30"/>
        <v/>
      </c>
      <c r="JK78" s="1" t="str">
        <f t="shared" si="30"/>
        <v/>
      </c>
      <c r="JL78" s="1" t="str">
        <f t="shared" si="24"/>
        <v/>
      </c>
      <c r="JM78" s="1" t="str">
        <f t="shared" si="24"/>
        <v/>
      </c>
      <c r="JN78" s="1" t="str">
        <f t="shared" si="24"/>
        <v/>
      </c>
      <c r="JO78" s="1" t="str">
        <f t="shared" si="24"/>
        <v/>
      </c>
    </row>
    <row r="79" spans="1:275" ht="14.5" x14ac:dyDescent="0.35">
      <c r="A79" s="59" t="str">
        <f>IF('Data input'!A79&lt;&gt;"",'Data input'!A79,"")</f>
        <v/>
      </c>
      <c r="B79" s="15" t="str">
        <f>IF('Data input'!B79&lt;&gt;"",'Data input'!B79,"")</f>
        <v/>
      </c>
      <c r="C79" s="16" t="str">
        <f>IF('Data input'!C79="","",4*('Data input'!C79-'Data input'!C$108)/('Data input'!C$109-'Data input'!C$108)+1)</f>
        <v/>
      </c>
      <c r="D79" s="16" t="str">
        <f>IF('Data input'!D79="","",4*('Data input'!D79-'Data input'!D$108)/('Data input'!D$109-'Data input'!D$108)+1)</f>
        <v/>
      </c>
      <c r="E79" s="16" t="str">
        <f>IF('Data input'!E79="","",4*('Data input'!E79-'Data input'!E$108)/('Data input'!E$109-'Data input'!E$108)+1)</f>
        <v/>
      </c>
      <c r="F79" s="16" t="str">
        <f>IF('Data input'!F79="","",4*('Data input'!F79-'Data input'!F$108)/('Data input'!F$109-'Data input'!F$108)+1)</f>
        <v/>
      </c>
      <c r="G79" s="16" t="str">
        <f>IF('Data input'!G79="","",4*('Data input'!G79-'Data input'!G$108)/('Data input'!G$109-'Data input'!G$108)+1)</f>
        <v/>
      </c>
      <c r="H79" s="16" t="str">
        <f>IF('Data input'!H79="","",4*('Data input'!H79-'Data input'!H$108)/('Data input'!H$109-'Data input'!H$108)+1)</f>
        <v/>
      </c>
      <c r="I79" s="19" t="str">
        <f>IF('Data input'!I79="","",4*('Data input'!I79-'Data input'!I$108)/('Data input'!I$109-'Data input'!I$108)+1)</f>
        <v/>
      </c>
      <c r="J79" s="19" t="str">
        <f>IF('Data input'!J79="","",4*('Data input'!J79-'Data input'!J$108)/('Data input'!J$109-'Data input'!J$108)+1)</f>
        <v/>
      </c>
      <c r="K79" s="19" t="str">
        <f>IF('Data input'!K79="","",4*('Data input'!K79-'Data input'!K$108)/('Data input'!K$109-'Data input'!K$108)+1)</f>
        <v/>
      </c>
      <c r="L79" s="19" t="str">
        <f>IF('Data input'!L79="","",4*('Data input'!L79-'Data input'!L$108)/('Data input'!L$109-'Data input'!L$108)+1)</f>
        <v/>
      </c>
      <c r="M79" s="16" t="str">
        <f>IF('Data input'!M79="","",4*('Data input'!M79-'Data input'!M$108)/('Data input'!M$109-'Data input'!M$108)+1)</f>
        <v/>
      </c>
      <c r="N79" s="16" t="str">
        <f>IF('Data input'!N79="","",4*('Data input'!N79-'Data input'!N$108)/('Data input'!N$109-'Data input'!N$108)+1)</f>
        <v/>
      </c>
      <c r="O79" s="16" t="str">
        <f>IF('Data input'!O79="","",4*('Data input'!O79-'Data input'!O$108)/('Data input'!O$109-'Data input'!O$108)+1)</f>
        <v/>
      </c>
      <c r="P79" s="16" t="str">
        <f>IF('Data input'!P79="","",4*('Data input'!P79-'Data input'!P$108)/('Data input'!P$109-'Data input'!P$108)+1)</f>
        <v/>
      </c>
      <c r="Q79" s="16" t="str">
        <f>IF('Data input'!Q79="","",4*('Data input'!Q79-'Data input'!Q$108)/('Data input'!Q$109-'Data input'!Q$108)+1)</f>
        <v/>
      </c>
      <c r="R79" s="16" t="str">
        <f>IF('Data input'!R79="","",4*('Data input'!R79-'Data input'!R$108)/('Data input'!R$109-'Data input'!R$108)+1)</f>
        <v/>
      </c>
      <c r="S79" s="16" t="str">
        <f>IF('Data input'!S79="","",4*('Data input'!S79-'Data input'!S$108)/('Data input'!S$109-'Data input'!S$108)+1)</f>
        <v/>
      </c>
      <c r="T79" s="16" t="str">
        <f>IF('Data input'!T79="","",4*('Data input'!T79-'Data input'!T$108)/('Data input'!T$109-'Data input'!T$108)+1)</f>
        <v/>
      </c>
      <c r="U79" s="16" t="str">
        <f>IF('Data input'!U79="","",4*('Data input'!U79-'Data input'!U$108)/('Data input'!U$109-'Data input'!U$108)+1)</f>
        <v/>
      </c>
      <c r="V79" s="16" t="str">
        <f>IF('Data input'!V79="","",4*('Data input'!V79-'Data input'!V$108)/('Data input'!V$109-'Data input'!V$108)+1)</f>
        <v/>
      </c>
      <c r="W79" s="16" t="str">
        <f>IF('Data input'!W79="","",4*('Data input'!W79-'Data input'!W$108)/('Data input'!W$109-'Data input'!W$108)+1)</f>
        <v/>
      </c>
      <c r="X79" s="16" t="str">
        <f>IF('Data input'!X79="","",4*('Data input'!X79-'Data input'!X$108)/('Data input'!X$109-'Data input'!X$108)+1)</f>
        <v/>
      </c>
      <c r="Y79" s="16" t="str">
        <f>IF('Data input'!Y79="","",4*('Data input'!Y79-'Data input'!Y$108)/('Data input'!Y$109-'Data input'!Y$108)+1)</f>
        <v/>
      </c>
      <c r="Z79" s="16" t="str">
        <f>IF('Data input'!Z79="","",4*('Data input'!Z79-'Data input'!Z$108)/('Data input'!Z$109-'Data input'!Z$108)+1)</f>
        <v/>
      </c>
      <c r="AA79" s="62" t="str">
        <f>IF('Data input'!AA79="","",4*('Data input'!AA79-'Data input'!AA$108)/('Data input'!AA$109-'Data input'!AA$108)+1)</f>
        <v/>
      </c>
      <c r="AB79" s="78"/>
      <c r="AC79" s="79">
        <v>0</v>
      </c>
      <c r="AD79" s="80" t="e">
        <f t="shared" si="48"/>
        <v>#DIV/0!</v>
      </c>
      <c r="AE79" s="4"/>
      <c r="AF79" s="59" t="str">
        <f t="shared" si="40"/>
        <v/>
      </c>
      <c r="AG79" s="60" t="str">
        <f t="shared" si="40"/>
        <v/>
      </c>
      <c r="AH79"/>
      <c r="AI79"/>
      <c r="AJ79"/>
      <c r="AK79"/>
      <c r="AL79"/>
      <c r="AM79"/>
      <c r="AN79"/>
      <c r="AO79"/>
      <c r="AP79"/>
      <c r="AQ79"/>
      <c r="AR79"/>
      <c r="AS79" s="71" t="str">
        <f t="shared" si="44"/>
        <v/>
      </c>
      <c r="AT79" s="71" t="str">
        <f t="shared" si="44"/>
        <v/>
      </c>
      <c r="AU79" s="71" t="str">
        <f t="shared" si="44"/>
        <v/>
      </c>
      <c r="AV79" s="71" t="str">
        <f t="shared" si="44"/>
        <v/>
      </c>
      <c r="AW79" s="71" t="str">
        <f t="shared" si="44"/>
        <v/>
      </c>
      <c r="AX79" s="71" t="str">
        <f t="shared" si="45"/>
        <v/>
      </c>
      <c r="AY79" s="71" t="str">
        <f t="shared" si="45"/>
        <v/>
      </c>
      <c r="AZ79" s="71" t="str">
        <f t="shared" si="45"/>
        <v/>
      </c>
      <c r="BA79" s="71" t="str">
        <f t="shared" si="45"/>
        <v/>
      </c>
      <c r="BB79" s="71" t="str">
        <f t="shared" si="45"/>
        <v/>
      </c>
      <c r="BC79" s="18" t="str">
        <f>IF(C79&lt;&gt;"",(('Data input'!C$109-'Data input'!C$108)*(AS79-1)/4)+'Data input'!C$108,"")</f>
        <v/>
      </c>
      <c r="BD79" s="18" t="str">
        <f>IF(D79&lt;&gt;"",(('Data input'!D$109-'Data input'!D$108)*(AT79-1)/4)+'Data input'!D$108,"")</f>
        <v/>
      </c>
      <c r="BE79" s="18" t="str">
        <f>IF(E79&lt;&gt;"",(('Data input'!E$109-'Data input'!E$108)*(AU79-1)/4)+'Data input'!E$108,"")</f>
        <v/>
      </c>
      <c r="BF79" s="18" t="str">
        <f>IF(F79&lt;&gt;"",(('Data input'!F$109-'Data input'!F$108)*(AV79-1)/4)+'Data input'!F$108,"")</f>
        <v/>
      </c>
      <c r="BG79" s="18" t="str">
        <f>IF(G79&lt;&gt;"",(('Data input'!G$109-'Data input'!G$108)*(AW79-1)/4)+'Data input'!G$108,"")</f>
        <v/>
      </c>
      <c r="BH79" s="19" t="str">
        <f>IF(H79&lt;&gt;"",(('Data input'!H$109-'Data input'!H$108)*(AX79-1)/4)+'Data input'!H$108,"")</f>
        <v/>
      </c>
      <c r="BI79" s="18" t="str">
        <f>IF(I79&lt;&gt;"",(('Data input'!I$109-'Data input'!I$108)*(AY79-1)/4)+'Data input'!I$108,"")</f>
        <v/>
      </c>
      <c r="BJ79" s="19" t="str">
        <f>IF(J79&lt;&gt;"",(('Data input'!J$109-'Data input'!J$108)*(AZ79-1)/4)+'Data input'!J$108,"")</f>
        <v/>
      </c>
      <c r="BK79" s="19" t="str">
        <f>IF(K79&lt;&gt;"",(('Data input'!K$109-'Data input'!K$108)*(BA79-1)/4)+'Data input'!K$108,"")</f>
        <v/>
      </c>
      <c r="BL79" s="19" t="str">
        <f>IF(L79&lt;&gt;"",(('Data input'!L$109-'Data input'!L$108)*(BB79-1)/4)+'Data input'!L$108,"")</f>
        <v/>
      </c>
      <c r="BM79" s="18" t="str">
        <f>IF(C79&lt;&gt;"",BC79-'Data input'!C79,"")</f>
        <v/>
      </c>
      <c r="BN79" s="18" t="str">
        <f>IF(D79&lt;&gt;"",BD79-'Data input'!D79,"")</f>
        <v/>
      </c>
      <c r="BO79" s="18" t="str">
        <f>IF(E79&lt;&gt;"",BE79-'Data input'!E79,"")</f>
        <v/>
      </c>
      <c r="BP79" s="18" t="str">
        <f>IF(F79&lt;&gt;"",BF79-'Data input'!F79,"")</f>
        <v/>
      </c>
      <c r="BQ79" s="18" t="str">
        <f>IF(G79&lt;&gt;"",BG79-'Data input'!G79,"")</f>
        <v/>
      </c>
      <c r="BR79" s="19" t="str">
        <f>IF(H79&lt;&gt;"",BH79-'Data input'!H79,"")</f>
        <v/>
      </c>
      <c r="BS79" s="18" t="str">
        <f>IF(I79&lt;&gt;"",BI79-'Data input'!I79,"")</f>
        <v/>
      </c>
      <c r="BT79" s="18" t="str">
        <f>IF(J79&lt;&gt;"",BJ79-'Data input'!J79,"")</f>
        <v/>
      </c>
      <c r="BU79" s="18" t="str">
        <f>IF(K79&lt;&gt;"",BK79-'Data input'!K79,"")</f>
        <v/>
      </c>
      <c r="BV79" s="72" t="str">
        <f>IF(L79&lt;&gt;"",BL79-'Data input'!L79,"")</f>
        <v/>
      </c>
      <c r="BW79" s="121" t="str">
        <f t="shared" si="49"/>
        <v/>
      </c>
      <c r="FT79" s="1" t="str">
        <f t="shared" si="46"/>
        <v/>
      </c>
      <c r="FU79" s="1" t="str">
        <f t="shared" si="46"/>
        <v/>
      </c>
      <c r="FV79" s="1" t="str">
        <f t="shared" si="46"/>
        <v/>
      </c>
      <c r="FW79" s="1" t="str">
        <f t="shared" si="46"/>
        <v/>
      </c>
      <c r="FX79" s="1" t="str">
        <f t="shared" si="46"/>
        <v/>
      </c>
      <c r="FY79" s="1" t="str">
        <f t="shared" si="46"/>
        <v/>
      </c>
      <c r="FZ79" s="1" t="str">
        <f t="shared" si="46"/>
        <v/>
      </c>
      <c r="GA79" s="1" t="str">
        <f t="shared" si="46"/>
        <v/>
      </c>
      <c r="GB79" s="1" t="str">
        <f t="shared" si="46"/>
        <v/>
      </c>
      <c r="GC79" s="1" t="str">
        <f t="shared" si="46"/>
        <v/>
      </c>
      <c r="GD79" s="1" t="str">
        <f t="shared" si="46"/>
        <v/>
      </c>
      <c r="GE79" s="1" t="str">
        <f t="shared" si="46"/>
        <v/>
      </c>
      <c r="GF79" s="1" t="str">
        <f t="shared" si="46"/>
        <v/>
      </c>
      <c r="GG79" s="1" t="str">
        <f t="shared" si="46"/>
        <v/>
      </c>
      <c r="GH79" s="1" t="str">
        <f t="shared" si="46"/>
        <v/>
      </c>
      <c r="GI79" s="1" t="str">
        <f t="shared" si="46"/>
        <v/>
      </c>
      <c r="GJ79" s="1" t="str">
        <f t="shared" si="51"/>
        <v/>
      </c>
      <c r="GK79" s="1" t="str">
        <f t="shared" si="51"/>
        <v/>
      </c>
      <c r="GL79" s="1" t="str">
        <f t="shared" si="51"/>
        <v/>
      </c>
      <c r="GM79" s="1" t="str">
        <f t="shared" si="51"/>
        <v/>
      </c>
      <c r="GN79" s="1" t="str">
        <f t="shared" si="51"/>
        <v/>
      </c>
      <c r="GO79" s="1" t="str">
        <f t="shared" si="51"/>
        <v/>
      </c>
      <c r="GP79" s="1" t="str">
        <f t="shared" si="51"/>
        <v/>
      </c>
      <c r="GQ79" s="1" t="str">
        <f t="shared" si="51"/>
        <v/>
      </c>
      <c r="GR79" s="1" t="str">
        <f t="shared" si="51"/>
        <v/>
      </c>
      <c r="GS79" s="1" t="str">
        <f t="shared" si="51"/>
        <v/>
      </c>
      <c r="GT79" s="1" t="str">
        <f t="shared" si="50"/>
        <v/>
      </c>
      <c r="GU79" s="1" t="str">
        <f t="shared" si="50"/>
        <v/>
      </c>
      <c r="GV79" s="1" t="str">
        <f t="shared" si="50"/>
        <v/>
      </c>
      <c r="GW79" s="1" t="str">
        <f t="shared" si="50"/>
        <v/>
      </c>
      <c r="GX79" s="1" t="str">
        <f t="shared" si="50"/>
        <v/>
      </c>
      <c r="GY79" s="1" t="str">
        <f t="shared" si="39"/>
        <v/>
      </c>
      <c r="GZ79" s="1" t="str">
        <f t="shared" si="39"/>
        <v/>
      </c>
      <c r="HA79" s="1" t="str">
        <f t="shared" si="39"/>
        <v/>
      </c>
      <c r="HB79" s="1" t="str">
        <f t="shared" si="39"/>
        <v/>
      </c>
      <c r="HC79" s="1" t="str">
        <f t="shared" si="39"/>
        <v/>
      </c>
      <c r="HD79" s="1" t="str">
        <f t="shared" si="39"/>
        <v/>
      </c>
      <c r="HE79" s="1" t="str">
        <f t="shared" si="39"/>
        <v/>
      </c>
      <c r="HF79" s="1" t="str">
        <f t="shared" si="39"/>
        <v/>
      </c>
      <c r="HG79" s="1" t="str">
        <f t="shared" si="39"/>
        <v/>
      </c>
      <c r="HH79" s="1" t="str">
        <f t="shared" si="39"/>
        <v/>
      </c>
      <c r="HI79" s="1" t="str">
        <f t="shared" si="39"/>
        <v/>
      </c>
      <c r="HJ79" s="1" t="str">
        <f t="shared" si="39"/>
        <v/>
      </c>
      <c r="HK79" s="1" t="str">
        <f t="shared" si="39"/>
        <v/>
      </c>
      <c r="HL79" s="1" t="str">
        <f t="shared" si="39"/>
        <v/>
      </c>
      <c r="HM79" s="1" t="str">
        <f t="shared" si="39"/>
        <v/>
      </c>
      <c r="HN79" s="1" t="str">
        <f t="shared" si="39"/>
        <v/>
      </c>
      <c r="HO79" s="1" t="str">
        <f t="shared" si="52"/>
        <v/>
      </c>
      <c r="HP79" s="1" t="str">
        <f t="shared" si="47"/>
        <v/>
      </c>
      <c r="HQ79" s="1" t="str">
        <f t="shared" si="47"/>
        <v/>
      </c>
      <c r="HR79" s="1" t="str">
        <f t="shared" si="47"/>
        <v/>
      </c>
      <c r="HS79" s="1" t="str">
        <f t="shared" si="47"/>
        <v/>
      </c>
      <c r="HT79" s="1" t="str">
        <f t="shared" si="47"/>
        <v/>
      </c>
      <c r="HU79" s="1" t="str">
        <f t="shared" si="47"/>
        <v/>
      </c>
      <c r="HV79" s="1" t="str">
        <f t="shared" si="47"/>
        <v/>
      </c>
      <c r="HW79" s="1" t="str">
        <f t="shared" si="41"/>
        <v/>
      </c>
      <c r="HX79" s="1" t="str">
        <f t="shared" si="41"/>
        <v/>
      </c>
      <c r="HY79" s="1" t="str">
        <f t="shared" si="41"/>
        <v/>
      </c>
      <c r="HZ79" s="1" t="str">
        <f t="shared" si="41"/>
        <v/>
      </c>
      <c r="IA79" s="1" t="str">
        <f t="shared" si="41"/>
        <v/>
      </c>
      <c r="IB79" s="1" t="str">
        <f t="shared" si="41"/>
        <v/>
      </c>
      <c r="IC79" s="1" t="str">
        <f t="shared" si="41"/>
        <v/>
      </c>
      <c r="ID79" s="1" t="str">
        <f t="shared" si="41"/>
        <v/>
      </c>
      <c r="IE79" s="1" t="str">
        <f t="shared" si="41"/>
        <v/>
      </c>
      <c r="IF79" s="1" t="str">
        <f t="shared" si="41"/>
        <v/>
      </c>
      <c r="IG79" s="1" t="str">
        <f t="shared" si="41"/>
        <v/>
      </c>
      <c r="IH79" s="1" t="str">
        <f t="shared" si="41"/>
        <v/>
      </c>
      <c r="II79" s="1" t="str">
        <f t="shared" si="41"/>
        <v/>
      </c>
      <c r="IJ79" s="1" t="str">
        <f t="shared" si="41"/>
        <v/>
      </c>
      <c r="IK79" s="1" t="str">
        <f t="shared" si="41"/>
        <v/>
      </c>
      <c r="IL79" s="1" t="str">
        <f t="shared" si="41"/>
        <v/>
      </c>
      <c r="IM79" s="1" t="str">
        <f t="shared" si="42"/>
        <v/>
      </c>
      <c r="IN79" s="1" t="str">
        <f t="shared" si="42"/>
        <v/>
      </c>
      <c r="IO79" s="1" t="str">
        <f t="shared" si="42"/>
        <v/>
      </c>
      <c r="IP79" s="1" t="str">
        <f t="shared" si="42"/>
        <v/>
      </c>
      <c r="IQ79" s="1" t="str">
        <f t="shared" si="42"/>
        <v/>
      </c>
      <c r="IR79" s="1" t="str">
        <f t="shared" si="42"/>
        <v/>
      </c>
      <c r="IS79" s="1" t="str">
        <f t="shared" si="42"/>
        <v/>
      </c>
      <c r="IT79" s="1" t="str">
        <f t="shared" si="42"/>
        <v/>
      </c>
      <c r="IU79" s="1" t="str">
        <f t="shared" si="42"/>
        <v/>
      </c>
      <c r="IV79" s="1" t="str">
        <f t="shared" si="42"/>
        <v/>
      </c>
      <c r="IW79" s="1" t="str">
        <f t="shared" si="42"/>
        <v/>
      </c>
      <c r="IX79" s="1" t="str">
        <f t="shared" si="42"/>
        <v/>
      </c>
      <c r="IY79" s="1" t="str">
        <f t="shared" si="42"/>
        <v/>
      </c>
      <c r="IZ79" s="1" t="str">
        <f t="shared" si="42"/>
        <v/>
      </c>
      <c r="JA79" s="1" t="str">
        <f t="shared" si="42"/>
        <v/>
      </c>
      <c r="JB79" s="1" t="str">
        <f t="shared" si="42"/>
        <v/>
      </c>
      <c r="JC79" s="1" t="str">
        <f t="shared" si="43"/>
        <v/>
      </c>
      <c r="JD79" s="1" t="str">
        <f t="shared" si="43"/>
        <v/>
      </c>
      <c r="JE79" s="1" t="str">
        <f t="shared" si="43"/>
        <v/>
      </c>
      <c r="JF79" s="1" t="str">
        <f t="shared" si="43"/>
        <v/>
      </c>
      <c r="JG79" s="1" t="str">
        <f t="shared" si="37"/>
        <v/>
      </c>
      <c r="JH79" s="1" t="str">
        <f t="shared" si="37"/>
        <v/>
      </c>
      <c r="JI79" s="1" t="str">
        <f t="shared" si="37"/>
        <v/>
      </c>
      <c r="JJ79" s="1" t="str">
        <f t="shared" si="30"/>
        <v/>
      </c>
      <c r="JK79" s="1" t="str">
        <f t="shared" si="30"/>
        <v/>
      </c>
      <c r="JL79" s="1" t="str">
        <f t="shared" si="24"/>
        <v/>
      </c>
      <c r="JM79" s="1" t="str">
        <f t="shared" si="24"/>
        <v/>
      </c>
      <c r="JN79" s="1" t="str">
        <f t="shared" si="24"/>
        <v/>
      </c>
      <c r="JO79" s="1" t="str">
        <f t="shared" si="24"/>
        <v/>
      </c>
    </row>
    <row r="80" spans="1:275" ht="14.5" x14ac:dyDescent="0.35">
      <c r="A80" s="59" t="str">
        <f>IF('Data input'!A80&lt;&gt;"",'Data input'!A80,"")</f>
        <v/>
      </c>
      <c r="B80" s="15" t="str">
        <f>IF('Data input'!B80&lt;&gt;"",'Data input'!B80,"")</f>
        <v/>
      </c>
      <c r="C80" s="16" t="str">
        <f>IF('Data input'!C80="","",4*('Data input'!C80-'Data input'!C$108)/('Data input'!C$109-'Data input'!C$108)+1)</f>
        <v/>
      </c>
      <c r="D80" s="16" t="str">
        <f>IF('Data input'!D80="","",4*('Data input'!D80-'Data input'!D$108)/('Data input'!D$109-'Data input'!D$108)+1)</f>
        <v/>
      </c>
      <c r="E80" s="16" t="str">
        <f>IF('Data input'!E80="","",4*('Data input'!E80-'Data input'!E$108)/('Data input'!E$109-'Data input'!E$108)+1)</f>
        <v/>
      </c>
      <c r="F80" s="16" t="str">
        <f>IF('Data input'!F80="","",4*('Data input'!F80-'Data input'!F$108)/('Data input'!F$109-'Data input'!F$108)+1)</f>
        <v/>
      </c>
      <c r="G80" s="16" t="str">
        <f>IF('Data input'!G80="","",4*('Data input'!G80-'Data input'!G$108)/('Data input'!G$109-'Data input'!G$108)+1)</f>
        <v/>
      </c>
      <c r="H80" s="16" t="str">
        <f>IF('Data input'!H80="","",4*('Data input'!H80-'Data input'!H$108)/('Data input'!H$109-'Data input'!H$108)+1)</f>
        <v/>
      </c>
      <c r="I80" s="19" t="str">
        <f>IF('Data input'!I80="","",4*('Data input'!I80-'Data input'!I$108)/('Data input'!I$109-'Data input'!I$108)+1)</f>
        <v/>
      </c>
      <c r="J80" s="19" t="str">
        <f>IF('Data input'!J80="","",4*('Data input'!J80-'Data input'!J$108)/('Data input'!J$109-'Data input'!J$108)+1)</f>
        <v/>
      </c>
      <c r="K80" s="19" t="str">
        <f>IF('Data input'!K80="","",4*('Data input'!K80-'Data input'!K$108)/('Data input'!K$109-'Data input'!K$108)+1)</f>
        <v/>
      </c>
      <c r="L80" s="19" t="str">
        <f>IF('Data input'!L80="","",4*('Data input'!L80-'Data input'!L$108)/('Data input'!L$109-'Data input'!L$108)+1)</f>
        <v/>
      </c>
      <c r="M80" s="16" t="str">
        <f>IF('Data input'!M80="","",4*('Data input'!M80-'Data input'!M$108)/('Data input'!M$109-'Data input'!M$108)+1)</f>
        <v/>
      </c>
      <c r="N80" s="16" t="str">
        <f>IF('Data input'!N80="","",4*('Data input'!N80-'Data input'!N$108)/('Data input'!N$109-'Data input'!N$108)+1)</f>
        <v/>
      </c>
      <c r="O80" s="16" t="str">
        <f>IF('Data input'!O80="","",4*('Data input'!O80-'Data input'!O$108)/('Data input'!O$109-'Data input'!O$108)+1)</f>
        <v/>
      </c>
      <c r="P80" s="16" t="str">
        <f>IF('Data input'!P80="","",4*('Data input'!P80-'Data input'!P$108)/('Data input'!P$109-'Data input'!P$108)+1)</f>
        <v/>
      </c>
      <c r="Q80" s="16" t="str">
        <f>IF('Data input'!Q80="","",4*('Data input'!Q80-'Data input'!Q$108)/('Data input'!Q$109-'Data input'!Q$108)+1)</f>
        <v/>
      </c>
      <c r="R80" s="16" t="str">
        <f>IF('Data input'!R80="","",4*('Data input'!R80-'Data input'!R$108)/('Data input'!R$109-'Data input'!R$108)+1)</f>
        <v/>
      </c>
      <c r="S80" s="16" t="str">
        <f>IF('Data input'!S80="","",4*('Data input'!S80-'Data input'!S$108)/('Data input'!S$109-'Data input'!S$108)+1)</f>
        <v/>
      </c>
      <c r="T80" s="16" t="str">
        <f>IF('Data input'!T80="","",4*('Data input'!T80-'Data input'!T$108)/('Data input'!T$109-'Data input'!T$108)+1)</f>
        <v/>
      </c>
      <c r="U80" s="16" t="str">
        <f>IF('Data input'!U80="","",4*('Data input'!U80-'Data input'!U$108)/('Data input'!U$109-'Data input'!U$108)+1)</f>
        <v/>
      </c>
      <c r="V80" s="16" t="str">
        <f>IF('Data input'!V80="","",4*('Data input'!V80-'Data input'!V$108)/('Data input'!V$109-'Data input'!V$108)+1)</f>
        <v/>
      </c>
      <c r="W80" s="16" t="str">
        <f>IF('Data input'!W80="","",4*('Data input'!W80-'Data input'!W$108)/('Data input'!W$109-'Data input'!W$108)+1)</f>
        <v/>
      </c>
      <c r="X80" s="16" t="str">
        <f>IF('Data input'!X80="","",4*('Data input'!X80-'Data input'!X$108)/('Data input'!X$109-'Data input'!X$108)+1)</f>
        <v/>
      </c>
      <c r="Y80" s="16" t="str">
        <f>IF('Data input'!Y80="","",4*('Data input'!Y80-'Data input'!Y$108)/('Data input'!Y$109-'Data input'!Y$108)+1)</f>
        <v/>
      </c>
      <c r="Z80" s="16" t="str">
        <f>IF('Data input'!Z80="","",4*('Data input'!Z80-'Data input'!Z$108)/('Data input'!Z$109-'Data input'!Z$108)+1)</f>
        <v/>
      </c>
      <c r="AA80" s="62" t="str">
        <f>IF('Data input'!AA80="","",4*('Data input'!AA80-'Data input'!AA$108)/('Data input'!AA$109-'Data input'!AA$108)+1)</f>
        <v/>
      </c>
      <c r="AB80" s="78"/>
      <c r="AC80" s="79">
        <v>0</v>
      </c>
      <c r="AD80" s="80" t="e">
        <f t="shared" si="48"/>
        <v>#DIV/0!</v>
      </c>
      <c r="AE80" s="4"/>
      <c r="AF80" s="59" t="str">
        <f t="shared" si="40"/>
        <v/>
      </c>
      <c r="AG80" s="60" t="str">
        <f t="shared" si="40"/>
        <v/>
      </c>
      <c r="AH80"/>
      <c r="AI80"/>
      <c r="AJ80"/>
      <c r="AK80"/>
      <c r="AL80"/>
      <c r="AM80"/>
      <c r="AN80"/>
      <c r="AO80"/>
      <c r="AP80"/>
      <c r="AQ80"/>
      <c r="AR80"/>
      <c r="AS80" s="71" t="str">
        <f t="shared" si="44"/>
        <v/>
      </c>
      <c r="AT80" s="71" t="str">
        <f t="shared" si="44"/>
        <v/>
      </c>
      <c r="AU80" s="71" t="str">
        <f t="shared" si="44"/>
        <v/>
      </c>
      <c r="AV80" s="71" t="str">
        <f t="shared" si="44"/>
        <v/>
      </c>
      <c r="AW80" s="71" t="str">
        <f t="shared" si="44"/>
        <v/>
      </c>
      <c r="AX80" s="71" t="str">
        <f t="shared" si="45"/>
        <v/>
      </c>
      <c r="AY80" s="71" t="str">
        <f t="shared" si="45"/>
        <v/>
      </c>
      <c r="AZ80" s="71" t="str">
        <f t="shared" si="45"/>
        <v/>
      </c>
      <c r="BA80" s="71" t="str">
        <f t="shared" si="45"/>
        <v/>
      </c>
      <c r="BB80" s="71" t="str">
        <f t="shared" si="45"/>
        <v/>
      </c>
      <c r="BC80" s="18" t="str">
        <f>IF(C80&lt;&gt;"",(('Data input'!C$109-'Data input'!C$108)*(AS80-1)/4)+'Data input'!C$108,"")</f>
        <v/>
      </c>
      <c r="BD80" s="18" t="str">
        <f>IF(D80&lt;&gt;"",(('Data input'!D$109-'Data input'!D$108)*(AT80-1)/4)+'Data input'!D$108,"")</f>
        <v/>
      </c>
      <c r="BE80" s="18" t="str">
        <f>IF(E80&lt;&gt;"",(('Data input'!E$109-'Data input'!E$108)*(AU80-1)/4)+'Data input'!E$108,"")</f>
        <v/>
      </c>
      <c r="BF80" s="18" t="str">
        <f>IF(F80&lt;&gt;"",(('Data input'!F$109-'Data input'!F$108)*(AV80-1)/4)+'Data input'!F$108,"")</f>
        <v/>
      </c>
      <c r="BG80" s="18" t="str">
        <f>IF(G80&lt;&gt;"",(('Data input'!G$109-'Data input'!G$108)*(AW80-1)/4)+'Data input'!G$108,"")</f>
        <v/>
      </c>
      <c r="BH80" s="19" t="str">
        <f>IF(H80&lt;&gt;"",(('Data input'!H$109-'Data input'!H$108)*(AX80-1)/4)+'Data input'!H$108,"")</f>
        <v/>
      </c>
      <c r="BI80" s="18" t="str">
        <f>IF(I80&lt;&gt;"",(('Data input'!I$109-'Data input'!I$108)*(AY80-1)/4)+'Data input'!I$108,"")</f>
        <v/>
      </c>
      <c r="BJ80" s="19" t="str">
        <f>IF(J80&lt;&gt;"",(('Data input'!J$109-'Data input'!J$108)*(AZ80-1)/4)+'Data input'!J$108,"")</f>
        <v/>
      </c>
      <c r="BK80" s="19" t="str">
        <f>IF(K80&lt;&gt;"",(('Data input'!K$109-'Data input'!K$108)*(BA80-1)/4)+'Data input'!K$108,"")</f>
        <v/>
      </c>
      <c r="BL80" s="19" t="str">
        <f>IF(L80&lt;&gt;"",(('Data input'!L$109-'Data input'!L$108)*(BB80-1)/4)+'Data input'!L$108,"")</f>
        <v/>
      </c>
      <c r="BM80" s="18" t="str">
        <f>IF(C80&lt;&gt;"",BC80-'Data input'!C80,"")</f>
        <v/>
      </c>
      <c r="BN80" s="18" t="str">
        <f>IF(D80&lt;&gt;"",BD80-'Data input'!D80,"")</f>
        <v/>
      </c>
      <c r="BO80" s="18" t="str">
        <f>IF(E80&lt;&gt;"",BE80-'Data input'!E80,"")</f>
        <v/>
      </c>
      <c r="BP80" s="18" t="str">
        <f>IF(F80&lt;&gt;"",BF80-'Data input'!F80,"")</f>
        <v/>
      </c>
      <c r="BQ80" s="18" t="str">
        <f>IF(G80&lt;&gt;"",BG80-'Data input'!G80,"")</f>
        <v/>
      </c>
      <c r="BR80" s="19" t="str">
        <f>IF(H80&lt;&gt;"",BH80-'Data input'!H80,"")</f>
        <v/>
      </c>
      <c r="BS80" s="18" t="str">
        <f>IF(I80&lt;&gt;"",BI80-'Data input'!I80,"")</f>
        <v/>
      </c>
      <c r="BT80" s="18" t="str">
        <f>IF(J80&lt;&gt;"",BJ80-'Data input'!J80,"")</f>
        <v/>
      </c>
      <c r="BU80" s="18" t="str">
        <f>IF(K80&lt;&gt;"",BK80-'Data input'!K80,"")</f>
        <v/>
      </c>
      <c r="BV80" s="72" t="str">
        <f>IF(L80&lt;&gt;"",BL80-'Data input'!L80,"")</f>
        <v/>
      </c>
      <c r="BW80" s="121" t="str">
        <f t="shared" si="49"/>
        <v/>
      </c>
      <c r="FT80" s="1" t="str">
        <f t="shared" si="46"/>
        <v/>
      </c>
      <c r="FU80" s="1" t="str">
        <f t="shared" si="46"/>
        <v/>
      </c>
      <c r="FV80" s="1" t="str">
        <f t="shared" si="46"/>
        <v/>
      </c>
      <c r="FW80" s="1" t="str">
        <f t="shared" si="46"/>
        <v/>
      </c>
      <c r="FX80" s="1" t="str">
        <f t="shared" si="46"/>
        <v/>
      </c>
      <c r="FY80" s="1" t="str">
        <f t="shared" si="46"/>
        <v/>
      </c>
      <c r="FZ80" s="1" t="str">
        <f t="shared" si="46"/>
        <v/>
      </c>
      <c r="GA80" s="1" t="str">
        <f t="shared" si="46"/>
        <v/>
      </c>
      <c r="GB80" s="1" t="str">
        <f t="shared" si="46"/>
        <v/>
      </c>
      <c r="GC80" s="1" t="str">
        <f t="shared" si="46"/>
        <v/>
      </c>
      <c r="GD80" s="1" t="str">
        <f t="shared" si="46"/>
        <v/>
      </c>
      <c r="GE80" s="1" t="str">
        <f t="shared" si="46"/>
        <v/>
      </c>
      <c r="GF80" s="1" t="str">
        <f t="shared" si="46"/>
        <v/>
      </c>
      <c r="GG80" s="1" t="str">
        <f t="shared" si="46"/>
        <v/>
      </c>
      <c r="GH80" s="1" t="str">
        <f t="shared" si="46"/>
        <v/>
      </c>
      <c r="GI80" s="1" t="str">
        <f t="shared" si="46"/>
        <v/>
      </c>
      <c r="GJ80" s="1" t="str">
        <f t="shared" si="51"/>
        <v/>
      </c>
      <c r="GK80" s="1" t="str">
        <f t="shared" si="51"/>
        <v/>
      </c>
      <c r="GL80" s="1" t="str">
        <f t="shared" si="51"/>
        <v/>
      </c>
      <c r="GM80" s="1" t="str">
        <f t="shared" si="51"/>
        <v/>
      </c>
      <c r="GN80" s="1" t="str">
        <f t="shared" si="51"/>
        <v/>
      </c>
      <c r="GO80" s="1" t="str">
        <f t="shared" si="51"/>
        <v/>
      </c>
      <c r="GP80" s="1" t="str">
        <f t="shared" si="51"/>
        <v/>
      </c>
      <c r="GQ80" s="1" t="str">
        <f t="shared" si="51"/>
        <v/>
      </c>
      <c r="GR80" s="1" t="str">
        <f t="shared" si="51"/>
        <v/>
      </c>
      <c r="GS80" s="1" t="str">
        <f t="shared" si="51"/>
        <v/>
      </c>
      <c r="GT80" s="1" t="str">
        <f t="shared" si="50"/>
        <v/>
      </c>
      <c r="GU80" s="1" t="str">
        <f t="shared" si="50"/>
        <v/>
      </c>
      <c r="GV80" s="1" t="str">
        <f t="shared" si="50"/>
        <v/>
      </c>
      <c r="GW80" s="1" t="str">
        <f t="shared" si="50"/>
        <v/>
      </c>
      <c r="GX80" s="1" t="str">
        <f t="shared" si="50"/>
        <v/>
      </c>
      <c r="GY80" s="1" t="str">
        <f t="shared" si="39"/>
        <v/>
      </c>
      <c r="GZ80" s="1" t="str">
        <f t="shared" si="39"/>
        <v/>
      </c>
      <c r="HA80" s="1" t="str">
        <f t="shared" si="39"/>
        <v/>
      </c>
      <c r="HB80" s="1" t="str">
        <f t="shared" si="39"/>
        <v/>
      </c>
      <c r="HC80" s="1" t="str">
        <f t="shared" si="39"/>
        <v/>
      </c>
      <c r="HD80" s="1" t="str">
        <f t="shared" si="39"/>
        <v/>
      </c>
      <c r="HE80" s="1" t="str">
        <f t="shared" si="39"/>
        <v/>
      </c>
      <c r="HF80" s="1" t="str">
        <f t="shared" si="39"/>
        <v/>
      </c>
      <c r="HG80" s="1" t="str">
        <f t="shared" si="39"/>
        <v/>
      </c>
      <c r="HH80" s="1" t="str">
        <f t="shared" si="39"/>
        <v/>
      </c>
      <c r="HI80" s="1" t="str">
        <f t="shared" si="39"/>
        <v/>
      </c>
      <c r="HJ80" s="1" t="str">
        <f t="shared" si="39"/>
        <v/>
      </c>
      <c r="HK80" s="1" t="str">
        <f t="shared" si="39"/>
        <v/>
      </c>
      <c r="HL80" s="1" t="str">
        <f t="shared" si="39"/>
        <v/>
      </c>
      <c r="HM80" s="1" t="str">
        <f t="shared" si="39"/>
        <v/>
      </c>
      <c r="HN80" s="1" t="str">
        <f t="shared" si="39"/>
        <v/>
      </c>
      <c r="HO80" s="1" t="str">
        <f t="shared" si="52"/>
        <v/>
      </c>
      <c r="HP80" s="1" t="str">
        <f t="shared" si="47"/>
        <v/>
      </c>
      <c r="HQ80" s="1" t="str">
        <f t="shared" si="47"/>
        <v/>
      </c>
      <c r="HR80" s="1" t="str">
        <f t="shared" si="47"/>
        <v/>
      </c>
      <c r="HS80" s="1" t="str">
        <f t="shared" si="47"/>
        <v/>
      </c>
      <c r="HT80" s="1" t="str">
        <f t="shared" si="47"/>
        <v/>
      </c>
      <c r="HU80" s="1" t="str">
        <f t="shared" si="47"/>
        <v/>
      </c>
      <c r="HV80" s="1" t="str">
        <f t="shared" si="47"/>
        <v/>
      </c>
      <c r="HW80" s="1" t="str">
        <f t="shared" si="41"/>
        <v/>
      </c>
      <c r="HX80" s="1" t="str">
        <f t="shared" si="41"/>
        <v/>
      </c>
      <c r="HY80" s="1" t="str">
        <f t="shared" si="41"/>
        <v/>
      </c>
      <c r="HZ80" s="1" t="str">
        <f t="shared" si="41"/>
        <v/>
      </c>
      <c r="IA80" s="1" t="str">
        <f t="shared" si="41"/>
        <v/>
      </c>
      <c r="IB80" s="1" t="str">
        <f t="shared" si="41"/>
        <v/>
      </c>
      <c r="IC80" s="1" t="str">
        <f t="shared" si="41"/>
        <v/>
      </c>
      <c r="ID80" s="1" t="str">
        <f t="shared" si="41"/>
        <v/>
      </c>
      <c r="IE80" s="1" t="str">
        <f t="shared" si="41"/>
        <v/>
      </c>
      <c r="IF80" s="1" t="str">
        <f t="shared" si="41"/>
        <v/>
      </c>
      <c r="IG80" s="1" t="str">
        <f t="shared" si="41"/>
        <v/>
      </c>
      <c r="IH80" s="1" t="str">
        <f t="shared" si="41"/>
        <v/>
      </c>
      <c r="II80" s="1" t="str">
        <f t="shared" si="41"/>
        <v/>
      </c>
      <c r="IJ80" s="1" t="str">
        <f t="shared" si="41"/>
        <v/>
      </c>
      <c r="IK80" s="1" t="str">
        <f t="shared" si="41"/>
        <v/>
      </c>
      <c r="IL80" s="1" t="str">
        <f t="shared" si="41"/>
        <v/>
      </c>
      <c r="IM80" s="1" t="str">
        <f t="shared" si="42"/>
        <v/>
      </c>
      <c r="IN80" s="1" t="str">
        <f t="shared" si="42"/>
        <v/>
      </c>
      <c r="IO80" s="1" t="str">
        <f t="shared" si="42"/>
        <v/>
      </c>
      <c r="IP80" s="1" t="str">
        <f t="shared" si="42"/>
        <v/>
      </c>
      <c r="IQ80" s="1" t="str">
        <f t="shared" si="42"/>
        <v/>
      </c>
      <c r="IR80" s="1" t="str">
        <f t="shared" si="42"/>
        <v/>
      </c>
      <c r="IS80" s="1" t="str">
        <f t="shared" si="42"/>
        <v/>
      </c>
      <c r="IT80" s="1" t="str">
        <f t="shared" si="42"/>
        <v/>
      </c>
      <c r="IU80" s="1" t="str">
        <f t="shared" si="42"/>
        <v/>
      </c>
      <c r="IV80" s="1" t="str">
        <f t="shared" si="42"/>
        <v/>
      </c>
      <c r="IW80" s="1" t="str">
        <f t="shared" si="42"/>
        <v/>
      </c>
      <c r="IX80" s="1" t="str">
        <f t="shared" si="42"/>
        <v/>
      </c>
      <c r="IY80" s="1" t="str">
        <f t="shared" si="42"/>
        <v/>
      </c>
      <c r="IZ80" s="1" t="str">
        <f t="shared" si="42"/>
        <v/>
      </c>
      <c r="JA80" s="1" t="str">
        <f t="shared" si="42"/>
        <v/>
      </c>
      <c r="JB80" s="1" t="str">
        <f t="shared" si="42"/>
        <v/>
      </c>
      <c r="JC80" s="1" t="str">
        <f t="shared" si="43"/>
        <v/>
      </c>
      <c r="JD80" s="1" t="str">
        <f t="shared" si="43"/>
        <v/>
      </c>
      <c r="JE80" s="1" t="str">
        <f t="shared" si="43"/>
        <v/>
      </c>
      <c r="JF80" s="1" t="str">
        <f t="shared" si="43"/>
        <v/>
      </c>
      <c r="JG80" s="1" t="str">
        <f t="shared" si="37"/>
        <v/>
      </c>
      <c r="JH80" s="1" t="str">
        <f t="shared" si="37"/>
        <v/>
      </c>
      <c r="JI80" s="1" t="str">
        <f t="shared" si="37"/>
        <v/>
      </c>
      <c r="JJ80" s="1" t="str">
        <f t="shared" si="30"/>
        <v/>
      </c>
      <c r="JK80" s="1" t="str">
        <f t="shared" si="30"/>
        <v/>
      </c>
      <c r="JL80" s="1" t="str">
        <f t="shared" si="24"/>
        <v/>
      </c>
      <c r="JM80" s="1" t="str">
        <f t="shared" si="24"/>
        <v/>
      </c>
      <c r="JN80" s="1" t="str">
        <f t="shared" si="24"/>
        <v/>
      </c>
      <c r="JO80" s="1" t="str">
        <f t="shared" si="24"/>
        <v/>
      </c>
    </row>
    <row r="81" spans="1:275" ht="14.5" x14ac:dyDescent="0.35">
      <c r="A81" s="59" t="str">
        <f>IF('Data input'!A81&lt;&gt;"",'Data input'!A81,"")</f>
        <v/>
      </c>
      <c r="B81" s="15" t="str">
        <f>IF('Data input'!B81&lt;&gt;"",'Data input'!B81,"")</f>
        <v/>
      </c>
      <c r="C81" s="16" t="str">
        <f>IF('Data input'!C81="","",4*('Data input'!C81-'Data input'!C$108)/('Data input'!C$109-'Data input'!C$108)+1)</f>
        <v/>
      </c>
      <c r="D81" s="16" t="str">
        <f>IF('Data input'!D81="","",4*('Data input'!D81-'Data input'!D$108)/('Data input'!D$109-'Data input'!D$108)+1)</f>
        <v/>
      </c>
      <c r="E81" s="16" t="str">
        <f>IF('Data input'!E81="","",4*('Data input'!E81-'Data input'!E$108)/('Data input'!E$109-'Data input'!E$108)+1)</f>
        <v/>
      </c>
      <c r="F81" s="16" t="str">
        <f>IF('Data input'!F81="","",4*('Data input'!F81-'Data input'!F$108)/('Data input'!F$109-'Data input'!F$108)+1)</f>
        <v/>
      </c>
      <c r="G81" s="16" t="str">
        <f>IF('Data input'!G81="","",4*('Data input'!G81-'Data input'!G$108)/('Data input'!G$109-'Data input'!G$108)+1)</f>
        <v/>
      </c>
      <c r="H81" s="16" t="str">
        <f>IF('Data input'!H81="","",4*('Data input'!H81-'Data input'!H$108)/('Data input'!H$109-'Data input'!H$108)+1)</f>
        <v/>
      </c>
      <c r="I81" s="19" t="str">
        <f>IF('Data input'!I81="","",4*('Data input'!I81-'Data input'!I$108)/('Data input'!I$109-'Data input'!I$108)+1)</f>
        <v/>
      </c>
      <c r="J81" s="19" t="str">
        <f>IF('Data input'!J81="","",4*('Data input'!J81-'Data input'!J$108)/('Data input'!J$109-'Data input'!J$108)+1)</f>
        <v/>
      </c>
      <c r="K81" s="19" t="str">
        <f>IF('Data input'!K81="","",4*('Data input'!K81-'Data input'!K$108)/('Data input'!K$109-'Data input'!K$108)+1)</f>
        <v/>
      </c>
      <c r="L81" s="19" t="str">
        <f>IF('Data input'!L81="","",4*('Data input'!L81-'Data input'!L$108)/('Data input'!L$109-'Data input'!L$108)+1)</f>
        <v/>
      </c>
      <c r="M81" s="16" t="str">
        <f>IF('Data input'!M81="","",4*('Data input'!M81-'Data input'!M$108)/('Data input'!M$109-'Data input'!M$108)+1)</f>
        <v/>
      </c>
      <c r="N81" s="16" t="str">
        <f>IF('Data input'!N81="","",4*('Data input'!N81-'Data input'!N$108)/('Data input'!N$109-'Data input'!N$108)+1)</f>
        <v/>
      </c>
      <c r="O81" s="16" t="str">
        <f>IF('Data input'!O81="","",4*('Data input'!O81-'Data input'!O$108)/('Data input'!O$109-'Data input'!O$108)+1)</f>
        <v/>
      </c>
      <c r="P81" s="16" t="str">
        <f>IF('Data input'!P81="","",4*('Data input'!P81-'Data input'!P$108)/('Data input'!P$109-'Data input'!P$108)+1)</f>
        <v/>
      </c>
      <c r="Q81" s="16" t="str">
        <f>IF('Data input'!Q81="","",4*('Data input'!Q81-'Data input'!Q$108)/('Data input'!Q$109-'Data input'!Q$108)+1)</f>
        <v/>
      </c>
      <c r="R81" s="16" t="str">
        <f>IF('Data input'!R81="","",4*('Data input'!R81-'Data input'!R$108)/('Data input'!R$109-'Data input'!R$108)+1)</f>
        <v/>
      </c>
      <c r="S81" s="16" t="str">
        <f>IF('Data input'!S81="","",4*('Data input'!S81-'Data input'!S$108)/('Data input'!S$109-'Data input'!S$108)+1)</f>
        <v/>
      </c>
      <c r="T81" s="16" t="str">
        <f>IF('Data input'!T81="","",4*('Data input'!T81-'Data input'!T$108)/('Data input'!T$109-'Data input'!T$108)+1)</f>
        <v/>
      </c>
      <c r="U81" s="16" t="str">
        <f>IF('Data input'!U81="","",4*('Data input'!U81-'Data input'!U$108)/('Data input'!U$109-'Data input'!U$108)+1)</f>
        <v/>
      </c>
      <c r="V81" s="16" t="str">
        <f>IF('Data input'!V81="","",4*('Data input'!V81-'Data input'!V$108)/('Data input'!V$109-'Data input'!V$108)+1)</f>
        <v/>
      </c>
      <c r="W81" s="16" t="str">
        <f>IF('Data input'!W81="","",4*('Data input'!W81-'Data input'!W$108)/('Data input'!W$109-'Data input'!W$108)+1)</f>
        <v/>
      </c>
      <c r="X81" s="16" t="str">
        <f>IF('Data input'!X81="","",4*('Data input'!X81-'Data input'!X$108)/('Data input'!X$109-'Data input'!X$108)+1)</f>
        <v/>
      </c>
      <c r="Y81" s="16" t="str">
        <f>IF('Data input'!Y81="","",4*('Data input'!Y81-'Data input'!Y$108)/('Data input'!Y$109-'Data input'!Y$108)+1)</f>
        <v/>
      </c>
      <c r="Z81" s="16" t="str">
        <f>IF('Data input'!Z81="","",4*('Data input'!Z81-'Data input'!Z$108)/('Data input'!Z$109-'Data input'!Z$108)+1)</f>
        <v/>
      </c>
      <c r="AA81" s="62" t="str">
        <f>IF('Data input'!AA81="","",4*('Data input'!AA81-'Data input'!AA$108)/('Data input'!AA$109-'Data input'!AA$108)+1)</f>
        <v/>
      </c>
      <c r="AB81" s="78"/>
      <c r="AC81" s="79">
        <v>0</v>
      </c>
      <c r="AD81" s="80" t="e">
        <f t="shared" si="48"/>
        <v>#DIV/0!</v>
      </c>
      <c r="AE81" s="4"/>
      <c r="AF81" s="59" t="str">
        <f t="shared" si="40"/>
        <v/>
      </c>
      <c r="AG81" s="60" t="str">
        <f t="shared" si="40"/>
        <v/>
      </c>
      <c r="AH81"/>
      <c r="AI81"/>
      <c r="AJ81"/>
      <c r="AK81"/>
      <c r="AL81"/>
      <c r="AM81"/>
      <c r="AN81"/>
      <c r="AO81"/>
      <c r="AP81"/>
      <c r="AQ81"/>
      <c r="AR81"/>
      <c r="AS81" s="71" t="str">
        <f t="shared" si="44"/>
        <v/>
      </c>
      <c r="AT81" s="71" t="str">
        <f t="shared" si="44"/>
        <v/>
      </c>
      <c r="AU81" s="71" t="str">
        <f t="shared" si="44"/>
        <v/>
      </c>
      <c r="AV81" s="71" t="str">
        <f t="shared" si="44"/>
        <v/>
      </c>
      <c r="AW81" s="71" t="str">
        <f t="shared" si="44"/>
        <v/>
      </c>
      <c r="AX81" s="71" t="str">
        <f t="shared" si="45"/>
        <v/>
      </c>
      <c r="AY81" s="71" t="str">
        <f t="shared" si="45"/>
        <v/>
      </c>
      <c r="AZ81" s="71" t="str">
        <f t="shared" si="45"/>
        <v/>
      </c>
      <c r="BA81" s="71" t="str">
        <f t="shared" si="45"/>
        <v/>
      </c>
      <c r="BB81" s="71" t="str">
        <f t="shared" si="45"/>
        <v/>
      </c>
      <c r="BC81" s="18" t="str">
        <f>IF(C81&lt;&gt;"",(('Data input'!C$109-'Data input'!C$108)*(AS81-1)/4)+'Data input'!C$108,"")</f>
        <v/>
      </c>
      <c r="BD81" s="18" t="str">
        <f>IF(D81&lt;&gt;"",(('Data input'!D$109-'Data input'!D$108)*(AT81-1)/4)+'Data input'!D$108,"")</f>
        <v/>
      </c>
      <c r="BE81" s="18" t="str">
        <f>IF(E81&lt;&gt;"",(('Data input'!E$109-'Data input'!E$108)*(AU81-1)/4)+'Data input'!E$108,"")</f>
        <v/>
      </c>
      <c r="BF81" s="18" t="str">
        <f>IF(F81&lt;&gt;"",(('Data input'!F$109-'Data input'!F$108)*(AV81-1)/4)+'Data input'!F$108,"")</f>
        <v/>
      </c>
      <c r="BG81" s="18" t="str">
        <f>IF(G81&lt;&gt;"",(('Data input'!G$109-'Data input'!G$108)*(AW81-1)/4)+'Data input'!G$108,"")</f>
        <v/>
      </c>
      <c r="BH81" s="19" t="str">
        <f>IF(H81&lt;&gt;"",(('Data input'!H$109-'Data input'!H$108)*(AX81-1)/4)+'Data input'!H$108,"")</f>
        <v/>
      </c>
      <c r="BI81" s="18" t="str">
        <f>IF(I81&lt;&gt;"",(('Data input'!I$109-'Data input'!I$108)*(AY81-1)/4)+'Data input'!I$108,"")</f>
        <v/>
      </c>
      <c r="BJ81" s="19" t="str">
        <f>IF(J81&lt;&gt;"",(('Data input'!J$109-'Data input'!J$108)*(AZ81-1)/4)+'Data input'!J$108,"")</f>
        <v/>
      </c>
      <c r="BK81" s="19" t="str">
        <f>IF(K81&lt;&gt;"",(('Data input'!K$109-'Data input'!K$108)*(BA81-1)/4)+'Data input'!K$108,"")</f>
        <v/>
      </c>
      <c r="BL81" s="19" t="str">
        <f>IF(L81&lt;&gt;"",(('Data input'!L$109-'Data input'!L$108)*(BB81-1)/4)+'Data input'!L$108,"")</f>
        <v/>
      </c>
      <c r="BM81" s="18" t="str">
        <f>IF(C81&lt;&gt;"",BC81-'Data input'!C81,"")</f>
        <v/>
      </c>
      <c r="BN81" s="18" t="str">
        <f>IF(D81&lt;&gt;"",BD81-'Data input'!D81,"")</f>
        <v/>
      </c>
      <c r="BO81" s="18" t="str">
        <f>IF(E81&lt;&gt;"",BE81-'Data input'!E81,"")</f>
        <v/>
      </c>
      <c r="BP81" s="18" t="str">
        <f>IF(F81&lt;&gt;"",BF81-'Data input'!F81,"")</f>
        <v/>
      </c>
      <c r="BQ81" s="18" t="str">
        <f>IF(G81&lt;&gt;"",BG81-'Data input'!G81,"")</f>
        <v/>
      </c>
      <c r="BR81" s="19" t="str">
        <f>IF(H81&lt;&gt;"",BH81-'Data input'!H81,"")</f>
        <v/>
      </c>
      <c r="BS81" s="18" t="str">
        <f>IF(I81&lt;&gt;"",BI81-'Data input'!I81,"")</f>
        <v/>
      </c>
      <c r="BT81" s="18" t="str">
        <f>IF(J81&lt;&gt;"",BJ81-'Data input'!J81,"")</f>
        <v/>
      </c>
      <c r="BU81" s="18" t="str">
        <f>IF(K81&lt;&gt;"",BK81-'Data input'!K81,"")</f>
        <v/>
      </c>
      <c r="BV81" s="72" t="str">
        <f>IF(L81&lt;&gt;"",BL81-'Data input'!L81,"")</f>
        <v/>
      </c>
      <c r="BW81" s="121" t="str">
        <f t="shared" si="49"/>
        <v/>
      </c>
      <c r="FT81" s="1" t="str">
        <f t="shared" si="46"/>
        <v/>
      </c>
      <c r="FU81" s="1" t="str">
        <f t="shared" si="46"/>
        <v/>
      </c>
      <c r="FV81" s="1" t="str">
        <f t="shared" si="46"/>
        <v/>
      </c>
      <c r="FW81" s="1" t="str">
        <f t="shared" si="46"/>
        <v/>
      </c>
      <c r="FX81" s="1" t="str">
        <f t="shared" si="46"/>
        <v/>
      </c>
      <c r="FY81" s="1" t="str">
        <f t="shared" si="46"/>
        <v/>
      </c>
      <c r="FZ81" s="1" t="str">
        <f t="shared" si="46"/>
        <v/>
      </c>
      <c r="GA81" s="1" t="str">
        <f t="shared" si="46"/>
        <v/>
      </c>
      <c r="GB81" s="1" t="str">
        <f t="shared" si="46"/>
        <v/>
      </c>
      <c r="GC81" s="1" t="str">
        <f t="shared" si="46"/>
        <v/>
      </c>
      <c r="GD81" s="1" t="str">
        <f t="shared" si="46"/>
        <v/>
      </c>
      <c r="GE81" s="1" t="str">
        <f t="shared" si="46"/>
        <v/>
      </c>
      <c r="GF81" s="1" t="str">
        <f t="shared" si="46"/>
        <v/>
      </c>
      <c r="GG81" s="1" t="str">
        <f t="shared" si="46"/>
        <v/>
      </c>
      <c r="GH81" s="1" t="str">
        <f t="shared" si="46"/>
        <v/>
      </c>
      <c r="GI81" s="1" t="str">
        <f t="shared" si="46"/>
        <v/>
      </c>
      <c r="GJ81" s="1" t="str">
        <f t="shared" si="51"/>
        <v/>
      </c>
      <c r="GK81" s="1" t="str">
        <f t="shared" si="51"/>
        <v/>
      </c>
      <c r="GL81" s="1" t="str">
        <f t="shared" si="51"/>
        <v/>
      </c>
      <c r="GM81" s="1" t="str">
        <f t="shared" si="51"/>
        <v/>
      </c>
      <c r="GN81" s="1" t="str">
        <f t="shared" si="51"/>
        <v/>
      </c>
      <c r="GO81" s="1" t="str">
        <f t="shared" si="51"/>
        <v/>
      </c>
      <c r="GP81" s="1" t="str">
        <f t="shared" si="51"/>
        <v/>
      </c>
      <c r="GQ81" s="1" t="str">
        <f t="shared" si="51"/>
        <v/>
      </c>
      <c r="GR81" s="1" t="str">
        <f t="shared" si="51"/>
        <v/>
      </c>
      <c r="GS81" s="1" t="str">
        <f t="shared" si="51"/>
        <v/>
      </c>
      <c r="GT81" s="1" t="str">
        <f t="shared" si="50"/>
        <v/>
      </c>
      <c r="GU81" s="1" t="str">
        <f t="shared" si="50"/>
        <v/>
      </c>
      <c r="GV81" s="1" t="str">
        <f t="shared" si="50"/>
        <v/>
      </c>
      <c r="GW81" s="1" t="str">
        <f t="shared" si="50"/>
        <v/>
      </c>
      <c r="GX81" s="1" t="str">
        <f t="shared" si="50"/>
        <v/>
      </c>
      <c r="GY81" s="1" t="str">
        <f t="shared" si="39"/>
        <v/>
      </c>
      <c r="GZ81" s="1" t="str">
        <f t="shared" si="39"/>
        <v/>
      </c>
      <c r="HA81" s="1" t="str">
        <f t="shared" si="39"/>
        <v/>
      </c>
      <c r="HB81" s="1" t="str">
        <f t="shared" si="39"/>
        <v/>
      </c>
      <c r="HC81" s="1" t="str">
        <f t="shared" si="39"/>
        <v/>
      </c>
      <c r="HD81" s="1" t="str">
        <f t="shared" si="39"/>
        <v/>
      </c>
      <c r="HE81" s="1" t="str">
        <f t="shared" si="39"/>
        <v/>
      </c>
      <c r="HF81" s="1" t="str">
        <f t="shared" si="39"/>
        <v/>
      </c>
      <c r="HG81" s="1" t="str">
        <f t="shared" si="39"/>
        <v/>
      </c>
      <c r="HH81" s="1" t="str">
        <f t="shared" si="39"/>
        <v/>
      </c>
      <c r="HI81" s="1" t="str">
        <f t="shared" si="39"/>
        <v/>
      </c>
      <c r="HJ81" s="1" t="str">
        <f t="shared" si="39"/>
        <v/>
      </c>
      <c r="HK81" s="1" t="str">
        <f t="shared" si="39"/>
        <v/>
      </c>
      <c r="HL81" s="1" t="str">
        <f t="shared" si="39"/>
        <v/>
      </c>
      <c r="HM81" s="1" t="str">
        <f t="shared" si="39"/>
        <v/>
      </c>
      <c r="HN81" s="1" t="str">
        <f t="shared" si="39"/>
        <v/>
      </c>
      <c r="HO81" s="1" t="str">
        <f t="shared" si="52"/>
        <v/>
      </c>
      <c r="HP81" s="1" t="str">
        <f t="shared" si="47"/>
        <v/>
      </c>
      <c r="HQ81" s="1" t="str">
        <f t="shared" si="47"/>
        <v/>
      </c>
      <c r="HR81" s="1" t="str">
        <f t="shared" si="47"/>
        <v/>
      </c>
      <c r="HS81" s="1" t="str">
        <f t="shared" si="47"/>
        <v/>
      </c>
      <c r="HT81" s="1" t="str">
        <f t="shared" si="47"/>
        <v/>
      </c>
      <c r="HU81" s="1" t="str">
        <f t="shared" si="47"/>
        <v/>
      </c>
      <c r="HV81" s="1" t="str">
        <f t="shared" si="47"/>
        <v/>
      </c>
      <c r="HW81" s="1" t="str">
        <f t="shared" si="41"/>
        <v/>
      </c>
      <c r="HX81" s="1" t="str">
        <f t="shared" si="41"/>
        <v/>
      </c>
      <c r="HY81" s="1" t="str">
        <f t="shared" si="41"/>
        <v/>
      </c>
      <c r="HZ81" s="1" t="str">
        <f t="shared" si="41"/>
        <v/>
      </c>
      <c r="IA81" s="1" t="str">
        <f t="shared" si="41"/>
        <v/>
      </c>
      <c r="IB81" s="1" t="str">
        <f t="shared" si="41"/>
        <v/>
      </c>
      <c r="IC81" s="1" t="str">
        <f t="shared" si="41"/>
        <v/>
      </c>
      <c r="ID81" s="1" t="str">
        <f t="shared" si="41"/>
        <v/>
      </c>
      <c r="IE81" s="1" t="str">
        <f t="shared" si="41"/>
        <v/>
      </c>
      <c r="IF81" s="1" t="str">
        <f t="shared" si="41"/>
        <v/>
      </c>
      <c r="IG81" s="1" t="str">
        <f t="shared" si="41"/>
        <v/>
      </c>
      <c r="IH81" s="1" t="str">
        <f t="shared" si="41"/>
        <v/>
      </c>
      <c r="II81" s="1" t="str">
        <f t="shared" si="41"/>
        <v/>
      </c>
      <c r="IJ81" s="1" t="str">
        <f t="shared" si="41"/>
        <v/>
      </c>
      <c r="IK81" s="1" t="str">
        <f t="shared" si="41"/>
        <v/>
      </c>
      <c r="IL81" s="1" t="str">
        <f t="shared" si="41"/>
        <v/>
      </c>
      <c r="IM81" s="1" t="str">
        <f t="shared" si="42"/>
        <v/>
      </c>
      <c r="IN81" s="1" t="str">
        <f t="shared" si="42"/>
        <v/>
      </c>
      <c r="IO81" s="1" t="str">
        <f t="shared" si="42"/>
        <v/>
      </c>
      <c r="IP81" s="1" t="str">
        <f t="shared" si="42"/>
        <v/>
      </c>
      <c r="IQ81" s="1" t="str">
        <f t="shared" si="42"/>
        <v/>
      </c>
      <c r="IR81" s="1" t="str">
        <f t="shared" si="42"/>
        <v/>
      </c>
      <c r="IS81" s="1" t="str">
        <f t="shared" si="42"/>
        <v/>
      </c>
      <c r="IT81" s="1" t="str">
        <f t="shared" si="42"/>
        <v/>
      </c>
      <c r="IU81" s="1" t="str">
        <f t="shared" si="42"/>
        <v/>
      </c>
      <c r="IV81" s="1" t="str">
        <f t="shared" si="42"/>
        <v/>
      </c>
      <c r="IW81" s="1" t="str">
        <f t="shared" si="42"/>
        <v/>
      </c>
      <c r="IX81" s="1" t="str">
        <f t="shared" si="42"/>
        <v/>
      </c>
      <c r="IY81" s="1" t="str">
        <f t="shared" si="42"/>
        <v/>
      </c>
      <c r="IZ81" s="1" t="str">
        <f t="shared" si="42"/>
        <v/>
      </c>
      <c r="JA81" s="1" t="str">
        <f t="shared" si="42"/>
        <v/>
      </c>
      <c r="JB81" s="1" t="str">
        <f t="shared" si="42"/>
        <v/>
      </c>
      <c r="JC81" s="1" t="str">
        <f t="shared" si="43"/>
        <v/>
      </c>
      <c r="JD81" s="1" t="str">
        <f t="shared" si="43"/>
        <v/>
      </c>
      <c r="JE81" s="1" t="str">
        <f t="shared" si="43"/>
        <v/>
      </c>
      <c r="JF81" s="1" t="str">
        <f t="shared" si="43"/>
        <v/>
      </c>
      <c r="JG81" s="1" t="str">
        <f t="shared" si="37"/>
        <v/>
      </c>
      <c r="JH81" s="1" t="str">
        <f t="shared" si="37"/>
        <v/>
      </c>
      <c r="JI81" s="1" t="str">
        <f t="shared" si="37"/>
        <v/>
      </c>
      <c r="JJ81" s="1" t="str">
        <f t="shared" si="30"/>
        <v/>
      </c>
      <c r="JK81" s="1" t="str">
        <f t="shared" si="30"/>
        <v/>
      </c>
      <c r="JL81" s="1" t="str">
        <f t="shared" si="24"/>
        <v/>
      </c>
      <c r="JM81" s="1" t="str">
        <f t="shared" si="24"/>
        <v/>
      </c>
      <c r="JN81" s="1" t="str">
        <f t="shared" si="24"/>
        <v/>
      </c>
      <c r="JO81" s="1" t="str">
        <f t="shared" si="24"/>
        <v/>
      </c>
    </row>
    <row r="82" spans="1:275" ht="14.5" x14ac:dyDescent="0.35">
      <c r="A82" s="59" t="str">
        <f>IF('Data input'!A82&lt;&gt;"",'Data input'!A82,"")</f>
        <v/>
      </c>
      <c r="B82" s="15" t="str">
        <f>IF('Data input'!B82&lt;&gt;"",'Data input'!B82,"")</f>
        <v/>
      </c>
      <c r="C82" s="16" t="str">
        <f>IF('Data input'!C82="","",4*('Data input'!C82-'Data input'!C$108)/('Data input'!C$109-'Data input'!C$108)+1)</f>
        <v/>
      </c>
      <c r="D82" s="16" t="str">
        <f>IF('Data input'!D82="","",4*('Data input'!D82-'Data input'!D$108)/('Data input'!D$109-'Data input'!D$108)+1)</f>
        <v/>
      </c>
      <c r="E82" s="16" t="str">
        <f>IF('Data input'!E82="","",4*('Data input'!E82-'Data input'!E$108)/('Data input'!E$109-'Data input'!E$108)+1)</f>
        <v/>
      </c>
      <c r="F82" s="16" t="str">
        <f>IF('Data input'!F82="","",4*('Data input'!F82-'Data input'!F$108)/('Data input'!F$109-'Data input'!F$108)+1)</f>
        <v/>
      </c>
      <c r="G82" s="16" t="str">
        <f>IF('Data input'!G82="","",4*('Data input'!G82-'Data input'!G$108)/('Data input'!G$109-'Data input'!G$108)+1)</f>
        <v/>
      </c>
      <c r="H82" s="16" t="str">
        <f>IF('Data input'!H82="","",4*('Data input'!H82-'Data input'!H$108)/('Data input'!H$109-'Data input'!H$108)+1)</f>
        <v/>
      </c>
      <c r="I82" s="19" t="str">
        <f>IF('Data input'!I82="","",4*('Data input'!I82-'Data input'!I$108)/('Data input'!I$109-'Data input'!I$108)+1)</f>
        <v/>
      </c>
      <c r="J82" s="19" t="str">
        <f>IF('Data input'!J82="","",4*('Data input'!J82-'Data input'!J$108)/('Data input'!J$109-'Data input'!J$108)+1)</f>
        <v/>
      </c>
      <c r="K82" s="19" t="str">
        <f>IF('Data input'!K82="","",4*('Data input'!K82-'Data input'!K$108)/('Data input'!K$109-'Data input'!K$108)+1)</f>
        <v/>
      </c>
      <c r="L82" s="19" t="str">
        <f>IF('Data input'!L82="","",4*('Data input'!L82-'Data input'!L$108)/('Data input'!L$109-'Data input'!L$108)+1)</f>
        <v/>
      </c>
      <c r="M82" s="16" t="str">
        <f>IF('Data input'!M82="","",4*('Data input'!M82-'Data input'!M$108)/('Data input'!M$109-'Data input'!M$108)+1)</f>
        <v/>
      </c>
      <c r="N82" s="16" t="str">
        <f>IF('Data input'!N82="","",4*('Data input'!N82-'Data input'!N$108)/('Data input'!N$109-'Data input'!N$108)+1)</f>
        <v/>
      </c>
      <c r="O82" s="16" t="str">
        <f>IF('Data input'!O82="","",4*('Data input'!O82-'Data input'!O$108)/('Data input'!O$109-'Data input'!O$108)+1)</f>
        <v/>
      </c>
      <c r="P82" s="16" t="str">
        <f>IF('Data input'!P82="","",4*('Data input'!P82-'Data input'!P$108)/('Data input'!P$109-'Data input'!P$108)+1)</f>
        <v/>
      </c>
      <c r="Q82" s="16" t="str">
        <f>IF('Data input'!Q82="","",4*('Data input'!Q82-'Data input'!Q$108)/('Data input'!Q$109-'Data input'!Q$108)+1)</f>
        <v/>
      </c>
      <c r="R82" s="16" t="str">
        <f>IF('Data input'!R82="","",4*('Data input'!R82-'Data input'!R$108)/('Data input'!R$109-'Data input'!R$108)+1)</f>
        <v/>
      </c>
      <c r="S82" s="16" t="str">
        <f>IF('Data input'!S82="","",4*('Data input'!S82-'Data input'!S$108)/('Data input'!S$109-'Data input'!S$108)+1)</f>
        <v/>
      </c>
      <c r="T82" s="16" t="str">
        <f>IF('Data input'!T82="","",4*('Data input'!T82-'Data input'!T$108)/('Data input'!T$109-'Data input'!T$108)+1)</f>
        <v/>
      </c>
      <c r="U82" s="16" t="str">
        <f>IF('Data input'!U82="","",4*('Data input'!U82-'Data input'!U$108)/('Data input'!U$109-'Data input'!U$108)+1)</f>
        <v/>
      </c>
      <c r="V82" s="16" t="str">
        <f>IF('Data input'!V82="","",4*('Data input'!V82-'Data input'!V$108)/('Data input'!V$109-'Data input'!V$108)+1)</f>
        <v/>
      </c>
      <c r="W82" s="16" t="str">
        <f>IF('Data input'!W82="","",4*('Data input'!W82-'Data input'!W$108)/('Data input'!W$109-'Data input'!W$108)+1)</f>
        <v/>
      </c>
      <c r="X82" s="16" t="str">
        <f>IF('Data input'!X82="","",4*('Data input'!X82-'Data input'!X$108)/('Data input'!X$109-'Data input'!X$108)+1)</f>
        <v/>
      </c>
      <c r="Y82" s="16" t="str">
        <f>IF('Data input'!Y82="","",4*('Data input'!Y82-'Data input'!Y$108)/('Data input'!Y$109-'Data input'!Y$108)+1)</f>
        <v/>
      </c>
      <c r="Z82" s="16" t="str">
        <f>IF('Data input'!Z82="","",4*('Data input'!Z82-'Data input'!Z$108)/('Data input'!Z$109-'Data input'!Z$108)+1)</f>
        <v/>
      </c>
      <c r="AA82" s="62" t="str">
        <f>IF('Data input'!AA82="","",4*('Data input'!AA82-'Data input'!AA$108)/('Data input'!AA$109-'Data input'!AA$108)+1)</f>
        <v/>
      </c>
      <c r="AB82" s="78"/>
      <c r="AC82" s="79">
        <v>0</v>
      </c>
      <c r="AD82" s="80" t="e">
        <f t="shared" si="48"/>
        <v>#DIV/0!</v>
      </c>
      <c r="AE82" s="4"/>
      <c r="AF82" s="59" t="str">
        <f t="shared" si="40"/>
        <v/>
      </c>
      <c r="AG82" s="60" t="str">
        <f t="shared" si="40"/>
        <v/>
      </c>
      <c r="AH82"/>
      <c r="AI82"/>
      <c r="AJ82"/>
      <c r="AK82"/>
      <c r="AL82"/>
      <c r="AM82"/>
      <c r="AN82"/>
      <c r="AO82"/>
      <c r="AP82"/>
      <c r="AQ82"/>
      <c r="AR82"/>
      <c r="AS82" s="71" t="str">
        <f t="shared" si="44"/>
        <v/>
      </c>
      <c r="AT82" s="71" t="str">
        <f t="shared" si="44"/>
        <v/>
      </c>
      <c r="AU82" s="71" t="str">
        <f t="shared" si="44"/>
        <v/>
      </c>
      <c r="AV82" s="71" t="str">
        <f t="shared" si="44"/>
        <v/>
      </c>
      <c r="AW82" s="71" t="str">
        <f t="shared" si="44"/>
        <v/>
      </c>
      <c r="AX82" s="71" t="str">
        <f t="shared" si="45"/>
        <v/>
      </c>
      <c r="AY82" s="71" t="str">
        <f t="shared" si="45"/>
        <v/>
      </c>
      <c r="AZ82" s="71" t="str">
        <f t="shared" si="45"/>
        <v/>
      </c>
      <c r="BA82" s="71" t="str">
        <f t="shared" si="45"/>
        <v/>
      </c>
      <c r="BB82" s="71" t="str">
        <f t="shared" si="45"/>
        <v/>
      </c>
      <c r="BC82" s="18" t="str">
        <f>IF(C82&lt;&gt;"",(('Data input'!C$109-'Data input'!C$108)*(AS82-1)/4)+'Data input'!C$108,"")</f>
        <v/>
      </c>
      <c r="BD82" s="18" t="str">
        <f>IF(D82&lt;&gt;"",(('Data input'!D$109-'Data input'!D$108)*(AT82-1)/4)+'Data input'!D$108,"")</f>
        <v/>
      </c>
      <c r="BE82" s="18" t="str">
        <f>IF(E82&lt;&gt;"",(('Data input'!E$109-'Data input'!E$108)*(AU82-1)/4)+'Data input'!E$108,"")</f>
        <v/>
      </c>
      <c r="BF82" s="18" t="str">
        <f>IF(F82&lt;&gt;"",(('Data input'!F$109-'Data input'!F$108)*(AV82-1)/4)+'Data input'!F$108,"")</f>
        <v/>
      </c>
      <c r="BG82" s="18" t="str">
        <f>IF(G82&lt;&gt;"",(('Data input'!G$109-'Data input'!G$108)*(AW82-1)/4)+'Data input'!G$108,"")</f>
        <v/>
      </c>
      <c r="BH82" s="19" t="str">
        <f>IF(H82&lt;&gt;"",(('Data input'!H$109-'Data input'!H$108)*(AX82-1)/4)+'Data input'!H$108,"")</f>
        <v/>
      </c>
      <c r="BI82" s="18" t="str">
        <f>IF(I82&lt;&gt;"",(('Data input'!I$109-'Data input'!I$108)*(AY82-1)/4)+'Data input'!I$108,"")</f>
        <v/>
      </c>
      <c r="BJ82" s="19" t="str">
        <f>IF(J82&lt;&gt;"",(('Data input'!J$109-'Data input'!J$108)*(AZ82-1)/4)+'Data input'!J$108,"")</f>
        <v/>
      </c>
      <c r="BK82" s="19" t="str">
        <f>IF(K82&lt;&gt;"",(('Data input'!K$109-'Data input'!K$108)*(BA82-1)/4)+'Data input'!K$108,"")</f>
        <v/>
      </c>
      <c r="BL82" s="19" t="str">
        <f>IF(L82&lt;&gt;"",(('Data input'!L$109-'Data input'!L$108)*(BB82-1)/4)+'Data input'!L$108,"")</f>
        <v/>
      </c>
      <c r="BM82" s="18" t="str">
        <f>IF(C82&lt;&gt;"",BC82-'Data input'!C82,"")</f>
        <v/>
      </c>
      <c r="BN82" s="18" t="str">
        <f>IF(D82&lt;&gt;"",BD82-'Data input'!D82,"")</f>
        <v/>
      </c>
      <c r="BO82" s="18" t="str">
        <f>IF(E82&lt;&gt;"",BE82-'Data input'!E82,"")</f>
        <v/>
      </c>
      <c r="BP82" s="18" t="str">
        <f>IF(F82&lt;&gt;"",BF82-'Data input'!F82,"")</f>
        <v/>
      </c>
      <c r="BQ82" s="18" t="str">
        <f>IF(G82&lt;&gt;"",BG82-'Data input'!G82,"")</f>
        <v/>
      </c>
      <c r="BR82" s="19" t="str">
        <f>IF(H82&lt;&gt;"",BH82-'Data input'!H82,"")</f>
        <v/>
      </c>
      <c r="BS82" s="18" t="str">
        <f>IF(I82&lt;&gt;"",BI82-'Data input'!I82,"")</f>
        <v/>
      </c>
      <c r="BT82" s="18" t="str">
        <f>IF(J82&lt;&gt;"",BJ82-'Data input'!J82,"")</f>
        <v/>
      </c>
      <c r="BU82" s="18" t="str">
        <f>IF(K82&lt;&gt;"",BK82-'Data input'!K82,"")</f>
        <v/>
      </c>
      <c r="BV82" s="72" t="str">
        <f>IF(L82&lt;&gt;"",BL82-'Data input'!L82,"")</f>
        <v/>
      </c>
      <c r="BW82" s="121" t="str">
        <f t="shared" si="49"/>
        <v/>
      </c>
      <c r="FT82" s="1" t="str">
        <f t="shared" si="46"/>
        <v/>
      </c>
      <c r="FU82" s="1" t="str">
        <f t="shared" si="46"/>
        <v/>
      </c>
      <c r="FV82" s="1" t="str">
        <f t="shared" si="46"/>
        <v/>
      </c>
      <c r="FW82" s="1" t="str">
        <f t="shared" si="46"/>
        <v/>
      </c>
      <c r="FX82" s="1" t="str">
        <f t="shared" si="46"/>
        <v/>
      </c>
      <c r="FY82" s="1" t="str">
        <f t="shared" si="46"/>
        <v/>
      </c>
      <c r="FZ82" s="1" t="str">
        <f t="shared" si="46"/>
        <v/>
      </c>
      <c r="GA82" s="1" t="str">
        <f t="shared" si="46"/>
        <v/>
      </c>
      <c r="GB82" s="1" t="str">
        <f t="shared" si="46"/>
        <v/>
      </c>
      <c r="GC82" s="1" t="str">
        <f t="shared" si="46"/>
        <v/>
      </c>
      <c r="GD82" s="1" t="str">
        <f t="shared" si="46"/>
        <v/>
      </c>
      <c r="GE82" s="1" t="str">
        <f t="shared" si="46"/>
        <v/>
      </c>
      <c r="GF82" s="1" t="str">
        <f t="shared" si="46"/>
        <v/>
      </c>
      <c r="GG82" s="1" t="str">
        <f t="shared" si="46"/>
        <v/>
      </c>
      <c r="GH82" s="1" t="str">
        <f t="shared" si="46"/>
        <v/>
      </c>
      <c r="GI82" s="1" t="str">
        <f t="shared" si="46"/>
        <v/>
      </c>
      <c r="GJ82" s="1" t="str">
        <f t="shared" si="51"/>
        <v/>
      </c>
      <c r="GK82" s="1" t="str">
        <f t="shared" si="51"/>
        <v/>
      </c>
      <c r="GL82" s="1" t="str">
        <f t="shared" si="51"/>
        <v/>
      </c>
      <c r="GM82" s="1" t="str">
        <f t="shared" si="51"/>
        <v/>
      </c>
      <c r="GN82" s="1" t="str">
        <f t="shared" si="51"/>
        <v/>
      </c>
      <c r="GO82" s="1" t="str">
        <f t="shared" si="51"/>
        <v/>
      </c>
      <c r="GP82" s="1" t="str">
        <f t="shared" si="51"/>
        <v/>
      </c>
      <c r="GQ82" s="1" t="str">
        <f t="shared" si="51"/>
        <v/>
      </c>
      <c r="GR82" s="1" t="str">
        <f t="shared" si="51"/>
        <v/>
      </c>
      <c r="GS82" s="1" t="str">
        <f t="shared" si="51"/>
        <v/>
      </c>
      <c r="GT82" s="1" t="str">
        <f t="shared" si="50"/>
        <v/>
      </c>
      <c r="GU82" s="1" t="str">
        <f t="shared" si="50"/>
        <v/>
      </c>
      <c r="GV82" s="1" t="str">
        <f t="shared" si="50"/>
        <v/>
      </c>
      <c r="GW82" s="1" t="str">
        <f t="shared" si="50"/>
        <v/>
      </c>
      <c r="GX82" s="1" t="str">
        <f t="shared" si="50"/>
        <v/>
      </c>
      <c r="GY82" s="1" t="str">
        <f t="shared" si="39"/>
        <v/>
      </c>
      <c r="GZ82" s="1" t="str">
        <f t="shared" si="39"/>
        <v/>
      </c>
      <c r="HA82" s="1" t="str">
        <f t="shared" si="39"/>
        <v/>
      </c>
      <c r="HB82" s="1" t="str">
        <f t="shared" si="39"/>
        <v/>
      </c>
      <c r="HC82" s="1" t="str">
        <f t="shared" si="39"/>
        <v/>
      </c>
      <c r="HD82" s="1" t="str">
        <f t="shared" si="39"/>
        <v/>
      </c>
      <c r="HE82" s="1" t="str">
        <f t="shared" si="39"/>
        <v/>
      </c>
      <c r="HF82" s="1" t="str">
        <f t="shared" si="39"/>
        <v/>
      </c>
      <c r="HG82" s="1" t="str">
        <f t="shared" si="39"/>
        <v/>
      </c>
      <c r="HH82" s="1" t="str">
        <f t="shared" si="39"/>
        <v/>
      </c>
      <c r="HI82" s="1" t="str">
        <f t="shared" si="39"/>
        <v/>
      </c>
      <c r="HJ82" s="1" t="str">
        <f t="shared" si="39"/>
        <v/>
      </c>
      <c r="HK82" s="1" t="str">
        <f t="shared" si="39"/>
        <v/>
      </c>
      <c r="HL82" s="1" t="str">
        <f t="shared" si="39"/>
        <v/>
      </c>
      <c r="HM82" s="1" t="str">
        <f t="shared" si="39"/>
        <v/>
      </c>
      <c r="HN82" s="1" t="str">
        <f t="shared" si="39"/>
        <v/>
      </c>
      <c r="HO82" s="1" t="str">
        <f t="shared" si="52"/>
        <v/>
      </c>
      <c r="HP82" s="1" t="str">
        <f t="shared" si="47"/>
        <v/>
      </c>
      <c r="HQ82" s="1" t="str">
        <f t="shared" si="47"/>
        <v/>
      </c>
      <c r="HR82" s="1" t="str">
        <f t="shared" si="47"/>
        <v/>
      </c>
      <c r="HS82" s="1" t="str">
        <f t="shared" si="47"/>
        <v/>
      </c>
      <c r="HT82" s="1" t="str">
        <f t="shared" si="47"/>
        <v/>
      </c>
      <c r="HU82" s="1" t="str">
        <f t="shared" si="47"/>
        <v/>
      </c>
      <c r="HV82" s="1" t="str">
        <f t="shared" si="47"/>
        <v/>
      </c>
      <c r="HW82" s="1" t="str">
        <f t="shared" si="41"/>
        <v/>
      </c>
      <c r="HX82" s="1" t="str">
        <f t="shared" si="41"/>
        <v/>
      </c>
      <c r="HY82" s="1" t="str">
        <f t="shared" si="41"/>
        <v/>
      </c>
      <c r="HZ82" s="1" t="str">
        <f t="shared" si="41"/>
        <v/>
      </c>
      <c r="IA82" s="1" t="str">
        <f t="shared" si="41"/>
        <v/>
      </c>
      <c r="IB82" s="1" t="str">
        <f t="shared" si="41"/>
        <v/>
      </c>
      <c r="IC82" s="1" t="str">
        <f t="shared" si="41"/>
        <v/>
      </c>
      <c r="ID82" s="1" t="str">
        <f t="shared" si="41"/>
        <v/>
      </c>
      <c r="IE82" s="1" t="str">
        <f t="shared" si="41"/>
        <v/>
      </c>
      <c r="IF82" s="1" t="str">
        <f t="shared" si="41"/>
        <v/>
      </c>
      <c r="IG82" s="1" t="str">
        <f t="shared" si="41"/>
        <v/>
      </c>
      <c r="IH82" s="1" t="str">
        <f t="shared" ref="IH82:IW98" si="53">IF(EL82&gt;0.0001,CONCATENATE(EL$2,"; "),"")</f>
        <v/>
      </c>
      <c r="II82" s="1" t="str">
        <f t="shared" si="53"/>
        <v/>
      </c>
      <c r="IJ82" s="1" t="str">
        <f t="shared" si="53"/>
        <v/>
      </c>
      <c r="IK82" s="1" t="str">
        <f t="shared" si="53"/>
        <v/>
      </c>
      <c r="IL82" s="1" t="str">
        <f t="shared" si="53"/>
        <v/>
      </c>
      <c r="IM82" s="1" t="str">
        <f t="shared" si="42"/>
        <v/>
      </c>
      <c r="IN82" s="1" t="str">
        <f t="shared" si="42"/>
        <v/>
      </c>
      <c r="IO82" s="1" t="str">
        <f t="shared" si="42"/>
        <v/>
      </c>
      <c r="IP82" s="1" t="str">
        <f t="shared" si="42"/>
        <v/>
      </c>
      <c r="IQ82" s="1" t="str">
        <f t="shared" si="42"/>
        <v/>
      </c>
      <c r="IR82" s="1" t="str">
        <f t="shared" si="42"/>
        <v/>
      </c>
      <c r="IS82" s="1" t="str">
        <f t="shared" si="42"/>
        <v/>
      </c>
      <c r="IT82" s="1" t="str">
        <f t="shared" si="42"/>
        <v/>
      </c>
      <c r="IU82" s="1" t="str">
        <f t="shared" si="42"/>
        <v/>
      </c>
      <c r="IV82" s="1" t="str">
        <f t="shared" si="42"/>
        <v/>
      </c>
      <c r="IW82" s="1" t="str">
        <f t="shared" si="42"/>
        <v/>
      </c>
      <c r="IX82" s="1" t="str">
        <f t="shared" ref="IX82:JB102" si="54">IF(FB82&gt;0.0001,CONCATENATE(FB$2,"; "),"")</f>
        <v/>
      </c>
      <c r="IY82" s="1" t="str">
        <f t="shared" si="54"/>
        <v/>
      </c>
      <c r="IZ82" s="1" t="str">
        <f t="shared" si="54"/>
        <v/>
      </c>
      <c r="JA82" s="1" t="str">
        <f t="shared" si="54"/>
        <v/>
      </c>
      <c r="JB82" s="1" t="str">
        <f t="shared" si="54"/>
        <v/>
      </c>
      <c r="JC82" s="1" t="str">
        <f t="shared" si="43"/>
        <v/>
      </c>
      <c r="JD82" s="1" t="str">
        <f t="shared" si="43"/>
        <v/>
      </c>
      <c r="JE82" s="1" t="str">
        <f t="shared" si="43"/>
        <v/>
      </c>
      <c r="JF82" s="1" t="str">
        <f t="shared" si="43"/>
        <v/>
      </c>
      <c r="JG82" s="1" t="str">
        <f t="shared" si="37"/>
        <v/>
      </c>
      <c r="JH82" s="1" t="str">
        <f t="shared" si="37"/>
        <v/>
      </c>
      <c r="JI82" s="1" t="str">
        <f t="shared" si="37"/>
        <v/>
      </c>
      <c r="JJ82" s="1" t="str">
        <f t="shared" si="30"/>
        <v/>
      </c>
      <c r="JK82" s="1" t="str">
        <f t="shared" si="30"/>
        <v/>
      </c>
      <c r="JL82" s="1" t="str">
        <f t="shared" si="30"/>
        <v/>
      </c>
      <c r="JM82" s="1" t="str">
        <f t="shared" si="30"/>
        <v/>
      </c>
      <c r="JN82" s="1" t="str">
        <f t="shared" si="30"/>
        <v/>
      </c>
      <c r="JO82" s="1" t="str">
        <f t="shared" si="30"/>
        <v/>
      </c>
    </row>
    <row r="83" spans="1:275" ht="14.5" x14ac:dyDescent="0.35">
      <c r="A83" s="59" t="str">
        <f>IF('Data input'!A83&lt;&gt;"",'Data input'!A83,"")</f>
        <v/>
      </c>
      <c r="B83" s="15" t="str">
        <f>IF('Data input'!B83&lt;&gt;"",'Data input'!B83,"")</f>
        <v/>
      </c>
      <c r="C83" s="16" t="str">
        <f>IF('Data input'!C83="","",4*('Data input'!C83-'Data input'!C$108)/('Data input'!C$109-'Data input'!C$108)+1)</f>
        <v/>
      </c>
      <c r="D83" s="16" t="str">
        <f>IF('Data input'!D83="","",4*('Data input'!D83-'Data input'!D$108)/('Data input'!D$109-'Data input'!D$108)+1)</f>
        <v/>
      </c>
      <c r="E83" s="16" t="str">
        <f>IF('Data input'!E83="","",4*('Data input'!E83-'Data input'!E$108)/('Data input'!E$109-'Data input'!E$108)+1)</f>
        <v/>
      </c>
      <c r="F83" s="16" t="str">
        <f>IF('Data input'!F83="","",4*('Data input'!F83-'Data input'!F$108)/('Data input'!F$109-'Data input'!F$108)+1)</f>
        <v/>
      </c>
      <c r="G83" s="16" t="str">
        <f>IF('Data input'!G83="","",4*('Data input'!G83-'Data input'!G$108)/('Data input'!G$109-'Data input'!G$108)+1)</f>
        <v/>
      </c>
      <c r="H83" s="16" t="str">
        <f>IF('Data input'!H83="","",4*('Data input'!H83-'Data input'!H$108)/('Data input'!H$109-'Data input'!H$108)+1)</f>
        <v/>
      </c>
      <c r="I83" s="19" t="str">
        <f>IF('Data input'!I83="","",4*('Data input'!I83-'Data input'!I$108)/('Data input'!I$109-'Data input'!I$108)+1)</f>
        <v/>
      </c>
      <c r="J83" s="19" t="str">
        <f>IF('Data input'!J83="","",4*('Data input'!J83-'Data input'!J$108)/('Data input'!J$109-'Data input'!J$108)+1)</f>
        <v/>
      </c>
      <c r="K83" s="19" t="str">
        <f>IF('Data input'!K83="","",4*('Data input'!K83-'Data input'!K$108)/('Data input'!K$109-'Data input'!K$108)+1)</f>
        <v/>
      </c>
      <c r="L83" s="19" t="str">
        <f>IF('Data input'!L83="","",4*('Data input'!L83-'Data input'!L$108)/('Data input'!L$109-'Data input'!L$108)+1)</f>
        <v/>
      </c>
      <c r="M83" s="16" t="str">
        <f>IF('Data input'!M83="","",4*('Data input'!M83-'Data input'!M$108)/('Data input'!M$109-'Data input'!M$108)+1)</f>
        <v/>
      </c>
      <c r="N83" s="16" t="str">
        <f>IF('Data input'!N83="","",4*('Data input'!N83-'Data input'!N$108)/('Data input'!N$109-'Data input'!N$108)+1)</f>
        <v/>
      </c>
      <c r="O83" s="16" t="str">
        <f>IF('Data input'!O83="","",4*('Data input'!O83-'Data input'!O$108)/('Data input'!O$109-'Data input'!O$108)+1)</f>
        <v/>
      </c>
      <c r="P83" s="16" t="str">
        <f>IF('Data input'!P83="","",4*('Data input'!P83-'Data input'!P$108)/('Data input'!P$109-'Data input'!P$108)+1)</f>
        <v/>
      </c>
      <c r="Q83" s="16" t="str">
        <f>IF('Data input'!Q83="","",4*('Data input'!Q83-'Data input'!Q$108)/('Data input'!Q$109-'Data input'!Q$108)+1)</f>
        <v/>
      </c>
      <c r="R83" s="16" t="str">
        <f>IF('Data input'!R83="","",4*('Data input'!R83-'Data input'!R$108)/('Data input'!R$109-'Data input'!R$108)+1)</f>
        <v/>
      </c>
      <c r="S83" s="16" t="str">
        <f>IF('Data input'!S83="","",4*('Data input'!S83-'Data input'!S$108)/('Data input'!S$109-'Data input'!S$108)+1)</f>
        <v/>
      </c>
      <c r="T83" s="16" t="str">
        <f>IF('Data input'!T83="","",4*('Data input'!T83-'Data input'!T$108)/('Data input'!T$109-'Data input'!T$108)+1)</f>
        <v/>
      </c>
      <c r="U83" s="16" t="str">
        <f>IF('Data input'!U83="","",4*('Data input'!U83-'Data input'!U$108)/('Data input'!U$109-'Data input'!U$108)+1)</f>
        <v/>
      </c>
      <c r="V83" s="16" t="str">
        <f>IF('Data input'!V83="","",4*('Data input'!V83-'Data input'!V$108)/('Data input'!V$109-'Data input'!V$108)+1)</f>
        <v/>
      </c>
      <c r="W83" s="16" t="str">
        <f>IF('Data input'!W83="","",4*('Data input'!W83-'Data input'!W$108)/('Data input'!W$109-'Data input'!W$108)+1)</f>
        <v/>
      </c>
      <c r="X83" s="16" t="str">
        <f>IF('Data input'!X83="","",4*('Data input'!X83-'Data input'!X$108)/('Data input'!X$109-'Data input'!X$108)+1)</f>
        <v/>
      </c>
      <c r="Y83" s="16" t="str">
        <f>IF('Data input'!Y83="","",4*('Data input'!Y83-'Data input'!Y$108)/('Data input'!Y$109-'Data input'!Y$108)+1)</f>
        <v/>
      </c>
      <c r="Z83" s="16" t="str">
        <f>IF('Data input'!Z83="","",4*('Data input'!Z83-'Data input'!Z$108)/('Data input'!Z$109-'Data input'!Z$108)+1)</f>
        <v/>
      </c>
      <c r="AA83" s="62" t="str">
        <f>IF('Data input'!AA83="","",4*('Data input'!AA83-'Data input'!AA$108)/('Data input'!AA$109-'Data input'!AA$108)+1)</f>
        <v/>
      </c>
      <c r="AB83" s="78"/>
      <c r="AC83" s="79">
        <v>0</v>
      </c>
      <c r="AD83" s="80" t="e">
        <f t="shared" si="48"/>
        <v>#DIV/0!</v>
      </c>
      <c r="AE83" s="4"/>
      <c r="AF83" s="59" t="str">
        <f t="shared" si="40"/>
        <v/>
      </c>
      <c r="AG83" s="60" t="str">
        <f t="shared" si="40"/>
        <v/>
      </c>
      <c r="AH83"/>
      <c r="AI83"/>
      <c r="AJ83"/>
      <c r="AK83"/>
      <c r="AL83"/>
      <c r="AM83"/>
      <c r="AN83"/>
      <c r="AO83"/>
      <c r="AP83"/>
      <c r="AQ83"/>
      <c r="AR83"/>
      <c r="AS83" s="71" t="str">
        <f t="shared" si="44"/>
        <v/>
      </c>
      <c r="AT83" s="71" t="str">
        <f t="shared" si="44"/>
        <v/>
      </c>
      <c r="AU83" s="71" t="str">
        <f t="shared" si="44"/>
        <v/>
      </c>
      <c r="AV83" s="71" t="str">
        <f t="shared" si="44"/>
        <v/>
      </c>
      <c r="AW83" s="71" t="str">
        <f t="shared" si="44"/>
        <v/>
      </c>
      <c r="AX83" s="71" t="str">
        <f t="shared" si="45"/>
        <v/>
      </c>
      <c r="AY83" s="71" t="str">
        <f t="shared" si="45"/>
        <v/>
      </c>
      <c r="AZ83" s="71" t="str">
        <f t="shared" si="45"/>
        <v/>
      </c>
      <c r="BA83" s="71" t="str">
        <f t="shared" si="45"/>
        <v/>
      </c>
      <c r="BB83" s="71" t="str">
        <f t="shared" si="45"/>
        <v/>
      </c>
      <c r="BC83" s="18" t="str">
        <f>IF(C83&lt;&gt;"",(('Data input'!C$109-'Data input'!C$108)*(AS83-1)/4)+'Data input'!C$108,"")</f>
        <v/>
      </c>
      <c r="BD83" s="18" t="str">
        <f>IF(D83&lt;&gt;"",(('Data input'!D$109-'Data input'!D$108)*(AT83-1)/4)+'Data input'!D$108,"")</f>
        <v/>
      </c>
      <c r="BE83" s="18" t="str">
        <f>IF(E83&lt;&gt;"",(('Data input'!E$109-'Data input'!E$108)*(AU83-1)/4)+'Data input'!E$108,"")</f>
        <v/>
      </c>
      <c r="BF83" s="18" t="str">
        <f>IF(F83&lt;&gt;"",(('Data input'!F$109-'Data input'!F$108)*(AV83-1)/4)+'Data input'!F$108,"")</f>
        <v/>
      </c>
      <c r="BG83" s="18" t="str">
        <f>IF(G83&lt;&gt;"",(('Data input'!G$109-'Data input'!G$108)*(AW83-1)/4)+'Data input'!G$108,"")</f>
        <v/>
      </c>
      <c r="BH83" s="19" t="str">
        <f>IF(H83&lt;&gt;"",(('Data input'!H$109-'Data input'!H$108)*(AX83-1)/4)+'Data input'!H$108,"")</f>
        <v/>
      </c>
      <c r="BI83" s="18" t="str">
        <f>IF(I83&lt;&gt;"",(('Data input'!I$109-'Data input'!I$108)*(AY83-1)/4)+'Data input'!I$108,"")</f>
        <v/>
      </c>
      <c r="BJ83" s="19" t="str">
        <f>IF(J83&lt;&gt;"",(('Data input'!J$109-'Data input'!J$108)*(AZ83-1)/4)+'Data input'!J$108,"")</f>
        <v/>
      </c>
      <c r="BK83" s="19" t="str">
        <f>IF(K83&lt;&gt;"",(('Data input'!K$109-'Data input'!K$108)*(BA83-1)/4)+'Data input'!K$108,"")</f>
        <v/>
      </c>
      <c r="BL83" s="19" t="str">
        <f>IF(L83&lt;&gt;"",(('Data input'!L$109-'Data input'!L$108)*(BB83-1)/4)+'Data input'!L$108,"")</f>
        <v/>
      </c>
      <c r="BM83" s="18" t="str">
        <f>IF(C83&lt;&gt;"",BC83-'Data input'!C83,"")</f>
        <v/>
      </c>
      <c r="BN83" s="18" t="str">
        <f>IF(D83&lt;&gt;"",BD83-'Data input'!D83,"")</f>
        <v/>
      </c>
      <c r="BO83" s="18" t="str">
        <f>IF(E83&lt;&gt;"",BE83-'Data input'!E83,"")</f>
        <v/>
      </c>
      <c r="BP83" s="18" t="str">
        <f>IF(F83&lt;&gt;"",BF83-'Data input'!F83,"")</f>
        <v/>
      </c>
      <c r="BQ83" s="18" t="str">
        <f>IF(G83&lt;&gt;"",BG83-'Data input'!G83,"")</f>
        <v/>
      </c>
      <c r="BR83" s="19" t="str">
        <f>IF(H83&lt;&gt;"",BH83-'Data input'!H83,"")</f>
        <v/>
      </c>
      <c r="BS83" s="18" t="str">
        <f>IF(I83&lt;&gt;"",BI83-'Data input'!I83,"")</f>
        <v/>
      </c>
      <c r="BT83" s="18" t="str">
        <f>IF(J83&lt;&gt;"",BJ83-'Data input'!J83,"")</f>
        <v/>
      </c>
      <c r="BU83" s="18" t="str">
        <f>IF(K83&lt;&gt;"",BK83-'Data input'!K83,"")</f>
        <v/>
      </c>
      <c r="BV83" s="72" t="str">
        <f>IF(L83&lt;&gt;"",BL83-'Data input'!L83,"")</f>
        <v/>
      </c>
      <c r="BW83" s="121" t="str">
        <f t="shared" si="49"/>
        <v/>
      </c>
      <c r="FT83" s="1" t="str">
        <f t="shared" si="46"/>
        <v/>
      </c>
      <c r="FU83" s="1" t="str">
        <f t="shared" ref="FU83:GJ99" si="55">IF(BY83&gt;0.0001,CONCATENATE(BY$2,"; "),"")</f>
        <v/>
      </c>
      <c r="FV83" s="1" t="str">
        <f t="shared" si="55"/>
        <v/>
      </c>
      <c r="FW83" s="1" t="str">
        <f t="shared" si="55"/>
        <v/>
      </c>
      <c r="FX83" s="1" t="str">
        <f t="shared" si="55"/>
        <v/>
      </c>
      <c r="FY83" s="1" t="str">
        <f t="shared" si="55"/>
        <v/>
      </c>
      <c r="FZ83" s="1" t="str">
        <f t="shared" si="55"/>
        <v/>
      </c>
      <c r="GA83" s="1" t="str">
        <f t="shared" si="55"/>
        <v/>
      </c>
      <c r="GB83" s="1" t="str">
        <f t="shared" si="55"/>
        <v/>
      </c>
      <c r="GC83" s="1" t="str">
        <f t="shared" si="55"/>
        <v/>
      </c>
      <c r="GD83" s="1" t="str">
        <f t="shared" si="55"/>
        <v/>
      </c>
      <c r="GE83" s="1" t="str">
        <f t="shared" si="55"/>
        <v/>
      </c>
      <c r="GF83" s="1" t="str">
        <f t="shared" si="55"/>
        <v/>
      </c>
      <c r="GG83" s="1" t="str">
        <f t="shared" si="55"/>
        <v/>
      </c>
      <c r="GH83" s="1" t="str">
        <f t="shared" si="55"/>
        <v/>
      </c>
      <c r="GI83" s="1" t="str">
        <f t="shared" si="55"/>
        <v/>
      </c>
      <c r="GJ83" s="1" t="str">
        <f t="shared" si="51"/>
        <v/>
      </c>
      <c r="GK83" s="1" t="str">
        <f t="shared" si="51"/>
        <v/>
      </c>
      <c r="GL83" s="1" t="str">
        <f t="shared" si="51"/>
        <v/>
      </c>
      <c r="GM83" s="1" t="str">
        <f t="shared" si="51"/>
        <v/>
      </c>
      <c r="GN83" s="1" t="str">
        <f t="shared" si="51"/>
        <v/>
      </c>
      <c r="GO83" s="1" t="str">
        <f t="shared" si="51"/>
        <v/>
      </c>
      <c r="GP83" s="1" t="str">
        <f t="shared" si="51"/>
        <v/>
      </c>
      <c r="GQ83" s="1" t="str">
        <f t="shared" si="51"/>
        <v/>
      </c>
      <c r="GR83" s="1" t="str">
        <f t="shared" si="51"/>
        <v/>
      </c>
      <c r="GS83" s="1" t="str">
        <f t="shared" si="51"/>
        <v/>
      </c>
      <c r="GT83" s="1" t="str">
        <f t="shared" si="50"/>
        <v/>
      </c>
      <c r="GU83" s="1" t="str">
        <f t="shared" si="50"/>
        <v/>
      </c>
      <c r="GV83" s="1" t="str">
        <f t="shared" si="50"/>
        <v/>
      </c>
      <c r="GW83" s="1" t="str">
        <f t="shared" si="50"/>
        <v/>
      </c>
      <c r="GX83" s="1" t="str">
        <f t="shared" si="50"/>
        <v/>
      </c>
      <c r="GY83" s="1" t="str">
        <f t="shared" si="39"/>
        <v/>
      </c>
      <c r="GZ83" s="1" t="str">
        <f t="shared" si="39"/>
        <v/>
      </c>
      <c r="HA83" s="1" t="str">
        <f t="shared" si="39"/>
        <v/>
      </c>
      <c r="HB83" s="1" t="str">
        <f t="shared" si="39"/>
        <v/>
      </c>
      <c r="HC83" s="1" t="str">
        <f t="shared" si="39"/>
        <v/>
      </c>
      <c r="HD83" s="1" t="str">
        <f t="shared" si="39"/>
        <v/>
      </c>
      <c r="HE83" s="1" t="str">
        <f t="shared" si="39"/>
        <v/>
      </c>
      <c r="HF83" s="1" t="str">
        <f t="shared" si="39"/>
        <v/>
      </c>
      <c r="HG83" s="1" t="str">
        <f t="shared" si="39"/>
        <v/>
      </c>
      <c r="HH83" s="1" t="str">
        <f t="shared" si="39"/>
        <v/>
      </c>
      <c r="HI83" s="1" t="str">
        <f t="shared" si="39"/>
        <v/>
      </c>
      <c r="HJ83" s="1" t="str">
        <f t="shared" si="39"/>
        <v/>
      </c>
      <c r="HK83" s="1" t="str">
        <f t="shared" si="39"/>
        <v/>
      </c>
      <c r="HL83" s="1" t="str">
        <f t="shared" si="39"/>
        <v/>
      </c>
      <c r="HM83" s="1" t="str">
        <f t="shared" si="39"/>
        <v/>
      </c>
      <c r="HN83" s="1" t="str">
        <f t="shared" si="39"/>
        <v/>
      </c>
      <c r="HO83" s="1" t="str">
        <f t="shared" si="52"/>
        <v/>
      </c>
      <c r="HP83" s="1" t="str">
        <f t="shared" si="47"/>
        <v/>
      </c>
      <c r="HQ83" s="1" t="str">
        <f t="shared" si="47"/>
        <v/>
      </c>
      <c r="HR83" s="1" t="str">
        <f t="shared" si="47"/>
        <v/>
      </c>
      <c r="HS83" s="1" t="str">
        <f t="shared" si="47"/>
        <v/>
      </c>
      <c r="HT83" s="1" t="str">
        <f t="shared" si="47"/>
        <v/>
      </c>
      <c r="HU83" s="1" t="str">
        <f t="shared" si="47"/>
        <v/>
      </c>
      <c r="HV83" s="1" t="str">
        <f t="shared" si="47"/>
        <v/>
      </c>
      <c r="HW83" s="1" t="str">
        <f t="shared" si="47"/>
        <v/>
      </c>
      <c r="HX83" s="1" t="str">
        <f t="shared" si="47"/>
        <v/>
      </c>
      <c r="HY83" s="1" t="str">
        <f t="shared" si="47"/>
        <v/>
      </c>
      <c r="HZ83" s="1" t="str">
        <f t="shared" si="47"/>
        <v/>
      </c>
      <c r="IA83" s="1" t="str">
        <f t="shared" si="47"/>
        <v/>
      </c>
      <c r="IB83" s="1" t="str">
        <f t="shared" si="47"/>
        <v/>
      </c>
      <c r="IC83" s="1" t="str">
        <f t="shared" si="47"/>
        <v/>
      </c>
      <c r="ID83" s="1" t="str">
        <f t="shared" si="47"/>
        <v/>
      </c>
      <c r="IE83" s="1" t="str">
        <f t="shared" si="47"/>
        <v/>
      </c>
      <c r="IF83" s="1" t="str">
        <f t="shared" ref="IF83:IQ102" si="56">IF(EJ83&gt;0.0001,CONCATENATE(EJ$2,"; "),"")</f>
        <v/>
      </c>
      <c r="IG83" s="1" t="str">
        <f t="shared" si="56"/>
        <v/>
      </c>
      <c r="IH83" s="1" t="str">
        <f t="shared" si="53"/>
        <v/>
      </c>
      <c r="II83" s="1" t="str">
        <f t="shared" si="53"/>
        <v/>
      </c>
      <c r="IJ83" s="1" t="str">
        <f t="shared" si="53"/>
        <v/>
      </c>
      <c r="IK83" s="1" t="str">
        <f t="shared" si="53"/>
        <v/>
      </c>
      <c r="IL83" s="1" t="str">
        <f t="shared" si="53"/>
        <v/>
      </c>
      <c r="IM83" s="1" t="str">
        <f t="shared" si="53"/>
        <v/>
      </c>
      <c r="IN83" s="1" t="str">
        <f t="shared" si="53"/>
        <v/>
      </c>
      <c r="IO83" s="1" t="str">
        <f t="shared" si="53"/>
        <v/>
      </c>
      <c r="IP83" s="1" t="str">
        <f t="shared" si="53"/>
        <v/>
      </c>
      <c r="IQ83" s="1" t="str">
        <f t="shared" si="53"/>
        <v/>
      </c>
      <c r="IR83" s="1" t="str">
        <f t="shared" si="53"/>
        <v/>
      </c>
      <c r="IS83" s="1" t="str">
        <f t="shared" si="53"/>
        <v/>
      </c>
      <c r="IT83" s="1" t="str">
        <f t="shared" si="53"/>
        <v/>
      </c>
      <c r="IU83" s="1" t="str">
        <f t="shared" si="53"/>
        <v/>
      </c>
      <c r="IV83" s="1" t="str">
        <f t="shared" si="53"/>
        <v/>
      </c>
      <c r="IW83" s="1" t="str">
        <f t="shared" si="53"/>
        <v/>
      </c>
      <c r="IX83" s="1" t="str">
        <f t="shared" si="54"/>
        <v/>
      </c>
      <c r="IY83" s="1" t="str">
        <f t="shared" si="54"/>
        <v/>
      </c>
      <c r="IZ83" s="1" t="str">
        <f t="shared" si="54"/>
        <v/>
      </c>
      <c r="JA83" s="1" t="str">
        <f t="shared" si="54"/>
        <v/>
      </c>
      <c r="JB83" s="1" t="str">
        <f t="shared" si="54"/>
        <v/>
      </c>
      <c r="JC83" s="1" t="str">
        <f t="shared" si="43"/>
        <v/>
      </c>
      <c r="JD83" s="1" t="str">
        <f t="shared" si="43"/>
        <v/>
      </c>
      <c r="JE83" s="1" t="str">
        <f t="shared" si="43"/>
        <v/>
      </c>
      <c r="JF83" s="1" t="str">
        <f t="shared" si="43"/>
        <v/>
      </c>
      <c r="JG83" s="1" t="str">
        <f t="shared" si="37"/>
        <v/>
      </c>
      <c r="JH83" s="1" t="str">
        <f t="shared" si="37"/>
        <v/>
      </c>
      <c r="JI83" s="1" t="str">
        <f t="shared" si="37"/>
        <v/>
      </c>
      <c r="JJ83" s="1" t="str">
        <f t="shared" si="30"/>
        <v/>
      </c>
      <c r="JK83" s="1" t="str">
        <f t="shared" si="30"/>
        <v/>
      </c>
      <c r="JL83" s="1" t="str">
        <f t="shared" si="30"/>
        <v/>
      </c>
      <c r="JM83" s="1" t="str">
        <f t="shared" si="30"/>
        <v/>
      </c>
      <c r="JN83" s="1" t="str">
        <f t="shared" si="30"/>
        <v/>
      </c>
      <c r="JO83" s="1" t="str">
        <f t="shared" si="30"/>
        <v/>
      </c>
    </row>
    <row r="84" spans="1:275" ht="14.5" x14ac:dyDescent="0.35">
      <c r="A84" s="59" t="str">
        <f>IF('Data input'!A84&lt;&gt;"",'Data input'!A84,"")</f>
        <v/>
      </c>
      <c r="B84" s="15" t="str">
        <f>IF('Data input'!B84&lt;&gt;"",'Data input'!B84,"")</f>
        <v/>
      </c>
      <c r="C84" s="16" t="str">
        <f>IF('Data input'!C84="","",4*('Data input'!C84-'Data input'!C$108)/('Data input'!C$109-'Data input'!C$108)+1)</f>
        <v/>
      </c>
      <c r="D84" s="16" t="str">
        <f>IF('Data input'!D84="","",4*('Data input'!D84-'Data input'!D$108)/('Data input'!D$109-'Data input'!D$108)+1)</f>
        <v/>
      </c>
      <c r="E84" s="16" t="str">
        <f>IF('Data input'!E84="","",4*('Data input'!E84-'Data input'!E$108)/('Data input'!E$109-'Data input'!E$108)+1)</f>
        <v/>
      </c>
      <c r="F84" s="16" t="str">
        <f>IF('Data input'!F84="","",4*('Data input'!F84-'Data input'!F$108)/('Data input'!F$109-'Data input'!F$108)+1)</f>
        <v/>
      </c>
      <c r="G84" s="16" t="str">
        <f>IF('Data input'!G84="","",4*('Data input'!G84-'Data input'!G$108)/('Data input'!G$109-'Data input'!G$108)+1)</f>
        <v/>
      </c>
      <c r="H84" s="16" t="str">
        <f>IF('Data input'!H84="","",4*('Data input'!H84-'Data input'!H$108)/('Data input'!H$109-'Data input'!H$108)+1)</f>
        <v/>
      </c>
      <c r="I84" s="19" t="str">
        <f>IF('Data input'!I84="","",4*('Data input'!I84-'Data input'!I$108)/('Data input'!I$109-'Data input'!I$108)+1)</f>
        <v/>
      </c>
      <c r="J84" s="19" t="str">
        <f>IF('Data input'!J84="","",4*('Data input'!J84-'Data input'!J$108)/('Data input'!J$109-'Data input'!J$108)+1)</f>
        <v/>
      </c>
      <c r="K84" s="19" t="str">
        <f>IF('Data input'!K84="","",4*('Data input'!K84-'Data input'!K$108)/('Data input'!K$109-'Data input'!K$108)+1)</f>
        <v/>
      </c>
      <c r="L84" s="19" t="str">
        <f>IF('Data input'!L84="","",4*('Data input'!L84-'Data input'!L$108)/('Data input'!L$109-'Data input'!L$108)+1)</f>
        <v/>
      </c>
      <c r="M84" s="16" t="str">
        <f>IF('Data input'!M84="","",4*('Data input'!M84-'Data input'!M$108)/('Data input'!M$109-'Data input'!M$108)+1)</f>
        <v/>
      </c>
      <c r="N84" s="16" t="str">
        <f>IF('Data input'!N84="","",4*('Data input'!N84-'Data input'!N$108)/('Data input'!N$109-'Data input'!N$108)+1)</f>
        <v/>
      </c>
      <c r="O84" s="16" t="str">
        <f>IF('Data input'!O84="","",4*('Data input'!O84-'Data input'!O$108)/('Data input'!O$109-'Data input'!O$108)+1)</f>
        <v/>
      </c>
      <c r="P84" s="16" t="str">
        <f>IF('Data input'!P84="","",4*('Data input'!P84-'Data input'!P$108)/('Data input'!P$109-'Data input'!P$108)+1)</f>
        <v/>
      </c>
      <c r="Q84" s="16" t="str">
        <f>IF('Data input'!Q84="","",4*('Data input'!Q84-'Data input'!Q$108)/('Data input'!Q$109-'Data input'!Q$108)+1)</f>
        <v/>
      </c>
      <c r="R84" s="16" t="str">
        <f>IF('Data input'!R84="","",4*('Data input'!R84-'Data input'!R$108)/('Data input'!R$109-'Data input'!R$108)+1)</f>
        <v/>
      </c>
      <c r="S84" s="16" t="str">
        <f>IF('Data input'!S84="","",4*('Data input'!S84-'Data input'!S$108)/('Data input'!S$109-'Data input'!S$108)+1)</f>
        <v/>
      </c>
      <c r="T84" s="16" t="str">
        <f>IF('Data input'!T84="","",4*('Data input'!T84-'Data input'!T$108)/('Data input'!T$109-'Data input'!T$108)+1)</f>
        <v/>
      </c>
      <c r="U84" s="16" t="str">
        <f>IF('Data input'!U84="","",4*('Data input'!U84-'Data input'!U$108)/('Data input'!U$109-'Data input'!U$108)+1)</f>
        <v/>
      </c>
      <c r="V84" s="16" t="str">
        <f>IF('Data input'!V84="","",4*('Data input'!V84-'Data input'!V$108)/('Data input'!V$109-'Data input'!V$108)+1)</f>
        <v/>
      </c>
      <c r="W84" s="16" t="str">
        <f>IF('Data input'!W84="","",4*('Data input'!W84-'Data input'!W$108)/('Data input'!W$109-'Data input'!W$108)+1)</f>
        <v/>
      </c>
      <c r="X84" s="16" t="str">
        <f>IF('Data input'!X84="","",4*('Data input'!X84-'Data input'!X$108)/('Data input'!X$109-'Data input'!X$108)+1)</f>
        <v/>
      </c>
      <c r="Y84" s="16" t="str">
        <f>IF('Data input'!Y84="","",4*('Data input'!Y84-'Data input'!Y$108)/('Data input'!Y$109-'Data input'!Y$108)+1)</f>
        <v/>
      </c>
      <c r="Z84" s="16" t="str">
        <f>IF('Data input'!Z84="","",4*('Data input'!Z84-'Data input'!Z$108)/('Data input'!Z$109-'Data input'!Z$108)+1)</f>
        <v/>
      </c>
      <c r="AA84" s="62" t="str">
        <f>IF('Data input'!AA84="","",4*('Data input'!AA84-'Data input'!AA$108)/('Data input'!AA$109-'Data input'!AA$108)+1)</f>
        <v/>
      </c>
      <c r="AB84" s="78"/>
      <c r="AC84" s="79">
        <v>0</v>
      </c>
      <c r="AD84" s="80" t="e">
        <f t="shared" si="48"/>
        <v>#DIV/0!</v>
      </c>
      <c r="AE84" s="4"/>
      <c r="AF84" s="59" t="str">
        <f t="shared" si="40"/>
        <v/>
      </c>
      <c r="AG84" s="60" t="str">
        <f t="shared" si="40"/>
        <v/>
      </c>
      <c r="AH84"/>
      <c r="AI84"/>
      <c r="AJ84"/>
      <c r="AK84"/>
      <c r="AL84"/>
      <c r="AM84"/>
      <c r="AN84"/>
      <c r="AO84"/>
      <c r="AP84"/>
      <c r="AQ84"/>
      <c r="AR84"/>
      <c r="AS84" s="71" t="str">
        <f t="shared" si="44"/>
        <v/>
      </c>
      <c r="AT84" s="71" t="str">
        <f t="shared" si="44"/>
        <v/>
      </c>
      <c r="AU84" s="71" t="str">
        <f t="shared" si="44"/>
        <v/>
      </c>
      <c r="AV84" s="71" t="str">
        <f t="shared" si="44"/>
        <v/>
      </c>
      <c r="AW84" s="71" t="str">
        <f t="shared" si="44"/>
        <v/>
      </c>
      <c r="AX84" s="71" t="str">
        <f t="shared" si="45"/>
        <v/>
      </c>
      <c r="AY84" s="71" t="str">
        <f t="shared" si="45"/>
        <v/>
      </c>
      <c r="AZ84" s="71" t="str">
        <f t="shared" si="45"/>
        <v/>
      </c>
      <c r="BA84" s="71" t="str">
        <f t="shared" si="45"/>
        <v/>
      </c>
      <c r="BB84" s="71" t="str">
        <f t="shared" si="45"/>
        <v/>
      </c>
      <c r="BC84" s="18" t="str">
        <f>IF(C84&lt;&gt;"",(('Data input'!C$109-'Data input'!C$108)*(AS84-1)/4)+'Data input'!C$108,"")</f>
        <v/>
      </c>
      <c r="BD84" s="18" t="str">
        <f>IF(D84&lt;&gt;"",(('Data input'!D$109-'Data input'!D$108)*(AT84-1)/4)+'Data input'!D$108,"")</f>
        <v/>
      </c>
      <c r="BE84" s="18" t="str">
        <f>IF(E84&lt;&gt;"",(('Data input'!E$109-'Data input'!E$108)*(AU84-1)/4)+'Data input'!E$108,"")</f>
        <v/>
      </c>
      <c r="BF84" s="18" t="str">
        <f>IF(F84&lt;&gt;"",(('Data input'!F$109-'Data input'!F$108)*(AV84-1)/4)+'Data input'!F$108,"")</f>
        <v/>
      </c>
      <c r="BG84" s="18" t="str">
        <f>IF(G84&lt;&gt;"",(('Data input'!G$109-'Data input'!G$108)*(AW84-1)/4)+'Data input'!G$108,"")</f>
        <v/>
      </c>
      <c r="BH84" s="19" t="str">
        <f>IF(H84&lt;&gt;"",(('Data input'!H$109-'Data input'!H$108)*(AX84-1)/4)+'Data input'!H$108,"")</f>
        <v/>
      </c>
      <c r="BI84" s="18" t="str">
        <f>IF(I84&lt;&gt;"",(('Data input'!I$109-'Data input'!I$108)*(AY84-1)/4)+'Data input'!I$108,"")</f>
        <v/>
      </c>
      <c r="BJ84" s="19" t="str">
        <f>IF(J84&lt;&gt;"",(('Data input'!J$109-'Data input'!J$108)*(AZ84-1)/4)+'Data input'!J$108,"")</f>
        <v/>
      </c>
      <c r="BK84" s="19" t="str">
        <f>IF(K84&lt;&gt;"",(('Data input'!K$109-'Data input'!K$108)*(BA84-1)/4)+'Data input'!K$108,"")</f>
        <v/>
      </c>
      <c r="BL84" s="19" t="str">
        <f>IF(L84&lt;&gt;"",(('Data input'!L$109-'Data input'!L$108)*(BB84-1)/4)+'Data input'!L$108,"")</f>
        <v/>
      </c>
      <c r="BM84" s="18" t="str">
        <f>IF(C84&lt;&gt;"",BC84-'Data input'!C84,"")</f>
        <v/>
      </c>
      <c r="BN84" s="18" t="str">
        <f>IF(D84&lt;&gt;"",BD84-'Data input'!D84,"")</f>
        <v/>
      </c>
      <c r="BO84" s="18" t="str">
        <f>IF(E84&lt;&gt;"",BE84-'Data input'!E84,"")</f>
        <v/>
      </c>
      <c r="BP84" s="18" t="str">
        <f>IF(F84&lt;&gt;"",BF84-'Data input'!F84,"")</f>
        <v/>
      </c>
      <c r="BQ84" s="18" t="str">
        <f>IF(G84&lt;&gt;"",BG84-'Data input'!G84,"")</f>
        <v/>
      </c>
      <c r="BR84" s="19" t="str">
        <f>IF(H84&lt;&gt;"",BH84-'Data input'!H84,"")</f>
        <v/>
      </c>
      <c r="BS84" s="18" t="str">
        <f>IF(I84&lt;&gt;"",BI84-'Data input'!I84,"")</f>
        <v/>
      </c>
      <c r="BT84" s="18" t="str">
        <f>IF(J84&lt;&gt;"",BJ84-'Data input'!J84,"")</f>
        <v/>
      </c>
      <c r="BU84" s="18" t="str">
        <f>IF(K84&lt;&gt;"",BK84-'Data input'!K84,"")</f>
        <v/>
      </c>
      <c r="BV84" s="72" t="str">
        <f>IF(L84&lt;&gt;"",BL84-'Data input'!L84,"")</f>
        <v/>
      </c>
      <c r="BW84" s="121" t="str">
        <f t="shared" si="49"/>
        <v/>
      </c>
      <c r="FT84" s="1" t="str">
        <f t="shared" ref="FT84:GE102" si="57">IF(BX84&gt;0.0001,CONCATENATE(BX$2,"; "),"")</f>
        <v/>
      </c>
      <c r="FU84" s="1" t="str">
        <f t="shared" si="55"/>
        <v/>
      </c>
      <c r="FV84" s="1" t="str">
        <f t="shared" si="55"/>
        <v/>
      </c>
      <c r="FW84" s="1" t="str">
        <f t="shared" si="55"/>
        <v/>
      </c>
      <c r="FX84" s="1" t="str">
        <f t="shared" si="55"/>
        <v/>
      </c>
      <c r="FY84" s="1" t="str">
        <f t="shared" si="55"/>
        <v/>
      </c>
      <c r="FZ84" s="1" t="str">
        <f t="shared" si="55"/>
        <v/>
      </c>
      <c r="GA84" s="1" t="str">
        <f t="shared" si="55"/>
        <v/>
      </c>
      <c r="GB84" s="1" t="str">
        <f t="shared" si="55"/>
        <v/>
      </c>
      <c r="GC84" s="1" t="str">
        <f t="shared" si="55"/>
        <v/>
      </c>
      <c r="GD84" s="1" t="str">
        <f t="shared" si="55"/>
        <v/>
      </c>
      <c r="GE84" s="1" t="str">
        <f t="shared" si="55"/>
        <v/>
      </c>
      <c r="GF84" s="1" t="str">
        <f t="shared" si="55"/>
        <v/>
      </c>
      <c r="GG84" s="1" t="str">
        <f t="shared" si="55"/>
        <v/>
      </c>
      <c r="GH84" s="1" t="str">
        <f t="shared" si="55"/>
        <v/>
      </c>
      <c r="GI84" s="1" t="str">
        <f t="shared" si="55"/>
        <v/>
      </c>
      <c r="GJ84" s="1" t="str">
        <f t="shared" si="51"/>
        <v/>
      </c>
      <c r="GK84" s="1" t="str">
        <f t="shared" si="51"/>
        <v/>
      </c>
      <c r="GL84" s="1" t="str">
        <f t="shared" si="51"/>
        <v/>
      </c>
      <c r="GM84" s="1" t="str">
        <f t="shared" si="51"/>
        <v/>
      </c>
      <c r="GN84" s="1" t="str">
        <f t="shared" si="51"/>
        <v/>
      </c>
      <c r="GO84" s="1" t="str">
        <f t="shared" si="51"/>
        <v/>
      </c>
      <c r="GP84" s="1" t="str">
        <f t="shared" si="51"/>
        <v/>
      </c>
      <c r="GQ84" s="1" t="str">
        <f t="shared" si="51"/>
        <v/>
      </c>
      <c r="GR84" s="1" t="str">
        <f t="shared" si="51"/>
        <v/>
      </c>
      <c r="GS84" s="1" t="str">
        <f t="shared" si="51"/>
        <v/>
      </c>
      <c r="GT84" s="1" t="str">
        <f t="shared" si="50"/>
        <v/>
      </c>
      <c r="GU84" s="1" t="str">
        <f t="shared" si="50"/>
        <v/>
      </c>
      <c r="GV84" s="1" t="str">
        <f t="shared" si="50"/>
        <v/>
      </c>
      <c r="GW84" s="1" t="str">
        <f t="shared" si="50"/>
        <v/>
      </c>
      <c r="GX84" s="1" t="str">
        <f t="shared" si="50"/>
        <v/>
      </c>
      <c r="GY84" s="1" t="str">
        <f t="shared" si="39"/>
        <v/>
      </c>
      <c r="GZ84" s="1" t="str">
        <f t="shared" si="39"/>
        <v/>
      </c>
      <c r="HA84" s="1" t="str">
        <f t="shared" si="39"/>
        <v/>
      </c>
      <c r="HB84" s="1" t="str">
        <f t="shared" si="39"/>
        <v/>
      </c>
      <c r="HC84" s="1" t="str">
        <f t="shared" si="39"/>
        <v/>
      </c>
      <c r="HD84" s="1" t="str">
        <f t="shared" si="39"/>
        <v/>
      </c>
      <c r="HE84" s="1" t="str">
        <f t="shared" si="39"/>
        <v/>
      </c>
      <c r="HF84" s="1" t="str">
        <f t="shared" si="39"/>
        <v/>
      </c>
      <c r="HG84" s="1" t="str">
        <f t="shared" si="39"/>
        <v/>
      </c>
      <c r="HH84" s="1" t="str">
        <f t="shared" si="39"/>
        <v/>
      </c>
      <c r="HI84" s="1" t="str">
        <f t="shared" si="39"/>
        <v/>
      </c>
      <c r="HJ84" s="1" t="str">
        <f t="shared" si="39"/>
        <v/>
      </c>
      <c r="HK84" s="1" t="str">
        <f t="shared" si="39"/>
        <v/>
      </c>
      <c r="HL84" s="1" t="str">
        <f t="shared" si="39"/>
        <v/>
      </c>
      <c r="HM84" s="1" t="str">
        <f t="shared" si="39"/>
        <v/>
      </c>
      <c r="HN84" s="1" t="str">
        <f t="shared" si="39"/>
        <v/>
      </c>
      <c r="HO84" s="1" t="str">
        <f t="shared" si="52"/>
        <v/>
      </c>
      <c r="HP84" s="1" t="str">
        <f t="shared" si="47"/>
        <v/>
      </c>
      <c r="HQ84" s="1" t="str">
        <f t="shared" si="47"/>
        <v/>
      </c>
      <c r="HR84" s="1" t="str">
        <f t="shared" si="47"/>
        <v/>
      </c>
      <c r="HS84" s="1" t="str">
        <f t="shared" si="47"/>
        <v/>
      </c>
      <c r="HT84" s="1" t="str">
        <f t="shared" si="47"/>
        <v/>
      </c>
      <c r="HU84" s="1" t="str">
        <f t="shared" si="47"/>
        <v/>
      </c>
      <c r="HV84" s="1" t="str">
        <f t="shared" si="47"/>
        <v/>
      </c>
      <c r="HW84" s="1" t="str">
        <f t="shared" si="47"/>
        <v/>
      </c>
      <c r="HX84" s="1" t="str">
        <f t="shared" si="47"/>
        <v/>
      </c>
      <c r="HY84" s="1" t="str">
        <f t="shared" si="47"/>
        <v/>
      </c>
      <c r="HZ84" s="1" t="str">
        <f t="shared" si="47"/>
        <v/>
      </c>
      <c r="IA84" s="1" t="str">
        <f t="shared" si="47"/>
        <v/>
      </c>
      <c r="IB84" s="1" t="str">
        <f t="shared" si="47"/>
        <v/>
      </c>
      <c r="IC84" s="1" t="str">
        <f t="shared" si="47"/>
        <v/>
      </c>
      <c r="ID84" s="1" t="str">
        <f t="shared" si="47"/>
        <v/>
      </c>
      <c r="IE84" s="1" t="str">
        <f t="shared" si="47"/>
        <v/>
      </c>
      <c r="IF84" s="1" t="str">
        <f t="shared" si="56"/>
        <v/>
      </c>
      <c r="IG84" s="1" t="str">
        <f t="shared" si="56"/>
        <v/>
      </c>
      <c r="IH84" s="1" t="str">
        <f t="shared" si="53"/>
        <v/>
      </c>
      <c r="II84" s="1" t="str">
        <f t="shared" si="53"/>
        <v/>
      </c>
      <c r="IJ84" s="1" t="str">
        <f t="shared" si="53"/>
        <v/>
      </c>
      <c r="IK84" s="1" t="str">
        <f t="shared" si="53"/>
        <v/>
      </c>
      <c r="IL84" s="1" t="str">
        <f t="shared" si="53"/>
        <v/>
      </c>
      <c r="IM84" s="1" t="str">
        <f t="shared" si="53"/>
        <v/>
      </c>
      <c r="IN84" s="1" t="str">
        <f t="shared" si="53"/>
        <v/>
      </c>
      <c r="IO84" s="1" t="str">
        <f t="shared" si="53"/>
        <v/>
      </c>
      <c r="IP84" s="1" t="str">
        <f t="shared" si="53"/>
        <v/>
      </c>
      <c r="IQ84" s="1" t="str">
        <f t="shared" si="53"/>
        <v/>
      </c>
      <c r="IR84" s="1" t="str">
        <f t="shared" si="53"/>
        <v/>
      </c>
      <c r="IS84" s="1" t="str">
        <f t="shared" si="53"/>
        <v/>
      </c>
      <c r="IT84" s="1" t="str">
        <f t="shared" si="53"/>
        <v/>
      </c>
      <c r="IU84" s="1" t="str">
        <f t="shared" si="53"/>
        <v/>
      </c>
      <c r="IV84" s="1" t="str">
        <f t="shared" si="53"/>
        <v/>
      </c>
      <c r="IW84" s="1" t="str">
        <f t="shared" si="53"/>
        <v/>
      </c>
      <c r="IX84" s="1" t="str">
        <f t="shared" si="54"/>
        <v/>
      </c>
      <c r="IY84" s="1" t="str">
        <f t="shared" si="54"/>
        <v/>
      </c>
      <c r="IZ84" s="1" t="str">
        <f t="shared" si="54"/>
        <v/>
      </c>
      <c r="JA84" s="1" t="str">
        <f t="shared" si="54"/>
        <v/>
      </c>
      <c r="JB84" s="1" t="str">
        <f t="shared" si="54"/>
        <v/>
      </c>
      <c r="JC84" s="1" t="str">
        <f t="shared" si="43"/>
        <v/>
      </c>
      <c r="JD84" s="1" t="str">
        <f t="shared" si="43"/>
        <v/>
      </c>
      <c r="JE84" s="1" t="str">
        <f t="shared" si="43"/>
        <v/>
      </c>
      <c r="JF84" s="1" t="str">
        <f t="shared" si="43"/>
        <v/>
      </c>
      <c r="JG84" s="1" t="str">
        <f t="shared" si="37"/>
        <v/>
      </c>
      <c r="JH84" s="1" t="str">
        <f t="shared" si="37"/>
        <v/>
      </c>
      <c r="JI84" s="1" t="str">
        <f t="shared" si="37"/>
        <v/>
      </c>
      <c r="JJ84" s="1" t="str">
        <f t="shared" si="30"/>
        <v/>
      </c>
      <c r="JK84" s="1" t="str">
        <f t="shared" si="30"/>
        <v/>
      </c>
      <c r="JL84" s="1" t="str">
        <f t="shared" si="30"/>
        <v/>
      </c>
      <c r="JM84" s="1" t="str">
        <f t="shared" si="30"/>
        <v/>
      </c>
      <c r="JN84" s="1" t="str">
        <f t="shared" si="30"/>
        <v/>
      </c>
      <c r="JO84" s="1" t="str">
        <f t="shared" si="30"/>
        <v/>
      </c>
    </row>
    <row r="85" spans="1:275" ht="14.5" x14ac:dyDescent="0.35">
      <c r="A85" s="59" t="str">
        <f>IF('Data input'!A85&lt;&gt;"",'Data input'!A85,"")</f>
        <v/>
      </c>
      <c r="B85" s="15" t="str">
        <f>IF('Data input'!B85&lt;&gt;"",'Data input'!B85,"")</f>
        <v/>
      </c>
      <c r="C85" s="16" t="str">
        <f>IF('Data input'!C85="","",4*('Data input'!C85-'Data input'!C$108)/('Data input'!C$109-'Data input'!C$108)+1)</f>
        <v/>
      </c>
      <c r="D85" s="16" t="str">
        <f>IF('Data input'!D85="","",4*('Data input'!D85-'Data input'!D$108)/('Data input'!D$109-'Data input'!D$108)+1)</f>
        <v/>
      </c>
      <c r="E85" s="16" t="str">
        <f>IF('Data input'!E85="","",4*('Data input'!E85-'Data input'!E$108)/('Data input'!E$109-'Data input'!E$108)+1)</f>
        <v/>
      </c>
      <c r="F85" s="16" t="str">
        <f>IF('Data input'!F85="","",4*('Data input'!F85-'Data input'!F$108)/('Data input'!F$109-'Data input'!F$108)+1)</f>
        <v/>
      </c>
      <c r="G85" s="16" t="str">
        <f>IF('Data input'!G85="","",4*('Data input'!G85-'Data input'!G$108)/('Data input'!G$109-'Data input'!G$108)+1)</f>
        <v/>
      </c>
      <c r="H85" s="16" t="str">
        <f>IF('Data input'!H85="","",4*('Data input'!H85-'Data input'!H$108)/('Data input'!H$109-'Data input'!H$108)+1)</f>
        <v/>
      </c>
      <c r="I85" s="19" t="str">
        <f>IF('Data input'!I85="","",4*('Data input'!I85-'Data input'!I$108)/('Data input'!I$109-'Data input'!I$108)+1)</f>
        <v/>
      </c>
      <c r="J85" s="19" t="str">
        <f>IF('Data input'!J85="","",4*('Data input'!J85-'Data input'!J$108)/('Data input'!J$109-'Data input'!J$108)+1)</f>
        <v/>
      </c>
      <c r="K85" s="19" t="str">
        <f>IF('Data input'!K85="","",4*('Data input'!K85-'Data input'!K$108)/('Data input'!K$109-'Data input'!K$108)+1)</f>
        <v/>
      </c>
      <c r="L85" s="19" t="str">
        <f>IF('Data input'!L85="","",4*('Data input'!L85-'Data input'!L$108)/('Data input'!L$109-'Data input'!L$108)+1)</f>
        <v/>
      </c>
      <c r="M85" s="16" t="str">
        <f>IF('Data input'!M85="","",4*('Data input'!M85-'Data input'!M$108)/('Data input'!M$109-'Data input'!M$108)+1)</f>
        <v/>
      </c>
      <c r="N85" s="16" t="str">
        <f>IF('Data input'!N85="","",4*('Data input'!N85-'Data input'!N$108)/('Data input'!N$109-'Data input'!N$108)+1)</f>
        <v/>
      </c>
      <c r="O85" s="16" t="str">
        <f>IF('Data input'!O85="","",4*('Data input'!O85-'Data input'!O$108)/('Data input'!O$109-'Data input'!O$108)+1)</f>
        <v/>
      </c>
      <c r="P85" s="16" t="str">
        <f>IF('Data input'!P85="","",4*('Data input'!P85-'Data input'!P$108)/('Data input'!P$109-'Data input'!P$108)+1)</f>
        <v/>
      </c>
      <c r="Q85" s="16" t="str">
        <f>IF('Data input'!Q85="","",4*('Data input'!Q85-'Data input'!Q$108)/('Data input'!Q$109-'Data input'!Q$108)+1)</f>
        <v/>
      </c>
      <c r="R85" s="16" t="str">
        <f>IF('Data input'!R85="","",4*('Data input'!R85-'Data input'!R$108)/('Data input'!R$109-'Data input'!R$108)+1)</f>
        <v/>
      </c>
      <c r="S85" s="16" t="str">
        <f>IF('Data input'!S85="","",4*('Data input'!S85-'Data input'!S$108)/('Data input'!S$109-'Data input'!S$108)+1)</f>
        <v/>
      </c>
      <c r="T85" s="16" t="str">
        <f>IF('Data input'!T85="","",4*('Data input'!T85-'Data input'!T$108)/('Data input'!T$109-'Data input'!T$108)+1)</f>
        <v/>
      </c>
      <c r="U85" s="16" t="str">
        <f>IF('Data input'!U85="","",4*('Data input'!U85-'Data input'!U$108)/('Data input'!U$109-'Data input'!U$108)+1)</f>
        <v/>
      </c>
      <c r="V85" s="16" t="str">
        <f>IF('Data input'!V85="","",4*('Data input'!V85-'Data input'!V$108)/('Data input'!V$109-'Data input'!V$108)+1)</f>
        <v/>
      </c>
      <c r="W85" s="16" t="str">
        <f>IF('Data input'!W85="","",4*('Data input'!W85-'Data input'!W$108)/('Data input'!W$109-'Data input'!W$108)+1)</f>
        <v/>
      </c>
      <c r="X85" s="16" t="str">
        <f>IF('Data input'!X85="","",4*('Data input'!X85-'Data input'!X$108)/('Data input'!X$109-'Data input'!X$108)+1)</f>
        <v/>
      </c>
      <c r="Y85" s="16" t="str">
        <f>IF('Data input'!Y85="","",4*('Data input'!Y85-'Data input'!Y$108)/('Data input'!Y$109-'Data input'!Y$108)+1)</f>
        <v/>
      </c>
      <c r="Z85" s="16" t="str">
        <f>IF('Data input'!Z85="","",4*('Data input'!Z85-'Data input'!Z$108)/('Data input'!Z$109-'Data input'!Z$108)+1)</f>
        <v/>
      </c>
      <c r="AA85" s="62" t="str">
        <f>IF('Data input'!AA85="","",4*('Data input'!AA85-'Data input'!AA$108)/('Data input'!AA$109-'Data input'!AA$108)+1)</f>
        <v/>
      </c>
      <c r="AB85" s="78"/>
      <c r="AC85" s="79">
        <v>0</v>
      </c>
      <c r="AD85" s="80" t="e">
        <f t="shared" si="48"/>
        <v>#DIV/0!</v>
      </c>
      <c r="AE85" s="4"/>
      <c r="AF85" s="59" t="str">
        <f t="shared" si="40"/>
        <v/>
      </c>
      <c r="AG85" s="60" t="str">
        <f t="shared" si="40"/>
        <v/>
      </c>
      <c r="AH85"/>
      <c r="AI85"/>
      <c r="AJ85"/>
      <c r="AK85"/>
      <c r="AL85"/>
      <c r="AM85"/>
      <c r="AN85"/>
      <c r="AO85"/>
      <c r="AP85"/>
      <c r="AQ85"/>
      <c r="AR85"/>
      <c r="AS85" s="71" t="str">
        <f t="shared" si="44"/>
        <v/>
      </c>
      <c r="AT85" s="71" t="str">
        <f t="shared" si="44"/>
        <v/>
      </c>
      <c r="AU85" s="71" t="str">
        <f t="shared" si="44"/>
        <v/>
      </c>
      <c r="AV85" s="71" t="str">
        <f t="shared" si="44"/>
        <v/>
      </c>
      <c r="AW85" s="71" t="str">
        <f t="shared" si="44"/>
        <v/>
      </c>
      <c r="AX85" s="71" t="str">
        <f t="shared" si="45"/>
        <v/>
      </c>
      <c r="AY85" s="71" t="str">
        <f t="shared" si="45"/>
        <v/>
      </c>
      <c r="AZ85" s="71" t="str">
        <f t="shared" si="45"/>
        <v/>
      </c>
      <c r="BA85" s="71" t="str">
        <f t="shared" si="45"/>
        <v/>
      </c>
      <c r="BB85" s="71" t="str">
        <f t="shared" si="45"/>
        <v/>
      </c>
      <c r="BC85" s="18" t="str">
        <f>IF(C85&lt;&gt;"",(('Data input'!C$109-'Data input'!C$108)*(AS85-1)/4)+'Data input'!C$108,"")</f>
        <v/>
      </c>
      <c r="BD85" s="18" t="str">
        <f>IF(D85&lt;&gt;"",(('Data input'!D$109-'Data input'!D$108)*(AT85-1)/4)+'Data input'!D$108,"")</f>
        <v/>
      </c>
      <c r="BE85" s="18" t="str">
        <f>IF(E85&lt;&gt;"",(('Data input'!E$109-'Data input'!E$108)*(AU85-1)/4)+'Data input'!E$108,"")</f>
        <v/>
      </c>
      <c r="BF85" s="18" t="str">
        <f>IF(F85&lt;&gt;"",(('Data input'!F$109-'Data input'!F$108)*(AV85-1)/4)+'Data input'!F$108,"")</f>
        <v/>
      </c>
      <c r="BG85" s="18" t="str">
        <f>IF(G85&lt;&gt;"",(('Data input'!G$109-'Data input'!G$108)*(AW85-1)/4)+'Data input'!G$108,"")</f>
        <v/>
      </c>
      <c r="BH85" s="19" t="str">
        <f>IF(H85&lt;&gt;"",(('Data input'!H$109-'Data input'!H$108)*(AX85-1)/4)+'Data input'!H$108,"")</f>
        <v/>
      </c>
      <c r="BI85" s="18" t="str">
        <f>IF(I85&lt;&gt;"",(('Data input'!I$109-'Data input'!I$108)*(AY85-1)/4)+'Data input'!I$108,"")</f>
        <v/>
      </c>
      <c r="BJ85" s="19" t="str">
        <f>IF(J85&lt;&gt;"",(('Data input'!J$109-'Data input'!J$108)*(AZ85-1)/4)+'Data input'!J$108,"")</f>
        <v/>
      </c>
      <c r="BK85" s="19" t="str">
        <f>IF(K85&lt;&gt;"",(('Data input'!K$109-'Data input'!K$108)*(BA85-1)/4)+'Data input'!K$108,"")</f>
        <v/>
      </c>
      <c r="BL85" s="19" t="str">
        <f>IF(L85&lt;&gt;"",(('Data input'!L$109-'Data input'!L$108)*(BB85-1)/4)+'Data input'!L$108,"")</f>
        <v/>
      </c>
      <c r="BM85" s="18" t="str">
        <f>IF(C85&lt;&gt;"",BC85-'Data input'!C85,"")</f>
        <v/>
      </c>
      <c r="BN85" s="18" t="str">
        <f>IF(D85&lt;&gt;"",BD85-'Data input'!D85,"")</f>
        <v/>
      </c>
      <c r="BO85" s="18" t="str">
        <f>IF(E85&lt;&gt;"",BE85-'Data input'!E85,"")</f>
        <v/>
      </c>
      <c r="BP85" s="18" t="str">
        <f>IF(F85&lt;&gt;"",BF85-'Data input'!F85,"")</f>
        <v/>
      </c>
      <c r="BQ85" s="18" t="str">
        <f>IF(G85&lt;&gt;"",BG85-'Data input'!G85,"")</f>
        <v/>
      </c>
      <c r="BR85" s="19" t="str">
        <f>IF(H85&lt;&gt;"",BH85-'Data input'!H85,"")</f>
        <v/>
      </c>
      <c r="BS85" s="18" t="str">
        <f>IF(I85&lt;&gt;"",BI85-'Data input'!I85,"")</f>
        <v/>
      </c>
      <c r="BT85" s="18" t="str">
        <f>IF(J85&lt;&gt;"",BJ85-'Data input'!J85,"")</f>
        <v/>
      </c>
      <c r="BU85" s="18" t="str">
        <f>IF(K85&lt;&gt;"",BK85-'Data input'!K85,"")</f>
        <v/>
      </c>
      <c r="BV85" s="72" t="str">
        <f>IF(L85&lt;&gt;"",BL85-'Data input'!L85,"")</f>
        <v/>
      </c>
      <c r="BW85" s="121" t="str">
        <f t="shared" si="49"/>
        <v/>
      </c>
      <c r="FT85" s="1" t="str">
        <f t="shared" si="57"/>
        <v/>
      </c>
      <c r="FU85" s="1" t="str">
        <f t="shared" si="55"/>
        <v/>
      </c>
      <c r="FV85" s="1" t="str">
        <f t="shared" si="55"/>
        <v/>
      </c>
      <c r="FW85" s="1" t="str">
        <f t="shared" si="55"/>
        <v/>
      </c>
      <c r="FX85" s="1" t="str">
        <f t="shared" si="55"/>
        <v/>
      </c>
      <c r="FY85" s="1" t="str">
        <f t="shared" si="55"/>
        <v/>
      </c>
      <c r="FZ85" s="1" t="str">
        <f t="shared" si="55"/>
        <v/>
      </c>
      <c r="GA85" s="1" t="str">
        <f t="shared" si="55"/>
        <v/>
      </c>
      <c r="GB85" s="1" t="str">
        <f t="shared" si="55"/>
        <v/>
      </c>
      <c r="GC85" s="1" t="str">
        <f t="shared" si="55"/>
        <v/>
      </c>
      <c r="GD85" s="1" t="str">
        <f t="shared" si="55"/>
        <v/>
      </c>
      <c r="GE85" s="1" t="str">
        <f t="shared" si="55"/>
        <v/>
      </c>
      <c r="GF85" s="1" t="str">
        <f t="shared" si="55"/>
        <v/>
      </c>
      <c r="GG85" s="1" t="str">
        <f t="shared" si="55"/>
        <v/>
      </c>
      <c r="GH85" s="1" t="str">
        <f t="shared" si="55"/>
        <v/>
      </c>
      <c r="GI85" s="1" t="str">
        <f t="shared" si="55"/>
        <v/>
      </c>
      <c r="GJ85" s="1" t="str">
        <f t="shared" si="51"/>
        <v/>
      </c>
      <c r="GK85" s="1" t="str">
        <f t="shared" si="51"/>
        <v/>
      </c>
      <c r="GL85" s="1" t="str">
        <f t="shared" si="51"/>
        <v/>
      </c>
      <c r="GM85" s="1" t="str">
        <f t="shared" si="51"/>
        <v/>
      </c>
      <c r="GN85" s="1" t="str">
        <f t="shared" si="51"/>
        <v/>
      </c>
      <c r="GO85" s="1" t="str">
        <f t="shared" si="51"/>
        <v/>
      </c>
      <c r="GP85" s="1" t="str">
        <f t="shared" si="51"/>
        <v/>
      </c>
      <c r="GQ85" s="1" t="str">
        <f t="shared" si="51"/>
        <v/>
      </c>
      <c r="GR85" s="1" t="str">
        <f t="shared" si="51"/>
        <v/>
      </c>
      <c r="GS85" s="1" t="str">
        <f t="shared" si="51"/>
        <v/>
      </c>
      <c r="GT85" s="1" t="str">
        <f t="shared" si="50"/>
        <v/>
      </c>
      <c r="GU85" s="1" t="str">
        <f t="shared" si="50"/>
        <v/>
      </c>
      <c r="GV85" s="1" t="str">
        <f t="shared" si="50"/>
        <v/>
      </c>
      <c r="GW85" s="1" t="str">
        <f t="shared" si="50"/>
        <v/>
      </c>
      <c r="GX85" s="1" t="str">
        <f t="shared" si="50"/>
        <v/>
      </c>
      <c r="GY85" s="1" t="str">
        <f t="shared" si="39"/>
        <v/>
      </c>
      <c r="GZ85" s="1" t="str">
        <f t="shared" si="39"/>
        <v/>
      </c>
      <c r="HA85" s="1" t="str">
        <f t="shared" si="39"/>
        <v/>
      </c>
      <c r="HB85" s="1" t="str">
        <f t="shared" si="39"/>
        <v/>
      </c>
      <c r="HC85" s="1" t="str">
        <f t="shared" si="39"/>
        <v/>
      </c>
      <c r="HD85" s="1" t="str">
        <f t="shared" si="39"/>
        <v/>
      </c>
      <c r="HE85" s="1" t="str">
        <f t="shared" si="39"/>
        <v/>
      </c>
      <c r="HF85" s="1" t="str">
        <f t="shared" si="39"/>
        <v/>
      </c>
      <c r="HG85" s="1" t="str">
        <f t="shared" si="39"/>
        <v/>
      </c>
      <c r="HH85" s="1" t="str">
        <f t="shared" si="39"/>
        <v/>
      </c>
      <c r="HI85" s="1" t="str">
        <f t="shared" si="39"/>
        <v/>
      </c>
      <c r="HJ85" s="1" t="str">
        <f t="shared" si="39"/>
        <v/>
      </c>
      <c r="HK85" s="1" t="str">
        <f t="shared" si="39"/>
        <v/>
      </c>
      <c r="HL85" s="1" t="str">
        <f t="shared" si="39"/>
        <v/>
      </c>
      <c r="HM85" s="1" t="str">
        <f t="shared" si="39"/>
        <v/>
      </c>
      <c r="HN85" s="1" t="str">
        <f t="shared" si="39"/>
        <v/>
      </c>
      <c r="HO85" s="1" t="str">
        <f t="shared" si="52"/>
        <v/>
      </c>
      <c r="HP85" s="1" t="str">
        <f t="shared" si="47"/>
        <v/>
      </c>
      <c r="HQ85" s="1" t="str">
        <f t="shared" si="47"/>
        <v/>
      </c>
      <c r="HR85" s="1" t="str">
        <f t="shared" si="47"/>
        <v/>
      </c>
      <c r="HS85" s="1" t="str">
        <f t="shared" si="47"/>
        <v/>
      </c>
      <c r="HT85" s="1" t="str">
        <f t="shared" si="47"/>
        <v/>
      </c>
      <c r="HU85" s="1" t="str">
        <f t="shared" si="47"/>
        <v/>
      </c>
      <c r="HV85" s="1" t="str">
        <f t="shared" si="47"/>
        <v/>
      </c>
      <c r="HW85" s="1" t="str">
        <f t="shared" si="47"/>
        <v/>
      </c>
      <c r="HX85" s="1" t="str">
        <f t="shared" si="47"/>
        <v/>
      </c>
      <c r="HY85" s="1" t="str">
        <f t="shared" si="47"/>
        <v/>
      </c>
      <c r="HZ85" s="1" t="str">
        <f t="shared" si="47"/>
        <v/>
      </c>
      <c r="IA85" s="1" t="str">
        <f t="shared" si="47"/>
        <v/>
      </c>
      <c r="IB85" s="1" t="str">
        <f t="shared" si="47"/>
        <v/>
      </c>
      <c r="IC85" s="1" t="str">
        <f t="shared" si="47"/>
        <v/>
      </c>
      <c r="ID85" s="1" t="str">
        <f t="shared" si="47"/>
        <v/>
      </c>
      <c r="IE85" s="1" t="str">
        <f t="shared" si="47"/>
        <v/>
      </c>
      <c r="IF85" s="1" t="str">
        <f t="shared" si="56"/>
        <v/>
      </c>
      <c r="IG85" s="1" t="str">
        <f t="shared" si="56"/>
        <v/>
      </c>
      <c r="IH85" s="1" t="str">
        <f t="shared" si="53"/>
        <v/>
      </c>
      <c r="II85" s="1" t="str">
        <f t="shared" si="53"/>
        <v/>
      </c>
      <c r="IJ85" s="1" t="str">
        <f t="shared" si="53"/>
        <v/>
      </c>
      <c r="IK85" s="1" t="str">
        <f t="shared" si="53"/>
        <v/>
      </c>
      <c r="IL85" s="1" t="str">
        <f t="shared" si="53"/>
        <v/>
      </c>
      <c r="IM85" s="1" t="str">
        <f t="shared" si="53"/>
        <v/>
      </c>
      <c r="IN85" s="1" t="str">
        <f t="shared" si="53"/>
        <v/>
      </c>
      <c r="IO85" s="1" t="str">
        <f t="shared" si="53"/>
        <v/>
      </c>
      <c r="IP85" s="1" t="str">
        <f t="shared" si="53"/>
        <v/>
      </c>
      <c r="IQ85" s="1" t="str">
        <f t="shared" si="53"/>
        <v/>
      </c>
      <c r="IR85" s="1" t="str">
        <f t="shared" si="53"/>
        <v/>
      </c>
      <c r="IS85" s="1" t="str">
        <f t="shared" si="53"/>
        <v/>
      </c>
      <c r="IT85" s="1" t="str">
        <f t="shared" si="53"/>
        <v/>
      </c>
      <c r="IU85" s="1" t="str">
        <f t="shared" si="53"/>
        <v/>
      </c>
      <c r="IV85" s="1" t="str">
        <f t="shared" si="53"/>
        <v/>
      </c>
      <c r="IW85" s="1" t="str">
        <f t="shared" si="53"/>
        <v/>
      </c>
      <c r="IX85" s="1" t="str">
        <f t="shared" si="54"/>
        <v/>
      </c>
      <c r="IY85" s="1" t="str">
        <f t="shared" si="54"/>
        <v/>
      </c>
      <c r="IZ85" s="1" t="str">
        <f t="shared" si="54"/>
        <v/>
      </c>
      <c r="JA85" s="1" t="str">
        <f t="shared" si="54"/>
        <v/>
      </c>
      <c r="JB85" s="1" t="str">
        <f t="shared" si="54"/>
        <v/>
      </c>
      <c r="JC85" s="1" t="str">
        <f t="shared" si="43"/>
        <v/>
      </c>
      <c r="JD85" s="1" t="str">
        <f t="shared" si="43"/>
        <v/>
      </c>
      <c r="JE85" s="1" t="str">
        <f t="shared" si="43"/>
        <v/>
      </c>
      <c r="JF85" s="1" t="str">
        <f t="shared" si="43"/>
        <v/>
      </c>
      <c r="JG85" s="1" t="str">
        <f t="shared" si="37"/>
        <v/>
      </c>
      <c r="JH85" s="1" t="str">
        <f t="shared" si="37"/>
        <v/>
      </c>
      <c r="JI85" s="1" t="str">
        <f t="shared" si="37"/>
        <v/>
      </c>
      <c r="JJ85" s="1" t="str">
        <f t="shared" si="30"/>
        <v/>
      </c>
      <c r="JK85" s="1" t="str">
        <f t="shared" si="30"/>
        <v/>
      </c>
      <c r="JL85" s="1" t="str">
        <f t="shared" si="30"/>
        <v/>
      </c>
      <c r="JM85" s="1" t="str">
        <f t="shared" si="30"/>
        <v/>
      </c>
      <c r="JN85" s="1" t="str">
        <f t="shared" si="30"/>
        <v/>
      </c>
      <c r="JO85" s="1" t="str">
        <f t="shared" si="30"/>
        <v/>
      </c>
    </row>
    <row r="86" spans="1:275" ht="14.5" x14ac:dyDescent="0.35">
      <c r="A86" s="59" t="str">
        <f>IF('Data input'!A86&lt;&gt;"",'Data input'!A86,"")</f>
        <v/>
      </c>
      <c r="B86" s="15" t="str">
        <f>IF('Data input'!B86&lt;&gt;"",'Data input'!B86,"")</f>
        <v/>
      </c>
      <c r="C86" s="16" t="str">
        <f>IF('Data input'!C86="","",4*('Data input'!C86-'Data input'!C$108)/('Data input'!C$109-'Data input'!C$108)+1)</f>
        <v/>
      </c>
      <c r="D86" s="16" t="str">
        <f>IF('Data input'!D86="","",4*('Data input'!D86-'Data input'!D$108)/('Data input'!D$109-'Data input'!D$108)+1)</f>
        <v/>
      </c>
      <c r="E86" s="16" t="str">
        <f>IF('Data input'!E86="","",4*('Data input'!E86-'Data input'!E$108)/('Data input'!E$109-'Data input'!E$108)+1)</f>
        <v/>
      </c>
      <c r="F86" s="16" t="str">
        <f>IF('Data input'!F86="","",4*('Data input'!F86-'Data input'!F$108)/('Data input'!F$109-'Data input'!F$108)+1)</f>
        <v/>
      </c>
      <c r="G86" s="16" t="str">
        <f>IF('Data input'!G86="","",4*('Data input'!G86-'Data input'!G$108)/('Data input'!G$109-'Data input'!G$108)+1)</f>
        <v/>
      </c>
      <c r="H86" s="16" t="str">
        <f>IF('Data input'!H86="","",4*('Data input'!H86-'Data input'!H$108)/('Data input'!H$109-'Data input'!H$108)+1)</f>
        <v/>
      </c>
      <c r="I86" s="19" t="str">
        <f>IF('Data input'!I86="","",4*('Data input'!I86-'Data input'!I$108)/('Data input'!I$109-'Data input'!I$108)+1)</f>
        <v/>
      </c>
      <c r="J86" s="19" t="str">
        <f>IF('Data input'!J86="","",4*('Data input'!J86-'Data input'!J$108)/('Data input'!J$109-'Data input'!J$108)+1)</f>
        <v/>
      </c>
      <c r="K86" s="19" t="str">
        <f>IF('Data input'!K86="","",4*('Data input'!K86-'Data input'!K$108)/('Data input'!K$109-'Data input'!K$108)+1)</f>
        <v/>
      </c>
      <c r="L86" s="19" t="str">
        <f>IF('Data input'!L86="","",4*('Data input'!L86-'Data input'!L$108)/('Data input'!L$109-'Data input'!L$108)+1)</f>
        <v/>
      </c>
      <c r="M86" s="16" t="str">
        <f>IF('Data input'!M86="","",4*('Data input'!M86-'Data input'!M$108)/('Data input'!M$109-'Data input'!M$108)+1)</f>
        <v/>
      </c>
      <c r="N86" s="16" t="str">
        <f>IF('Data input'!N86="","",4*('Data input'!N86-'Data input'!N$108)/('Data input'!N$109-'Data input'!N$108)+1)</f>
        <v/>
      </c>
      <c r="O86" s="16" t="str">
        <f>IF('Data input'!O86="","",4*('Data input'!O86-'Data input'!O$108)/('Data input'!O$109-'Data input'!O$108)+1)</f>
        <v/>
      </c>
      <c r="P86" s="16" t="str">
        <f>IF('Data input'!P86="","",4*('Data input'!P86-'Data input'!P$108)/('Data input'!P$109-'Data input'!P$108)+1)</f>
        <v/>
      </c>
      <c r="Q86" s="16" t="str">
        <f>IF('Data input'!Q86="","",4*('Data input'!Q86-'Data input'!Q$108)/('Data input'!Q$109-'Data input'!Q$108)+1)</f>
        <v/>
      </c>
      <c r="R86" s="16" t="str">
        <f>IF('Data input'!R86="","",4*('Data input'!R86-'Data input'!R$108)/('Data input'!R$109-'Data input'!R$108)+1)</f>
        <v/>
      </c>
      <c r="S86" s="16" t="str">
        <f>IF('Data input'!S86="","",4*('Data input'!S86-'Data input'!S$108)/('Data input'!S$109-'Data input'!S$108)+1)</f>
        <v/>
      </c>
      <c r="T86" s="16" t="str">
        <f>IF('Data input'!T86="","",4*('Data input'!T86-'Data input'!T$108)/('Data input'!T$109-'Data input'!T$108)+1)</f>
        <v/>
      </c>
      <c r="U86" s="16" t="str">
        <f>IF('Data input'!U86="","",4*('Data input'!U86-'Data input'!U$108)/('Data input'!U$109-'Data input'!U$108)+1)</f>
        <v/>
      </c>
      <c r="V86" s="16" t="str">
        <f>IF('Data input'!V86="","",4*('Data input'!V86-'Data input'!V$108)/('Data input'!V$109-'Data input'!V$108)+1)</f>
        <v/>
      </c>
      <c r="W86" s="16" t="str">
        <f>IF('Data input'!W86="","",4*('Data input'!W86-'Data input'!W$108)/('Data input'!W$109-'Data input'!W$108)+1)</f>
        <v/>
      </c>
      <c r="X86" s="16" t="str">
        <f>IF('Data input'!X86="","",4*('Data input'!X86-'Data input'!X$108)/('Data input'!X$109-'Data input'!X$108)+1)</f>
        <v/>
      </c>
      <c r="Y86" s="16" t="str">
        <f>IF('Data input'!Y86="","",4*('Data input'!Y86-'Data input'!Y$108)/('Data input'!Y$109-'Data input'!Y$108)+1)</f>
        <v/>
      </c>
      <c r="Z86" s="16" t="str">
        <f>IF('Data input'!Z86="","",4*('Data input'!Z86-'Data input'!Z$108)/('Data input'!Z$109-'Data input'!Z$108)+1)</f>
        <v/>
      </c>
      <c r="AA86" s="62" t="str">
        <f>IF('Data input'!AA86="","",4*('Data input'!AA86-'Data input'!AA$108)/('Data input'!AA$109-'Data input'!AA$108)+1)</f>
        <v/>
      </c>
      <c r="AB86" s="78"/>
      <c r="AC86" s="79">
        <v>0</v>
      </c>
      <c r="AD86" s="80" t="e">
        <f t="shared" si="48"/>
        <v>#DIV/0!</v>
      </c>
      <c r="AE86" s="4"/>
      <c r="AF86" s="59" t="str">
        <f t="shared" si="40"/>
        <v/>
      </c>
      <c r="AG86" s="60" t="str">
        <f t="shared" si="40"/>
        <v/>
      </c>
      <c r="AH86"/>
      <c r="AI86"/>
      <c r="AJ86"/>
      <c r="AK86"/>
      <c r="AL86"/>
      <c r="AM86"/>
      <c r="AN86"/>
      <c r="AO86"/>
      <c r="AP86"/>
      <c r="AQ86"/>
      <c r="AR86"/>
      <c r="AS86" s="71" t="str">
        <f t="shared" si="44"/>
        <v/>
      </c>
      <c r="AT86" s="71" t="str">
        <f t="shared" si="44"/>
        <v/>
      </c>
      <c r="AU86" s="71" t="str">
        <f t="shared" si="44"/>
        <v/>
      </c>
      <c r="AV86" s="71" t="str">
        <f t="shared" si="44"/>
        <v/>
      </c>
      <c r="AW86" s="71" t="str">
        <f t="shared" si="44"/>
        <v/>
      </c>
      <c r="AX86" s="71" t="str">
        <f t="shared" si="45"/>
        <v/>
      </c>
      <c r="AY86" s="71" t="str">
        <f t="shared" si="45"/>
        <v/>
      </c>
      <c r="AZ86" s="71" t="str">
        <f t="shared" si="45"/>
        <v/>
      </c>
      <c r="BA86" s="71" t="str">
        <f t="shared" si="45"/>
        <v/>
      </c>
      <c r="BB86" s="71" t="str">
        <f t="shared" si="45"/>
        <v/>
      </c>
      <c r="BC86" s="18" t="str">
        <f>IF(C86&lt;&gt;"",(('Data input'!C$109-'Data input'!C$108)*(AS86-1)/4)+'Data input'!C$108,"")</f>
        <v/>
      </c>
      <c r="BD86" s="18" t="str">
        <f>IF(D86&lt;&gt;"",(('Data input'!D$109-'Data input'!D$108)*(AT86-1)/4)+'Data input'!D$108,"")</f>
        <v/>
      </c>
      <c r="BE86" s="18" t="str">
        <f>IF(E86&lt;&gt;"",(('Data input'!E$109-'Data input'!E$108)*(AU86-1)/4)+'Data input'!E$108,"")</f>
        <v/>
      </c>
      <c r="BF86" s="18" t="str">
        <f>IF(F86&lt;&gt;"",(('Data input'!F$109-'Data input'!F$108)*(AV86-1)/4)+'Data input'!F$108,"")</f>
        <v/>
      </c>
      <c r="BG86" s="18" t="str">
        <f>IF(G86&lt;&gt;"",(('Data input'!G$109-'Data input'!G$108)*(AW86-1)/4)+'Data input'!G$108,"")</f>
        <v/>
      </c>
      <c r="BH86" s="19" t="str">
        <f>IF(H86&lt;&gt;"",(('Data input'!H$109-'Data input'!H$108)*(AX86-1)/4)+'Data input'!H$108,"")</f>
        <v/>
      </c>
      <c r="BI86" s="18" t="str">
        <f>IF(I86&lt;&gt;"",(('Data input'!I$109-'Data input'!I$108)*(AY86-1)/4)+'Data input'!I$108,"")</f>
        <v/>
      </c>
      <c r="BJ86" s="19" t="str">
        <f>IF(J86&lt;&gt;"",(('Data input'!J$109-'Data input'!J$108)*(AZ86-1)/4)+'Data input'!J$108,"")</f>
        <v/>
      </c>
      <c r="BK86" s="19" t="str">
        <f>IF(K86&lt;&gt;"",(('Data input'!K$109-'Data input'!K$108)*(BA86-1)/4)+'Data input'!K$108,"")</f>
        <v/>
      </c>
      <c r="BL86" s="19" t="str">
        <f>IF(L86&lt;&gt;"",(('Data input'!L$109-'Data input'!L$108)*(BB86-1)/4)+'Data input'!L$108,"")</f>
        <v/>
      </c>
      <c r="BM86" s="18" t="str">
        <f>IF(C86&lt;&gt;"",BC86-'Data input'!C86,"")</f>
        <v/>
      </c>
      <c r="BN86" s="18" t="str">
        <f>IF(D86&lt;&gt;"",BD86-'Data input'!D86,"")</f>
        <v/>
      </c>
      <c r="BO86" s="18" t="str">
        <f>IF(E86&lt;&gt;"",BE86-'Data input'!E86,"")</f>
        <v/>
      </c>
      <c r="BP86" s="18" t="str">
        <f>IF(F86&lt;&gt;"",BF86-'Data input'!F86,"")</f>
        <v/>
      </c>
      <c r="BQ86" s="18" t="str">
        <f>IF(G86&lt;&gt;"",BG86-'Data input'!G86,"")</f>
        <v/>
      </c>
      <c r="BR86" s="19" t="str">
        <f>IF(H86&lt;&gt;"",BH86-'Data input'!H86,"")</f>
        <v/>
      </c>
      <c r="BS86" s="18" t="str">
        <f>IF(I86&lt;&gt;"",BI86-'Data input'!I86,"")</f>
        <v/>
      </c>
      <c r="BT86" s="18" t="str">
        <f>IF(J86&lt;&gt;"",BJ86-'Data input'!J86,"")</f>
        <v/>
      </c>
      <c r="BU86" s="18" t="str">
        <f>IF(K86&lt;&gt;"",BK86-'Data input'!K86,"")</f>
        <v/>
      </c>
      <c r="BV86" s="72" t="str">
        <f>IF(L86&lt;&gt;"",BL86-'Data input'!L86,"")</f>
        <v/>
      </c>
      <c r="BW86" s="121" t="str">
        <f t="shared" si="49"/>
        <v/>
      </c>
      <c r="FT86" s="1" t="str">
        <f t="shared" si="57"/>
        <v/>
      </c>
      <c r="FU86" s="1" t="str">
        <f t="shared" si="55"/>
        <v/>
      </c>
      <c r="FV86" s="1" t="str">
        <f t="shared" si="55"/>
        <v/>
      </c>
      <c r="FW86" s="1" t="str">
        <f t="shared" si="55"/>
        <v/>
      </c>
      <c r="FX86" s="1" t="str">
        <f t="shared" si="55"/>
        <v/>
      </c>
      <c r="FY86" s="1" t="str">
        <f t="shared" si="55"/>
        <v/>
      </c>
      <c r="FZ86" s="1" t="str">
        <f t="shared" si="55"/>
        <v/>
      </c>
      <c r="GA86" s="1" t="str">
        <f t="shared" si="55"/>
        <v/>
      </c>
      <c r="GB86" s="1" t="str">
        <f t="shared" si="55"/>
        <v/>
      </c>
      <c r="GC86" s="1" t="str">
        <f t="shared" si="55"/>
        <v/>
      </c>
      <c r="GD86" s="1" t="str">
        <f t="shared" si="55"/>
        <v/>
      </c>
      <c r="GE86" s="1" t="str">
        <f t="shared" si="55"/>
        <v/>
      </c>
      <c r="GF86" s="1" t="str">
        <f t="shared" si="55"/>
        <v/>
      </c>
      <c r="GG86" s="1" t="str">
        <f t="shared" si="55"/>
        <v/>
      </c>
      <c r="GH86" s="1" t="str">
        <f t="shared" si="55"/>
        <v/>
      </c>
      <c r="GI86" s="1" t="str">
        <f t="shared" si="55"/>
        <v/>
      </c>
      <c r="GJ86" s="1" t="str">
        <f t="shared" si="51"/>
        <v/>
      </c>
      <c r="GK86" s="1" t="str">
        <f t="shared" si="51"/>
        <v/>
      </c>
      <c r="GL86" s="1" t="str">
        <f t="shared" si="51"/>
        <v/>
      </c>
      <c r="GM86" s="1" t="str">
        <f t="shared" si="51"/>
        <v/>
      </c>
      <c r="GN86" s="1" t="str">
        <f t="shared" si="51"/>
        <v/>
      </c>
      <c r="GO86" s="1" t="str">
        <f t="shared" si="51"/>
        <v/>
      </c>
      <c r="GP86" s="1" t="str">
        <f t="shared" si="51"/>
        <v/>
      </c>
      <c r="GQ86" s="1" t="str">
        <f t="shared" si="51"/>
        <v/>
      </c>
      <c r="GR86" s="1" t="str">
        <f t="shared" si="51"/>
        <v/>
      </c>
      <c r="GS86" s="1" t="str">
        <f t="shared" si="51"/>
        <v/>
      </c>
      <c r="GT86" s="1" t="str">
        <f t="shared" si="50"/>
        <v/>
      </c>
      <c r="GU86" s="1" t="str">
        <f t="shared" si="50"/>
        <v/>
      </c>
      <c r="GV86" s="1" t="str">
        <f t="shared" si="50"/>
        <v/>
      </c>
      <c r="GW86" s="1" t="str">
        <f t="shared" si="50"/>
        <v/>
      </c>
      <c r="GX86" s="1" t="str">
        <f t="shared" si="50"/>
        <v/>
      </c>
      <c r="GY86" s="1" t="str">
        <f t="shared" si="39"/>
        <v/>
      </c>
      <c r="GZ86" s="1" t="str">
        <f t="shared" si="39"/>
        <v/>
      </c>
      <c r="HA86" s="1" t="str">
        <f t="shared" si="39"/>
        <v/>
      </c>
      <c r="HB86" s="1" t="str">
        <f t="shared" si="39"/>
        <v/>
      </c>
      <c r="HC86" s="1" t="str">
        <f t="shared" si="39"/>
        <v/>
      </c>
      <c r="HD86" s="1" t="str">
        <f t="shared" si="39"/>
        <v/>
      </c>
      <c r="HE86" s="1" t="str">
        <f t="shared" si="39"/>
        <v/>
      </c>
      <c r="HF86" s="1" t="str">
        <f t="shared" si="39"/>
        <v/>
      </c>
      <c r="HG86" s="1" t="str">
        <f t="shared" si="39"/>
        <v/>
      </c>
      <c r="HH86" s="1" t="str">
        <f t="shared" si="39"/>
        <v/>
      </c>
      <c r="HI86" s="1" t="str">
        <f t="shared" si="39"/>
        <v/>
      </c>
      <c r="HJ86" s="1" t="str">
        <f t="shared" ref="HJ86:HN102" si="58">IF(DN86&gt;0.0001,CONCATENATE(DN$2,"; "),"")</f>
        <v/>
      </c>
      <c r="HK86" s="1" t="str">
        <f t="shared" si="58"/>
        <v/>
      </c>
      <c r="HL86" s="1" t="str">
        <f t="shared" si="58"/>
        <v/>
      </c>
      <c r="HM86" s="1" t="str">
        <f t="shared" si="58"/>
        <v/>
      </c>
      <c r="HN86" s="1" t="str">
        <f t="shared" si="58"/>
        <v/>
      </c>
      <c r="HO86" s="1" t="str">
        <f t="shared" si="52"/>
        <v/>
      </c>
      <c r="HP86" s="1" t="str">
        <f t="shared" si="47"/>
        <v/>
      </c>
      <c r="HQ86" s="1" t="str">
        <f t="shared" si="47"/>
        <v/>
      </c>
      <c r="HR86" s="1" t="str">
        <f t="shared" si="47"/>
        <v/>
      </c>
      <c r="HS86" s="1" t="str">
        <f t="shared" si="47"/>
        <v/>
      </c>
      <c r="HT86" s="1" t="str">
        <f t="shared" si="47"/>
        <v/>
      </c>
      <c r="HU86" s="1" t="str">
        <f t="shared" si="47"/>
        <v/>
      </c>
      <c r="HV86" s="1" t="str">
        <f t="shared" si="47"/>
        <v/>
      </c>
      <c r="HW86" s="1" t="str">
        <f t="shared" si="47"/>
        <v/>
      </c>
      <c r="HX86" s="1" t="str">
        <f t="shared" si="47"/>
        <v/>
      </c>
      <c r="HY86" s="1" t="str">
        <f t="shared" si="47"/>
        <v/>
      </c>
      <c r="HZ86" s="1" t="str">
        <f t="shared" si="47"/>
        <v/>
      </c>
      <c r="IA86" s="1" t="str">
        <f t="shared" si="47"/>
        <v/>
      </c>
      <c r="IB86" s="1" t="str">
        <f t="shared" si="47"/>
        <v/>
      </c>
      <c r="IC86" s="1" t="str">
        <f t="shared" si="47"/>
        <v/>
      </c>
      <c r="ID86" s="1" t="str">
        <f t="shared" si="47"/>
        <v/>
      </c>
      <c r="IE86" s="1" t="str">
        <f t="shared" si="47"/>
        <v/>
      </c>
      <c r="IF86" s="1" t="str">
        <f t="shared" si="56"/>
        <v/>
      </c>
      <c r="IG86" s="1" t="str">
        <f t="shared" si="56"/>
        <v/>
      </c>
      <c r="IH86" s="1" t="str">
        <f t="shared" si="53"/>
        <v/>
      </c>
      <c r="II86" s="1" t="str">
        <f t="shared" si="53"/>
        <v/>
      </c>
      <c r="IJ86" s="1" t="str">
        <f t="shared" si="53"/>
        <v/>
      </c>
      <c r="IK86" s="1" t="str">
        <f t="shared" si="53"/>
        <v/>
      </c>
      <c r="IL86" s="1" t="str">
        <f t="shared" si="53"/>
        <v/>
      </c>
      <c r="IM86" s="1" t="str">
        <f t="shared" si="53"/>
        <v/>
      </c>
      <c r="IN86" s="1" t="str">
        <f t="shared" si="53"/>
        <v/>
      </c>
      <c r="IO86" s="1" t="str">
        <f t="shared" si="53"/>
        <v/>
      </c>
      <c r="IP86" s="1" t="str">
        <f t="shared" si="53"/>
        <v/>
      </c>
      <c r="IQ86" s="1" t="str">
        <f t="shared" si="53"/>
        <v/>
      </c>
      <c r="IR86" s="1" t="str">
        <f t="shared" si="53"/>
        <v/>
      </c>
      <c r="IS86" s="1" t="str">
        <f t="shared" si="53"/>
        <v/>
      </c>
      <c r="IT86" s="1" t="str">
        <f t="shared" si="53"/>
        <v/>
      </c>
      <c r="IU86" s="1" t="str">
        <f t="shared" si="53"/>
        <v/>
      </c>
      <c r="IV86" s="1" t="str">
        <f t="shared" si="53"/>
        <v/>
      </c>
      <c r="IW86" s="1" t="str">
        <f t="shared" si="53"/>
        <v/>
      </c>
      <c r="IX86" s="1" t="str">
        <f t="shared" si="54"/>
        <v/>
      </c>
      <c r="IY86" s="1" t="str">
        <f t="shared" si="54"/>
        <v/>
      </c>
      <c r="IZ86" s="1" t="str">
        <f t="shared" si="54"/>
        <v/>
      </c>
      <c r="JA86" s="1" t="str">
        <f t="shared" si="54"/>
        <v/>
      </c>
      <c r="JB86" s="1" t="str">
        <f t="shared" si="54"/>
        <v/>
      </c>
      <c r="JC86" s="1" t="str">
        <f t="shared" si="43"/>
        <v/>
      </c>
      <c r="JD86" s="1" t="str">
        <f t="shared" si="43"/>
        <v/>
      </c>
      <c r="JE86" s="1" t="str">
        <f t="shared" si="43"/>
        <v/>
      </c>
      <c r="JF86" s="1" t="str">
        <f t="shared" si="43"/>
        <v/>
      </c>
      <c r="JG86" s="1" t="str">
        <f t="shared" si="37"/>
        <v/>
      </c>
      <c r="JH86" s="1" t="str">
        <f t="shared" si="37"/>
        <v/>
      </c>
      <c r="JI86" s="1" t="str">
        <f t="shared" si="37"/>
        <v/>
      </c>
      <c r="JJ86" s="1" t="str">
        <f t="shared" si="30"/>
        <v/>
      </c>
      <c r="JK86" s="1" t="str">
        <f t="shared" si="30"/>
        <v/>
      </c>
      <c r="JL86" s="1" t="str">
        <f t="shared" si="30"/>
        <v/>
      </c>
      <c r="JM86" s="1" t="str">
        <f t="shared" si="30"/>
        <v/>
      </c>
      <c r="JN86" s="1" t="str">
        <f t="shared" si="30"/>
        <v/>
      </c>
      <c r="JO86" s="1" t="str">
        <f t="shared" si="30"/>
        <v/>
      </c>
    </row>
    <row r="87" spans="1:275" ht="14.5" x14ac:dyDescent="0.35">
      <c r="A87" s="59" t="str">
        <f>IF('Data input'!A87&lt;&gt;"",'Data input'!A87,"")</f>
        <v/>
      </c>
      <c r="B87" s="15" t="str">
        <f>IF('Data input'!B87&lt;&gt;"",'Data input'!B87,"")</f>
        <v/>
      </c>
      <c r="C87" s="16" t="str">
        <f>IF('Data input'!C87="","",4*('Data input'!C87-'Data input'!C$108)/('Data input'!C$109-'Data input'!C$108)+1)</f>
        <v/>
      </c>
      <c r="D87" s="16" t="str">
        <f>IF('Data input'!D87="","",4*('Data input'!D87-'Data input'!D$108)/('Data input'!D$109-'Data input'!D$108)+1)</f>
        <v/>
      </c>
      <c r="E87" s="16" t="str">
        <f>IF('Data input'!E87="","",4*('Data input'!E87-'Data input'!E$108)/('Data input'!E$109-'Data input'!E$108)+1)</f>
        <v/>
      </c>
      <c r="F87" s="16" t="str">
        <f>IF('Data input'!F87="","",4*('Data input'!F87-'Data input'!F$108)/('Data input'!F$109-'Data input'!F$108)+1)</f>
        <v/>
      </c>
      <c r="G87" s="16" t="str">
        <f>IF('Data input'!G87="","",4*('Data input'!G87-'Data input'!G$108)/('Data input'!G$109-'Data input'!G$108)+1)</f>
        <v/>
      </c>
      <c r="H87" s="16" t="str">
        <f>IF('Data input'!H87="","",4*('Data input'!H87-'Data input'!H$108)/('Data input'!H$109-'Data input'!H$108)+1)</f>
        <v/>
      </c>
      <c r="I87" s="19" t="str">
        <f>IF('Data input'!I87="","",4*('Data input'!I87-'Data input'!I$108)/('Data input'!I$109-'Data input'!I$108)+1)</f>
        <v/>
      </c>
      <c r="J87" s="19" t="str">
        <f>IF('Data input'!J87="","",4*('Data input'!J87-'Data input'!J$108)/('Data input'!J$109-'Data input'!J$108)+1)</f>
        <v/>
      </c>
      <c r="K87" s="19" t="str">
        <f>IF('Data input'!K87="","",4*('Data input'!K87-'Data input'!K$108)/('Data input'!K$109-'Data input'!K$108)+1)</f>
        <v/>
      </c>
      <c r="L87" s="19" t="str">
        <f>IF('Data input'!L87="","",4*('Data input'!L87-'Data input'!L$108)/('Data input'!L$109-'Data input'!L$108)+1)</f>
        <v/>
      </c>
      <c r="M87" s="16" t="str">
        <f>IF('Data input'!M87="","",4*('Data input'!M87-'Data input'!M$108)/('Data input'!M$109-'Data input'!M$108)+1)</f>
        <v/>
      </c>
      <c r="N87" s="16" t="str">
        <f>IF('Data input'!N87="","",4*('Data input'!N87-'Data input'!N$108)/('Data input'!N$109-'Data input'!N$108)+1)</f>
        <v/>
      </c>
      <c r="O87" s="16" t="str">
        <f>IF('Data input'!O87="","",4*('Data input'!O87-'Data input'!O$108)/('Data input'!O$109-'Data input'!O$108)+1)</f>
        <v/>
      </c>
      <c r="P87" s="16" t="str">
        <f>IF('Data input'!P87="","",4*('Data input'!P87-'Data input'!P$108)/('Data input'!P$109-'Data input'!P$108)+1)</f>
        <v/>
      </c>
      <c r="Q87" s="16" t="str">
        <f>IF('Data input'!Q87="","",4*('Data input'!Q87-'Data input'!Q$108)/('Data input'!Q$109-'Data input'!Q$108)+1)</f>
        <v/>
      </c>
      <c r="R87" s="16" t="str">
        <f>IF('Data input'!R87="","",4*('Data input'!R87-'Data input'!R$108)/('Data input'!R$109-'Data input'!R$108)+1)</f>
        <v/>
      </c>
      <c r="S87" s="16" t="str">
        <f>IF('Data input'!S87="","",4*('Data input'!S87-'Data input'!S$108)/('Data input'!S$109-'Data input'!S$108)+1)</f>
        <v/>
      </c>
      <c r="T87" s="16" t="str">
        <f>IF('Data input'!T87="","",4*('Data input'!T87-'Data input'!T$108)/('Data input'!T$109-'Data input'!T$108)+1)</f>
        <v/>
      </c>
      <c r="U87" s="16" t="str">
        <f>IF('Data input'!U87="","",4*('Data input'!U87-'Data input'!U$108)/('Data input'!U$109-'Data input'!U$108)+1)</f>
        <v/>
      </c>
      <c r="V87" s="16" t="str">
        <f>IF('Data input'!V87="","",4*('Data input'!V87-'Data input'!V$108)/('Data input'!V$109-'Data input'!V$108)+1)</f>
        <v/>
      </c>
      <c r="W87" s="16" t="str">
        <f>IF('Data input'!W87="","",4*('Data input'!W87-'Data input'!W$108)/('Data input'!W$109-'Data input'!W$108)+1)</f>
        <v/>
      </c>
      <c r="X87" s="16" t="str">
        <f>IF('Data input'!X87="","",4*('Data input'!X87-'Data input'!X$108)/('Data input'!X$109-'Data input'!X$108)+1)</f>
        <v/>
      </c>
      <c r="Y87" s="16" t="str">
        <f>IF('Data input'!Y87="","",4*('Data input'!Y87-'Data input'!Y$108)/('Data input'!Y$109-'Data input'!Y$108)+1)</f>
        <v/>
      </c>
      <c r="Z87" s="16" t="str">
        <f>IF('Data input'!Z87="","",4*('Data input'!Z87-'Data input'!Z$108)/('Data input'!Z$109-'Data input'!Z$108)+1)</f>
        <v/>
      </c>
      <c r="AA87" s="62" t="str">
        <f>IF('Data input'!AA87="","",4*('Data input'!AA87-'Data input'!AA$108)/('Data input'!AA$109-'Data input'!AA$108)+1)</f>
        <v/>
      </c>
      <c r="AB87" s="78"/>
      <c r="AC87" s="79">
        <v>0</v>
      </c>
      <c r="AD87" s="80" t="e">
        <f t="shared" si="48"/>
        <v>#DIV/0!</v>
      </c>
      <c r="AE87" s="4"/>
      <c r="AF87" s="59" t="str">
        <f t="shared" si="40"/>
        <v/>
      </c>
      <c r="AG87" s="60" t="str">
        <f t="shared" si="40"/>
        <v/>
      </c>
      <c r="AH87"/>
      <c r="AI87"/>
      <c r="AJ87"/>
      <c r="AK87"/>
      <c r="AL87"/>
      <c r="AM87"/>
      <c r="AN87"/>
      <c r="AO87"/>
      <c r="AP87"/>
      <c r="AQ87"/>
      <c r="AR87"/>
      <c r="AS87" s="71" t="str">
        <f t="shared" si="44"/>
        <v/>
      </c>
      <c r="AT87" s="71" t="str">
        <f t="shared" si="44"/>
        <v/>
      </c>
      <c r="AU87" s="71" t="str">
        <f t="shared" si="44"/>
        <v/>
      </c>
      <c r="AV87" s="71" t="str">
        <f t="shared" si="44"/>
        <v/>
      </c>
      <c r="AW87" s="71" t="str">
        <f t="shared" si="44"/>
        <v/>
      </c>
      <c r="AX87" s="71" t="str">
        <f t="shared" si="45"/>
        <v/>
      </c>
      <c r="AY87" s="71" t="str">
        <f t="shared" si="45"/>
        <v/>
      </c>
      <c r="AZ87" s="71" t="str">
        <f t="shared" si="45"/>
        <v/>
      </c>
      <c r="BA87" s="71" t="str">
        <f t="shared" si="45"/>
        <v/>
      </c>
      <c r="BB87" s="71" t="str">
        <f t="shared" si="45"/>
        <v/>
      </c>
      <c r="BC87" s="18" t="str">
        <f>IF(C87&lt;&gt;"",(('Data input'!C$109-'Data input'!C$108)*(AS87-1)/4)+'Data input'!C$108,"")</f>
        <v/>
      </c>
      <c r="BD87" s="18" t="str">
        <f>IF(D87&lt;&gt;"",(('Data input'!D$109-'Data input'!D$108)*(AT87-1)/4)+'Data input'!D$108,"")</f>
        <v/>
      </c>
      <c r="BE87" s="18" t="str">
        <f>IF(E87&lt;&gt;"",(('Data input'!E$109-'Data input'!E$108)*(AU87-1)/4)+'Data input'!E$108,"")</f>
        <v/>
      </c>
      <c r="BF87" s="18" t="str">
        <f>IF(F87&lt;&gt;"",(('Data input'!F$109-'Data input'!F$108)*(AV87-1)/4)+'Data input'!F$108,"")</f>
        <v/>
      </c>
      <c r="BG87" s="18" t="str">
        <f>IF(G87&lt;&gt;"",(('Data input'!G$109-'Data input'!G$108)*(AW87-1)/4)+'Data input'!G$108,"")</f>
        <v/>
      </c>
      <c r="BH87" s="19" t="str">
        <f>IF(H87&lt;&gt;"",(('Data input'!H$109-'Data input'!H$108)*(AX87-1)/4)+'Data input'!H$108,"")</f>
        <v/>
      </c>
      <c r="BI87" s="18" t="str">
        <f>IF(I87&lt;&gt;"",(('Data input'!I$109-'Data input'!I$108)*(AY87-1)/4)+'Data input'!I$108,"")</f>
        <v/>
      </c>
      <c r="BJ87" s="19" t="str">
        <f>IF(J87&lt;&gt;"",(('Data input'!J$109-'Data input'!J$108)*(AZ87-1)/4)+'Data input'!J$108,"")</f>
        <v/>
      </c>
      <c r="BK87" s="19" t="str">
        <f>IF(K87&lt;&gt;"",(('Data input'!K$109-'Data input'!K$108)*(BA87-1)/4)+'Data input'!K$108,"")</f>
        <v/>
      </c>
      <c r="BL87" s="19" t="str">
        <f>IF(L87&lt;&gt;"",(('Data input'!L$109-'Data input'!L$108)*(BB87-1)/4)+'Data input'!L$108,"")</f>
        <v/>
      </c>
      <c r="BM87" s="18" t="str">
        <f>IF(C87&lt;&gt;"",BC87-'Data input'!C87,"")</f>
        <v/>
      </c>
      <c r="BN87" s="18" t="str">
        <f>IF(D87&lt;&gt;"",BD87-'Data input'!D87,"")</f>
        <v/>
      </c>
      <c r="BO87" s="18" t="str">
        <f>IF(E87&lt;&gt;"",BE87-'Data input'!E87,"")</f>
        <v/>
      </c>
      <c r="BP87" s="18" t="str">
        <f>IF(F87&lt;&gt;"",BF87-'Data input'!F87,"")</f>
        <v/>
      </c>
      <c r="BQ87" s="18" t="str">
        <f>IF(G87&lt;&gt;"",BG87-'Data input'!G87,"")</f>
        <v/>
      </c>
      <c r="BR87" s="19" t="str">
        <f>IF(H87&lt;&gt;"",BH87-'Data input'!H87,"")</f>
        <v/>
      </c>
      <c r="BS87" s="18" t="str">
        <f>IF(I87&lt;&gt;"",BI87-'Data input'!I87,"")</f>
        <v/>
      </c>
      <c r="BT87" s="18" t="str">
        <f>IF(J87&lt;&gt;"",BJ87-'Data input'!J87,"")</f>
        <v/>
      </c>
      <c r="BU87" s="18" t="str">
        <f>IF(K87&lt;&gt;"",BK87-'Data input'!K87,"")</f>
        <v/>
      </c>
      <c r="BV87" s="72" t="str">
        <f>IF(L87&lt;&gt;"",BL87-'Data input'!L87,"")</f>
        <v/>
      </c>
      <c r="BW87" s="121" t="str">
        <f t="shared" si="49"/>
        <v/>
      </c>
      <c r="FT87" s="1" t="str">
        <f t="shared" si="57"/>
        <v/>
      </c>
      <c r="FU87" s="1" t="str">
        <f t="shared" si="55"/>
        <v/>
      </c>
      <c r="FV87" s="1" t="str">
        <f t="shared" si="55"/>
        <v/>
      </c>
      <c r="FW87" s="1" t="str">
        <f t="shared" si="55"/>
        <v/>
      </c>
      <c r="FX87" s="1" t="str">
        <f t="shared" si="55"/>
        <v/>
      </c>
      <c r="FY87" s="1" t="str">
        <f t="shared" si="55"/>
        <v/>
      </c>
      <c r="FZ87" s="1" t="str">
        <f t="shared" si="55"/>
        <v/>
      </c>
      <c r="GA87" s="1" t="str">
        <f t="shared" si="55"/>
        <v/>
      </c>
      <c r="GB87" s="1" t="str">
        <f t="shared" si="55"/>
        <v/>
      </c>
      <c r="GC87" s="1" t="str">
        <f t="shared" si="55"/>
        <v/>
      </c>
      <c r="GD87" s="1" t="str">
        <f t="shared" si="55"/>
        <v/>
      </c>
      <c r="GE87" s="1" t="str">
        <f t="shared" si="55"/>
        <v/>
      </c>
      <c r="GF87" s="1" t="str">
        <f t="shared" si="55"/>
        <v/>
      </c>
      <c r="GG87" s="1" t="str">
        <f t="shared" si="55"/>
        <v/>
      </c>
      <c r="GH87" s="1" t="str">
        <f t="shared" si="55"/>
        <v/>
      </c>
      <c r="GI87" s="1" t="str">
        <f t="shared" si="55"/>
        <v/>
      </c>
      <c r="GJ87" s="1" t="str">
        <f t="shared" si="51"/>
        <v/>
      </c>
      <c r="GK87" s="1" t="str">
        <f t="shared" si="51"/>
        <v/>
      </c>
      <c r="GL87" s="1" t="str">
        <f t="shared" si="51"/>
        <v/>
      </c>
      <c r="GM87" s="1" t="str">
        <f t="shared" si="51"/>
        <v/>
      </c>
      <c r="GN87" s="1" t="str">
        <f t="shared" si="51"/>
        <v/>
      </c>
      <c r="GO87" s="1" t="str">
        <f t="shared" si="51"/>
        <v/>
      </c>
      <c r="GP87" s="1" t="str">
        <f t="shared" si="51"/>
        <v/>
      </c>
      <c r="GQ87" s="1" t="str">
        <f t="shared" si="51"/>
        <v/>
      </c>
      <c r="GR87" s="1" t="str">
        <f t="shared" si="51"/>
        <v/>
      </c>
      <c r="GS87" s="1" t="str">
        <f t="shared" si="51"/>
        <v/>
      </c>
      <c r="GT87" s="1" t="str">
        <f t="shared" si="50"/>
        <v/>
      </c>
      <c r="GU87" s="1" t="str">
        <f t="shared" si="50"/>
        <v/>
      </c>
      <c r="GV87" s="1" t="str">
        <f t="shared" si="50"/>
        <v/>
      </c>
      <c r="GW87" s="1" t="str">
        <f t="shared" si="50"/>
        <v/>
      </c>
      <c r="GX87" s="1" t="str">
        <f t="shared" si="50"/>
        <v/>
      </c>
      <c r="GY87" s="1" t="str">
        <f t="shared" si="50"/>
        <v/>
      </c>
      <c r="GZ87" s="1" t="str">
        <f t="shared" si="50"/>
        <v/>
      </c>
      <c r="HA87" s="1" t="str">
        <f t="shared" si="50"/>
        <v/>
      </c>
      <c r="HB87" s="1" t="str">
        <f t="shared" si="50"/>
        <v/>
      </c>
      <c r="HC87" s="1" t="str">
        <f t="shared" si="50"/>
        <v/>
      </c>
      <c r="HD87" s="1" t="str">
        <f t="shared" si="50"/>
        <v/>
      </c>
      <c r="HE87" s="1" t="str">
        <f t="shared" si="50"/>
        <v/>
      </c>
      <c r="HF87" s="1" t="str">
        <f t="shared" si="50"/>
        <v/>
      </c>
      <c r="HG87" s="1" t="str">
        <f t="shared" si="50"/>
        <v/>
      </c>
      <c r="HH87" s="1" t="str">
        <f t="shared" si="50"/>
        <v/>
      </c>
      <c r="HI87" s="1" t="str">
        <f t="shared" si="50"/>
        <v/>
      </c>
      <c r="HJ87" s="1" t="str">
        <f t="shared" si="58"/>
        <v/>
      </c>
      <c r="HK87" s="1" t="str">
        <f t="shared" si="58"/>
        <v/>
      </c>
      <c r="HL87" s="1" t="str">
        <f t="shared" si="58"/>
        <v/>
      </c>
      <c r="HM87" s="1" t="str">
        <f t="shared" si="58"/>
        <v/>
      </c>
      <c r="HN87" s="1" t="str">
        <f t="shared" si="58"/>
        <v/>
      </c>
      <c r="HO87" s="1" t="str">
        <f t="shared" si="52"/>
        <v/>
      </c>
      <c r="HP87" s="1" t="str">
        <f t="shared" si="47"/>
        <v/>
      </c>
      <c r="HQ87" s="1" t="str">
        <f t="shared" si="47"/>
        <v/>
      </c>
      <c r="HR87" s="1" t="str">
        <f t="shared" si="47"/>
        <v/>
      </c>
      <c r="HS87" s="1" t="str">
        <f t="shared" si="47"/>
        <v/>
      </c>
      <c r="HT87" s="1" t="str">
        <f t="shared" si="47"/>
        <v/>
      </c>
      <c r="HU87" s="1" t="str">
        <f t="shared" si="47"/>
        <v/>
      </c>
      <c r="HV87" s="1" t="str">
        <f t="shared" si="47"/>
        <v/>
      </c>
      <c r="HW87" s="1" t="str">
        <f t="shared" si="47"/>
        <v/>
      </c>
      <c r="HX87" s="1" t="str">
        <f t="shared" si="47"/>
        <v/>
      </c>
      <c r="HY87" s="1" t="str">
        <f t="shared" si="47"/>
        <v/>
      </c>
      <c r="HZ87" s="1" t="str">
        <f t="shared" si="47"/>
        <v/>
      </c>
      <c r="IA87" s="1" t="str">
        <f t="shared" si="47"/>
        <v/>
      </c>
      <c r="IB87" s="1" t="str">
        <f t="shared" si="47"/>
        <v/>
      </c>
      <c r="IC87" s="1" t="str">
        <f t="shared" si="47"/>
        <v/>
      </c>
      <c r="ID87" s="1" t="str">
        <f t="shared" si="47"/>
        <v/>
      </c>
      <c r="IE87" s="1" t="str">
        <f t="shared" si="47"/>
        <v/>
      </c>
      <c r="IF87" s="1" t="str">
        <f t="shared" si="56"/>
        <v/>
      </c>
      <c r="IG87" s="1" t="str">
        <f t="shared" si="56"/>
        <v/>
      </c>
      <c r="IH87" s="1" t="str">
        <f t="shared" si="53"/>
        <v/>
      </c>
      <c r="II87" s="1" t="str">
        <f t="shared" si="53"/>
        <v/>
      </c>
      <c r="IJ87" s="1" t="str">
        <f t="shared" si="53"/>
        <v/>
      </c>
      <c r="IK87" s="1" t="str">
        <f t="shared" si="53"/>
        <v/>
      </c>
      <c r="IL87" s="1" t="str">
        <f t="shared" si="53"/>
        <v/>
      </c>
      <c r="IM87" s="1" t="str">
        <f t="shared" si="53"/>
        <v/>
      </c>
      <c r="IN87" s="1" t="str">
        <f t="shared" si="53"/>
        <v/>
      </c>
      <c r="IO87" s="1" t="str">
        <f t="shared" si="53"/>
        <v/>
      </c>
      <c r="IP87" s="1" t="str">
        <f t="shared" si="53"/>
        <v/>
      </c>
      <c r="IQ87" s="1" t="str">
        <f t="shared" si="53"/>
        <v/>
      </c>
      <c r="IR87" s="1" t="str">
        <f t="shared" si="53"/>
        <v/>
      </c>
      <c r="IS87" s="1" t="str">
        <f t="shared" si="53"/>
        <v/>
      </c>
      <c r="IT87" s="1" t="str">
        <f t="shared" si="53"/>
        <v/>
      </c>
      <c r="IU87" s="1" t="str">
        <f t="shared" si="53"/>
        <v/>
      </c>
      <c r="IV87" s="1" t="str">
        <f t="shared" si="53"/>
        <v/>
      </c>
      <c r="IW87" s="1" t="str">
        <f t="shared" si="53"/>
        <v/>
      </c>
      <c r="IX87" s="1" t="str">
        <f t="shared" si="54"/>
        <v/>
      </c>
      <c r="IY87" s="1" t="str">
        <f t="shared" si="54"/>
        <v/>
      </c>
      <c r="IZ87" s="1" t="str">
        <f t="shared" si="54"/>
        <v/>
      </c>
      <c r="JA87" s="1" t="str">
        <f t="shared" si="54"/>
        <v/>
      </c>
      <c r="JB87" s="1" t="str">
        <f t="shared" si="54"/>
        <v/>
      </c>
      <c r="JC87" s="1" t="str">
        <f t="shared" si="43"/>
        <v/>
      </c>
      <c r="JD87" s="1" t="str">
        <f t="shared" si="43"/>
        <v/>
      </c>
      <c r="JE87" s="1" t="str">
        <f t="shared" si="43"/>
        <v/>
      </c>
      <c r="JF87" s="1" t="str">
        <f t="shared" si="43"/>
        <v/>
      </c>
      <c r="JG87" s="1" t="str">
        <f t="shared" si="37"/>
        <v/>
      </c>
      <c r="JH87" s="1" t="str">
        <f t="shared" si="37"/>
        <v/>
      </c>
      <c r="JI87" s="1" t="str">
        <f t="shared" si="37"/>
        <v/>
      </c>
      <c r="JJ87" s="1" t="str">
        <f t="shared" si="30"/>
        <v/>
      </c>
      <c r="JK87" s="1" t="str">
        <f t="shared" si="30"/>
        <v/>
      </c>
      <c r="JL87" s="1" t="str">
        <f t="shared" si="30"/>
        <v/>
      </c>
      <c r="JM87" s="1" t="str">
        <f t="shared" si="30"/>
        <v/>
      </c>
      <c r="JN87" s="1" t="str">
        <f t="shared" si="30"/>
        <v/>
      </c>
      <c r="JO87" s="1" t="str">
        <f t="shared" si="30"/>
        <v/>
      </c>
    </row>
    <row r="88" spans="1:275" ht="14.5" x14ac:dyDescent="0.35">
      <c r="A88" s="59" t="str">
        <f>IF('Data input'!A88&lt;&gt;"",'Data input'!A88,"")</f>
        <v/>
      </c>
      <c r="B88" s="15" t="str">
        <f>IF('Data input'!B88&lt;&gt;"",'Data input'!B88,"")</f>
        <v/>
      </c>
      <c r="C88" s="16" t="str">
        <f>IF('Data input'!C88="","",4*('Data input'!C88-'Data input'!C$108)/('Data input'!C$109-'Data input'!C$108)+1)</f>
        <v/>
      </c>
      <c r="D88" s="16" t="str">
        <f>IF('Data input'!D88="","",4*('Data input'!D88-'Data input'!D$108)/('Data input'!D$109-'Data input'!D$108)+1)</f>
        <v/>
      </c>
      <c r="E88" s="16" t="str">
        <f>IF('Data input'!E88="","",4*('Data input'!E88-'Data input'!E$108)/('Data input'!E$109-'Data input'!E$108)+1)</f>
        <v/>
      </c>
      <c r="F88" s="16" t="str">
        <f>IF('Data input'!F88="","",4*('Data input'!F88-'Data input'!F$108)/('Data input'!F$109-'Data input'!F$108)+1)</f>
        <v/>
      </c>
      <c r="G88" s="16" t="str">
        <f>IF('Data input'!G88="","",4*('Data input'!G88-'Data input'!G$108)/('Data input'!G$109-'Data input'!G$108)+1)</f>
        <v/>
      </c>
      <c r="H88" s="16" t="str">
        <f>IF('Data input'!H88="","",4*('Data input'!H88-'Data input'!H$108)/('Data input'!H$109-'Data input'!H$108)+1)</f>
        <v/>
      </c>
      <c r="I88" s="19" t="str">
        <f>IF('Data input'!I88="","",4*('Data input'!I88-'Data input'!I$108)/('Data input'!I$109-'Data input'!I$108)+1)</f>
        <v/>
      </c>
      <c r="J88" s="19" t="str">
        <f>IF('Data input'!J88="","",4*('Data input'!J88-'Data input'!J$108)/('Data input'!J$109-'Data input'!J$108)+1)</f>
        <v/>
      </c>
      <c r="K88" s="19" t="str">
        <f>IF('Data input'!K88="","",4*('Data input'!K88-'Data input'!K$108)/('Data input'!K$109-'Data input'!K$108)+1)</f>
        <v/>
      </c>
      <c r="L88" s="19" t="str">
        <f>IF('Data input'!L88="","",4*('Data input'!L88-'Data input'!L$108)/('Data input'!L$109-'Data input'!L$108)+1)</f>
        <v/>
      </c>
      <c r="M88" s="16" t="str">
        <f>IF('Data input'!M88="","",4*('Data input'!M88-'Data input'!M$108)/('Data input'!M$109-'Data input'!M$108)+1)</f>
        <v/>
      </c>
      <c r="N88" s="16" t="str">
        <f>IF('Data input'!N88="","",4*('Data input'!N88-'Data input'!N$108)/('Data input'!N$109-'Data input'!N$108)+1)</f>
        <v/>
      </c>
      <c r="O88" s="16" t="str">
        <f>IF('Data input'!O88="","",4*('Data input'!O88-'Data input'!O$108)/('Data input'!O$109-'Data input'!O$108)+1)</f>
        <v/>
      </c>
      <c r="P88" s="16" t="str">
        <f>IF('Data input'!P88="","",4*('Data input'!P88-'Data input'!P$108)/('Data input'!P$109-'Data input'!P$108)+1)</f>
        <v/>
      </c>
      <c r="Q88" s="16" t="str">
        <f>IF('Data input'!Q88="","",4*('Data input'!Q88-'Data input'!Q$108)/('Data input'!Q$109-'Data input'!Q$108)+1)</f>
        <v/>
      </c>
      <c r="R88" s="16" t="str">
        <f>IF('Data input'!R88="","",4*('Data input'!R88-'Data input'!R$108)/('Data input'!R$109-'Data input'!R$108)+1)</f>
        <v/>
      </c>
      <c r="S88" s="16" t="str">
        <f>IF('Data input'!S88="","",4*('Data input'!S88-'Data input'!S$108)/('Data input'!S$109-'Data input'!S$108)+1)</f>
        <v/>
      </c>
      <c r="T88" s="16" t="str">
        <f>IF('Data input'!T88="","",4*('Data input'!T88-'Data input'!T$108)/('Data input'!T$109-'Data input'!T$108)+1)</f>
        <v/>
      </c>
      <c r="U88" s="16" t="str">
        <f>IF('Data input'!U88="","",4*('Data input'!U88-'Data input'!U$108)/('Data input'!U$109-'Data input'!U$108)+1)</f>
        <v/>
      </c>
      <c r="V88" s="16" t="str">
        <f>IF('Data input'!V88="","",4*('Data input'!V88-'Data input'!V$108)/('Data input'!V$109-'Data input'!V$108)+1)</f>
        <v/>
      </c>
      <c r="W88" s="16" t="str">
        <f>IF('Data input'!W88="","",4*('Data input'!W88-'Data input'!W$108)/('Data input'!W$109-'Data input'!W$108)+1)</f>
        <v/>
      </c>
      <c r="X88" s="16" t="str">
        <f>IF('Data input'!X88="","",4*('Data input'!X88-'Data input'!X$108)/('Data input'!X$109-'Data input'!X$108)+1)</f>
        <v/>
      </c>
      <c r="Y88" s="16" t="str">
        <f>IF('Data input'!Y88="","",4*('Data input'!Y88-'Data input'!Y$108)/('Data input'!Y$109-'Data input'!Y$108)+1)</f>
        <v/>
      </c>
      <c r="Z88" s="16" t="str">
        <f>IF('Data input'!Z88="","",4*('Data input'!Z88-'Data input'!Z$108)/('Data input'!Z$109-'Data input'!Z$108)+1)</f>
        <v/>
      </c>
      <c r="AA88" s="62" t="str">
        <f>IF('Data input'!AA88="","",4*('Data input'!AA88-'Data input'!AA$108)/('Data input'!AA$109-'Data input'!AA$108)+1)</f>
        <v/>
      </c>
      <c r="AB88" s="78"/>
      <c r="AC88" s="79">
        <v>0</v>
      </c>
      <c r="AD88" s="80" t="e">
        <f t="shared" si="48"/>
        <v>#DIV/0!</v>
      </c>
      <c r="AE88" s="4"/>
      <c r="AF88" s="59" t="str">
        <f t="shared" si="40"/>
        <v/>
      </c>
      <c r="AG88" s="60" t="str">
        <f t="shared" si="40"/>
        <v/>
      </c>
      <c r="AH88"/>
      <c r="AI88"/>
      <c r="AJ88"/>
      <c r="AK88"/>
      <c r="AL88"/>
      <c r="AM88"/>
      <c r="AN88"/>
      <c r="AO88"/>
      <c r="AP88"/>
      <c r="AQ88"/>
      <c r="AR88"/>
      <c r="AS88" s="71" t="str">
        <f t="shared" si="44"/>
        <v/>
      </c>
      <c r="AT88" s="71" t="str">
        <f t="shared" si="44"/>
        <v/>
      </c>
      <c r="AU88" s="71" t="str">
        <f t="shared" si="44"/>
        <v/>
      </c>
      <c r="AV88" s="71" t="str">
        <f t="shared" si="44"/>
        <v/>
      </c>
      <c r="AW88" s="71" t="str">
        <f t="shared" si="44"/>
        <v/>
      </c>
      <c r="AX88" s="71" t="str">
        <f t="shared" si="45"/>
        <v/>
      </c>
      <c r="AY88" s="71" t="str">
        <f t="shared" si="45"/>
        <v/>
      </c>
      <c r="AZ88" s="71" t="str">
        <f t="shared" si="45"/>
        <v/>
      </c>
      <c r="BA88" s="71" t="str">
        <f t="shared" si="45"/>
        <v/>
      </c>
      <c r="BB88" s="71" t="str">
        <f t="shared" si="45"/>
        <v/>
      </c>
      <c r="BC88" s="18" t="str">
        <f>IF(C88&lt;&gt;"",(('Data input'!C$109-'Data input'!C$108)*(AS88-1)/4)+'Data input'!C$108,"")</f>
        <v/>
      </c>
      <c r="BD88" s="18" t="str">
        <f>IF(D88&lt;&gt;"",(('Data input'!D$109-'Data input'!D$108)*(AT88-1)/4)+'Data input'!D$108,"")</f>
        <v/>
      </c>
      <c r="BE88" s="18" t="str">
        <f>IF(E88&lt;&gt;"",(('Data input'!E$109-'Data input'!E$108)*(AU88-1)/4)+'Data input'!E$108,"")</f>
        <v/>
      </c>
      <c r="BF88" s="18" t="str">
        <f>IF(F88&lt;&gt;"",(('Data input'!F$109-'Data input'!F$108)*(AV88-1)/4)+'Data input'!F$108,"")</f>
        <v/>
      </c>
      <c r="BG88" s="18" t="str">
        <f>IF(G88&lt;&gt;"",(('Data input'!G$109-'Data input'!G$108)*(AW88-1)/4)+'Data input'!G$108,"")</f>
        <v/>
      </c>
      <c r="BH88" s="19" t="str">
        <f>IF(H88&lt;&gt;"",(('Data input'!H$109-'Data input'!H$108)*(AX88-1)/4)+'Data input'!H$108,"")</f>
        <v/>
      </c>
      <c r="BI88" s="18" t="str">
        <f>IF(I88&lt;&gt;"",(('Data input'!I$109-'Data input'!I$108)*(AY88-1)/4)+'Data input'!I$108,"")</f>
        <v/>
      </c>
      <c r="BJ88" s="19" t="str">
        <f>IF(J88&lt;&gt;"",(('Data input'!J$109-'Data input'!J$108)*(AZ88-1)/4)+'Data input'!J$108,"")</f>
        <v/>
      </c>
      <c r="BK88" s="19" t="str">
        <f>IF(K88&lt;&gt;"",(('Data input'!K$109-'Data input'!K$108)*(BA88-1)/4)+'Data input'!K$108,"")</f>
        <v/>
      </c>
      <c r="BL88" s="19" t="str">
        <f>IF(L88&lt;&gt;"",(('Data input'!L$109-'Data input'!L$108)*(BB88-1)/4)+'Data input'!L$108,"")</f>
        <v/>
      </c>
      <c r="BM88" s="18" t="str">
        <f>IF(C88&lt;&gt;"",BC88-'Data input'!C88,"")</f>
        <v/>
      </c>
      <c r="BN88" s="18" t="str">
        <f>IF(D88&lt;&gt;"",BD88-'Data input'!D88,"")</f>
        <v/>
      </c>
      <c r="BO88" s="18" t="str">
        <f>IF(E88&lt;&gt;"",BE88-'Data input'!E88,"")</f>
        <v/>
      </c>
      <c r="BP88" s="18" t="str">
        <f>IF(F88&lt;&gt;"",BF88-'Data input'!F88,"")</f>
        <v/>
      </c>
      <c r="BQ88" s="18" t="str">
        <f>IF(G88&lt;&gt;"",BG88-'Data input'!G88,"")</f>
        <v/>
      </c>
      <c r="BR88" s="19" t="str">
        <f>IF(H88&lt;&gt;"",BH88-'Data input'!H88,"")</f>
        <v/>
      </c>
      <c r="BS88" s="18" t="str">
        <f>IF(I88&lt;&gt;"",BI88-'Data input'!I88,"")</f>
        <v/>
      </c>
      <c r="BT88" s="18" t="str">
        <f>IF(J88&lt;&gt;"",BJ88-'Data input'!J88,"")</f>
        <v/>
      </c>
      <c r="BU88" s="18" t="str">
        <f>IF(K88&lt;&gt;"",BK88-'Data input'!K88,"")</f>
        <v/>
      </c>
      <c r="BV88" s="72" t="str">
        <f>IF(L88&lt;&gt;"",BL88-'Data input'!L88,"")</f>
        <v/>
      </c>
      <c r="BW88" s="121" t="str">
        <f t="shared" si="49"/>
        <v/>
      </c>
      <c r="FT88" s="1" t="str">
        <f t="shared" si="57"/>
        <v/>
      </c>
      <c r="FU88" s="1" t="str">
        <f t="shared" si="55"/>
        <v/>
      </c>
      <c r="FV88" s="1" t="str">
        <f t="shared" si="55"/>
        <v/>
      </c>
      <c r="FW88" s="1" t="str">
        <f t="shared" si="55"/>
        <v/>
      </c>
      <c r="FX88" s="1" t="str">
        <f t="shared" si="55"/>
        <v/>
      </c>
      <c r="FY88" s="1" t="str">
        <f t="shared" si="55"/>
        <v/>
      </c>
      <c r="FZ88" s="1" t="str">
        <f t="shared" si="55"/>
        <v/>
      </c>
      <c r="GA88" s="1" t="str">
        <f t="shared" si="55"/>
        <v/>
      </c>
      <c r="GB88" s="1" t="str">
        <f t="shared" si="55"/>
        <v/>
      </c>
      <c r="GC88" s="1" t="str">
        <f t="shared" si="55"/>
        <v/>
      </c>
      <c r="GD88" s="1" t="str">
        <f t="shared" si="55"/>
        <v/>
      </c>
      <c r="GE88" s="1" t="str">
        <f t="shared" si="55"/>
        <v/>
      </c>
      <c r="GF88" s="1" t="str">
        <f t="shared" si="55"/>
        <v/>
      </c>
      <c r="GG88" s="1" t="str">
        <f t="shared" si="55"/>
        <v/>
      </c>
      <c r="GH88" s="1" t="str">
        <f t="shared" si="55"/>
        <v/>
      </c>
      <c r="GI88" s="1" t="str">
        <f t="shared" si="55"/>
        <v/>
      </c>
      <c r="GJ88" s="1" t="str">
        <f t="shared" si="51"/>
        <v/>
      </c>
      <c r="GK88" s="1" t="str">
        <f t="shared" si="51"/>
        <v/>
      </c>
      <c r="GL88" s="1" t="str">
        <f t="shared" si="51"/>
        <v/>
      </c>
      <c r="GM88" s="1" t="str">
        <f t="shared" si="51"/>
        <v/>
      </c>
      <c r="GN88" s="1" t="str">
        <f t="shared" si="51"/>
        <v/>
      </c>
      <c r="GO88" s="1" t="str">
        <f t="shared" si="51"/>
        <v/>
      </c>
      <c r="GP88" s="1" t="str">
        <f t="shared" si="51"/>
        <v/>
      </c>
      <c r="GQ88" s="1" t="str">
        <f t="shared" si="51"/>
        <v/>
      </c>
      <c r="GR88" s="1" t="str">
        <f t="shared" si="51"/>
        <v/>
      </c>
      <c r="GS88" s="1" t="str">
        <f t="shared" si="51"/>
        <v/>
      </c>
      <c r="GT88" s="1" t="str">
        <f t="shared" si="50"/>
        <v/>
      </c>
      <c r="GU88" s="1" t="str">
        <f t="shared" si="50"/>
        <v/>
      </c>
      <c r="GV88" s="1" t="str">
        <f t="shared" si="50"/>
        <v/>
      </c>
      <c r="GW88" s="1" t="str">
        <f t="shared" si="50"/>
        <v/>
      </c>
      <c r="GX88" s="1" t="str">
        <f t="shared" si="50"/>
        <v/>
      </c>
      <c r="GY88" s="1" t="str">
        <f t="shared" si="50"/>
        <v/>
      </c>
      <c r="GZ88" s="1" t="str">
        <f t="shared" si="50"/>
        <v/>
      </c>
      <c r="HA88" s="1" t="str">
        <f t="shared" si="50"/>
        <v/>
      </c>
      <c r="HB88" s="1" t="str">
        <f t="shared" si="50"/>
        <v/>
      </c>
      <c r="HC88" s="1" t="str">
        <f t="shared" si="50"/>
        <v/>
      </c>
      <c r="HD88" s="1" t="str">
        <f t="shared" si="50"/>
        <v/>
      </c>
      <c r="HE88" s="1" t="str">
        <f t="shared" si="50"/>
        <v/>
      </c>
      <c r="HF88" s="1" t="str">
        <f t="shared" si="50"/>
        <v/>
      </c>
      <c r="HG88" s="1" t="str">
        <f t="shared" si="50"/>
        <v/>
      </c>
      <c r="HH88" s="1" t="str">
        <f t="shared" si="50"/>
        <v/>
      </c>
      <c r="HI88" s="1" t="str">
        <f t="shared" si="50"/>
        <v/>
      </c>
      <c r="HJ88" s="1" t="str">
        <f t="shared" si="58"/>
        <v/>
      </c>
      <c r="HK88" s="1" t="str">
        <f t="shared" si="58"/>
        <v/>
      </c>
      <c r="HL88" s="1" t="str">
        <f t="shared" si="58"/>
        <v/>
      </c>
      <c r="HM88" s="1" t="str">
        <f t="shared" si="58"/>
        <v/>
      </c>
      <c r="HN88" s="1" t="str">
        <f t="shared" si="58"/>
        <v/>
      </c>
      <c r="HO88" s="1" t="str">
        <f t="shared" si="52"/>
        <v/>
      </c>
      <c r="HP88" s="1" t="str">
        <f t="shared" si="47"/>
        <v/>
      </c>
      <c r="HQ88" s="1" t="str">
        <f t="shared" si="47"/>
        <v/>
      </c>
      <c r="HR88" s="1" t="str">
        <f t="shared" si="47"/>
        <v/>
      </c>
      <c r="HS88" s="1" t="str">
        <f t="shared" si="47"/>
        <v/>
      </c>
      <c r="HT88" s="1" t="str">
        <f t="shared" si="47"/>
        <v/>
      </c>
      <c r="HU88" s="1" t="str">
        <f t="shared" si="47"/>
        <v/>
      </c>
      <c r="HV88" s="1" t="str">
        <f t="shared" si="47"/>
        <v/>
      </c>
      <c r="HW88" s="1" t="str">
        <f t="shared" si="47"/>
        <v/>
      </c>
      <c r="HX88" s="1" t="str">
        <f t="shared" si="47"/>
        <v/>
      </c>
      <c r="HY88" s="1" t="str">
        <f t="shared" si="47"/>
        <v/>
      </c>
      <c r="HZ88" s="1" t="str">
        <f t="shared" si="47"/>
        <v/>
      </c>
      <c r="IA88" s="1" t="str">
        <f t="shared" si="47"/>
        <v/>
      </c>
      <c r="IB88" s="1" t="str">
        <f t="shared" si="47"/>
        <v/>
      </c>
      <c r="IC88" s="1" t="str">
        <f t="shared" si="47"/>
        <v/>
      </c>
      <c r="ID88" s="1" t="str">
        <f t="shared" si="47"/>
        <v/>
      </c>
      <c r="IE88" s="1" t="str">
        <f t="shared" si="47"/>
        <v/>
      </c>
      <c r="IF88" s="1" t="str">
        <f t="shared" si="56"/>
        <v/>
      </c>
      <c r="IG88" s="1" t="str">
        <f t="shared" si="56"/>
        <v/>
      </c>
      <c r="IH88" s="1" t="str">
        <f t="shared" si="53"/>
        <v/>
      </c>
      <c r="II88" s="1" t="str">
        <f t="shared" si="53"/>
        <v/>
      </c>
      <c r="IJ88" s="1" t="str">
        <f t="shared" si="53"/>
        <v/>
      </c>
      <c r="IK88" s="1" t="str">
        <f t="shared" si="53"/>
        <v/>
      </c>
      <c r="IL88" s="1" t="str">
        <f t="shared" si="53"/>
        <v/>
      </c>
      <c r="IM88" s="1" t="str">
        <f t="shared" si="53"/>
        <v/>
      </c>
      <c r="IN88" s="1" t="str">
        <f t="shared" si="53"/>
        <v/>
      </c>
      <c r="IO88" s="1" t="str">
        <f t="shared" si="53"/>
        <v/>
      </c>
      <c r="IP88" s="1" t="str">
        <f t="shared" si="53"/>
        <v/>
      </c>
      <c r="IQ88" s="1" t="str">
        <f t="shared" si="53"/>
        <v/>
      </c>
      <c r="IR88" s="1" t="str">
        <f t="shared" si="53"/>
        <v/>
      </c>
      <c r="IS88" s="1" t="str">
        <f t="shared" si="53"/>
        <v/>
      </c>
      <c r="IT88" s="1" t="str">
        <f t="shared" si="53"/>
        <v/>
      </c>
      <c r="IU88" s="1" t="str">
        <f t="shared" si="53"/>
        <v/>
      </c>
      <c r="IV88" s="1" t="str">
        <f t="shared" si="53"/>
        <v/>
      </c>
      <c r="IW88" s="1" t="str">
        <f t="shared" si="53"/>
        <v/>
      </c>
      <c r="IX88" s="1" t="str">
        <f t="shared" si="54"/>
        <v/>
      </c>
      <c r="IY88" s="1" t="str">
        <f t="shared" si="54"/>
        <v/>
      </c>
      <c r="IZ88" s="1" t="str">
        <f t="shared" si="54"/>
        <v/>
      </c>
      <c r="JA88" s="1" t="str">
        <f t="shared" si="54"/>
        <v/>
      </c>
      <c r="JB88" s="1" t="str">
        <f t="shared" si="54"/>
        <v/>
      </c>
      <c r="JC88" s="1" t="str">
        <f t="shared" si="43"/>
        <v/>
      </c>
      <c r="JD88" s="1" t="str">
        <f t="shared" si="43"/>
        <v/>
      </c>
      <c r="JE88" s="1" t="str">
        <f t="shared" si="43"/>
        <v/>
      </c>
      <c r="JF88" s="1" t="str">
        <f t="shared" si="43"/>
        <v/>
      </c>
      <c r="JG88" s="1" t="str">
        <f t="shared" si="37"/>
        <v/>
      </c>
      <c r="JH88" s="1" t="str">
        <f t="shared" si="37"/>
        <v/>
      </c>
      <c r="JI88" s="1" t="str">
        <f t="shared" si="37"/>
        <v/>
      </c>
      <c r="JJ88" s="1" t="str">
        <f t="shared" si="30"/>
        <v/>
      </c>
      <c r="JK88" s="1" t="str">
        <f t="shared" si="30"/>
        <v/>
      </c>
      <c r="JL88" s="1" t="str">
        <f t="shared" si="30"/>
        <v/>
      </c>
      <c r="JM88" s="1" t="str">
        <f t="shared" si="30"/>
        <v/>
      </c>
      <c r="JN88" s="1" t="str">
        <f t="shared" si="30"/>
        <v/>
      </c>
      <c r="JO88" s="1" t="str">
        <f t="shared" si="30"/>
        <v/>
      </c>
    </row>
    <row r="89" spans="1:275" ht="14.5" x14ac:dyDescent="0.35">
      <c r="A89" s="59" t="str">
        <f>IF('Data input'!A89&lt;&gt;"",'Data input'!A89,"")</f>
        <v/>
      </c>
      <c r="B89" s="15" t="str">
        <f>IF('Data input'!B89&lt;&gt;"",'Data input'!B89,"")</f>
        <v/>
      </c>
      <c r="C89" s="16" t="str">
        <f>IF('Data input'!C89="","",4*('Data input'!C89-'Data input'!C$108)/('Data input'!C$109-'Data input'!C$108)+1)</f>
        <v/>
      </c>
      <c r="D89" s="16" t="str">
        <f>IF('Data input'!D89="","",4*('Data input'!D89-'Data input'!D$108)/('Data input'!D$109-'Data input'!D$108)+1)</f>
        <v/>
      </c>
      <c r="E89" s="16" t="str">
        <f>IF('Data input'!E89="","",4*('Data input'!E89-'Data input'!E$108)/('Data input'!E$109-'Data input'!E$108)+1)</f>
        <v/>
      </c>
      <c r="F89" s="16" t="str">
        <f>IF('Data input'!F89="","",4*('Data input'!F89-'Data input'!F$108)/('Data input'!F$109-'Data input'!F$108)+1)</f>
        <v/>
      </c>
      <c r="G89" s="16" t="str">
        <f>IF('Data input'!G89="","",4*('Data input'!G89-'Data input'!G$108)/('Data input'!G$109-'Data input'!G$108)+1)</f>
        <v/>
      </c>
      <c r="H89" s="16" t="str">
        <f>IF('Data input'!H89="","",4*('Data input'!H89-'Data input'!H$108)/('Data input'!H$109-'Data input'!H$108)+1)</f>
        <v/>
      </c>
      <c r="I89" s="19" t="str">
        <f>IF('Data input'!I89="","",4*('Data input'!I89-'Data input'!I$108)/('Data input'!I$109-'Data input'!I$108)+1)</f>
        <v/>
      </c>
      <c r="J89" s="19" t="str">
        <f>IF('Data input'!J89="","",4*('Data input'!J89-'Data input'!J$108)/('Data input'!J$109-'Data input'!J$108)+1)</f>
        <v/>
      </c>
      <c r="K89" s="19" t="str">
        <f>IF('Data input'!K89="","",4*('Data input'!K89-'Data input'!K$108)/('Data input'!K$109-'Data input'!K$108)+1)</f>
        <v/>
      </c>
      <c r="L89" s="19" t="str">
        <f>IF('Data input'!L89="","",4*('Data input'!L89-'Data input'!L$108)/('Data input'!L$109-'Data input'!L$108)+1)</f>
        <v/>
      </c>
      <c r="M89" s="16" t="str">
        <f>IF('Data input'!M89="","",4*('Data input'!M89-'Data input'!M$108)/('Data input'!M$109-'Data input'!M$108)+1)</f>
        <v/>
      </c>
      <c r="N89" s="16" t="str">
        <f>IF('Data input'!N89="","",4*('Data input'!N89-'Data input'!N$108)/('Data input'!N$109-'Data input'!N$108)+1)</f>
        <v/>
      </c>
      <c r="O89" s="16" t="str">
        <f>IF('Data input'!O89="","",4*('Data input'!O89-'Data input'!O$108)/('Data input'!O$109-'Data input'!O$108)+1)</f>
        <v/>
      </c>
      <c r="P89" s="16" t="str">
        <f>IF('Data input'!P89="","",4*('Data input'!P89-'Data input'!P$108)/('Data input'!P$109-'Data input'!P$108)+1)</f>
        <v/>
      </c>
      <c r="Q89" s="16" t="str">
        <f>IF('Data input'!Q89="","",4*('Data input'!Q89-'Data input'!Q$108)/('Data input'!Q$109-'Data input'!Q$108)+1)</f>
        <v/>
      </c>
      <c r="R89" s="16" t="str">
        <f>IF('Data input'!R89="","",4*('Data input'!R89-'Data input'!R$108)/('Data input'!R$109-'Data input'!R$108)+1)</f>
        <v/>
      </c>
      <c r="S89" s="16" t="str">
        <f>IF('Data input'!S89="","",4*('Data input'!S89-'Data input'!S$108)/('Data input'!S$109-'Data input'!S$108)+1)</f>
        <v/>
      </c>
      <c r="T89" s="16" t="str">
        <f>IF('Data input'!T89="","",4*('Data input'!T89-'Data input'!T$108)/('Data input'!T$109-'Data input'!T$108)+1)</f>
        <v/>
      </c>
      <c r="U89" s="16" t="str">
        <f>IF('Data input'!U89="","",4*('Data input'!U89-'Data input'!U$108)/('Data input'!U$109-'Data input'!U$108)+1)</f>
        <v/>
      </c>
      <c r="V89" s="16" t="str">
        <f>IF('Data input'!V89="","",4*('Data input'!V89-'Data input'!V$108)/('Data input'!V$109-'Data input'!V$108)+1)</f>
        <v/>
      </c>
      <c r="W89" s="16" t="str">
        <f>IF('Data input'!W89="","",4*('Data input'!W89-'Data input'!W$108)/('Data input'!W$109-'Data input'!W$108)+1)</f>
        <v/>
      </c>
      <c r="X89" s="16" t="str">
        <f>IF('Data input'!X89="","",4*('Data input'!X89-'Data input'!X$108)/('Data input'!X$109-'Data input'!X$108)+1)</f>
        <v/>
      </c>
      <c r="Y89" s="16" t="str">
        <f>IF('Data input'!Y89="","",4*('Data input'!Y89-'Data input'!Y$108)/('Data input'!Y$109-'Data input'!Y$108)+1)</f>
        <v/>
      </c>
      <c r="Z89" s="16" t="str">
        <f>IF('Data input'!Z89="","",4*('Data input'!Z89-'Data input'!Z$108)/('Data input'!Z$109-'Data input'!Z$108)+1)</f>
        <v/>
      </c>
      <c r="AA89" s="62" t="str">
        <f>IF('Data input'!AA89="","",4*('Data input'!AA89-'Data input'!AA$108)/('Data input'!AA$109-'Data input'!AA$108)+1)</f>
        <v/>
      </c>
      <c r="AB89" s="78"/>
      <c r="AC89" s="79">
        <v>0</v>
      </c>
      <c r="AD89" s="80" t="e">
        <f t="shared" si="48"/>
        <v>#DIV/0!</v>
      </c>
      <c r="AE89" s="4"/>
      <c r="AF89" s="59" t="str">
        <f t="shared" si="40"/>
        <v/>
      </c>
      <c r="AG89" s="60" t="str">
        <f t="shared" si="40"/>
        <v/>
      </c>
      <c r="AH89"/>
      <c r="AI89"/>
      <c r="AJ89"/>
      <c r="AK89"/>
      <c r="AL89"/>
      <c r="AM89"/>
      <c r="AN89"/>
      <c r="AO89"/>
      <c r="AP89"/>
      <c r="AQ89"/>
      <c r="AR89"/>
      <c r="AS89" s="71" t="str">
        <f t="shared" si="44"/>
        <v/>
      </c>
      <c r="AT89" s="71" t="str">
        <f t="shared" si="44"/>
        <v/>
      </c>
      <c r="AU89" s="71" t="str">
        <f t="shared" si="44"/>
        <v/>
      </c>
      <c r="AV89" s="71" t="str">
        <f t="shared" si="44"/>
        <v/>
      </c>
      <c r="AW89" s="71" t="str">
        <f t="shared" si="44"/>
        <v/>
      </c>
      <c r="AX89" s="71" t="str">
        <f t="shared" si="45"/>
        <v/>
      </c>
      <c r="AY89" s="71" t="str">
        <f t="shared" si="45"/>
        <v/>
      </c>
      <c r="AZ89" s="71" t="str">
        <f t="shared" si="45"/>
        <v/>
      </c>
      <c r="BA89" s="71" t="str">
        <f t="shared" si="45"/>
        <v/>
      </c>
      <c r="BB89" s="71" t="str">
        <f t="shared" si="45"/>
        <v/>
      </c>
      <c r="BC89" s="18" t="str">
        <f>IF(C89&lt;&gt;"",(('Data input'!C$109-'Data input'!C$108)*(AS89-1)/4)+'Data input'!C$108,"")</f>
        <v/>
      </c>
      <c r="BD89" s="18" t="str">
        <f>IF(D89&lt;&gt;"",(('Data input'!D$109-'Data input'!D$108)*(AT89-1)/4)+'Data input'!D$108,"")</f>
        <v/>
      </c>
      <c r="BE89" s="18" t="str">
        <f>IF(E89&lt;&gt;"",(('Data input'!E$109-'Data input'!E$108)*(AU89-1)/4)+'Data input'!E$108,"")</f>
        <v/>
      </c>
      <c r="BF89" s="18" t="str">
        <f>IF(F89&lt;&gt;"",(('Data input'!F$109-'Data input'!F$108)*(AV89-1)/4)+'Data input'!F$108,"")</f>
        <v/>
      </c>
      <c r="BG89" s="18" t="str">
        <f>IF(G89&lt;&gt;"",(('Data input'!G$109-'Data input'!G$108)*(AW89-1)/4)+'Data input'!G$108,"")</f>
        <v/>
      </c>
      <c r="BH89" s="19" t="str">
        <f>IF(H89&lt;&gt;"",(('Data input'!H$109-'Data input'!H$108)*(AX89-1)/4)+'Data input'!H$108,"")</f>
        <v/>
      </c>
      <c r="BI89" s="18" t="str">
        <f>IF(I89&lt;&gt;"",(('Data input'!I$109-'Data input'!I$108)*(AY89-1)/4)+'Data input'!I$108,"")</f>
        <v/>
      </c>
      <c r="BJ89" s="19" t="str">
        <f>IF(J89&lt;&gt;"",(('Data input'!J$109-'Data input'!J$108)*(AZ89-1)/4)+'Data input'!J$108,"")</f>
        <v/>
      </c>
      <c r="BK89" s="19" t="str">
        <f>IF(K89&lt;&gt;"",(('Data input'!K$109-'Data input'!K$108)*(BA89-1)/4)+'Data input'!K$108,"")</f>
        <v/>
      </c>
      <c r="BL89" s="19" t="str">
        <f>IF(L89&lt;&gt;"",(('Data input'!L$109-'Data input'!L$108)*(BB89-1)/4)+'Data input'!L$108,"")</f>
        <v/>
      </c>
      <c r="BM89" s="18" t="str">
        <f>IF(C89&lt;&gt;"",BC89-'Data input'!C89,"")</f>
        <v/>
      </c>
      <c r="BN89" s="18" t="str">
        <f>IF(D89&lt;&gt;"",BD89-'Data input'!D89,"")</f>
        <v/>
      </c>
      <c r="BO89" s="18" t="str">
        <f>IF(E89&lt;&gt;"",BE89-'Data input'!E89,"")</f>
        <v/>
      </c>
      <c r="BP89" s="18" t="str">
        <f>IF(F89&lt;&gt;"",BF89-'Data input'!F89,"")</f>
        <v/>
      </c>
      <c r="BQ89" s="18" t="str">
        <f>IF(G89&lt;&gt;"",BG89-'Data input'!G89,"")</f>
        <v/>
      </c>
      <c r="BR89" s="19" t="str">
        <f>IF(H89&lt;&gt;"",BH89-'Data input'!H89,"")</f>
        <v/>
      </c>
      <c r="BS89" s="18" t="str">
        <f>IF(I89&lt;&gt;"",BI89-'Data input'!I89,"")</f>
        <v/>
      </c>
      <c r="BT89" s="18" t="str">
        <f>IF(J89&lt;&gt;"",BJ89-'Data input'!J89,"")</f>
        <v/>
      </c>
      <c r="BU89" s="18" t="str">
        <f>IF(K89&lt;&gt;"",BK89-'Data input'!K89,"")</f>
        <v/>
      </c>
      <c r="BV89" s="72" t="str">
        <f>IF(L89&lt;&gt;"",BL89-'Data input'!L89,"")</f>
        <v/>
      </c>
      <c r="BW89" s="121" t="str">
        <f t="shared" si="49"/>
        <v/>
      </c>
      <c r="FT89" s="1" t="str">
        <f t="shared" si="57"/>
        <v/>
      </c>
      <c r="FU89" s="1" t="str">
        <f t="shared" si="55"/>
        <v/>
      </c>
      <c r="FV89" s="1" t="str">
        <f t="shared" si="55"/>
        <v/>
      </c>
      <c r="FW89" s="1" t="str">
        <f t="shared" si="55"/>
        <v/>
      </c>
      <c r="FX89" s="1" t="str">
        <f t="shared" si="55"/>
        <v/>
      </c>
      <c r="FY89" s="1" t="str">
        <f t="shared" si="55"/>
        <v/>
      </c>
      <c r="FZ89" s="1" t="str">
        <f t="shared" si="55"/>
        <v/>
      </c>
      <c r="GA89" s="1" t="str">
        <f t="shared" si="55"/>
        <v/>
      </c>
      <c r="GB89" s="1" t="str">
        <f t="shared" si="55"/>
        <v/>
      </c>
      <c r="GC89" s="1" t="str">
        <f t="shared" si="55"/>
        <v/>
      </c>
      <c r="GD89" s="1" t="str">
        <f t="shared" si="55"/>
        <v/>
      </c>
      <c r="GE89" s="1" t="str">
        <f t="shared" si="55"/>
        <v/>
      </c>
      <c r="GF89" s="1" t="str">
        <f t="shared" si="55"/>
        <v/>
      </c>
      <c r="GG89" s="1" t="str">
        <f t="shared" si="55"/>
        <v/>
      </c>
      <c r="GH89" s="1" t="str">
        <f t="shared" si="55"/>
        <v/>
      </c>
      <c r="GI89" s="1" t="str">
        <f t="shared" si="55"/>
        <v/>
      </c>
      <c r="GJ89" s="1" t="str">
        <f t="shared" si="51"/>
        <v/>
      </c>
      <c r="GK89" s="1" t="str">
        <f t="shared" si="51"/>
        <v/>
      </c>
      <c r="GL89" s="1" t="str">
        <f t="shared" si="51"/>
        <v/>
      </c>
      <c r="GM89" s="1" t="str">
        <f t="shared" si="51"/>
        <v/>
      </c>
      <c r="GN89" s="1" t="str">
        <f t="shared" si="51"/>
        <v/>
      </c>
      <c r="GO89" s="1" t="str">
        <f t="shared" si="51"/>
        <v/>
      </c>
      <c r="GP89" s="1" t="str">
        <f t="shared" si="51"/>
        <v/>
      </c>
      <c r="GQ89" s="1" t="str">
        <f t="shared" si="51"/>
        <v/>
      </c>
      <c r="GR89" s="1" t="str">
        <f t="shared" si="51"/>
        <v/>
      </c>
      <c r="GS89" s="1" t="str">
        <f t="shared" si="51"/>
        <v/>
      </c>
      <c r="GT89" s="1" t="str">
        <f t="shared" si="50"/>
        <v/>
      </c>
      <c r="GU89" s="1" t="str">
        <f t="shared" si="50"/>
        <v/>
      </c>
      <c r="GV89" s="1" t="str">
        <f t="shared" si="50"/>
        <v/>
      </c>
      <c r="GW89" s="1" t="str">
        <f t="shared" si="50"/>
        <v/>
      </c>
      <c r="GX89" s="1" t="str">
        <f t="shared" si="50"/>
        <v/>
      </c>
      <c r="GY89" s="1" t="str">
        <f t="shared" si="50"/>
        <v/>
      </c>
      <c r="GZ89" s="1" t="str">
        <f t="shared" si="50"/>
        <v/>
      </c>
      <c r="HA89" s="1" t="str">
        <f t="shared" si="50"/>
        <v/>
      </c>
      <c r="HB89" s="1" t="str">
        <f t="shared" si="50"/>
        <v/>
      </c>
      <c r="HC89" s="1" t="str">
        <f t="shared" si="50"/>
        <v/>
      </c>
      <c r="HD89" s="1" t="str">
        <f t="shared" si="50"/>
        <v/>
      </c>
      <c r="HE89" s="1" t="str">
        <f t="shared" si="50"/>
        <v/>
      </c>
      <c r="HF89" s="1" t="str">
        <f t="shared" si="50"/>
        <v/>
      </c>
      <c r="HG89" s="1" t="str">
        <f t="shared" si="50"/>
        <v/>
      </c>
      <c r="HH89" s="1" t="str">
        <f t="shared" si="50"/>
        <v/>
      </c>
      <c r="HI89" s="1" t="str">
        <f t="shared" si="50"/>
        <v/>
      </c>
      <c r="HJ89" s="1" t="str">
        <f t="shared" si="58"/>
        <v/>
      </c>
      <c r="HK89" s="1" t="str">
        <f t="shared" si="58"/>
        <v/>
      </c>
      <c r="HL89" s="1" t="str">
        <f t="shared" si="58"/>
        <v/>
      </c>
      <c r="HM89" s="1" t="str">
        <f t="shared" si="58"/>
        <v/>
      </c>
      <c r="HN89" s="1" t="str">
        <f t="shared" si="58"/>
        <v/>
      </c>
      <c r="HO89" s="1" t="str">
        <f t="shared" si="52"/>
        <v/>
      </c>
      <c r="HP89" s="1" t="str">
        <f t="shared" si="47"/>
        <v/>
      </c>
      <c r="HQ89" s="1" t="str">
        <f t="shared" si="47"/>
        <v/>
      </c>
      <c r="HR89" s="1" t="str">
        <f t="shared" si="47"/>
        <v/>
      </c>
      <c r="HS89" s="1" t="str">
        <f t="shared" si="47"/>
        <v/>
      </c>
      <c r="HT89" s="1" t="str">
        <f t="shared" si="47"/>
        <v/>
      </c>
      <c r="HU89" s="1" t="str">
        <f t="shared" si="47"/>
        <v/>
      </c>
      <c r="HV89" s="1" t="str">
        <f t="shared" si="47"/>
        <v/>
      </c>
      <c r="HW89" s="1" t="str">
        <f t="shared" si="47"/>
        <v/>
      </c>
      <c r="HX89" s="1" t="str">
        <f t="shared" si="47"/>
        <v/>
      </c>
      <c r="HY89" s="1" t="str">
        <f t="shared" si="47"/>
        <v/>
      </c>
      <c r="HZ89" s="1" t="str">
        <f t="shared" si="47"/>
        <v/>
      </c>
      <c r="IA89" s="1" t="str">
        <f t="shared" si="47"/>
        <v/>
      </c>
      <c r="IB89" s="1" t="str">
        <f t="shared" si="47"/>
        <v/>
      </c>
      <c r="IC89" s="1" t="str">
        <f t="shared" si="47"/>
        <v/>
      </c>
      <c r="ID89" s="1" t="str">
        <f t="shared" si="47"/>
        <v/>
      </c>
      <c r="IE89" s="1" t="str">
        <f t="shared" si="47"/>
        <v/>
      </c>
      <c r="IF89" s="1" t="str">
        <f t="shared" si="56"/>
        <v/>
      </c>
      <c r="IG89" s="1" t="str">
        <f t="shared" si="56"/>
        <v/>
      </c>
      <c r="IH89" s="1" t="str">
        <f t="shared" si="53"/>
        <v/>
      </c>
      <c r="II89" s="1" t="str">
        <f t="shared" si="53"/>
        <v/>
      </c>
      <c r="IJ89" s="1" t="str">
        <f t="shared" si="53"/>
        <v/>
      </c>
      <c r="IK89" s="1" t="str">
        <f t="shared" si="53"/>
        <v/>
      </c>
      <c r="IL89" s="1" t="str">
        <f t="shared" si="53"/>
        <v/>
      </c>
      <c r="IM89" s="1" t="str">
        <f t="shared" si="53"/>
        <v/>
      </c>
      <c r="IN89" s="1" t="str">
        <f t="shared" si="53"/>
        <v/>
      </c>
      <c r="IO89" s="1" t="str">
        <f t="shared" si="53"/>
        <v/>
      </c>
      <c r="IP89" s="1" t="str">
        <f t="shared" si="53"/>
        <v/>
      </c>
      <c r="IQ89" s="1" t="str">
        <f t="shared" si="53"/>
        <v/>
      </c>
      <c r="IR89" s="1" t="str">
        <f t="shared" si="53"/>
        <v/>
      </c>
      <c r="IS89" s="1" t="str">
        <f t="shared" si="53"/>
        <v/>
      </c>
      <c r="IT89" s="1" t="str">
        <f t="shared" si="53"/>
        <v/>
      </c>
      <c r="IU89" s="1" t="str">
        <f t="shared" si="53"/>
        <v/>
      </c>
      <c r="IV89" s="1" t="str">
        <f t="shared" si="53"/>
        <v/>
      </c>
      <c r="IW89" s="1" t="str">
        <f t="shared" si="53"/>
        <v/>
      </c>
      <c r="IX89" s="1" t="str">
        <f t="shared" si="54"/>
        <v/>
      </c>
      <c r="IY89" s="1" t="str">
        <f t="shared" si="54"/>
        <v/>
      </c>
      <c r="IZ89" s="1" t="str">
        <f t="shared" si="54"/>
        <v/>
      </c>
      <c r="JA89" s="1" t="str">
        <f t="shared" si="54"/>
        <v/>
      </c>
      <c r="JB89" s="1" t="str">
        <f t="shared" si="54"/>
        <v/>
      </c>
      <c r="JC89" s="1" t="str">
        <f t="shared" si="43"/>
        <v/>
      </c>
      <c r="JD89" s="1" t="str">
        <f t="shared" si="43"/>
        <v/>
      </c>
      <c r="JE89" s="1" t="str">
        <f t="shared" si="43"/>
        <v/>
      </c>
      <c r="JF89" s="1" t="str">
        <f t="shared" si="43"/>
        <v/>
      </c>
      <c r="JG89" s="1" t="str">
        <f t="shared" si="37"/>
        <v/>
      </c>
      <c r="JH89" s="1" t="str">
        <f t="shared" si="37"/>
        <v/>
      </c>
      <c r="JI89" s="1" t="str">
        <f t="shared" si="37"/>
        <v/>
      </c>
      <c r="JJ89" s="1" t="str">
        <f t="shared" si="30"/>
        <v/>
      </c>
      <c r="JK89" s="1" t="str">
        <f t="shared" si="30"/>
        <v/>
      </c>
      <c r="JL89" s="1" t="str">
        <f t="shared" si="30"/>
        <v/>
      </c>
      <c r="JM89" s="1" t="str">
        <f t="shared" si="30"/>
        <v/>
      </c>
      <c r="JN89" s="1" t="str">
        <f t="shared" si="30"/>
        <v/>
      </c>
      <c r="JO89" s="1" t="str">
        <f t="shared" si="30"/>
        <v/>
      </c>
    </row>
    <row r="90" spans="1:275" ht="14.5" x14ac:dyDescent="0.35">
      <c r="A90" s="59" t="str">
        <f>IF('Data input'!A90&lt;&gt;"",'Data input'!A90,"")</f>
        <v/>
      </c>
      <c r="B90" s="15" t="str">
        <f>IF('Data input'!B90&lt;&gt;"",'Data input'!B90,"")</f>
        <v/>
      </c>
      <c r="C90" s="16" t="str">
        <f>IF('Data input'!C90="","",4*('Data input'!C90-'Data input'!C$108)/('Data input'!C$109-'Data input'!C$108)+1)</f>
        <v/>
      </c>
      <c r="D90" s="16" t="str">
        <f>IF('Data input'!D90="","",4*('Data input'!D90-'Data input'!D$108)/('Data input'!D$109-'Data input'!D$108)+1)</f>
        <v/>
      </c>
      <c r="E90" s="16" t="str">
        <f>IF('Data input'!E90="","",4*('Data input'!E90-'Data input'!E$108)/('Data input'!E$109-'Data input'!E$108)+1)</f>
        <v/>
      </c>
      <c r="F90" s="16" t="str">
        <f>IF('Data input'!F90="","",4*('Data input'!F90-'Data input'!F$108)/('Data input'!F$109-'Data input'!F$108)+1)</f>
        <v/>
      </c>
      <c r="G90" s="16" t="str">
        <f>IF('Data input'!G90="","",4*('Data input'!G90-'Data input'!G$108)/('Data input'!G$109-'Data input'!G$108)+1)</f>
        <v/>
      </c>
      <c r="H90" s="16" t="str">
        <f>IF('Data input'!H90="","",4*('Data input'!H90-'Data input'!H$108)/('Data input'!H$109-'Data input'!H$108)+1)</f>
        <v/>
      </c>
      <c r="I90" s="19" t="str">
        <f>IF('Data input'!I90="","",4*('Data input'!I90-'Data input'!I$108)/('Data input'!I$109-'Data input'!I$108)+1)</f>
        <v/>
      </c>
      <c r="J90" s="19" t="str">
        <f>IF('Data input'!J90="","",4*('Data input'!J90-'Data input'!J$108)/('Data input'!J$109-'Data input'!J$108)+1)</f>
        <v/>
      </c>
      <c r="K90" s="19" t="str">
        <f>IF('Data input'!K90="","",4*('Data input'!K90-'Data input'!K$108)/('Data input'!K$109-'Data input'!K$108)+1)</f>
        <v/>
      </c>
      <c r="L90" s="19" t="str">
        <f>IF('Data input'!L90="","",4*('Data input'!L90-'Data input'!L$108)/('Data input'!L$109-'Data input'!L$108)+1)</f>
        <v/>
      </c>
      <c r="M90" s="16" t="str">
        <f>IF('Data input'!M90="","",4*('Data input'!M90-'Data input'!M$108)/('Data input'!M$109-'Data input'!M$108)+1)</f>
        <v/>
      </c>
      <c r="N90" s="16" t="str">
        <f>IF('Data input'!N90="","",4*('Data input'!N90-'Data input'!N$108)/('Data input'!N$109-'Data input'!N$108)+1)</f>
        <v/>
      </c>
      <c r="O90" s="16" t="str">
        <f>IF('Data input'!O90="","",4*('Data input'!O90-'Data input'!O$108)/('Data input'!O$109-'Data input'!O$108)+1)</f>
        <v/>
      </c>
      <c r="P90" s="16" t="str">
        <f>IF('Data input'!P90="","",4*('Data input'!P90-'Data input'!P$108)/('Data input'!P$109-'Data input'!P$108)+1)</f>
        <v/>
      </c>
      <c r="Q90" s="16" t="str">
        <f>IF('Data input'!Q90="","",4*('Data input'!Q90-'Data input'!Q$108)/('Data input'!Q$109-'Data input'!Q$108)+1)</f>
        <v/>
      </c>
      <c r="R90" s="16" t="str">
        <f>IF('Data input'!R90="","",4*('Data input'!R90-'Data input'!R$108)/('Data input'!R$109-'Data input'!R$108)+1)</f>
        <v/>
      </c>
      <c r="S90" s="16" t="str">
        <f>IF('Data input'!S90="","",4*('Data input'!S90-'Data input'!S$108)/('Data input'!S$109-'Data input'!S$108)+1)</f>
        <v/>
      </c>
      <c r="T90" s="16" t="str">
        <f>IF('Data input'!T90="","",4*('Data input'!T90-'Data input'!T$108)/('Data input'!T$109-'Data input'!T$108)+1)</f>
        <v/>
      </c>
      <c r="U90" s="16" t="str">
        <f>IF('Data input'!U90="","",4*('Data input'!U90-'Data input'!U$108)/('Data input'!U$109-'Data input'!U$108)+1)</f>
        <v/>
      </c>
      <c r="V90" s="16" t="str">
        <f>IF('Data input'!V90="","",4*('Data input'!V90-'Data input'!V$108)/('Data input'!V$109-'Data input'!V$108)+1)</f>
        <v/>
      </c>
      <c r="W90" s="16" t="str">
        <f>IF('Data input'!W90="","",4*('Data input'!W90-'Data input'!W$108)/('Data input'!W$109-'Data input'!W$108)+1)</f>
        <v/>
      </c>
      <c r="X90" s="16" t="str">
        <f>IF('Data input'!X90="","",4*('Data input'!X90-'Data input'!X$108)/('Data input'!X$109-'Data input'!X$108)+1)</f>
        <v/>
      </c>
      <c r="Y90" s="16" t="str">
        <f>IF('Data input'!Y90="","",4*('Data input'!Y90-'Data input'!Y$108)/('Data input'!Y$109-'Data input'!Y$108)+1)</f>
        <v/>
      </c>
      <c r="Z90" s="16" t="str">
        <f>IF('Data input'!Z90="","",4*('Data input'!Z90-'Data input'!Z$108)/('Data input'!Z$109-'Data input'!Z$108)+1)</f>
        <v/>
      </c>
      <c r="AA90" s="62" t="str">
        <f>IF('Data input'!AA90="","",4*('Data input'!AA90-'Data input'!AA$108)/('Data input'!AA$109-'Data input'!AA$108)+1)</f>
        <v/>
      </c>
      <c r="AB90" s="78"/>
      <c r="AC90" s="79">
        <v>0</v>
      </c>
      <c r="AD90" s="80" t="e">
        <f t="shared" si="48"/>
        <v>#DIV/0!</v>
      </c>
      <c r="AE90" s="4"/>
      <c r="AF90" s="59" t="str">
        <f t="shared" si="40"/>
        <v/>
      </c>
      <c r="AG90" s="60" t="str">
        <f t="shared" si="40"/>
        <v/>
      </c>
      <c r="AH90"/>
      <c r="AI90"/>
      <c r="AJ90"/>
      <c r="AK90"/>
      <c r="AL90"/>
      <c r="AM90"/>
      <c r="AN90"/>
      <c r="AO90"/>
      <c r="AP90"/>
      <c r="AQ90"/>
      <c r="AR90"/>
      <c r="AS90" s="71" t="str">
        <f t="shared" si="44"/>
        <v/>
      </c>
      <c r="AT90" s="71" t="str">
        <f t="shared" si="44"/>
        <v/>
      </c>
      <c r="AU90" s="71" t="str">
        <f t="shared" si="44"/>
        <v/>
      </c>
      <c r="AV90" s="71" t="str">
        <f t="shared" si="44"/>
        <v/>
      </c>
      <c r="AW90" s="71" t="str">
        <f t="shared" si="44"/>
        <v/>
      </c>
      <c r="AX90" s="71" t="str">
        <f t="shared" si="45"/>
        <v/>
      </c>
      <c r="AY90" s="71" t="str">
        <f t="shared" si="45"/>
        <v/>
      </c>
      <c r="AZ90" s="71" t="str">
        <f t="shared" si="45"/>
        <v/>
      </c>
      <c r="BA90" s="71" t="str">
        <f t="shared" si="45"/>
        <v/>
      </c>
      <c r="BB90" s="71" t="str">
        <f t="shared" si="45"/>
        <v/>
      </c>
      <c r="BC90" s="18" t="str">
        <f>IF(C90&lt;&gt;"",(('Data input'!C$109-'Data input'!C$108)*(AS90-1)/4)+'Data input'!C$108,"")</f>
        <v/>
      </c>
      <c r="BD90" s="18" t="str">
        <f>IF(D90&lt;&gt;"",(('Data input'!D$109-'Data input'!D$108)*(AT90-1)/4)+'Data input'!D$108,"")</f>
        <v/>
      </c>
      <c r="BE90" s="18" t="str">
        <f>IF(E90&lt;&gt;"",(('Data input'!E$109-'Data input'!E$108)*(AU90-1)/4)+'Data input'!E$108,"")</f>
        <v/>
      </c>
      <c r="BF90" s="18" t="str">
        <f>IF(F90&lt;&gt;"",(('Data input'!F$109-'Data input'!F$108)*(AV90-1)/4)+'Data input'!F$108,"")</f>
        <v/>
      </c>
      <c r="BG90" s="18" t="str">
        <f>IF(G90&lt;&gt;"",(('Data input'!G$109-'Data input'!G$108)*(AW90-1)/4)+'Data input'!G$108,"")</f>
        <v/>
      </c>
      <c r="BH90" s="19" t="str">
        <f>IF(H90&lt;&gt;"",(('Data input'!H$109-'Data input'!H$108)*(AX90-1)/4)+'Data input'!H$108,"")</f>
        <v/>
      </c>
      <c r="BI90" s="18" t="str">
        <f>IF(I90&lt;&gt;"",(('Data input'!I$109-'Data input'!I$108)*(AY90-1)/4)+'Data input'!I$108,"")</f>
        <v/>
      </c>
      <c r="BJ90" s="19" t="str">
        <f>IF(J90&lt;&gt;"",(('Data input'!J$109-'Data input'!J$108)*(AZ90-1)/4)+'Data input'!J$108,"")</f>
        <v/>
      </c>
      <c r="BK90" s="19" t="str">
        <f>IF(K90&lt;&gt;"",(('Data input'!K$109-'Data input'!K$108)*(BA90-1)/4)+'Data input'!K$108,"")</f>
        <v/>
      </c>
      <c r="BL90" s="19" t="str">
        <f>IF(L90&lt;&gt;"",(('Data input'!L$109-'Data input'!L$108)*(BB90-1)/4)+'Data input'!L$108,"")</f>
        <v/>
      </c>
      <c r="BM90" s="18" t="str">
        <f>IF(C90&lt;&gt;"",BC90-'Data input'!C90,"")</f>
        <v/>
      </c>
      <c r="BN90" s="18" t="str">
        <f>IF(D90&lt;&gt;"",BD90-'Data input'!D90,"")</f>
        <v/>
      </c>
      <c r="BO90" s="18" t="str">
        <f>IF(E90&lt;&gt;"",BE90-'Data input'!E90,"")</f>
        <v/>
      </c>
      <c r="BP90" s="18" t="str">
        <f>IF(F90&lt;&gt;"",BF90-'Data input'!F90,"")</f>
        <v/>
      </c>
      <c r="BQ90" s="18" t="str">
        <f>IF(G90&lt;&gt;"",BG90-'Data input'!G90,"")</f>
        <v/>
      </c>
      <c r="BR90" s="19" t="str">
        <f>IF(H90&lt;&gt;"",BH90-'Data input'!H90,"")</f>
        <v/>
      </c>
      <c r="BS90" s="18" t="str">
        <f>IF(I90&lt;&gt;"",BI90-'Data input'!I90,"")</f>
        <v/>
      </c>
      <c r="BT90" s="18" t="str">
        <f>IF(J90&lt;&gt;"",BJ90-'Data input'!J90,"")</f>
        <v/>
      </c>
      <c r="BU90" s="18" t="str">
        <f>IF(K90&lt;&gt;"",BK90-'Data input'!K90,"")</f>
        <v/>
      </c>
      <c r="BV90" s="72" t="str">
        <f>IF(L90&lt;&gt;"",BL90-'Data input'!L90,"")</f>
        <v/>
      </c>
      <c r="BW90" s="121" t="str">
        <f t="shared" si="49"/>
        <v/>
      </c>
      <c r="FT90" s="1" t="str">
        <f t="shared" si="57"/>
        <v/>
      </c>
      <c r="FU90" s="1" t="str">
        <f t="shared" si="55"/>
        <v/>
      </c>
      <c r="FV90" s="1" t="str">
        <f t="shared" si="55"/>
        <v/>
      </c>
      <c r="FW90" s="1" t="str">
        <f t="shared" si="55"/>
        <v/>
      </c>
      <c r="FX90" s="1" t="str">
        <f t="shared" si="55"/>
        <v/>
      </c>
      <c r="FY90" s="1" t="str">
        <f t="shared" si="55"/>
        <v/>
      </c>
      <c r="FZ90" s="1" t="str">
        <f t="shared" si="55"/>
        <v/>
      </c>
      <c r="GA90" s="1" t="str">
        <f t="shared" si="55"/>
        <v/>
      </c>
      <c r="GB90" s="1" t="str">
        <f t="shared" si="55"/>
        <v/>
      </c>
      <c r="GC90" s="1" t="str">
        <f t="shared" si="55"/>
        <v/>
      </c>
      <c r="GD90" s="1" t="str">
        <f t="shared" si="55"/>
        <v/>
      </c>
      <c r="GE90" s="1" t="str">
        <f t="shared" si="55"/>
        <v/>
      </c>
      <c r="GF90" s="1" t="str">
        <f t="shared" si="55"/>
        <v/>
      </c>
      <c r="GG90" s="1" t="str">
        <f t="shared" si="55"/>
        <v/>
      </c>
      <c r="GH90" s="1" t="str">
        <f t="shared" si="55"/>
        <v/>
      </c>
      <c r="GI90" s="1" t="str">
        <f t="shared" si="55"/>
        <v/>
      </c>
      <c r="GJ90" s="1" t="str">
        <f t="shared" si="51"/>
        <v/>
      </c>
      <c r="GK90" s="1" t="str">
        <f t="shared" si="51"/>
        <v/>
      </c>
      <c r="GL90" s="1" t="str">
        <f t="shared" si="51"/>
        <v/>
      </c>
      <c r="GM90" s="1" t="str">
        <f t="shared" si="51"/>
        <v/>
      </c>
      <c r="GN90" s="1" t="str">
        <f t="shared" si="51"/>
        <v/>
      </c>
      <c r="GO90" s="1" t="str">
        <f t="shared" si="51"/>
        <v/>
      </c>
      <c r="GP90" s="1" t="str">
        <f t="shared" si="51"/>
        <v/>
      </c>
      <c r="GQ90" s="1" t="str">
        <f t="shared" si="51"/>
        <v/>
      </c>
      <c r="GR90" s="1" t="str">
        <f t="shared" si="51"/>
        <v/>
      </c>
      <c r="GS90" s="1" t="str">
        <f t="shared" si="51"/>
        <v/>
      </c>
      <c r="GT90" s="1" t="str">
        <f t="shared" si="50"/>
        <v/>
      </c>
      <c r="GU90" s="1" t="str">
        <f t="shared" si="50"/>
        <v/>
      </c>
      <c r="GV90" s="1" t="str">
        <f t="shared" si="50"/>
        <v/>
      </c>
      <c r="GW90" s="1" t="str">
        <f t="shared" si="50"/>
        <v/>
      </c>
      <c r="GX90" s="1" t="str">
        <f t="shared" si="50"/>
        <v/>
      </c>
      <c r="GY90" s="1" t="str">
        <f t="shared" si="50"/>
        <v/>
      </c>
      <c r="GZ90" s="1" t="str">
        <f t="shared" si="50"/>
        <v/>
      </c>
      <c r="HA90" s="1" t="str">
        <f t="shared" si="50"/>
        <v/>
      </c>
      <c r="HB90" s="1" t="str">
        <f t="shared" si="50"/>
        <v/>
      </c>
      <c r="HC90" s="1" t="str">
        <f t="shared" si="50"/>
        <v/>
      </c>
      <c r="HD90" s="1" t="str">
        <f t="shared" si="50"/>
        <v/>
      </c>
      <c r="HE90" s="1" t="str">
        <f t="shared" si="50"/>
        <v/>
      </c>
      <c r="HF90" s="1" t="str">
        <f t="shared" si="50"/>
        <v/>
      </c>
      <c r="HG90" s="1" t="str">
        <f t="shared" si="50"/>
        <v/>
      </c>
      <c r="HH90" s="1" t="str">
        <f t="shared" si="50"/>
        <v/>
      </c>
      <c r="HI90" s="1" t="str">
        <f t="shared" si="50"/>
        <v/>
      </c>
      <c r="HJ90" s="1" t="str">
        <f t="shared" si="58"/>
        <v/>
      </c>
      <c r="HK90" s="1" t="str">
        <f t="shared" si="58"/>
        <v/>
      </c>
      <c r="HL90" s="1" t="str">
        <f t="shared" si="58"/>
        <v/>
      </c>
      <c r="HM90" s="1" t="str">
        <f t="shared" si="58"/>
        <v/>
      </c>
      <c r="HN90" s="1" t="str">
        <f t="shared" si="58"/>
        <v/>
      </c>
      <c r="HO90" s="1" t="str">
        <f t="shared" si="52"/>
        <v/>
      </c>
      <c r="HP90" s="1" t="str">
        <f t="shared" si="47"/>
        <v/>
      </c>
      <c r="HQ90" s="1" t="str">
        <f t="shared" si="47"/>
        <v/>
      </c>
      <c r="HR90" s="1" t="str">
        <f t="shared" si="47"/>
        <v/>
      </c>
      <c r="HS90" s="1" t="str">
        <f t="shared" si="47"/>
        <v/>
      </c>
      <c r="HT90" s="1" t="str">
        <f t="shared" si="47"/>
        <v/>
      </c>
      <c r="HU90" s="1" t="str">
        <f t="shared" si="47"/>
        <v/>
      </c>
      <c r="HV90" s="1" t="str">
        <f t="shared" si="47"/>
        <v/>
      </c>
      <c r="HW90" s="1" t="str">
        <f t="shared" si="47"/>
        <v/>
      </c>
      <c r="HX90" s="1" t="str">
        <f t="shared" si="47"/>
        <v/>
      </c>
      <c r="HY90" s="1" t="str">
        <f t="shared" si="47"/>
        <v/>
      </c>
      <c r="HZ90" s="1" t="str">
        <f t="shared" si="47"/>
        <v/>
      </c>
      <c r="IA90" s="1" t="str">
        <f t="shared" si="47"/>
        <v/>
      </c>
      <c r="IB90" s="1" t="str">
        <f t="shared" si="47"/>
        <v/>
      </c>
      <c r="IC90" s="1" t="str">
        <f t="shared" si="47"/>
        <v/>
      </c>
      <c r="ID90" s="1" t="str">
        <f t="shared" si="47"/>
        <v/>
      </c>
      <c r="IE90" s="1" t="str">
        <f t="shared" si="47"/>
        <v/>
      </c>
      <c r="IF90" s="1" t="str">
        <f t="shared" si="56"/>
        <v/>
      </c>
      <c r="IG90" s="1" t="str">
        <f t="shared" si="56"/>
        <v/>
      </c>
      <c r="IH90" s="1" t="str">
        <f t="shared" si="53"/>
        <v/>
      </c>
      <c r="II90" s="1" t="str">
        <f t="shared" si="53"/>
        <v/>
      </c>
      <c r="IJ90" s="1" t="str">
        <f t="shared" si="53"/>
        <v/>
      </c>
      <c r="IK90" s="1" t="str">
        <f t="shared" si="53"/>
        <v/>
      </c>
      <c r="IL90" s="1" t="str">
        <f t="shared" si="53"/>
        <v/>
      </c>
      <c r="IM90" s="1" t="str">
        <f t="shared" si="53"/>
        <v/>
      </c>
      <c r="IN90" s="1" t="str">
        <f t="shared" si="53"/>
        <v/>
      </c>
      <c r="IO90" s="1" t="str">
        <f t="shared" si="53"/>
        <v/>
      </c>
      <c r="IP90" s="1" t="str">
        <f t="shared" si="53"/>
        <v/>
      </c>
      <c r="IQ90" s="1" t="str">
        <f t="shared" si="53"/>
        <v/>
      </c>
      <c r="IR90" s="1" t="str">
        <f t="shared" si="53"/>
        <v/>
      </c>
      <c r="IS90" s="1" t="str">
        <f t="shared" si="53"/>
        <v/>
      </c>
      <c r="IT90" s="1" t="str">
        <f t="shared" si="53"/>
        <v/>
      </c>
      <c r="IU90" s="1" t="str">
        <f t="shared" si="53"/>
        <v/>
      </c>
      <c r="IV90" s="1" t="str">
        <f t="shared" si="53"/>
        <v/>
      </c>
      <c r="IW90" s="1" t="str">
        <f t="shared" si="53"/>
        <v/>
      </c>
      <c r="IX90" s="1" t="str">
        <f t="shared" si="54"/>
        <v/>
      </c>
      <c r="IY90" s="1" t="str">
        <f t="shared" si="54"/>
        <v/>
      </c>
      <c r="IZ90" s="1" t="str">
        <f t="shared" si="54"/>
        <v/>
      </c>
      <c r="JA90" s="1" t="str">
        <f t="shared" si="54"/>
        <v/>
      </c>
      <c r="JB90" s="1" t="str">
        <f t="shared" si="54"/>
        <v/>
      </c>
      <c r="JC90" s="1" t="str">
        <f t="shared" si="43"/>
        <v/>
      </c>
      <c r="JD90" s="1" t="str">
        <f t="shared" si="43"/>
        <v/>
      </c>
      <c r="JE90" s="1" t="str">
        <f t="shared" si="43"/>
        <v/>
      </c>
      <c r="JF90" s="1" t="str">
        <f t="shared" si="43"/>
        <v/>
      </c>
      <c r="JG90" s="1" t="str">
        <f t="shared" si="37"/>
        <v/>
      </c>
      <c r="JH90" s="1" t="str">
        <f t="shared" si="37"/>
        <v/>
      </c>
      <c r="JI90" s="1" t="str">
        <f t="shared" si="37"/>
        <v/>
      </c>
      <c r="JJ90" s="1" t="str">
        <f t="shared" si="30"/>
        <v/>
      </c>
      <c r="JK90" s="1" t="str">
        <f t="shared" si="30"/>
        <v/>
      </c>
      <c r="JL90" s="1" t="str">
        <f t="shared" si="30"/>
        <v/>
      </c>
      <c r="JM90" s="1" t="str">
        <f t="shared" si="30"/>
        <v/>
      </c>
      <c r="JN90" s="1" t="str">
        <f t="shared" si="30"/>
        <v/>
      </c>
      <c r="JO90" s="1" t="str">
        <f t="shared" si="30"/>
        <v/>
      </c>
    </row>
    <row r="91" spans="1:275" ht="14.5" x14ac:dyDescent="0.35">
      <c r="A91" s="59" t="str">
        <f>IF('Data input'!A91&lt;&gt;"",'Data input'!A91,"")</f>
        <v/>
      </c>
      <c r="B91" s="15" t="str">
        <f>IF('Data input'!B91&lt;&gt;"",'Data input'!B91,"")</f>
        <v/>
      </c>
      <c r="C91" s="16" t="str">
        <f>IF('Data input'!C91="","",4*('Data input'!C91-'Data input'!C$108)/('Data input'!C$109-'Data input'!C$108)+1)</f>
        <v/>
      </c>
      <c r="D91" s="16" t="str">
        <f>IF('Data input'!D91="","",4*('Data input'!D91-'Data input'!D$108)/('Data input'!D$109-'Data input'!D$108)+1)</f>
        <v/>
      </c>
      <c r="E91" s="16" t="str">
        <f>IF('Data input'!E91="","",4*('Data input'!E91-'Data input'!E$108)/('Data input'!E$109-'Data input'!E$108)+1)</f>
        <v/>
      </c>
      <c r="F91" s="16" t="str">
        <f>IF('Data input'!F91="","",4*('Data input'!F91-'Data input'!F$108)/('Data input'!F$109-'Data input'!F$108)+1)</f>
        <v/>
      </c>
      <c r="G91" s="16" t="str">
        <f>IF('Data input'!G91="","",4*('Data input'!G91-'Data input'!G$108)/('Data input'!G$109-'Data input'!G$108)+1)</f>
        <v/>
      </c>
      <c r="H91" s="16" t="str">
        <f>IF('Data input'!H91="","",4*('Data input'!H91-'Data input'!H$108)/('Data input'!H$109-'Data input'!H$108)+1)</f>
        <v/>
      </c>
      <c r="I91" s="19" t="str">
        <f>IF('Data input'!I91="","",4*('Data input'!I91-'Data input'!I$108)/('Data input'!I$109-'Data input'!I$108)+1)</f>
        <v/>
      </c>
      <c r="J91" s="19" t="str">
        <f>IF('Data input'!J91="","",4*('Data input'!J91-'Data input'!J$108)/('Data input'!J$109-'Data input'!J$108)+1)</f>
        <v/>
      </c>
      <c r="K91" s="19" t="str">
        <f>IF('Data input'!K91="","",4*('Data input'!K91-'Data input'!K$108)/('Data input'!K$109-'Data input'!K$108)+1)</f>
        <v/>
      </c>
      <c r="L91" s="19" t="str">
        <f>IF('Data input'!L91="","",4*('Data input'!L91-'Data input'!L$108)/('Data input'!L$109-'Data input'!L$108)+1)</f>
        <v/>
      </c>
      <c r="M91" s="16" t="str">
        <f>IF('Data input'!M91="","",4*('Data input'!M91-'Data input'!M$108)/('Data input'!M$109-'Data input'!M$108)+1)</f>
        <v/>
      </c>
      <c r="N91" s="16" t="str">
        <f>IF('Data input'!N91="","",4*('Data input'!N91-'Data input'!N$108)/('Data input'!N$109-'Data input'!N$108)+1)</f>
        <v/>
      </c>
      <c r="O91" s="16" t="str">
        <f>IF('Data input'!O91="","",4*('Data input'!O91-'Data input'!O$108)/('Data input'!O$109-'Data input'!O$108)+1)</f>
        <v/>
      </c>
      <c r="P91" s="16" t="str">
        <f>IF('Data input'!P91="","",4*('Data input'!P91-'Data input'!P$108)/('Data input'!P$109-'Data input'!P$108)+1)</f>
        <v/>
      </c>
      <c r="Q91" s="16" t="str">
        <f>IF('Data input'!Q91="","",4*('Data input'!Q91-'Data input'!Q$108)/('Data input'!Q$109-'Data input'!Q$108)+1)</f>
        <v/>
      </c>
      <c r="R91" s="16" t="str">
        <f>IF('Data input'!R91="","",4*('Data input'!R91-'Data input'!R$108)/('Data input'!R$109-'Data input'!R$108)+1)</f>
        <v/>
      </c>
      <c r="S91" s="16" t="str">
        <f>IF('Data input'!S91="","",4*('Data input'!S91-'Data input'!S$108)/('Data input'!S$109-'Data input'!S$108)+1)</f>
        <v/>
      </c>
      <c r="T91" s="16" t="str">
        <f>IF('Data input'!T91="","",4*('Data input'!T91-'Data input'!T$108)/('Data input'!T$109-'Data input'!T$108)+1)</f>
        <v/>
      </c>
      <c r="U91" s="16" t="str">
        <f>IF('Data input'!U91="","",4*('Data input'!U91-'Data input'!U$108)/('Data input'!U$109-'Data input'!U$108)+1)</f>
        <v/>
      </c>
      <c r="V91" s="16" t="str">
        <f>IF('Data input'!V91="","",4*('Data input'!V91-'Data input'!V$108)/('Data input'!V$109-'Data input'!V$108)+1)</f>
        <v/>
      </c>
      <c r="W91" s="16" t="str">
        <f>IF('Data input'!W91="","",4*('Data input'!W91-'Data input'!W$108)/('Data input'!W$109-'Data input'!W$108)+1)</f>
        <v/>
      </c>
      <c r="X91" s="16" t="str">
        <f>IF('Data input'!X91="","",4*('Data input'!X91-'Data input'!X$108)/('Data input'!X$109-'Data input'!X$108)+1)</f>
        <v/>
      </c>
      <c r="Y91" s="16" t="str">
        <f>IF('Data input'!Y91="","",4*('Data input'!Y91-'Data input'!Y$108)/('Data input'!Y$109-'Data input'!Y$108)+1)</f>
        <v/>
      </c>
      <c r="Z91" s="16" t="str">
        <f>IF('Data input'!Z91="","",4*('Data input'!Z91-'Data input'!Z$108)/('Data input'!Z$109-'Data input'!Z$108)+1)</f>
        <v/>
      </c>
      <c r="AA91" s="62" t="str">
        <f>IF('Data input'!AA91="","",4*('Data input'!AA91-'Data input'!AA$108)/('Data input'!AA$109-'Data input'!AA$108)+1)</f>
        <v/>
      </c>
      <c r="AB91" s="78"/>
      <c r="AC91" s="79">
        <v>0</v>
      </c>
      <c r="AD91" s="80" t="e">
        <f t="shared" si="48"/>
        <v>#DIV/0!</v>
      </c>
      <c r="AE91" s="4"/>
      <c r="AF91" s="59" t="str">
        <f t="shared" si="40"/>
        <v/>
      </c>
      <c r="AG91" s="60" t="str">
        <f t="shared" si="40"/>
        <v/>
      </c>
      <c r="AH91"/>
      <c r="AI91"/>
      <c r="AJ91"/>
      <c r="AK91"/>
      <c r="AL91"/>
      <c r="AM91"/>
      <c r="AN91"/>
      <c r="AO91"/>
      <c r="AP91"/>
      <c r="AQ91"/>
      <c r="AR91"/>
      <c r="AS91" s="71" t="str">
        <f t="shared" si="44"/>
        <v/>
      </c>
      <c r="AT91" s="71" t="str">
        <f t="shared" si="44"/>
        <v/>
      </c>
      <c r="AU91" s="71" t="str">
        <f t="shared" si="44"/>
        <v/>
      </c>
      <c r="AV91" s="71" t="str">
        <f t="shared" si="44"/>
        <v/>
      </c>
      <c r="AW91" s="71" t="str">
        <f t="shared" si="44"/>
        <v/>
      </c>
      <c r="AX91" s="71" t="str">
        <f t="shared" si="45"/>
        <v/>
      </c>
      <c r="AY91" s="71" t="str">
        <f t="shared" si="45"/>
        <v/>
      </c>
      <c r="AZ91" s="71" t="str">
        <f t="shared" si="45"/>
        <v/>
      </c>
      <c r="BA91" s="71" t="str">
        <f t="shared" si="45"/>
        <v/>
      </c>
      <c r="BB91" s="71" t="str">
        <f t="shared" si="45"/>
        <v/>
      </c>
      <c r="BC91" s="18" t="str">
        <f>IF(C91&lt;&gt;"",(('Data input'!C$109-'Data input'!C$108)*(AS91-1)/4)+'Data input'!C$108,"")</f>
        <v/>
      </c>
      <c r="BD91" s="18" t="str">
        <f>IF(D91&lt;&gt;"",(('Data input'!D$109-'Data input'!D$108)*(AT91-1)/4)+'Data input'!D$108,"")</f>
        <v/>
      </c>
      <c r="BE91" s="18" t="str">
        <f>IF(E91&lt;&gt;"",(('Data input'!E$109-'Data input'!E$108)*(AU91-1)/4)+'Data input'!E$108,"")</f>
        <v/>
      </c>
      <c r="BF91" s="18" t="str">
        <f>IF(F91&lt;&gt;"",(('Data input'!F$109-'Data input'!F$108)*(AV91-1)/4)+'Data input'!F$108,"")</f>
        <v/>
      </c>
      <c r="BG91" s="18" t="str">
        <f>IF(G91&lt;&gt;"",(('Data input'!G$109-'Data input'!G$108)*(AW91-1)/4)+'Data input'!G$108,"")</f>
        <v/>
      </c>
      <c r="BH91" s="19" t="str">
        <f>IF(H91&lt;&gt;"",(('Data input'!H$109-'Data input'!H$108)*(AX91-1)/4)+'Data input'!H$108,"")</f>
        <v/>
      </c>
      <c r="BI91" s="18" t="str">
        <f>IF(I91&lt;&gt;"",(('Data input'!I$109-'Data input'!I$108)*(AY91-1)/4)+'Data input'!I$108,"")</f>
        <v/>
      </c>
      <c r="BJ91" s="19" t="str">
        <f>IF(J91&lt;&gt;"",(('Data input'!J$109-'Data input'!J$108)*(AZ91-1)/4)+'Data input'!J$108,"")</f>
        <v/>
      </c>
      <c r="BK91" s="19" t="str">
        <f>IF(K91&lt;&gt;"",(('Data input'!K$109-'Data input'!K$108)*(BA91-1)/4)+'Data input'!K$108,"")</f>
        <v/>
      </c>
      <c r="BL91" s="19" t="str">
        <f>IF(L91&lt;&gt;"",(('Data input'!L$109-'Data input'!L$108)*(BB91-1)/4)+'Data input'!L$108,"")</f>
        <v/>
      </c>
      <c r="BM91" s="18" t="str">
        <f>IF(C91&lt;&gt;"",BC91-'Data input'!C91,"")</f>
        <v/>
      </c>
      <c r="BN91" s="18" t="str">
        <f>IF(D91&lt;&gt;"",BD91-'Data input'!D91,"")</f>
        <v/>
      </c>
      <c r="BO91" s="18" t="str">
        <f>IF(E91&lt;&gt;"",BE91-'Data input'!E91,"")</f>
        <v/>
      </c>
      <c r="BP91" s="18" t="str">
        <f>IF(F91&lt;&gt;"",BF91-'Data input'!F91,"")</f>
        <v/>
      </c>
      <c r="BQ91" s="18" t="str">
        <f>IF(G91&lt;&gt;"",BG91-'Data input'!G91,"")</f>
        <v/>
      </c>
      <c r="BR91" s="19" t="str">
        <f>IF(H91&lt;&gt;"",BH91-'Data input'!H91,"")</f>
        <v/>
      </c>
      <c r="BS91" s="18" t="str">
        <f>IF(I91&lt;&gt;"",BI91-'Data input'!I91,"")</f>
        <v/>
      </c>
      <c r="BT91" s="18" t="str">
        <f>IF(J91&lt;&gt;"",BJ91-'Data input'!J91,"")</f>
        <v/>
      </c>
      <c r="BU91" s="18" t="str">
        <f>IF(K91&lt;&gt;"",BK91-'Data input'!K91,"")</f>
        <v/>
      </c>
      <c r="BV91" s="72" t="str">
        <f>IF(L91&lt;&gt;"",BL91-'Data input'!L91,"")</f>
        <v/>
      </c>
      <c r="BW91" s="121" t="str">
        <f t="shared" si="49"/>
        <v/>
      </c>
      <c r="FT91" s="1" t="str">
        <f t="shared" si="57"/>
        <v/>
      </c>
      <c r="FU91" s="1" t="str">
        <f t="shared" si="55"/>
        <v/>
      </c>
      <c r="FV91" s="1" t="str">
        <f t="shared" si="55"/>
        <v/>
      </c>
      <c r="FW91" s="1" t="str">
        <f t="shared" si="55"/>
        <v/>
      </c>
      <c r="FX91" s="1" t="str">
        <f t="shared" si="55"/>
        <v/>
      </c>
      <c r="FY91" s="1" t="str">
        <f t="shared" si="55"/>
        <v/>
      </c>
      <c r="FZ91" s="1" t="str">
        <f t="shared" si="55"/>
        <v/>
      </c>
      <c r="GA91" s="1" t="str">
        <f t="shared" si="55"/>
        <v/>
      </c>
      <c r="GB91" s="1" t="str">
        <f t="shared" si="55"/>
        <v/>
      </c>
      <c r="GC91" s="1" t="str">
        <f t="shared" si="55"/>
        <v/>
      </c>
      <c r="GD91" s="1" t="str">
        <f t="shared" si="55"/>
        <v/>
      </c>
      <c r="GE91" s="1" t="str">
        <f t="shared" si="55"/>
        <v/>
      </c>
      <c r="GF91" s="1" t="str">
        <f t="shared" si="55"/>
        <v/>
      </c>
      <c r="GG91" s="1" t="str">
        <f t="shared" si="55"/>
        <v/>
      </c>
      <c r="GH91" s="1" t="str">
        <f t="shared" si="55"/>
        <v/>
      </c>
      <c r="GI91" s="1" t="str">
        <f t="shared" si="55"/>
        <v/>
      </c>
      <c r="GJ91" s="1" t="str">
        <f t="shared" si="51"/>
        <v/>
      </c>
      <c r="GK91" s="1" t="str">
        <f t="shared" si="51"/>
        <v/>
      </c>
      <c r="GL91" s="1" t="str">
        <f t="shared" si="51"/>
        <v/>
      </c>
      <c r="GM91" s="1" t="str">
        <f t="shared" si="51"/>
        <v/>
      </c>
      <c r="GN91" s="1" t="str">
        <f t="shared" si="51"/>
        <v/>
      </c>
      <c r="GO91" s="1" t="str">
        <f t="shared" si="51"/>
        <v/>
      </c>
      <c r="GP91" s="1" t="str">
        <f t="shared" si="51"/>
        <v/>
      </c>
      <c r="GQ91" s="1" t="str">
        <f t="shared" si="51"/>
        <v/>
      </c>
      <c r="GR91" s="1" t="str">
        <f t="shared" si="51"/>
        <v/>
      </c>
      <c r="GS91" s="1" t="str">
        <f t="shared" si="51"/>
        <v/>
      </c>
      <c r="GT91" s="1" t="str">
        <f t="shared" si="50"/>
        <v/>
      </c>
      <c r="GU91" s="1" t="str">
        <f t="shared" si="50"/>
        <v/>
      </c>
      <c r="GV91" s="1" t="str">
        <f t="shared" si="50"/>
        <v/>
      </c>
      <c r="GW91" s="1" t="str">
        <f t="shared" si="50"/>
        <v/>
      </c>
      <c r="GX91" s="1" t="str">
        <f t="shared" si="50"/>
        <v/>
      </c>
      <c r="GY91" s="1" t="str">
        <f t="shared" si="50"/>
        <v/>
      </c>
      <c r="GZ91" s="1" t="str">
        <f t="shared" si="50"/>
        <v/>
      </c>
      <c r="HA91" s="1" t="str">
        <f t="shared" si="50"/>
        <v/>
      </c>
      <c r="HB91" s="1" t="str">
        <f t="shared" si="50"/>
        <v/>
      </c>
      <c r="HC91" s="1" t="str">
        <f t="shared" si="50"/>
        <v/>
      </c>
      <c r="HD91" s="1" t="str">
        <f t="shared" si="50"/>
        <v/>
      </c>
      <c r="HE91" s="1" t="str">
        <f t="shared" si="50"/>
        <v/>
      </c>
      <c r="HF91" s="1" t="str">
        <f t="shared" si="50"/>
        <v/>
      </c>
      <c r="HG91" s="1" t="str">
        <f t="shared" si="50"/>
        <v/>
      </c>
      <c r="HH91" s="1" t="str">
        <f t="shared" si="50"/>
        <v/>
      </c>
      <c r="HI91" s="1" t="str">
        <f t="shared" si="50"/>
        <v/>
      </c>
      <c r="HJ91" s="1" t="str">
        <f t="shared" si="58"/>
        <v/>
      </c>
      <c r="HK91" s="1" t="str">
        <f t="shared" si="58"/>
        <v/>
      </c>
      <c r="HL91" s="1" t="str">
        <f t="shared" si="58"/>
        <v/>
      </c>
      <c r="HM91" s="1" t="str">
        <f t="shared" si="58"/>
        <v/>
      </c>
      <c r="HN91" s="1" t="str">
        <f t="shared" si="58"/>
        <v/>
      </c>
      <c r="HO91" s="1" t="str">
        <f t="shared" si="52"/>
        <v/>
      </c>
      <c r="HP91" s="1" t="str">
        <f t="shared" si="47"/>
        <v/>
      </c>
      <c r="HQ91" s="1" t="str">
        <f t="shared" si="47"/>
        <v/>
      </c>
      <c r="HR91" s="1" t="str">
        <f t="shared" si="47"/>
        <v/>
      </c>
      <c r="HS91" s="1" t="str">
        <f t="shared" si="47"/>
        <v/>
      </c>
      <c r="HT91" s="1" t="str">
        <f t="shared" si="47"/>
        <v/>
      </c>
      <c r="HU91" s="1" t="str">
        <f t="shared" si="47"/>
        <v/>
      </c>
      <c r="HV91" s="1" t="str">
        <f t="shared" si="47"/>
        <v/>
      </c>
      <c r="HW91" s="1" t="str">
        <f t="shared" si="47"/>
        <v/>
      </c>
      <c r="HX91" s="1" t="str">
        <f t="shared" si="47"/>
        <v/>
      </c>
      <c r="HY91" s="1" t="str">
        <f t="shared" si="47"/>
        <v/>
      </c>
      <c r="HZ91" s="1" t="str">
        <f t="shared" si="47"/>
        <v/>
      </c>
      <c r="IA91" s="1" t="str">
        <f t="shared" si="47"/>
        <v/>
      </c>
      <c r="IB91" s="1" t="str">
        <f t="shared" si="47"/>
        <v/>
      </c>
      <c r="IC91" s="1" t="str">
        <f t="shared" si="47"/>
        <v/>
      </c>
      <c r="ID91" s="1" t="str">
        <f t="shared" si="47"/>
        <v/>
      </c>
      <c r="IE91" s="1" t="str">
        <f t="shared" ref="IE91:IE102" si="59">IF(EI91&gt;0.0001,CONCATENATE(EI$2,"; "),"")</f>
        <v/>
      </c>
      <c r="IF91" s="1" t="str">
        <f t="shared" si="56"/>
        <v/>
      </c>
      <c r="IG91" s="1" t="str">
        <f t="shared" si="56"/>
        <v/>
      </c>
      <c r="IH91" s="1" t="str">
        <f t="shared" si="53"/>
        <v/>
      </c>
      <c r="II91" s="1" t="str">
        <f t="shared" si="53"/>
        <v/>
      </c>
      <c r="IJ91" s="1" t="str">
        <f t="shared" si="53"/>
        <v/>
      </c>
      <c r="IK91" s="1" t="str">
        <f t="shared" si="53"/>
        <v/>
      </c>
      <c r="IL91" s="1" t="str">
        <f t="shared" si="53"/>
        <v/>
      </c>
      <c r="IM91" s="1" t="str">
        <f t="shared" si="53"/>
        <v/>
      </c>
      <c r="IN91" s="1" t="str">
        <f t="shared" si="53"/>
        <v/>
      </c>
      <c r="IO91" s="1" t="str">
        <f t="shared" si="53"/>
        <v/>
      </c>
      <c r="IP91" s="1" t="str">
        <f t="shared" si="53"/>
        <v/>
      </c>
      <c r="IQ91" s="1" t="str">
        <f t="shared" si="53"/>
        <v/>
      </c>
      <c r="IR91" s="1" t="str">
        <f t="shared" si="53"/>
        <v/>
      </c>
      <c r="IS91" s="1" t="str">
        <f t="shared" si="53"/>
        <v/>
      </c>
      <c r="IT91" s="1" t="str">
        <f t="shared" si="53"/>
        <v/>
      </c>
      <c r="IU91" s="1" t="str">
        <f t="shared" si="53"/>
        <v/>
      </c>
      <c r="IV91" s="1" t="str">
        <f t="shared" si="53"/>
        <v/>
      </c>
      <c r="IW91" s="1" t="str">
        <f t="shared" si="53"/>
        <v/>
      </c>
      <c r="IX91" s="1" t="str">
        <f t="shared" si="54"/>
        <v/>
      </c>
      <c r="IY91" s="1" t="str">
        <f t="shared" si="54"/>
        <v/>
      </c>
      <c r="IZ91" s="1" t="str">
        <f t="shared" si="54"/>
        <v/>
      </c>
      <c r="JA91" s="1" t="str">
        <f t="shared" si="54"/>
        <v/>
      </c>
      <c r="JB91" s="1" t="str">
        <f t="shared" si="54"/>
        <v/>
      </c>
      <c r="JC91" s="1" t="str">
        <f t="shared" si="43"/>
        <v/>
      </c>
      <c r="JD91" s="1" t="str">
        <f t="shared" si="43"/>
        <v/>
      </c>
      <c r="JE91" s="1" t="str">
        <f t="shared" si="43"/>
        <v/>
      </c>
      <c r="JF91" s="1" t="str">
        <f t="shared" si="43"/>
        <v/>
      </c>
      <c r="JG91" s="1" t="str">
        <f t="shared" si="37"/>
        <v/>
      </c>
      <c r="JH91" s="1" t="str">
        <f t="shared" si="37"/>
        <v/>
      </c>
      <c r="JI91" s="1" t="str">
        <f t="shared" si="37"/>
        <v/>
      </c>
      <c r="JJ91" s="1" t="str">
        <f t="shared" si="30"/>
        <v/>
      </c>
      <c r="JK91" s="1" t="str">
        <f t="shared" si="30"/>
        <v/>
      </c>
      <c r="JL91" s="1" t="str">
        <f t="shared" si="30"/>
        <v/>
      </c>
      <c r="JM91" s="1" t="str">
        <f t="shared" si="30"/>
        <v/>
      </c>
      <c r="JN91" s="1" t="str">
        <f t="shared" si="30"/>
        <v/>
      </c>
      <c r="JO91" s="1" t="str">
        <f t="shared" si="30"/>
        <v/>
      </c>
    </row>
    <row r="92" spans="1:275" ht="14.5" x14ac:dyDescent="0.35">
      <c r="A92" s="59" t="str">
        <f>IF('Data input'!A92&lt;&gt;"",'Data input'!A92,"")</f>
        <v/>
      </c>
      <c r="B92" s="15" t="str">
        <f>IF('Data input'!B92&lt;&gt;"",'Data input'!B92,"")</f>
        <v/>
      </c>
      <c r="C92" s="16" t="str">
        <f>IF('Data input'!C92="","",4*('Data input'!C92-'Data input'!C$108)/('Data input'!C$109-'Data input'!C$108)+1)</f>
        <v/>
      </c>
      <c r="D92" s="16" t="str">
        <f>IF('Data input'!D92="","",4*('Data input'!D92-'Data input'!D$108)/('Data input'!D$109-'Data input'!D$108)+1)</f>
        <v/>
      </c>
      <c r="E92" s="16" t="str">
        <f>IF('Data input'!E92="","",4*('Data input'!E92-'Data input'!E$108)/('Data input'!E$109-'Data input'!E$108)+1)</f>
        <v/>
      </c>
      <c r="F92" s="16" t="str">
        <f>IF('Data input'!F92="","",4*('Data input'!F92-'Data input'!F$108)/('Data input'!F$109-'Data input'!F$108)+1)</f>
        <v/>
      </c>
      <c r="G92" s="16" t="str">
        <f>IF('Data input'!G92="","",4*('Data input'!G92-'Data input'!G$108)/('Data input'!G$109-'Data input'!G$108)+1)</f>
        <v/>
      </c>
      <c r="H92" s="16" t="str">
        <f>IF('Data input'!H92="","",4*('Data input'!H92-'Data input'!H$108)/('Data input'!H$109-'Data input'!H$108)+1)</f>
        <v/>
      </c>
      <c r="I92" s="19" t="str">
        <f>IF('Data input'!I92="","",4*('Data input'!I92-'Data input'!I$108)/('Data input'!I$109-'Data input'!I$108)+1)</f>
        <v/>
      </c>
      <c r="J92" s="19" t="str">
        <f>IF('Data input'!J92="","",4*('Data input'!J92-'Data input'!J$108)/('Data input'!J$109-'Data input'!J$108)+1)</f>
        <v/>
      </c>
      <c r="K92" s="19" t="str">
        <f>IF('Data input'!K92="","",4*('Data input'!K92-'Data input'!K$108)/('Data input'!K$109-'Data input'!K$108)+1)</f>
        <v/>
      </c>
      <c r="L92" s="19" t="str">
        <f>IF('Data input'!L92="","",4*('Data input'!L92-'Data input'!L$108)/('Data input'!L$109-'Data input'!L$108)+1)</f>
        <v/>
      </c>
      <c r="M92" s="16" t="str">
        <f>IF('Data input'!M92="","",4*('Data input'!M92-'Data input'!M$108)/('Data input'!M$109-'Data input'!M$108)+1)</f>
        <v/>
      </c>
      <c r="N92" s="16" t="str">
        <f>IF('Data input'!N92="","",4*('Data input'!N92-'Data input'!N$108)/('Data input'!N$109-'Data input'!N$108)+1)</f>
        <v/>
      </c>
      <c r="O92" s="16" t="str">
        <f>IF('Data input'!O92="","",4*('Data input'!O92-'Data input'!O$108)/('Data input'!O$109-'Data input'!O$108)+1)</f>
        <v/>
      </c>
      <c r="P92" s="16" t="str">
        <f>IF('Data input'!P92="","",4*('Data input'!P92-'Data input'!P$108)/('Data input'!P$109-'Data input'!P$108)+1)</f>
        <v/>
      </c>
      <c r="Q92" s="16" t="str">
        <f>IF('Data input'!Q92="","",4*('Data input'!Q92-'Data input'!Q$108)/('Data input'!Q$109-'Data input'!Q$108)+1)</f>
        <v/>
      </c>
      <c r="R92" s="16" t="str">
        <f>IF('Data input'!R92="","",4*('Data input'!R92-'Data input'!R$108)/('Data input'!R$109-'Data input'!R$108)+1)</f>
        <v/>
      </c>
      <c r="S92" s="16" t="str">
        <f>IF('Data input'!S92="","",4*('Data input'!S92-'Data input'!S$108)/('Data input'!S$109-'Data input'!S$108)+1)</f>
        <v/>
      </c>
      <c r="T92" s="16" t="str">
        <f>IF('Data input'!T92="","",4*('Data input'!T92-'Data input'!T$108)/('Data input'!T$109-'Data input'!T$108)+1)</f>
        <v/>
      </c>
      <c r="U92" s="16" t="str">
        <f>IF('Data input'!U92="","",4*('Data input'!U92-'Data input'!U$108)/('Data input'!U$109-'Data input'!U$108)+1)</f>
        <v/>
      </c>
      <c r="V92" s="16" t="str">
        <f>IF('Data input'!V92="","",4*('Data input'!V92-'Data input'!V$108)/('Data input'!V$109-'Data input'!V$108)+1)</f>
        <v/>
      </c>
      <c r="W92" s="16" t="str">
        <f>IF('Data input'!W92="","",4*('Data input'!W92-'Data input'!W$108)/('Data input'!W$109-'Data input'!W$108)+1)</f>
        <v/>
      </c>
      <c r="X92" s="16" t="str">
        <f>IF('Data input'!X92="","",4*('Data input'!X92-'Data input'!X$108)/('Data input'!X$109-'Data input'!X$108)+1)</f>
        <v/>
      </c>
      <c r="Y92" s="16" t="str">
        <f>IF('Data input'!Y92="","",4*('Data input'!Y92-'Data input'!Y$108)/('Data input'!Y$109-'Data input'!Y$108)+1)</f>
        <v/>
      </c>
      <c r="Z92" s="16" t="str">
        <f>IF('Data input'!Z92="","",4*('Data input'!Z92-'Data input'!Z$108)/('Data input'!Z$109-'Data input'!Z$108)+1)</f>
        <v/>
      </c>
      <c r="AA92" s="62" t="str">
        <f>IF('Data input'!AA92="","",4*('Data input'!AA92-'Data input'!AA$108)/('Data input'!AA$109-'Data input'!AA$108)+1)</f>
        <v/>
      </c>
      <c r="AB92" s="78"/>
      <c r="AC92" s="79">
        <v>0</v>
      </c>
      <c r="AD92" s="80" t="e">
        <f t="shared" si="48"/>
        <v>#DIV/0!</v>
      </c>
      <c r="AE92" s="4"/>
      <c r="AF92" s="59" t="str">
        <f t="shared" si="40"/>
        <v/>
      </c>
      <c r="AG92" s="60" t="str">
        <f t="shared" si="40"/>
        <v/>
      </c>
      <c r="AH92"/>
      <c r="AI92"/>
      <c r="AJ92"/>
      <c r="AK92"/>
      <c r="AL92"/>
      <c r="AM92"/>
      <c r="AN92"/>
      <c r="AO92"/>
      <c r="AP92"/>
      <c r="AQ92"/>
      <c r="AR92"/>
      <c r="AS92" s="71" t="str">
        <f t="shared" si="44"/>
        <v/>
      </c>
      <c r="AT92" s="71" t="str">
        <f t="shared" si="44"/>
        <v/>
      </c>
      <c r="AU92" s="71" t="str">
        <f t="shared" si="44"/>
        <v/>
      </c>
      <c r="AV92" s="71" t="str">
        <f t="shared" si="44"/>
        <v/>
      </c>
      <c r="AW92" s="71" t="str">
        <f t="shared" si="44"/>
        <v/>
      </c>
      <c r="AX92" s="71" t="str">
        <f t="shared" si="45"/>
        <v/>
      </c>
      <c r="AY92" s="71" t="str">
        <f t="shared" si="45"/>
        <v/>
      </c>
      <c r="AZ92" s="71" t="str">
        <f t="shared" si="45"/>
        <v/>
      </c>
      <c r="BA92" s="71" t="str">
        <f t="shared" si="45"/>
        <v/>
      </c>
      <c r="BB92" s="71" t="str">
        <f t="shared" si="45"/>
        <v/>
      </c>
      <c r="BC92" s="18" t="str">
        <f>IF(C92&lt;&gt;"",(('Data input'!C$109-'Data input'!C$108)*(AS92-1)/4)+'Data input'!C$108,"")</f>
        <v/>
      </c>
      <c r="BD92" s="18" t="str">
        <f>IF(D92&lt;&gt;"",(('Data input'!D$109-'Data input'!D$108)*(AT92-1)/4)+'Data input'!D$108,"")</f>
        <v/>
      </c>
      <c r="BE92" s="18" t="str">
        <f>IF(E92&lt;&gt;"",(('Data input'!E$109-'Data input'!E$108)*(AU92-1)/4)+'Data input'!E$108,"")</f>
        <v/>
      </c>
      <c r="BF92" s="18" t="str">
        <f>IF(F92&lt;&gt;"",(('Data input'!F$109-'Data input'!F$108)*(AV92-1)/4)+'Data input'!F$108,"")</f>
        <v/>
      </c>
      <c r="BG92" s="18" t="str">
        <f>IF(G92&lt;&gt;"",(('Data input'!G$109-'Data input'!G$108)*(AW92-1)/4)+'Data input'!G$108,"")</f>
        <v/>
      </c>
      <c r="BH92" s="19" t="str">
        <f>IF(H92&lt;&gt;"",(('Data input'!H$109-'Data input'!H$108)*(AX92-1)/4)+'Data input'!H$108,"")</f>
        <v/>
      </c>
      <c r="BI92" s="18" t="str">
        <f>IF(I92&lt;&gt;"",(('Data input'!I$109-'Data input'!I$108)*(AY92-1)/4)+'Data input'!I$108,"")</f>
        <v/>
      </c>
      <c r="BJ92" s="19" t="str">
        <f>IF(J92&lt;&gt;"",(('Data input'!J$109-'Data input'!J$108)*(AZ92-1)/4)+'Data input'!J$108,"")</f>
        <v/>
      </c>
      <c r="BK92" s="19" t="str">
        <f>IF(K92&lt;&gt;"",(('Data input'!K$109-'Data input'!K$108)*(BA92-1)/4)+'Data input'!K$108,"")</f>
        <v/>
      </c>
      <c r="BL92" s="19" t="str">
        <f>IF(L92&lt;&gt;"",(('Data input'!L$109-'Data input'!L$108)*(BB92-1)/4)+'Data input'!L$108,"")</f>
        <v/>
      </c>
      <c r="BM92" s="18" t="str">
        <f>IF(C92&lt;&gt;"",BC92-'Data input'!C92,"")</f>
        <v/>
      </c>
      <c r="BN92" s="18" t="str">
        <f>IF(D92&lt;&gt;"",BD92-'Data input'!D92,"")</f>
        <v/>
      </c>
      <c r="BO92" s="18" t="str">
        <f>IF(E92&lt;&gt;"",BE92-'Data input'!E92,"")</f>
        <v/>
      </c>
      <c r="BP92" s="18" t="str">
        <f>IF(F92&lt;&gt;"",BF92-'Data input'!F92,"")</f>
        <v/>
      </c>
      <c r="BQ92" s="18" t="str">
        <f>IF(G92&lt;&gt;"",BG92-'Data input'!G92,"")</f>
        <v/>
      </c>
      <c r="BR92" s="19" t="str">
        <f>IF(H92&lt;&gt;"",BH92-'Data input'!H92,"")</f>
        <v/>
      </c>
      <c r="BS92" s="18" t="str">
        <f>IF(I92&lt;&gt;"",BI92-'Data input'!I92,"")</f>
        <v/>
      </c>
      <c r="BT92" s="18" t="str">
        <f>IF(J92&lt;&gt;"",BJ92-'Data input'!J92,"")</f>
        <v/>
      </c>
      <c r="BU92" s="18" t="str">
        <f>IF(K92&lt;&gt;"",BK92-'Data input'!K92,"")</f>
        <v/>
      </c>
      <c r="BV92" s="72" t="str">
        <f>IF(L92&lt;&gt;"",BL92-'Data input'!L92,"")</f>
        <v/>
      </c>
      <c r="BW92" s="121" t="str">
        <f t="shared" si="49"/>
        <v/>
      </c>
      <c r="FT92" s="1" t="str">
        <f t="shared" si="57"/>
        <v/>
      </c>
      <c r="FU92" s="1" t="str">
        <f t="shared" si="55"/>
        <v/>
      </c>
      <c r="FV92" s="1" t="str">
        <f t="shared" si="55"/>
        <v/>
      </c>
      <c r="FW92" s="1" t="str">
        <f t="shared" si="55"/>
        <v/>
      </c>
      <c r="FX92" s="1" t="str">
        <f t="shared" si="55"/>
        <v/>
      </c>
      <c r="FY92" s="1" t="str">
        <f t="shared" si="55"/>
        <v/>
      </c>
      <c r="FZ92" s="1" t="str">
        <f t="shared" si="55"/>
        <v/>
      </c>
      <c r="GA92" s="1" t="str">
        <f t="shared" si="55"/>
        <v/>
      </c>
      <c r="GB92" s="1" t="str">
        <f t="shared" si="55"/>
        <v/>
      </c>
      <c r="GC92" s="1" t="str">
        <f t="shared" si="55"/>
        <v/>
      </c>
      <c r="GD92" s="1" t="str">
        <f t="shared" si="55"/>
        <v/>
      </c>
      <c r="GE92" s="1" t="str">
        <f t="shared" si="55"/>
        <v/>
      </c>
      <c r="GF92" s="1" t="str">
        <f t="shared" si="55"/>
        <v/>
      </c>
      <c r="GG92" s="1" t="str">
        <f t="shared" si="55"/>
        <v/>
      </c>
      <c r="GH92" s="1" t="str">
        <f t="shared" si="55"/>
        <v/>
      </c>
      <c r="GI92" s="1" t="str">
        <f t="shared" si="55"/>
        <v/>
      </c>
      <c r="GJ92" s="1" t="str">
        <f t="shared" si="51"/>
        <v/>
      </c>
      <c r="GK92" s="1" t="str">
        <f t="shared" si="51"/>
        <v/>
      </c>
      <c r="GL92" s="1" t="str">
        <f t="shared" si="51"/>
        <v/>
      </c>
      <c r="GM92" s="1" t="str">
        <f t="shared" si="51"/>
        <v/>
      </c>
      <c r="GN92" s="1" t="str">
        <f t="shared" si="51"/>
        <v/>
      </c>
      <c r="GO92" s="1" t="str">
        <f t="shared" si="51"/>
        <v/>
      </c>
      <c r="GP92" s="1" t="str">
        <f t="shared" si="51"/>
        <v/>
      </c>
      <c r="GQ92" s="1" t="str">
        <f t="shared" si="51"/>
        <v/>
      </c>
      <c r="GR92" s="1" t="str">
        <f t="shared" si="51"/>
        <v/>
      </c>
      <c r="GS92" s="1" t="str">
        <f t="shared" si="51"/>
        <v/>
      </c>
      <c r="GT92" s="1" t="str">
        <f t="shared" si="50"/>
        <v/>
      </c>
      <c r="GU92" s="1" t="str">
        <f t="shared" si="50"/>
        <v/>
      </c>
      <c r="GV92" s="1" t="str">
        <f t="shared" si="50"/>
        <v/>
      </c>
      <c r="GW92" s="1" t="str">
        <f t="shared" si="50"/>
        <v/>
      </c>
      <c r="GX92" s="1" t="str">
        <f t="shared" si="50"/>
        <v/>
      </c>
      <c r="GY92" s="1" t="str">
        <f t="shared" si="50"/>
        <v/>
      </c>
      <c r="GZ92" s="1" t="str">
        <f t="shared" si="50"/>
        <v/>
      </c>
      <c r="HA92" s="1" t="str">
        <f t="shared" si="50"/>
        <v/>
      </c>
      <c r="HB92" s="1" t="str">
        <f t="shared" si="50"/>
        <v/>
      </c>
      <c r="HC92" s="1" t="str">
        <f t="shared" si="50"/>
        <v/>
      </c>
      <c r="HD92" s="1" t="str">
        <f t="shared" si="50"/>
        <v/>
      </c>
      <c r="HE92" s="1" t="str">
        <f t="shared" si="50"/>
        <v/>
      </c>
      <c r="HF92" s="1" t="str">
        <f t="shared" si="50"/>
        <v/>
      </c>
      <c r="HG92" s="1" t="str">
        <f t="shared" si="50"/>
        <v/>
      </c>
      <c r="HH92" s="1" t="str">
        <f t="shared" si="50"/>
        <v/>
      </c>
      <c r="HI92" s="1" t="str">
        <f t="shared" si="50"/>
        <v/>
      </c>
      <c r="HJ92" s="1" t="str">
        <f t="shared" si="58"/>
        <v/>
      </c>
      <c r="HK92" s="1" t="str">
        <f t="shared" si="58"/>
        <v/>
      </c>
      <c r="HL92" s="1" t="str">
        <f t="shared" si="58"/>
        <v/>
      </c>
      <c r="HM92" s="1" t="str">
        <f t="shared" si="58"/>
        <v/>
      </c>
      <c r="HN92" s="1" t="str">
        <f t="shared" si="58"/>
        <v/>
      </c>
      <c r="HO92" s="1" t="str">
        <f t="shared" si="52"/>
        <v/>
      </c>
      <c r="HP92" s="1" t="str">
        <f t="shared" si="52"/>
        <v/>
      </c>
      <c r="HQ92" s="1" t="str">
        <f t="shared" si="52"/>
        <v/>
      </c>
      <c r="HR92" s="1" t="str">
        <f t="shared" si="52"/>
        <v/>
      </c>
      <c r="HS92" s="1" t="str">
        <f t="shared" si="52"/>
        <v/>
      </c>
      <c r="HT92" s="1" t="str">
        <f t="shared" si="52"/>
        <v/>
      </c>
      <c r="HU92" s="1" t="str">
        <f t="shared" si="52"/>
        <v/>
      </c>
      <c r="HV92" s="1" t="str">
        <f t="shared" si="52"/>
        <v/>
      </c>
      <c r="HW92" s="1" t="str">
        <f t="shared" si="52"/>
        <v/>
      </c>
      <c r="HX92" s="1" t="str">
        <f t="shared" si="52"/>
        <v/>
      </c>
      <c r="HY92" s="1" t="str">
        <f t="shared" si="52"/>
        <v/>
      </c>
      <c r="HZ92" s="1" t="str">
        <f t="shared" si="52"/>
        <v/>
      </c>
      <c r="IA92" s="1" t="str">
        <f t="shared" si="52"/>
        <v/>
      </c>
      <c r="IB92" s="1" t="str">
        <f t="shared" si="52"/>
        <v/>
      </c>
      <c r="IC92" s="1" t="str">
        <f t="shared" si="52"/>
        <v/>
      </c>
      <c r="ID92" s="1" t="str">
        <f t="shared" si="52"/>
        <v/>
      </c>
      <c r="IE92" s="1" t="str">
        <f t="shared" si="59"/>
        <v/>
      </c>
      <c r="IF92" s="1" t="str">
        <f t="shared" si="56"/>
        <v/>
      </c>
      <c r="IG92" s="1" t="str">
        <f t="shared" si="56"/>
        <v/>
      </c>
      <c r="IH92" s="1" t="str">
        <f t="shared" si="53"/>
        <v/>
      </c>
      <c r="II92" s="1" t="str">
        <f t="shared" si="53"/>
        <v/>
      </c>
      <c r="IJ92" s="1" t="str">
        <f t="shared" si="53"/>
        <v/>
      </c>
      <c r="IK92" s="1" t="str">
        <f t="shared" si="53"/>
        <v/>
      </c>
      <c r="IL92" s="1" t="str">
        <f t="shared" si="53"/>
        <v/>
      </c>
      <c r="IM92" s="1" t="str">
        <f t="shared" si="53"/>
        <v/>
      </c>
      <c r="IN92" s="1" t="str">
        <f t="shared" si="53"/>
        <v/>
      </c>
      <c r="IO92" s="1" t="str">
        <f t="shared" si="53"/>
        <v/>
      </c>
      <c r="IP92" s="1" t="str">
        <f t="shared" si="53"/>
        <v/>
      </c>
      <c r="IQ92" s="1" t="str">
        <f t="shared" si="53"/>
        <v/>
      </c>
      <c r="IR92" s="1" t="str">
        <f t="shared" si="53"/>
        <v/>
      </c>
      <c r="IS92" s="1" t="str">
        <f t="shared" si="53"/>
        <v/>
      </c>
      <c r="IT92" s="1" t="str">
        <f t="shared" si="53"/>
        <v/>
      </c>
      <c r="IU92" s="1" t="str">
        <f t="shared" si="53"/>
        <v/>
      </c>
      <c r="IV92" s="1" t="str">
        <f t="shared" si="53"/>
        <v/>
      </c>
      <c r="IW92" s="1" t="str">
        <f t="shared" si="53"/>
        <v/>
      </c>
      <c r="IX92" s="1" t="str">
        <f t="shared" si="54"/>
        <v/>
      </c>
      <c r="IY92" s="1" t="str">
        <f t="shared" si="54"/>
        <v/>
      </c>
      <c r="IZ92" s="1" t="str">
        <f t="shared" si="54"/>
        <v/>
      </c>
      <c r="JA92" s="1" t="str">
        <f t="shared" si="54"/>
        <v/>
      </c>
      <c r="JB92" s="1" t="str">
        <f t="shared" si="54"/>
        <v/>
      </c>
      <c r="JC92" s="1" t="str">
        <f t="shared" si="43"/>
        <v/>
      </c>
      <c r="JD92" s="1" t="str">
        <f t="shared" si="43"/>
        <v/>
      </c>
      <c r="JE92" s="1" t="str">
        <f t="shared" si="43"/>
        <v/>
      </c>
      <c r="JF92" s="1" t="str">
        <f t="shared" si="43"/>
        <v/>
      </c>
      <c r="JG92" s="1" t="str">
        <f t="shared" si="37"/>
        <v/>
      </c>
      <c r="JH92" s="1" t="str">
        <f t="shared" si="37"/>
        <v/>
      </c>
      <c r="JI92" s="1" t="str">
        <f t="shared" si="37"/>
        <v/>
      </c>
      <c r="JJ92" s="1" t="str">
        <f t="shared" si="30"/>
        <v/>
      </c>
      <c r="JK92" s="1" t="str">
        <f t="shared" si="30"/>
        <v/>
      </c>
      <c r="JL92" s="1" t="str">
        <f t="shared" si="30"/>
        <v/>
      </c>
      <c r="JM92" s="1" t="str">
        <f t="shared" si="30"/>
        <v/>
      </c>
      <c r="JN92" s="1" t="str">
        <f t="shared" si="30"/>
        <v/>
      </c>
      <c r="JO92" s="1" t="str">
        <f t="shared" si="30"/>
        <v/>
      </c>
    </row>
    <row r="93" spans="1:275" ht="14.5" x14ac:dyDescent="0.35">
      <c r="A93" s="59" t="str">
        <f>IF('Data input'!A93&lt;&gt;"",'Data input'!A93,"")</f>
        <v/>
      </c>
      <c r="B93" s="15" t="str">
        <f>IF('Data input'!B93&lt;&gt;"",'Data input'!B93,"")</f>
        <v/>
      </c>
      <c r="C93" s="16" t="str">
        <f>IF('Data input'!C93="","",4*('Data input'!C93-'Data input'!C$108)/('Data input'!C$109-'Data input'!C$108)+1)</f>
        <v/>
      </c>
      <c r="D93" s="16" t="str">
        <f>IF('Data input'!D93="","",4*('Data input'!D93-'Data input'!D$108)/('Data input'!D$109-'Data input'!D$108)+1)</f>
        <v/>
      </c>
      <c r="E93" s="16" t="str">
        <f>IF('Data input'!E93="","",4*('Data input'!E93-'Data input'!E$108)/('Data input'!E$109-'Data input'!E$108)+1)</f>
        <v/>
      </c>
      <c r="F93" s="16" t="str">
        <f>IF('Data input'!F93="","",4*('Data input'!F93-'Data input'!F$108)/('Data input'!F$109-'Data input'!F$108)+1)</f>
        <v/>
      </c>
      <c r="G93" s="16" t="str">
        <f>IF('Data input'!G93="","",4*('Data input'!G93-'Data input'!G$108)/('Data input'!G$109-'Data input'!G$108)+1)</f>
        <v/>
      </c>
      <c r="H93" s="16" t="str">
        <f>IF('Data input'!H93="","",4*('Data input'!H93-'Data input'!H$108)/('Data input'!H$109-'Data input'!H$108)+1)</f>
        <v/>
      </c>
      <c r="I93" s="19" t="str">
        <f>IF('Data input'!I93="","",4*('Data input'!I93-'Data input'!I$108)/('Data input'!I$109-'Data input'!I$108)+1)</f>
        <v/>
      </c>
      <c r="J93" s="19" t="str">
        <f>IF('Data input'!J93="","",4*('Data input'!J93-'Data input'!J$108)/('Data input'!J$109-'Data input'!J$108)+1)</f>
        <v/>
      </c>
      <c r="K93" s="19" t="str">
        <f>IF('Data input'!K93="","",4*('Data input'!K93-'Data input'!K$108)/('Data input'!K$109-'Data input'!K$108)+1)</f>
        <v/>
      </c>
      <c r="L93" s="19" t="str">
        <f>IF('Data input'!L93="","",4*('Data input'!L93-'Data input'!L$108)/('Data input'!L$109-'Data input'!L$108)+1)</f>
        <v/>
      </c>
      <c r="M93" s="16" t="str">
        <f>IF('Data input'!M93="","",4*('Data input'!M93-'Data input'!M$108)/('Data input'!M$109-'Data input'!M$108)+1)</f>
        <v/>
      </c>
      <c r="N93" s="16" t="str">
        <f>IF('Data input'!N93="","",4*('Data input'!N93-'Data input'!N$108)/('Data input'!N$109-'Data input'!N$108)+1)</f>
        <v/>
      </c>
      <c r="O93" s="16" t="str">
        <f>IF('Data input'!O93="","",4*('Data input'!O93-'Data input'!O$108)/('Data input'!O$109-'Data input'!O$108)+1)</f>
        <v/>
      </c>
      <c r="P93" s="16" t="str">
        <f>IF('Data input'!P93="","",4*('Data input'!P93-'Data input'!P$108)/('Data input'!P$109-'Data input'!P$108)+1)</f>
        <v/>
      </c>
      <c r="Q93" s="16" t="str">
        <f>IF('Data input'!Q93="","",4*('Data input'!Q93-'Data input'!Q$108)/('Data input'!Q$109-'Data input'!Q$108)+1)</f>
        <v/>
      </c>
      <c r="R93" s="16" t="str">
        <f>IF('Data input'!R93="","",4*('Data input'!R93-'Data input'!R$108)/('Data input'!R$109-'Data input'!R$108)+1)</f>
        <v/>
      </c>
      <c r="S93" s="16" t="str">
        <f>IF('Data input'!S93="","",4*('Data input'!S93-'Data input'!S$108)/('Data input'!S$109-'Data input'!S$108)+1)</f>
        <v/>
      </c>
      <c r="T93" s="16" t="str">
        <f>IF('Data input'!T93="","",4*('Data input'!T93-'Data input'!T$108)/('Data input'!T$109-'Data input'!T$108)+1)</f>
        <v/>
      </c>
      <c r="U93" s="16" t="str">
        <f>IF('Data input'!U93="","",4*('Data input'!U93-'Data input'!U$108)/('Data input'!U$109-'Data input'!U$108)+1)</f>
        <v/>
      </c>
      <c r="V93" s="16" t="str">
        <f>IF('Data input'!V93="","",4*('Data input'!V93-'Data input'!V$108)/('Data input'!V$109-'Data input'!V$108)+1)</f>
        <v/>
      </c>
      <c r="W93" s="16" t="str">
        <f>IF('Data input'!W93="","",4*('Data input'!W93-'Data input'!W$108)/('Data input'!W$109-'Data input'!W$108)+1)</f>
        <v/>
      </c>
      <c r="X93" s="16" t="str">
        <f>IF('Data input'!X93="","",4*('Data input'!X93-'Data input'!X$108)/('Data input'!X$109-'Data input'!X$108)+1)</f>
        <v/>
      </c>
      <c r="Y93" s="16" t="str">
        <f>IF('Data input'!Y93="","",4*('Data input'!Y93-'Data input'!Y$108)/('Data input'!Y$109-'Data input'!Y$108)+1)</f>
        <v/>
      </c>
      <c r="Z93" s="16" t="str">
        <f>IF('Data input'!Z93="","",4*('Data input'!Z93-'Data input'!Z$108)/('Data input'!Z$109-'Data input'!Z$108)+1)</f>
        <v/>
      </c>
      <c r="AA93" s="62" t="str">
        <f>IF('Data input'!AA93="","",4*('Data input'!AA93-'Data input'!AA$108)/('Data input'!AA$109-'Data input'!AA$108)+1)</f>
        <v/>
      </c>
      <c r="AB93" s="78"/>
      <c r="AC93" s="79">
        <v>0</v>
      </c>
      <c r="AD93" s="80" t="e">
        <f t="shared" si="48"/>
        <v>#DIV/0!</v>
      </c>
      <c r="AE93" s="4"/>
      <c r="AF93" s="59" t="str">
        <f t="shared" si="40"/>
        <v/>
      </c>
      <c r="AG93" s="60" t="str">
        <f t="shared" si="40"/>
        <v/>
      </c>
      <c r="AH93"/>
      <c r="AI93"/>
      <c r="AJ93"/>
      <c r="AK93"/>
      <c r="AL93"/>
      <c r="AM93"/>
      <c r="AN93"/>
      <c r="AO93"/>
      <c r="AP93"/>
      <c r="AQ93"/>
      <c r="AR93"/>
      <c r="AS93" s="71" t="str">
        <f t="shared" si="44"/>
        <v/>
      </c>
      <c r="AT93" s="71" t="str">
        <f t="shared" si="44"/>
        <v/>
      </c>
      <c r="AU93" s="71" t="str">
        <f t="shared" si="44"/>
        <v/>
      </c>
      <c r="AV93" s="71" t="str">
        <f t="shared" si="44"/>
        <v/>
      </c>
      <c r="AW93" s="71" t="str">
        <f t="shared" si="44"/>
        <v/>
      </c>
      <c r="AX93" s="71" t="str">
        <f t="shared" si="45"/>
        <v/>
      </c>
      <c r="AY93" s="71" t="str">
        <f t="shared" si="45"/>
        <v/>
      </c>
      <c r="AZ93" s="71" t="str">
        <f t="shared" si="45"/>
        <v/>
      </c>
      <c r="BA93" s="71" t="str">
        <f t="shared" si="45"/>
        <v/>
      </c>
      <c r="BB93" s="71" t="str">
        <f t="shared" si="45"/>
        <v/>
      </c>
      <c r="BC93" s="18" t="str">
        <f>IF(C93&lt;&gt;"",(('Data input'!C$109-'Data input'!C$108)*(AS93-1)/4)+'Data input'!C$108,"")</f>
        <v/>
      </c>
      <c r="BD93" s="18" t="str">
        <f>IF(D93&lt;&gt;"",(('Data input'!D$109-'Data input'!D$108)*(AT93-1)/4)+'Data input'!D$108,"")</f>
        <v/>
      </c>
      <c r="BE93" s="18" t="str">
        <f>IF(E93&lt;&gt;"",(('Data input'!E$109-'Data input'!E$108)*(AU93-1)/4)+'Data input'!E$108,"")</f>
        <v/>
      </c>
      <c r="BF93" s="18" t="str">
        <f>IF(F93&lt;&gt;"",(('Data input'!F$109-'Data input'!F$108)*(AV93-1)/4)+'Data input'!F$108,"")</f>
        <v/>
      </c>
      <c r="BG93" s="18" t="str">
        <f>IF(G93&lt;&gt;"",(('Data input'!G$109-'Data input'!G$108)*(AW93-1)/4)+'Data input'!G$108,"")</f>
        <v/>
      </c>
      <c r="BH93" s="19" t="str">
        <f>IF(H93&lt;&gt;"",(('Data input'!H$109-'Data input'!H$108)*(AX93-1)/4)+'Data input'!H$108,"")</f>
        <v/>
      </c>
      <c r="BI93" s="18" t="str">
        <f>IF(I93&lt;&gt;"",(('Data input'!I$109-'Data input'!I$108)*(AY93-1)/4)+'Data input'!I$108,"")</f>
        <v/>
      </c>
      <c r="BJ93" s="19" t="str">
        <f>IF(J93&lt;&gt;"",(('Data input'!J$109-'Data input'!J$108)*(AZ93-1)/4)+'Data input'!J$108,"")</f>
        <v/>
      </c>
      <c r="BK93" s="19" t="str">
        <f>IF(K93&lt;&gt;"",(('Data input'!K$109-'Data input'!K$108)*(BA93-1)/4)+'Data input'!K$108,"")</f>
        <v/>
      </c>
      <c r="BL93" s="19" t="str">
        <f>IF(L93&lt;&gt;"",(('Data input'!L$109-'Data input'!L$108)*(BB93-1)/4)+'Data input'!L$108,"")</f>
        <v/>
      </c>
      <c r="BM93" s="18" t="str">
        <f>IF(C93&lt;&gt;"",BC93-'Data input'!C93,"")</f>
        <v/>
      </c>
      <c r="BN93" s="18" t="str">
        <f>IF(D93&lt;&gt;"",BD93-'Data input'!D93,"")</f>
        <v/>
      </c>
      <c r="BO93" s="18" t="str">
        <f>IF(E93&lt;&gt;"",BE93-'Data input'!E93,"")</f>
        <v/>
      </c>
      <c r="BP93" s="18" t="str">
        <f>IF(F93&lt;&gt;"",BF93-'Data input'!F93,"")</f>
        <v/>
      </c>
      <c r="BQ93" s="18" t="str">
        <f>IF(G93&lt;&gt;"",BG93-'Data input'!G93,"")</f>
        <v/>
      </c>
      <c r="BR93" s="19" t="str">
        <f>IF(H93&lt;&gt;"",BH93-'Data input'!H93,"")</f>
        <v/>
      </c>
      <c r="BS93" s="18" t="str">
        <f>IF(I93&lt;&gt;"",BI93-'Data input'!I93,"")</f>
        <v/>
      </c>
      <c r="BT93" s="18" t="str">
        <f>IF(J93&lt;&gt;"",BJ93-'Data input'!J93,"")</f>
        <v/>
      </c>
      <c r="BU93" s="18" t="str">
        <f>IF(K93&lt;&gt;"",BK93-'Data input'!K93,"")</f>
        <v/>
      </c>
      <c r="BV93" s="72" t="str">
        <f>IF(L93&lt;&gt;"",BL93-'Data input'!L93,"")</f>
        <v/>
      </c>
      <c r="BW93" s="121" t="str">
        <f t="shared" si="49"/>
        <v/>
      </c>
      <c r="FT93" s="1" t="str">
        <f t="shared" si="57"/>
        <v/>
      </c>
      <c r="FU93" s="1" t="str">
        <f t="shared" si="55"/>
        <v/>
      </c>
      <c r="FV93" s="1" t="str">
        <f t="shared" si="55"/>
        <v/>
      </c>
      <c r="FW93" s="1" t="str">
        <f t="shared" si="55"/>
        <v/>
      </c>
      <c r="FX93" s="1" t="str">
        <f t="shared" si="55"/>
        <v/>
      </c>
      <c r="FY93" s="1" t="str">
        <f t="shared" si="55"/>
        <v/>
      </c>
      <c r="FZ93" s="1" t="str">
        <f t="shared" si="55"/>
        <v/>
      </c>
      <c r="GA93" s="1" t="str">
        <f t="shared" si="55"/>
        <v/>
      </c>
      <c r="GB93" s="1" t="str">
        <f t="shared" si="55"/>
        <v/>
      </c>
      <c r="GC93" s="1" t="str">
        <f t="shared" si="55"/>
        <v/>
      </c>
      <c r="GD93" s="1" t="str">
        <f t="shared" si="55"/>
        <v/>
      </c>
      <c r="GE93" s="1" t="str">
        <f t="shared" si="55"/>
        <v/>
      </c>
      <c r="GF93" s="1" t="str">
        <f t="shared" si="55"/>
        <v/>
      </c>
      <c r="GG93" s="1" t="str">
        <f t="shared" si="55"/>
        <v/>
      </c>
      <c r="GH93" s="1" t="str">
        <f t="shared" si="55"/>
        <v/>
      </c>
      <c r="GI93" s="1" t="str">
        <f t="shared" si="55"/>
        <v/>
      </c>
      <c r="GJ93" s="1" t="str">
        <f t="shared" si="51"/>
        <v/>
      </c>
      <c r="GK93" s="1" t="str">
        <f t="shared" si="51"/>
        <v/>
      </c>
      <c r="GL93" s="1" t="str">
        <f t="shared" si="51"/>
        <v/>
      </c>
      <c r="GM93" s="1" t="str">
        <f t="shared" si="51"/>
        <v/>
      </c>
      <c r="GN93" s="1" t="str">
        <f t="shared" si="51"/>
        <v/>
      </c>
      <c r="GO93" s="1" t="str">
        <f t="shared" si="51"/>
        <v/>
      </c>
      <c r="GP93" s="1" t="str">
        <f t="shared" si="51"/>
        <v/>
      </c>
      <c r="GQ93" s="1" t="str">
        <f t="shared" si="51"/>
        <v/>
      </c>
      <c r="GR93" s="1" t="str">
        <f t="shared" si="51"/>
        <v/>
      </c>
      <c r="GS93" s="1" t="str">
        <f t="shared" si="51"/>
        <v/>
      </c>
      <c r="GT93" s="1" t="str">
        <f t="shared" si="50"/>
        <v/>
      </c>
      <c r="GU93" s="1" t="str">
        <f t="shared" si="50"/>
        <v/>
      </c>
      <c r="GV93" s="1" t="str">
        <f t="shared" si="50"/>
        <v/>
      </c>
      <c r="GW93" s="1" t="str">
        <f t="shared" si="50"/>
        <v/>
      </c>
      <c r="GX93" s="1" t="str">
        <f t="shared" si="50"/>
        <v/>
      </c>
      <c r="GY93" s="1" t="str">
        <f t="shared" si="50"/>
        <v/>
      </c>
      <c r="GZ93" s="1" t="str">
        <f t="shared" si="50"/>
        <v/>
      </c>
      <c r="HA93" s="1" t="str">
        <f t="shared" si="50"/>
        <v/>
      </c>
      <c r="HB93" s="1" t="str">
        <f t="shared" si="50"/>
        <v/>
      </c>
      <c r="HC93" s="1" t="str">
        <f t="shared" si="50"/>
        <v/>
      </c>
      <c r="HD93" s="1" t="str">
        <f t="shared" si="50"/>
        <v/>
      </c>
      <c r="HE93" s="1" t="str">
        <f t="shared" si="50"/>
        <v/>
      </c>
      <c r="HF93" s="1" t="str">
        <f t="shared" si="50"/>
        <v/>
      </c>
      <c r="HG93" s="1" t="str">
        <f t="shared" si="50"/>
        <v/>
      </c>
      <c r="HH93" s="1" t="str">
        <f t="shared" si="50"/>
        <v/>
      </c>
      <c r="HI93" s="1" t="str">
        <f t="shared" si="50"/>
        <v/>
      </c>
      <c r="HJ93" s="1" t="str">
        <f t="shared" si="58"/>
        <v/>
      </c>
      <c r="HK93" s="1" t="str">
        <f t="shared" si="58"/>
        <v/>
      </c>
      <c r="HL93" s="1" t="str">
        <f t="shared" si="58"/>
        <v/>
      </c>
      <c r="HM93" s="1" t="str">
        <f t="shared" si="58"/>
        <v/>
      </c>
      <c r="HN93" s="1" t="str">
        <f t="shared" si="58"/>
        <v/>
      </c>
      <c r="HO93" s="1" t="str">
        <f t="shared" si="52"/>
        <v/>
      </c>
      <c r="HP93" s="1" t="str">
        <f t="shared" si="52"/>
        <v/>
      </c>
      <c r="HQ93" s="1" t="str">
        <f t="shared" si="52"/>
        <v/>
      </c>
      <c r="HR93" s="1" t="str">
        <f t="shared" si="52"/>
        <v/>
      </c>
      <c r="HS93" s="1" t="str">
        <f t="shared" si="52"/>
        <v/>
      </c>
      <c r="HT93" s="1" t="str">
        <f t="shared" si="52"/>
        <v/>
      </c>
      <c r="HU93" s="1" t="str">
        <f t="shared" si="52"/>
        <v/>
      </c>
      <c r="HV93" s="1" t="str">
        <f t="shared" si="52"/>
        <v/>
      </c>
      <c r="HW93" s="1" t="str">
        <f t="shared" si="52"/>
        <v/>
      </c>
      <c r="HX93" s="1" t="str">
        <f t="shared" si="52"/>
        <v/>
      </c>
      <c r="HY93" s="1" t="str">
        <f t="shared" si="52"/>
        <v/>
      </c>
      <c r="HZ93" s="1" t="str">
        <f t="shared" si="52"/>
        <v/>
      </c>
      <c r="IA93" s="1" t="str">
        <f t="shared" si="52"/>
        <v/>
      </c>
      <c r="IB93" s="1" t="str">
        <f t="shared" si="52"/>
        <v/>
      </c>
      <c r="IC93" s="1" t="str">
        <f t="shared" si="52"/>
        <v/>
      </c>
      <c r="ID93" s="1" t="str">
        <f t="shared" si="52"/>
        <v/>
      </c>
      <c r="IE93" s="1" t="str">
        <f t="shared" si="59"/>
        <v/>
      </c>
      <c r="IF93" s="1" t="str">
        <f t="shared" si="56"/>
        <v/>
      </c>
      <c r="IG93" s="1" t="str">
        <f t="shared" si="56"/>
        <v/>
      </c>
      <c r="IH93" s="1" t="str">
        <f t="shared" si="53"/>
        <v/>
      </c>
      <c r="II93" s="1" t="str">
        <f t="shared" si="53"/>
        <v/>
      </c>
      <c r="IJ93" s="1" t="str">
        <f t="shared" si="53"/>
        <v/>
      </c>
      <c r="IK93" s="1" t="str">
        <f t="shared" si="53"/>
        <v/>
      </c>
      <c r="IL93" s="1" t="str">
        <f t="shared" si="53"/>
        <v/>
      </c>
      <c r="IM93" s="1" t="str">
        <f t="shared" si="53"/>
        <v/>
      </c>
      <c r="IN93" s="1" t="str">
        <f t="shared" si="53"/>
        <v/>
      </c>
      <c r="IO93" s="1" t="str">
        <f t="shared" si="53"/>
        <v/>
      </c>
      <c r="IP93" s="1" t="str">
        <f t="shared" si="53"/>
        <v/>
      </c>
      <c r="IQ93" s="1" t="str">
        <f t="shared" si="53"/>
        <v/>
      </c>
      <c r="IR93" s="1" t="str">
        <f t="shared" si="53"/>
        <v/>
      </c>
      <c r="IS93" s="1" t="str">
        <f t="shared" si="53"/>
        <v/>
      </c>
      <c r="IT93" s="1" t="str">
        <f t="shared" si="53"/>
        <v/>
      </c>
      <c r="IU93" s="1" t="str">
        <f t="shared" si="53"/>
        <v/>
      </c>
      <c r="IV93" s="1" t="str">
        <f t="shared" si="53"/>
        <v/>
      </c>
      <c r="IW93" s="1" t="str">
        <f t="shared" si="53"/>
        <v/>
      </c>
      <c r="IX93" s="1" t="str">
        <f t="shared" si="54"/>
        <v/>
      </c>
      <c r="IY93" s="1" t="str">
        <f t="shared" si="54"/>
        <v/>
      </c>
      <c r="IZ93" s="1" t="str">
        <f t="shared" si="54"/>
        <v/>
      </c>
      <c r="JA93" s="1" t="str">
        <f t="shared" si="54"/>
        <v/>
      </c>
      <c r="JB93" s="1" t="str">
        <f t="shared" si="54"/>
        <v/>
      </c>
      <c r="JC93" s="1" t="str">
        <f t="shared" si="43"/>
        <v/>
      </c>
      <c r="JD93" s="1" t="str">
        <f t="shared" si="43"/>
        <v/>
      </c>
      <c r="JE93" s="1" t="str">
        <f t="shared" si="43"/>
        <v/>
      </c>
      <c r="JF93" s="1" t="str">
        <f t="shared" si="43"/>
        <v/>
      </c>
      <c r="JG93" s="1" t="str">
        <f t="shared" si="37"/>
        <v/>
      </c>
      <c r="JH93" s="1" t="str">
        <f t="shared" si="37"/>
        <v/>
      </c>
      <c r="JI93" s="1" t="str">
        <f t="shared" si="37"/>
        <v/>
      </c>
      <c r="JJ93" s="1" t="str">
        <f t="shared" si="30"/>
        <v/>
      </c>
      <c r="JK93" s="1" t="str">
        <f t="shared" si="30"/>
        <v/>
      </c>
      <c r="JL93" s="1" t="str">
        <f t="shared" si="30"/>
        <v/>
      </c>
      <c r="JM93" s="1" t="str">
        <f t="shared" si="30"/>
        <v/>
      </c>
      <c r="JN93" s="1" t="str">
        <f t="shared" si="30"/>
        <v/>
      </c>
      <c r="JO93" s="1" t="str">
        <f t="shared" si="30"/>
        <v/>
      </c>
    </row>
    <row r="94" spans="1:275" ht="14.5" x14ac:dyDescent="0.35">
      <c r="A94" s="59" t="str">
        <f>IF('Data input'!A94&lt;&gt;"",'Data input'!A94,"")</f>
        <v/>
      </c>
      <c r="B94" s="15" t="str">
        <f>IF('Data input'!B94&lt;&gt;"",'Data input'!B94,"")</f>
        <v/>
      </c>
      <c r="C94" s="16" t="str">
        <f>IF('Data input'!C94="","",4*('Data input'!C94-'Data input'!C$108)/('Data input'!C$109-'Data input'!C$108)+1)</f>
        <v/>
      </c>
      <c r="D94" s="16" t="str">
        <f>IF('Data input'!D94="","",4*('Data input'!D94-'Data input'!D$108)/('Data input'!D$109-'Data input'!D$108)+1)</f>
        <v/>
      </c>
      <c r="E94" s="16" t="str">
        <f>IF('Data input'!E94="","",4*('Data input'!E94-'Data input'!E$108)/('Data input'!E$109-'Data input'!E$108)+1)</f>
        <v/>
      </c>
      <c r="F94" s="16" t="str">
        <f>IF('Data input'!F94="","",4*('Data input'!F94-'Data input'!F$108)/('Data input'!F$109-'Data input'!F$108)+1)</f>
        <v/>
      </c>
      <c r="G94" s="16" t="str">
        <f>IF('Data input'!G94="","",4*('Data input'!G94-'Data input'!G$108)/('Data input'!G$109-'Data input'!G$108)+1)</f>
        <v/>
      </c>
      <c r="H94" s="16" t="str">
        <f>IF('Data input'!H94="","",4*('Data input'!H94-'Data input'!H$108)/('Data input'!H$109-'Data input'!H$108)+1)</f>
        <v/>
      </c>
      <c r="I94" s="19" t="str">
        <f>IF('Data input'!I94="","",4*('Data input'!I94-'Data input'!I$108)/('Data input'!I$109-'Data input'!I$108)+1)</f>
        <v/>
      </c>
      <c r="J94" s="19" t="str">
        <f>IF('Data input'!J94="","",4*('Data input'!J94-'Data input'!J$108)/('Data input'!J$109-'Data input'!J$108)+1)</f>
        <v/>
      </c>
      <c r="K94" s="19" t="str">
        <f>IF('Data input'!K94="","",4*('Data input'!K94-'Data input'!K$108)/('Data input'!K$109-'Data input'!K$108)+1)</f>
        <v/>
      </c>
      <c r="L94" s="19" t="str">
        <f>IF('Data input'!L94="","",4*('Data input'!L94-'Data input'!L$108)/('Data input'!L$109-'Data input'!L$108)+1)</f>
        <v/>
      </c>
      <c r="M94" s="16" t="str">
        <f>IF('Data input'!M94="","",4*('Data input'!M94-'Data input'!M$108)/('Data input'!M$109-'Data input'!M$108)+1)</f>
        <v/>
      </c>
      <c r="N94" s="16" t="str">
        <f>IF('Data input'!N94="","",4*('Data input'!N94-'Data input'!N$108)/('Data input'!N$109-'Data input'!N$108)+1)</f>
        <v/>
      </c>
      <c r="O94" s="16" t="str">
        <f>IF('Data input'!O94="","",4*('Data input'!O94-'Data input'!O$108)/('Data input'!O$109-'Data input'!O$108)+1)</f>
        <v/>
      </c>
      <c r="P94" s="16" t="str">
        <f>IF('Data input'!P94="","",4*('Data input'!P94-'Data input'!P$108)/('Data input'!P$109-'Data input'!P$108)+1)</f>
        <v/>
      </c>
      <c r="Q94" s="16" t="str">
        <f>IF('Data input'!Q94="","",4*('Data input'!Q94-'Data input'!Q$108)/('Data input'!Q$109-'Data input'!Q$108)+1)</f>
        <v/>
      </c>
      <c r="R94" s="16" t="str">
        <f>IF('Data input'!R94="","",4*('Data input'!R94-'Data input'!R$108)/('Data input'!R$109-'Data input'!R$108)+1)</f>
        <v/>
      </c>
      <c r="S94" s="16" t="str">
        <f>IF('Data input'!S94="","",4*('Data input'!S94-'Data input'!S$108)/('Data input'!S$109-'Data input'!S$108)+1)</f>
        <v/>
      </c>
      <c r="T94" s="16" t="str">
        <f>IF('Data input'!T94="","",4*('Data input'!T94-'Data input'!T$108)/('Data input'!T$109-'Data input'!T$108)+1)</f>
        <v/>
      </c>
      <c r="U94" s="16" t="str">
        <f>IF('Data input'!U94="","",4*('Data input'!U94-'Data input'!U$108)/('Data input'!U$109-'Data input'!U$108)+1)</f>
        <v/>
      </c>
      <c r="V94" s="16" t="str">
        <f>IF('Data input'!V94="","",4*('Data input'!V94-'Data input'!V$108)/('Data input'!V$109-'Data input'!V$108)+1)</f>
        <v/>
      </c>
      <c r="W94" s="16" t="str">
        <f>IF('Data input'!W94="","",4*('Data input'!W94-'Data input'!W$108)/('Data input'!W$109-'Data input'!W$108)+1)</f>
        <v/>
      </c>
      <c r="X94" s="16" t="str">
        <f>IF('Data input'!X94="","",4*('Data input'!X94-'Data input'!X$108)/('Data input'!X$109-'Data input'!X$108)+1)</f>
        <v/>
      </c>
      <c r="Y94" s="16" t="str">
        <f>IF('Data input'!Y94="","",4*('Data input'!Y94-'Data input'!Y$108)/('Data input'!Y$109-'Data input'!Y$108)+1)</f>
        <v/>
      </c>
      <c r="Z94" s="16" t="str">
        <f>IF('Data input'!Z94="","",4*('Data input'!Z94-'Data input'!Z$108)/('Data input'!Z$109-'Data input'!Z$108)+1)</f>
        <v/>
      </c>
      <c r="AA94" s="62" t="str">
        <f>IF('Data input'!AA94="","",4*('Data input'!AA94-'Data input'!AA$108)/('Data input'!AA$109-'Data input'!AA$108)+1)</f>
        <v/>
      </c>
      <c r="AB94" s="78"/>
      <c r="AC94" s="79">
        <v>0</v>
      </c>
      <c r="AD94" s="80" t="e">
        <f t="shared" si="48"/>
        <v>#DIV/0!</v>
      </c>
      <c r="AE94" s="4"/>
      <c r="AF94" s="59" t="str">
        <f t="shared" si="40"/>
        <v/>
      </c>
      <c r="AG94" s="60" t="str">
        <f t="shared" si="40"/>
        <v/>
      </c>
      <c r="AH94"/>
      <c r="AI94"/>
      <c r="AJ94"/>
      <c r="AK94"/>
      <c r="AL94"/>
      <c r="AM94"/>
      <c r="AN94"/>
      <c r="AO94"/>
      <c r="AP94"/>
      <c r="AQ94"/>
      <c r="AR94"/>
      <c r="AS94" s="71" t="str">
        <f t="shared" si="44"/>
        <v/>
      </c>
      <c r="AT94" s="71" t="str">
        <f t="shared" si="44"/>
        <v/>
      </c>
      <c r="AU94" s="71" t="str">
        <f t="shared" si="44"/>
        <v/>
      </c>
      <c r="AV94" s="71" t="str">
        <f t="shared" si="44"/>
        <v/>
      </c>
      <c r="AW94" s="71" t="str">
        <f t="shared" si="44"/>
        <v/>
      </c>
      <c r="AX94" s="71" t="str">
        <f t="shared" si="45"/>
        <v/>
      </c>
      <c r="AY94" s="71" t="str">
        <f t="shared" si="45"/>
        <v/>
      </c>
      <c r="AZ94" s="71" t="str">
        <f t="shared" si="45"/>
        <v/>
      </c>
      <c r="BA94" s="71" t="str">
        <f t="shared" si="45"/>
        <v/>
      </c>
      <c r="BB94" s="71" t="str">
        <f t="shared" si="45"/>
        <v/>
      </c>
      <c r="BC94" s="18" t="str">
        <f>IF(C94&lt;&gt;"",(('Data input'!C$109-'Data input'!C$108)*(AS94-1)/4)+'Data input'!C$108,"")</f>
        <v/>
      </c>
      <c r="BD94" s="18" t="str">
        <f>IF(D94&lt;&gt;"",(('Data input'!D$109-'Data input'!D$108)*(AT94-1)/4)+'Data input'!D$108,"")</f>
        <v/>
      </c>
      <c r="BE94" s="18" t="str">
        <f>IF(E94&lt;&gt;"",(('Data input'!E$109-'Data input'!E$108)*(AU94-1)/4)+'Data input'!E$108,"")</f>
        <v/>
      </c>
      <c r="BF94" s="18" t="str">
        <f>IF(F94&lt;&gt;"",(('Data input'!F$109-'Data input'!F$108)*(AV94-1)/4)+'Data input'!F$108,"")</f>
        <v/>
      </c>
      <c r="BG94" s="18" t="str">
        <f>IF(G94&lt;&gt;"",(('Data input'!G$109-'Data input'!G$108)*(AW94-1)/4)+'Data input'!G$108,"")</f>
        <v/>
      </c>
      <c r="BH94" s="19" t="str">
        <f>IF(H94&lt;&gt;"",(('Data input'!H$109-'Data input'!H$108)*(AX94-1)/4)+'Data input'!H$108,"")</f>
        <v/>
      </c>
      <c r="BI94" s="18" t="str">
        <f>IF(I94&lt;&gt;"",(('Data input'!I$109-'Data input'!I$108)*(AY94-1)/4)+'Data input'!I$108,"")</f>
        <v/>
      </c>
      <c r="BJ94" s="19" t="str">
        <f>IF(J94&lt;&gt;"",(('Data input'!J$109-'Data input'!J$108)*(AZ94-1)/4)+'Data input'!J$108,"")</f>
        <v/>
      </c>
      <c r="BK94" s="19" t="str">
        <f>IF(K94&lt;&gt;"",(('Data input'!K$109-'Data input'!K$108)*(BA94-1)/4)+'Data input'!K$108,"")</f>
        <v/>
      </c>
      <c r="BL94" s="19" t="str">
        <f>IF(L94&lt;&gt;"",(('Data input'!L$109-'Data input'!L$108)*(BB94-1)/4)+'Data input'!L$108,"")</f>
        <v/>
      </c>
      <c r="BM94" s="18" t="str">
        <f>IF(C94&lt;&gt;"",BC94-'Data input'!C94,"")</f>
        <v/>
      </c>
      <c r="BN94" s="18" t="str">
        <f>IF(D94&lt;&gt;"",BD94-'Data input'!D94,"")</f>
        <v/>
      </c>
      <c r="BO94" s="18" t="str">
        <f>IF(E94&lt;&gt;"",BE94-'Data input'!E94,"")</f>
        <v/>
      </c>
      <c r="BP94" s="18" t="str">
        <f>IF(F94&lt;&gt;"",BF94-'Data input'!F94,"")</f>
        <v/>
      </c>
      <c r="BQ94" s="18" t="str">
        <f>IF(G94&lt;&gt;"",BG94-'Data input'!G94,"")</f>
        <v/>
      </c>
      <c r="BR94" s="19" t="str">
        <f>IF(H94&lt;&gt;"",BH94-'Data input'!H94,"")</f>
        <v/>
      </c>
      <c r="BS94" s="18" t="str">
        <f>IF(I94&lt;&gt;"",BI94-'Data input'!I94,"")</f>
        <v/>
      </c>
      <c r="BT94" s="18" t="str">
        <f>IF(J94&lt;&gt;"",BJ94-'Data input'!J94,"")</f>
        <v/>
      </c>
      <c r="BU94" s="18" t="str">
        <f>IF(K94&lt;&gt;"",BK94-'Data input'!K94,"")</f>
        <v/>
      </c>
      <c r="BV94" s="72" t="str">
        <f>IF(L94&lt;&gt;"",BL94-'Data input'!L94,"")</f>
        <v/>
      </c>
      <c r="BW94" s="121" t="str">
        <f t="shared" si="49"/>
        <v/>
      </c>
      <c r="FT94" s="1" t="str">
        <f t="shared" si="57"/>
        <v/>
      </c>
      <c r="FU94" s="1" t="str">
        <f t="shared" si="55"/>
        <v/>
      </c>
      <c r="FV94" s="1" t="str">
        <f t="shared" si="55"/>
        <v/>
      </c>
      <c r="FW94" s="1" t="str">
        <f t="shared" si="55"/>
        <v/>
      </c>
      <c r="FX94" s="1" t="str">
        <f t="shared" si="55"/>
        <v/>
      </c>
      <c r="FY94" s="1" t="str">
        <f t="shared" si="55"/>
        <v/>
      </c>
      <c r="FZ94" s="1" t="str">
        <f t="shared" si="55"/>
        <v/>
      </c>
      <c r="GA94" s="1" t="str">
        <f t="shared" si="55"/>
        <v/>
      </c>
      <c r="GB94" s="1" t="str">
        <f t="shared" si="55"/>
        <v/>
      </c>
      <c r="GC94" s="1" t="str">
        <f t="shared" si="55"/>
        <v/>
      </c>
      <c r="GD94" s="1" t="str">
        <f t="shared" si="55"/>
        <v/>
      </c>
      <c r="GE94" s="1" t="str">
        <f t="shared" si="55"/>
        <v/>
      </c>
      <c r="GF94" s="1" t="str">
        <f t="shared" si="55"/>
        <v/>
      </c>
      <c r="GG94" s="1" t="str">
        <f t="shared" si="55"/>
        <v/>
      </c>
      <c r="GH94" s="1" t="str">
        <f t="shared" si="55"/>
        <v/>
      </c>
      <c r="GI94" s="1" t="str">
        <f t="shared" si="55"/>
        <v/>
      </c>
      <c r="GJ94" s="1" t="str">
        <f t="shared" si="51"/>
        <v/>
      </c>
      <c r="GK94" s="1" t="str">
        <f t="shared" si="51"/>
        <v/>
      </c>
      <c r="GL94" s="1" t="str">
        <f t="shared" si="51"/>
        <v/>
      </c>
      <c r="GM94" s="1" t="str">
        <f t="shared" si="51"/>
        <v/>
      </c>
      <c r="GN94" s="1" t="str">
        <f t="shared" si="51"/>
        <v/>
      </c>
      <c r="GO94" s="1" t="str">
        <f t="shared" ref="GO94:HD102" si="60">IF(CS94&gt;0.0001,CONCATENATE(CS$2,"; "),"")</f>
        <v/>
      </c>
      <c r="GP94" s="1" t="str">
        <f t="shared" si="60"/>
        <v/>
      </c>
      <c r="GQ94" s="1" t="str">
        <f t="shared" si="60"/>
        <v/>
      </c>
      <c r="GR94" s="1" t="str">
        <f t="shared" si="60"/>
        <v/>
      </c>
      <c r="GS94" s="1" t="str">
        <f t="shared" si="60"/>
        <v/>
      </c>
      <c r="GT94" s="1" t="str">
        <f t="shared" si="50"/>
        <v/>
      </c>
      <c r="GU94" s="1" t="str">
        <f t="shared" si="50"/>
        <v/>
      </c>
      <c r="GV94" s="1" t="str">
        <f t="shared" si="50"/>
        <v/>
      </c>
      <c r="GW94" s="1" t="str">
        <f t="shared" si="50"/>
        <v/>
      </c>
      <c r="GX94" s="1" t="str">
        <f t="shared" si="50"/>
        <v/>
      </c>
      <c r="GY94" s="1" t="str">
        <f t="shared" si="50"/>
        <v/>
      </c>
      <c r="GZ94" s="1" t="str">
        <f t="shared" si="50"/>
        <v/>
      </c>
      <c r="HA94" s="1" t="str">
        <f t="shared" si="50"/>
        <v/>
      </c>
      <c r="HB94" s="1" t="str">
        <f t="shared" si="50"/>
        <v/>
      </c>
      <c r="HC94" s="1" t="str">
        <f t="shared" si="50"/>
        <v/>
      </c>
      <c r="HD94" s="1" t="str">
        <f t="shared" si="50"/>
        <v/>
      </c>
      <c r="HE94" s="1" t="str">
        <f t="shared" si="50"/>
        <v/>
      </c>
      <c r="HF94" s="1" t="str">
        <f t="shared" si="50"/>
        <v/>
      </c>
      <c r="HG94" s="1" t="str">
        <f t="shared" si="50"/>
        <v/>
      </c>
      <c r="HH94" s="1" t="str">
        <f t="shared" si="50"/>
        <v/>
      </c>
      <c r="HI94" s="1" t="str">
        <f t="shared" si="50"/>
        <v/>
      </c>
      <c r="HJ94" s="1" t="str">
        <f t="shared" si="58"/>
        <v/>
      </c>
      <c r="HK94" s="1" t="str">
        <f t="shared" si="58"/>
        <v/>
      </c>
      <c r="HL94" s="1" t="str">
        <f t="shared" si="58"/>
        <v/>
      </c>
      <c r="HM94" s="1" t="str">
        <f t="shared" si="58"/>
        <v/>
      </c>
      <c r="HN94" s="1" t="str">
        <f t="shared" si="58"/>
        <v/>
      </c>
      <c r="HO94" s="1" t="str">
        <f t="shared" si="52"/>
        <v/>
      </c>
      <c r="HP94" s="1" t="str">
        <f t="shared" si="52"/>
        <v/>
      </c>
      <c r="HQ94" s="1" t="str">
        <f t="shared" si="52"/>
        <v/>
      </c>
      <c r="HR94" s="1" t="str">
        <f t="shared" si="52"/>
        <v/>
      </c>
      <c r="HS94" s="1" t="str">
        <f t="shared" si="52"/>
        <v/>
      </c>
      <c r="HT94" s="1" t="str">
        <f t="shared" si="52"/>
        <v/>
      </c>
      <c r="HU94" s="1" t="str">
        <f t="shared" si="52"/>
        <v/>
      </c>
      <c r="HV94" s="1" t="str">
        <f t="shared" si="52"/>
        <v/>
      </c>
      <c r="HW94" s="1" t="str">
        <f t="shared" si="52"/>
        <v/>
      </c>
      <c r="HX94" s="1" t="str">
        <f t="shared" si="52"/>
        <v/>
      </c>
      <c r="HY94" s="1" t="str">
        <f t="shared" si="52"/>
        <v/>
      </c>
      <c r="HZ94" s="1" t="str">
        <f t="shared" si="52"/>
        <v/>
      </c>
      <c r="IA94" s="1" t="str">
        <f t="shared" si="52"/>
        <v/>
      </c>
      <c r="IB94" s="1" t="str">
        <f t="shared" si="52"/>
        <v/>
      </c>
      <c r="IC94" s="1" t="str">
        <f t="shared" si="52"/>
        <v/>
      </c>
      <c r="ID94" s="1" t="str">
        <f t="shared" si="52"/>
        <v/>
      </c>
      <c r="IE94" s="1" t="str">
        <f t="shared" si="59"/>
        <v/>
      </c>
      <c r="IF94" s="1" t="str">
        <f t="shared" si="56"/>
        <v/>
      </c>
      <c r="IG94" s="1" t="str">
        <f t="shared" si="56"/>
        <v/>
      </c>
      <c r="IH94" s="1" t="str">
        <f t="shared" si="53"/>
        <v/>
      </c>
      <c r="II94" s="1" t="str">
        <f t="shared" si="53"/>
        <v/>
      </c>
      <c r="IJ94" s="1" t="str">
        <f t="shared" si="53"/>
        <v/>
      </c>
      <c r="IK94" s="1" t="str">
        <f t="shared" si="53"/>
        <v/>
      </c>
      <c r="IL94" s="1" t="str">
        <f t="shared" si="53"/>
        <v/>
      </c>
      <c r="IM94" s="1" t="str">
        <f t="shared" si="53"/>
        <v/>
      </c>
      <c r="IN94" s="1" t="str">
        <f t="shared" si="53"/>
        <v/>
      </c>
      <c r="IO94" s="1" t="str">
        <f t="shared" si="53"/>
        <v/>
      </c>
      <c r="IP94" s="1" t="str">
        <f t="shared" si="53"/>
        <v/>
      </c>
      <c r="IQ94" s="1" t="str">
        <f t="shared" si="53"/>
        <v/>
      </c>
      <c r="IR94" s="1" t="str">
        <f t="shared" si="53"/>
        <v/>
      </c>
      <c r="IS94" s="1" t="str">
        <f t="shared" si="53"/>
        <v/>
      </c>
      <c r="IT94" s="1" t="str">
        <f t="shared" si="53"/>
        <v/>
      </c>
      <c r="IU94" s="1" t="str">
        <f t="shared" si="53"/>
        <v/>
      </c>
      <c r="IV94" s="1" t="str">
        <f t="shared" si="53"/>
        <v/>
      </c>
      <c r="IW94" s="1" t="str">
        <f t="shared" si="53"/>
        <v/>
      </c>
      <c r="IX94" s="1" t="str">
        <f t="shared" si="54"/>
        <v/>
      </c>
      <c r="IY94" s="1" t="str">
        <f t="shared" si="54"/>
        <v/>
      </c>
      <c r="IZ94" s="1" t="str">
        <f t="shared" si="54"/>
        <v/>
      </c>
      <c r="JA94" s="1" t="str">
        <f t="shared" si="54"/>
        <v/>
      </c>
      <c r="JB94" s="1" t="str">
        <f t="shared" si="54"/>
        <v/>
      </c>
      <c r="JC94" s="1" t="str">
        <f t="shared" si="43"/>
        <v/>
      </c>
      <c r="JD94" s="1" t="str">
        <f t="shared" si="43"/>
        <v/>
      </c>
      <c r="JE94" s="1" t="str">
        <f t="shared" si="43"/>
        <v/>
      </c>
      <c r="JF94" s="1" t="str">
        <f t="shared" si="43"/>
        <v/>
      </c>
      <c r="JG94" s="1" t="str">
        <f t="shared" si="37"/>
        <v/>
      </c>
      <c r="JH94" s="1" t="str">
        <f t="shared" si="37"/>
        <v/>
      </c>
      <c r="JI94" s="1" t="str">
        <f t="shared" si="37"/>
        <v/>
      </c>
      <c r="JJ94" s="1" t="str">
        <f t="shared" si="30"/>
        <v/>
      </c>
      <c r="JK94" s="1" t="str">
        <f t="shared" si="30"/>
        <v/>
      </c>
      <c r="JL94" s="1" t="str">
        <f t="shared" si="30"/>
        <v/>
      </c>
      <c r="JM94" s="1" t="str">
        <f t="shared" si="30"/>
        <v/>
      </c>
      <c r="JN94" s="1" t="str">
        <f t="shared" si="30"/>
        <v/>
      </c>
      <c r="JO94" s="1" t="str">
        <f t="shared" si="30"/>
        <v/>
      </c>
    </row>
    <row r="95" spans="1:275" ht="14.5" x14ac:dyDescent="0.35">
      <c r="A95" s="59" t="str">
        <f>IF('Data input'!A95&lt;&gt;"",'Data input'!A95,"")</f>
        <v/>
      </c>
      <c r="B95" s="15" t="str">
        <f>IF('Data input'!B95&lt;&gt;"",'Data input'!B95,"")</f>
        <v/>
      </c>
      <c r="C95" s="16" t="str">
        <f>IF('Data input'!C95="","",4*('Data input'!C95-'Data input'!C$108)/('Data input'!C$109-'Data input'!C$108)+1)</f>
        <v/>
      </c>
      <c r="D95" s="16" t="str">
        <f>IF('Data input'!D95="","",4*('Data input'!D95-'Data input'!D$108)/('Data input'!D$109-'Data input'!D$108)+1)</f>
        <v/>
      </c>
      <c r="E95" s="16" t="str">
        <f>IF('Data input'!E95="","",4*('Data input'!E95-'Data input'!E$108)/('Data input'!E$109-'Data input'!E$108)+1)</f>
        <v/>
      </c>
      <c r="F95" s="16" t="str">
        <f>IF('Data input'!F95="","",4*('Data input'!F95-'Data input'!F$108)/('Data input'!F$109-'Data input'!F$108)+1)</f>
        <v/>
      </c>
      <c r="G95" s="16" t="str">
        <f>IF('Data input'!G95="","",4*('Data input'!G95-'Data input'!G$108)/('Data input'!G$109-'Data input'!G$108)+1)</f>
        <v/>
      </c>
      <c r="H95" s="16" t="str">
        <f>IF('Data input'!H95="","",4*('Data input'!H95-'Data input'!H$108)/('Data input'!H$109-'Data input'!H$108)+1)</f>
        <v/>
      </c>
      <c r="I95" s="19" t="str">
        <f>IF('Data input'!I95="","",4*('Data input'!I95-'Data input'!I$108)/('Data input'!I$109-'Data input'!I$108)+1)</f>
        <v/>
      </c>
      <c r="J95" s="19" t="str">
        <f>IF('Data input'!J95="","",4*('Data input'!J95-'Data input'!J$108)/('Data input'!J$109-'Data input'!J$108)+1)</f>
        <v/>
      </c>
      <c r="K95" s="19" t="str">
        <f>IF('Data input'!K95="","",4*('Data input'!K95-'Data input'!K$108)/('Data input'!K$109-'Data input'!K$108)+1)</f>
        <v/>
      </c>
      <c r="L95" s="19" t="str">
        <f>IF('Data input'!L95="","",4*('Data input'!L95-'Data input'!L$108)/('Data input'!L$109-'Data input'!L$108)+1)</f>
        <v/>
      </c>
      <c r="M95" s="16" t="str">
        <f>IF('Data input'!M95="","",4*('Data input'!M95-'Data input'!M$108)/('Data input'!M$109-'Data input'!M$108)+1)</f>
        <v/>
      </c>
      <c r="N95" s="16" t="str">
        <f>IF('Data input'!N95="","",4*('Data input'!N95-'Data input'!N$108)/('Data input'!N$109-'Data input'!N$108)+1)</f>
        <v/>
      </c>
      <c r="O95" s="16" t="str">
        <f>IF('Data input'!O95="","",4*('Data input'!O95-'Data input'!O$108)/('Data input'!O$109-'Data input'!O$108)+1)</f>
        <v/>
      </c>
      <c r="P95" s="16" t="str">
        <f>IF('Data input'!P95="","",4*('Data input'!P95-'Data input'!P$108)/('Data input'!P$109-'Data input'!P$108)+1)</f>
        <v/>
      </c>
      <c r="Q95" s="16" t="str">
        <f>IF('Data input'!Q95="","",4*('Data input'!Q95-'Data input'!Q$108)/('Data input'!Q$109-'Data input'!Q$108)+1)</f>
        <v/>
      </c>
      <c r="R95" s="16" t="str">
        <f>IF('Data input'!R95="","",4*('Data input'!R95-'Data input'!R$108)/('Data input'!R$109-'Data input'!R$108)+1)</f>
        <v/>
      </c>
      <c r="S95" s="16" t="str">
        <f>IF('Data input'!S95="","",4*('Data input'!S95-'Data input'!S$108)/('Data input'!S$109-'Data input'!S$108)+1)</f>
        <v/>
      </c>
      <c r="T95" s="16" t="str">
        <f>IF('Data input'!T95="","",4*('Data input'!T95-'Data input'!T$108)/('Data input'!T$109-'Data input'!T$108)+1)</f>
        <v/>
      </c>
      <c r="U95" s="16" t="str">
        <f>IF('Data input'!U95="","",4*('Data input'!U95-'Data input'!U$108)/('Data input'!U$109-'Data input'!U$108)+1)</f>
        <v/>
      </c>
      <c r="V95" s="16" t="str">
        <f>IF('Data input'!V95="","",4*('Data input'!V95-'Data input'!V$108)/('Data input'!V$109-'Data input'!V$108)+1)</f>
        <v/>
      </c>
      <c r="W95" s="16" t="str">
        <f>IF('Data input'!W95="","",4*('Data input'!W95-'Data input'!W$108)/('Data input'!W$109-'Data input'!W$108)+1)</f>
        <v/>
      </c>
      <c r="X95" s="16" t="str">
        <f>IF('Data input'!X95="","",4*('Data input'!X95-'Data input'!X$108)/('Data input'!X$109-'Data input'!X$108)+1)</f>
        <v/>
      </c>
      <c r="Y95" s="16" t="str">
        <f>IF('Data input'!Y95="","",4*('Data input'!Y95-'Data input'!Y$108)/('Data input'!Y$109-'Data input'!Y$108)+1)</f>
        <v/>
      </c>
      <c r="Z95" s="16" t="str">
        <f>IF('Data input'!Z95="","",4*('Data input'!Z95-'Data input'!Z$108)/('Data input'!Z$109-'Data input'!Z$108)+1)</f>
        <v/>
      </c>
      <c r="AA95" s="62" t="str">
        <f>IF('Data input'!AA95="","",4*('Data input'!AA95-'Data input'!AA$108)/('Data input'!AA$109-'Data input'!AA$108)+1)</f>
        <v/>
      </c>
      <c r="AB95" s="78"/>
      <c r="AC95" s="79">
        <v>0</v>
      </c>
      <c r="AD95" s="80" t="e">
        <f t="shared" si="48"/>
        <v>#DIV/0!</v>
      </c>
      <c r="AE95" s="4"/>
      <c r="AF95" s="59" t="str">
        <f t="shared" si="40"/>
        <v/>
      </c>
      <c r="AG95" s="60" t="str">
        <f t="shared" si="40"/>
        <v/>
      </c>
      <c r="AH95"/>
      <c r="AI95"/>
      <c r="AJ95"/>
      <c r="AK95"/>
      <c r="AL95"/>
      <c r="AM95"/>
      <c r="AN95"/>
      <c r="AO95"/>
      <c r="AP95"/>
      <c r="AQ95"/>
      <c r="AR95"/>
      <c r="AS95" s="71" t="str">
        <f t="shared" si="44"/>
        <v/>
      </c>
      <c r="AT95" s="71" t="str">
        <f t="shared" si="44"/>
        <v/>
      </c>
      <c r="AU95" s="71" t="str">
        <f t="shared" si="44"/>
        <v/>
      </c>
      <c r="AV95" s="71" t="str">
        <f t="shared" si="44"/>
        <v/>
      </c>
      <c r="AW95" s="71" t="str">
        <f t="shared" si="44"/>
        <v/>
      </c>
      <c r="AX95" s="71" t="str">
        <f t="shared" si="45"/>
        <v/>
      </c>
      <c r="AY95" s="71" t="str">
        <f t="shared" si="45"/>
        <v/>
      </c>
      <c r="AZ95" s="71" t="str">
        <f t="shared" si="45"/>
        <v/>
      </c>
      <c r="BA95" s="71" t="str">
        <f t="shared" si="45"/>
        <v/>
      </c>
      <c r="BB95" s="71" t="str">
        <f t="shared" si="45"/>
        <v/>
      </c>
      <c r="BC95" s="18" t="str">
        <f>IF(C95&lt;&gt;"",(('Data input'!C$109-'Data input'!C$108)*(AS95-1)/4)+'Data input'!C$108,"")</f>
        <v/>
      </c>
      <c r="BD95" s="18" t="str">
        <f>IF(D95&lt;&gt;"",(('Data input'!D$109-'Data input'!D$108)*(AT95-1)/4)+'Data input'!D$108,"")</f>
        <v/>
      </c>
      <c r="BE95" s="18" t="str">
        <f>IF(E95&lt;&gt;"",(('Data input'!E$109-'Data input'!E$108)*(AU95-1)/4)+'Data input'!E$108,"")</f>
        <v/>
      </c>
      <c r="BF95" s="18" t="str">
        <f>IF(F95&lt;&gt;"",(('Data input'!F$109-'Data input'!F$108)*(AV95-1)/4)+'Data input'!F$108,"")</f>
        <v/>
      </c>
      <c r="BG95" s="18" t="str">
        <f>IF(G95&lt;&gt;"",(('Data input'!G$109-'Data input'!G$108)*(AW95-1)/4)+'Data input'!G$108,"")</f>
        <v/>
      </c>
      <c r="BH95" s="19" t="str">
        <f>IF(H95&lt;&gt;"",(('Data input'!H$109-'Data input'!H$108)*(AX95-1)/4)+'Data input'!H$108,"")</f>
        <v/>
      </c>
      <c r="BI95" s="18" t="str">
        <f>IF(I95&lt;&gt;"",(('Data input'!I$109-'Data input'!I$108)*(AY95-1)/4)+'Data input'!I$108,"")</f>
        <v/>
      </c>
      <c r="BJ95" s="19" t="str">
        <f>IF(J95&lt;&gt;"",(('Data input'!J$109-'Data input'!J$108)*(AZ95-1)/4)+'Data input'!J$108,"")</f>
        <v/>
      </c>
      <c r="BK95" s="19" t="str">
        <f>IF(K95&lt;&gt;"",(('Data input'!K$109-'Data input'!K$108)*(BA95-1)/4)+'Data input'!K$108,"")</f>
        <v/>
      </c>
      <c r="BL95" s="19" t="str">
        <f>IF(L95&lt;&gt;"",(('Data input'!L$109-'Data input'!L$108)*(BB95-1)/4)+'Data input'!L$108,"")</f>
        <v/>
      </c>
      <c r="BM95" s="18" t="str">
        <f>IF(C95&lt;&gt;"",BC95-'Data input'!C95,"")</f>
        <v/>
      </c>
      <c r="BN95" s="18" t="str">
        <f>IF(D95&lt;&gt;"",BD95-'Data input'!D95,"")</f>
        <v/>
      </c>
      <c r="BO95" s="18" t="str">
        <f>IF(E95&lt;&gt;"",BE95-'Data input'!E95,"")</f>
        <v/>
      </c>
      <c r="BP95" s="18" t="str">
        <f>IF(F95&lt;&gt;"",BF95-'Data input'!F95,"")</f>
        <v/>
      </c>
      <c r="BQ95" s="18" t="str">
        <f>IF(G95&lt;&gt;"",BG95-'Data input'!G95,"")</f>
        <v/>
      </c>
      <c r="BR95" s="19" t="str">
        <f>IF(H95&lt;&gt;"",BH95-'Data input'!H95,"")</f>
        <v/>
      </c>
      <c r="BS95" s="18" t="str">
        <f>IF(I95&lt;&gt;"",BI95-'Data input'!I95,"")</f>
        <v/>
      </c>
      <c r="BT95" s="18" t="str">
        <f>IF(J95&lt;&gt;"",BJ95-'Data input'!J95,"")</f>
        <v/>
      </c>
      <c r="BU95" s="18" t="str">
        <f>IF(K95&lt;&gt;"",BK95-'Data input'!K95,"")</f>
        <v/>
      </c>
      <c r="BV95" s="72" t="str">
        <f>IF(L95&lt;&gt;"",BL95-'Data input'!L95,"")</f>
        <v/>
      </c>
      <c r="BW95" s="121" t="str">
        <f t="shared" si="49"/>
        <v/>
      </c>
      <c r="FT95" s="1" t="str">
        <f t="shared" si="57"/>
        <v/>
      </c>
      <c r="FU95" s="1" t="str">
        <f t="shared" si="55"/>
        <v/>
      </c>
      <c r="FV95" s="1" t="str">
        <f t="shared" si="55"/>
        <v/>
      </c>
      <c r="FW95" s="1" t="str">
        <f t="shared" si="55"/>
        <v/>
      </c>
      <c r="FX95" s="1" t="str">
        <f t="shared" si="55"/>
        <v/>
      </c>
      <c r="FY95" s="1" t="str">
        <f t="shared" si="55"/>
        <v/>
      </c>
      <c r="FZ95" s="1" t="str">
        <f t="shared" si="55"/>
        <v/>
      </c>
      <c r="GA95" s="1" t="str">
        <f t="shared" si="55"/>
        <v/>
      </c>
      <c r="GB95" s="1" t="str">
        <f t="shared" si="55"/>
        <v/>
      </c>
      <c r="GC95" s="1" t="str">
        <f t="shared" si="55"/>
        <v/>
      </c>
      <c r="GD95" s="1" t="str">
        <f t="shared" si="55"/>
        <v/>
      </c>
      <c r="GE95" s="1" t="str">
        <f t="shared" si="55"/>
        <v/>
      </c>
      <c r="GF95" s="1" t="str">
        <f t="shared" si="55"/>
        <v/>
      </c>
      <c r="GG95" s="1" t="str">
        <f t="shared" si="55"/>
        <v/>
      </c>
      <c r="GH95" s="1" t="str">
        <f t="shared" si="55"/>
        <v/>
      </c>
      <c r="GI95" s="1" t="str">
        <f t="shared" si="55"/>
        <v/>
      </c>
      <c r="GJ95" s="1" t="str">
        <f t="shared" si="55"/>
        <v/>
      </c>
      <c r="GK95" s="1" t="str">
        <f t="shared" ref="GK95:GN102" si="61">IF(CO95&gt;0.0001,CONCATENATE(CO$2,"; "),"")</f>
        <v/>
      </c>
      <c r="GL95" s="1" t="str">
        <f t="shared" si="61"/>
        <v/>
      </c>
      <c r="GM95" s="1" t="str">
        <f t="shared" si="61"/>
        <v/>
      </c>
      <c r="GN95" s="1" t="str">
        <f t="shared" si="61"/>
        <v/>
      </c>
      <c r="GO95" s="1" t="str">
        <f t="shared" si="60"/>
        <v/>
      </c>
      <c r="GP95" s="1" t="str">
        <f t="shared" si="60"/>
        <v/>
      </c>
      <c r="GQ95" s="1" t="str">
        <f t="shared" si="60"/>
        <v/>
      </c>
      <c r="GR95" s="1" t="str">
        <f t="shared" si="60"/>
        <v/>
      </c>
      <c r="GS95" s="1" t="str">
        <f t="shared" si="60"/>
        <v/>
      </c>
      <c r="GT95" s="1" t="str">
        <f t="shared" si="50"/>
        <v/>
      </c>
      <c r="GU95" s="1" t="str">
        <f t="shared" si="50"/>
        <v/>
      </c>
      <c r="GV95" s="1" t="str">
        <f t="shared" si="50"/>
        <v/>
      </c>
      <c r="GW95" s="1" t="str">
        <f t="shared" si="50"/>
        <v/>
      </c>
      <c r="GX95" s="1" t="str">
        <f t="shared" si="50"/>
        <v/>
      </c>
      <c r="GY95" s="1" t="str">
        <f t="shared" si="50"/>
        <v/>
      </c>
      <c r="GZ95" s="1" t="str">
        <f t="shared" si="50"/>
        <v/>
      </c>
      <c r="HA95" s="1" t="str">
        <f t="shared" si="50"/>
        <v/>
      </c>
      <c r="HB95" s="1" t="str">
        <f t="shared" si="50"/>
        <v/>
      </c>
      <c r="HC95" s="1" t="str">
        <f t="shared" si="50"/>
        <v/>
      </c>
      <c r="HD95" s="1" t="str">
        <f t="shared" si="50"/>
        <v/>
      </c>
      <c r="HE95" s="1" t="str">
        <f t="shared" si="50"/>
        <v/>
      </c>
      <c r="HF95" s="1" t="str">
        <f t="shared" si="50"/>
        <v/>
      </c>
      <c r="HG95" s="1" t="str">
        <f t="shared" si="50"/>
        <v/>
      </c>
      <c r="HH95" s="1" t="str">
        <f t="shared" si="50"/>
        <v/>
      </c>
      <c r="HI95" s="1" t="str">
        <f t="shared" si="50"/>
        <v/>
      </c>
      <c r="HJ95" s="1" t="str">
        <f t="shared" si="58"/>
        <v/>
      </c>
      <c r="HK95" s="1" t="str">
        <f t="shared" si="58"/>
        <v/>
      </c>
      <c r="HL95" s="1" t="str">
        <f t="shared" si="58"/>
        <v/>
      </c>
      <c r="HM95" s="1" t="str">
        <f t="shared" si="58"/>
        <v/>
      </c>
      <c r="HN95" s="1" t="str">
        <f t="shared" si="58"/>
        <v/>
      </c>
      <c r="HO95" s="1" t="str">
        <f t="shared" si="52"/>
        <v/>
      </c>
      <c r="HP95" s="1" t="str">
        <f t="shared" si="52"/>
        <v/>
      </c>
      <c r="HQ95" s="1" t="str">
        <f t="shared" si="52"/>
        <v/>
      </c>
      <c r="HR95" s="1" t="str">
        <f t="shared" si="52"/>
        <v/>
      </c>
      <c r="HS95" s="1" t="str">
        <f t="shared" si="52"/>
        <v/>
      </c>
      <c r="HT95" s="1" t="str">
        <f t="shared" si="52"/>
        <v/>
      </c>
      <c r="HU95" s="1" t="str">
        <f t="shared" si="52"/>
        <v/>
      </c>
      <c r="HV95" s="1" t="str">
        <f t="shared" si="52"/>
        <v/>
      </c>
      <c r="HW95" s="1" t="str">
        <f t="shared" si="52"/>
        <v/>
      </c>
      <c r="HX95" s="1" t="str">
        <f t="shared" si="52"/>
        <v/>
      </c>
      <c r="HY95" s="1" t="str">
        <f t="shared" si="52"/>
        <v/>
      </c>
      <c r="HZ95" s="1" t="str">
        <f t="shared" si="52"/>
        <v/>
      </c>
      <c r="IA95" s="1" t="str">
        <f t="shared" si="52"/>
        <v/>
      </c>
      <c r="IB95" s="1" t="str">
        <f t="shared" si="52"/>
        <v/>
      </c>
      <c r="IC95" s="1" t="str">
        <f t="shared" si="52"/>
        <v/>
      </c>
      <c r="ID95" s="1" t="str">
        <f t="shared" si="52"/>
        <v/>
      </c>
      <c r="IE95" s="1" t="str">
        <f t="shared" si="59"/>
        <v/>
      </c>
      <c r="IF95" s="1" t="str">
        <f t="shared" si="56"/>
        <v/>
      </c>
      <c r="IG95" s="1" t="str">
        <f t="shared" si="56"/>
        <v/>
      </c>
      <c r="IH95" s="1" t="str">
        <f t="shared" si="53"/>
        <v/>
      </c>
      <c r="II95" s="1" t="str">
        <f t="shared" si="53"/>
        <v/>
      </c>
      <c r="IJ95" s="1" t="str">
        <f t="shared" si="53"/>
        <v/>
      </c>
      <c r="IK95" s="1" t="str">
        <f t="shared" si="53"/>
        <v/>
      </c>
      <c r="IL95" s="1" t="str">
        <f t="shared" si="53"/>
        <v/>
      </c>
      <c r="IM95" s="1" t="str">
        <f t="shared" si="53"/>
        <v/>
      </c>
      <c r="IN95" s="1" t="str">
        <f t="shared" si="53"/>
        <v/>
      </c>
      <c r="IO95" s="1" t="str">
        <f t="shared" si="53"/>
        <v/>
      </c>
      <c r="IP95" s="1" t="str">
        <f t="shared" si="53"/>
        <v/>
      </c>
      <c r="IQ95" s="1" t="str">
        <f t="shared" si="53"/>
        <v/>
      </c>
      <c r="IR95" s="1" t="str">
        <f t="shared" si="53"/>
        <v/>
      </c>
      <c r="IS95" s="1" t="str">
        <f t="shared" si="53"/>
        <v/>
      </c>
      <c r="IT95" s="1" t="str">
        <f t="shared" si="53"/>
        <v/>
      </c>
      <c r="IU95" s="1" t="str">
        <f t="shared" si="53"/>
        <v/>
      </c>
      <c r="IV95" s="1" t="str">
        <f t="shared" si="53"/>
        <v/>
      </c>
      <c r="IW95" s="1" t="str">
        <f t="shared" si="53"/>
        <v/>
      </c>
      <c r="IX95" s="1" t="str">
        <f t="shared" si="54"/>
        <v/>
      </c>
      <c r="IY95" s="1" t="str">
        <f t="shared" si="54"/>
        <v/>
      </c>
      <c r="IZ95" s="1" t="str">
        <f t="shared" si="54"/>
        <v/>
      </c>
      <c r="JA95" s="1" t="str">
        <f t="shared" si="54"/>
        <v/>
      </c>
      <c r="JB95" s="1" t="str">
        <f t="shared" si="54"/>
        <v/>
      </c>
      <c r="JC95" s="1" t="str">
        <f t="shared" si="43"/>
        <v/>
      </c>
      <c r="JD95" s="1" t="str">
        <f t="shared" si="43"/>
        <v/>
      </c>
      <c r="JE95" s="1" t="str">
        <f t="shared" si="43"/>
        <v/>
      </c>
      <c r="JF95" s="1" t="str">
        <f t="shared" si="43"/>
        <v/>
      </c>
      <c r="JG95" s="1" t="str">
        <f t="shared" si="37"/>
        <v/>
      </c>
      <c r="JH95" s="1" t="str">
        <f t="shared" si="37"/>
        <v/>
      </c>
      <c r="JI95" s="1" t="str">
        <f t="shared" si="37"/>
        <v/>
      </c>
      <c r="JJ95" s="1" t="str">
        <f t="shared" si="30"/>
        <v/>
      </c>
      <c r="JK95" s="1" t="str">
        <f t="shared" si="30"/>
        <v/>
      </c>
      <c r="JL95" s="1" t="str">
        <f t="shared" si="30"/>
        <v/>
      </c>
      <c r="JM95" s="1" t="str">
        <f t="shared" si="30"/>
        <v/>
      </c>
      <c r="JN95" s="1" t="str">
        <f t="shared" si="30"/>
        <v/>
      </c>
      <c r="JO95" s="1" t="str">
        <f t="shared" si="30"/>
        <v/>
      </c>
    </row>
    <row r="96" spans="1:275" ht="14.5" x14ac:dyDescent="0.35">
      <c r="A96" s="59" t="str">
        <f>IF('Data input'!A96&lt;&gt;"",'Data input'!A96,"")</f>
        <v/>
      </c>
      <c r="B96" s="15" t="str">
        <f>IF('Data input'!B96&lt;&gt;"",'Data input'!B96,"")</f>
        <v/>
      </c>
      <c r="C96" s="16" t="str">
        <f>IF('Data input'!C96="","",4*('Data input'!C96-'Data input'!C$108)/('Data input'!C$109-'Data input'!C$108)+1)</f>
        <v/>
      </c>
      <c r="D96" s="16" t="str">
        <f>IF('Data input'!D96="","",4*('Data input'!D96-'Data input'!D$108)/('Data input'!D$109-'Data input'!D$108)+1)</f>
        <v/>
      </c>
      <c r="E96" s="16" t="str">
        <f>IF('Data input'!E96="","",4*('Data input'!E96-'Data input'!E$108)/('Data input'!E$109-'Data input'!E$108)+1)</f>
        <v/>
      </c>
      <c r="F96" s="16" t="str">
        <f>IF('Data input'!F96="","",4*('Data input'!F96-'Data input'!F$108)/('Data input'!F$109-'Data input'!F$108)+1)</f>
        <v/>
      </c>
      <c r="G96" s="16" t="str">
        <f>IF('Data input'!G96="","",4*('Data input'!G96-'Data input'!G$108)/('Data input'!G$109-'Data input'!G$108)+1)</f>
        <v/>
      </c>
      <c r="H96" s="16" t="str">
        <f>IF('Data input'!H96="","",4*('Data input'!H96-'Data input'!H$108)/('Data input'!H$109-'Data input'!H$108)+1)</f>
        <v/>
      </c>
      <c r="I96" s="19" t="str">
        <f>IF('Data input'!I96="","",4*('Data input'!I96-'Data input'!I$108)/('Data input'!I$109-'Data input'!I$108)+1)</f>
        <v/>
      </c>
      <c r="J96" s="19" t="str">
        <f>IF('Data input'!J96="","",4*('Data input'!J96-'Data input'!J$108)/('Data input'!J$109-'Data input'!J$108)+1)</f>
        <v/>
      </c>
      <c r="K96" s="19" t="str">
        <f>IF('Data input'!K96="","",4*('Data input'!K96-'Data input'!K$108)/('Data input'!K$109-'Data input'!K$108)+1)</f>
        <v/>
      </c>
      <c r="L96" s="19" t="str">
        <f>IF('Data input'!L96="","",4*('Data input'!L96-'Data input'!L$108)/('Data input'!L$109-'Data input'!L$108)+1)</f>
        <v/>
      </c>
      <c r="M96" s="16" t="str">
        <f>IF('Data input'!M96="","",4*('Data input'!M96-'Data input'!M$108)/('Data input'!M$109-'Data input'!M$108)+1)</f>
        <v/>
      </c>
      <c r="N96" s="16" t="str">
        <f>IF('Data input'!N96="","",4*('Data input'!N96-'Data input'!N$108)/('Data input'!N$109-'Data input'!N$108)+1)</f>
        <v/>
      </c>
      <c r="O96" s="16" t="str">
        <f>IF('Data input'!O96="","",4*('Data input'!O96-'Data input'!O$108)/('Data input'!O$109-'Data input'!O$108)+1)</f>
        <v/>
      </c>
      <c r="P96" s="16" t="str">
        <f>IF('Data input'!P96="","",4*('Data input'!P96-'Data input'!P$108)/('Data input'!P$109-'Data input'!P$108)+1)</f>
        <v/>
      </c>
      <c r="Q96" s="16" t="str">
        <f>IF('Data input'!Q96="","",4*('Data input'!Q96-'Data input'!Q$108)/('Data input'!Q$109-'Data input'!Q$108)+1)</f>
        <v/>
      </c>
      <c r="R96" s="16" t="str">
        <f>IF('Data input'!R96="","",4*('Data input'!R96-'Data input'!R$108)/('Data input'!R$109-'Data input'!R$108)+1)</f>
        <v/>
      </c>
      <c r="S96" s="16" t="str">
        <f>IF('Data input'!S96="","",4*('Data input'!S96-'Data input'!S$108)/('Data input'!S$109-'Data input'!S$108)+1)</f>
        <v/>
      </c>
      <c r="T96" s="16" t="str">
        <f>IF('Data input'!T96="","",4*('Data input'!T96-'Data input'!T$108)/('Data input'!T$109-'Data input'!T$108)+1)</f>
        <v/>
      </c>
      <c r="U96" s="16" t="str">
        <f>IF('Data input'!U96="","",4*('Data input'!U96-'Data input'!U$108)/('Data input'!U$109-'Data input'!U$108)+1)</f>
        <v/>
      </c>
      <c r="V96" s="16" t="str">
        <f>IF('Data input'!V96="","",4*('Data input'!V96-'Data input'!V$108)/('Data input'!V$109-'Data input'!V$108)+1)</f>
        <v/>
      </c>
      <c r="W96" s="16" t="str">
        <f>IF('Data input'!W96="","",4*('Data input'!W96-'Data input'!W$108)/('Data input'!W$109-'Data input'!W$108)+1)</f>
        <v/>
      </c>
      <c r="X96" s="16" t="str">
        <f>IF('Data input'!X96="","",4*('Data input'!X96-'Data input'!X$108)/('Data input'!X$109-'Data input'!X$108)+1)</f>
        <v/>
      </c>
      <c r="Y96" s="16" t="str">
        <f>IF('Data input'!Y96="","",4*('Data input'!Y96-'Data input'!Y$108)/('Data input'!Y$109-'Data input'!Y$108)+1)</f>
        <v/>
      </c>
      <c r="Z96" s="16" t="str">
        <f>IF('Data input'!Z96="","",4*('Data input'!Z96-'Data input'!Z$108)/('Data input'!Z$109-'Data input'!Z$108)+1)</f>
        <v/>
      </c>
      <c r="AA96" s="62" t="str">
        <f>IF('Data input'!AA96="","",4*('Data input'!AA96-'Data input'!AA$108)/('Data input'!AA$109-'Data input'!AA$108)+1)</f>
        <v/>
      </c>
      <c r="AB96" s="78"/>
      <c r="AC96" s="79">
        <v>0</v>
      </c>
      <c r="AD96" s="80" t="e">
        <f t="shared" si="48"/>
        <v>#DIV/0!</v>
      </c>
      <c r="AE96" s="4"/>
      <c r="AF96" s="59" t="str">
        <f t="shared" si="40"/>
        <v/>
      </c>
      <c r="AG96" s="60" t="str">
        <f t="shared" si="40"/>
        <v/>
      </c>
      <c r="AH96"/>
      <c r="AI96"/>
      <c r="AJ96"/>
      <c r="AK96"/>
      <c r="AL96"/>
      <c r="AM96"/>
      <c r="AN96"/>
      <c r="AO96"/>
      <c r="AP96"/>
      <c r="AQ96"/>
      <c r="AR96"/>
      <c r="AS96" s="71" t="str">
        <f t="shared" si="44"/>
        <v/>
      </c>
      <c r="AT96" s="71" t="str">
        <f t="shared" si="44"/>
        <v/>
      </c>
      <c r="AU96" s="71" t="str">
        <f t="shared" si="44"/>
        <v/>
      </c>
      <c r="AV96" s="71" t="str">
        <f t="shared" si="44"/>
        <v/>
      </c>
      <c r="AW96" s="71" t="str">
        <f t="shared" si="44"/>
        <v/>
      </c>
      <c r="AX96" s="71" t="str">
        <f t="shared" si="45"/>
        <v/>
      </c>
      <c r="AY96" s="71" t="str">
        <f t="shared" si="45"/>
        <v/>
      </c>
      <c r="AZ96" s="71" t="str">
        <f t="shared" si="45"/>
        <v/>
      </c>
      <c r="BA96" s="71" t="str">
        <f t="shared" si="45"/>
        <v/>
      </c>
      <c r="BB96" s="71" t="str">
        <f t="shared" si="45"/>
        <v/>
      </c>
      <c r="BC96" s="18" t="str">
        <f>IF(C96&lt;&gt;"",(('Data input'!C$109-'Data input'!C$108)*(AS96-1)/4)+'Data input'!C$108,"")</f>
        <v/>
      </c>
      <c r="BD96" s="18" t="str">
        <f>IF(D96&lt;&gt;"",(('Data input'!D$109-'Data input'!D$108)*(AT96-1)/4)+'Data input'!D$108,"")</f>
        <v/>
      </c>
      <c r="BE96" s="18" t="str">
        <f>IF(E96&lt;&gt;"",(('Data input'!E$109-'Data input'!E$108)*(AU96-1)/4)+'Data input'!E$108,"")</f>
        <v/>
      </c>
      <c r="BF96" s="18" t="str">
        <f>IF(F96&lt;&gt;"",(('Data input'!F$109-'Data input'!F$108)*(AV96-1)/4)+'Data input'!F$108,"")</f>
        <v/>
      </c>
      <c r="BG96" s="18" t="str">
        <f>IF(G96&lt;&gt;"",(('Data input'!G$109-'Data input'!G$108)*(AW96-1)/4)+'Data input'!G$108,"")</f>
        <v/>
      </c>
      <c r="BH96" s="19" t="str">
        <f>IF(H96&lt;&gt;"",(('Data input'!H$109-'Data input'!H$108)*(AX96-1)/4)+'Data input'!H$108,"")</f>
        <v/>
      </c>
      <c r="BI96" s="18" t="str">
        <f>IF(I96&lt;&gt;"",(('Data input'!I$109-'Data input'!I$108)*(AY96-1)/4)+'Data input'!I$108,"")</f>
        <v/>
      </c>
      <c r="BJ96" s="19" t="str">
        <f>IF(J96&lt;&gt;"",(('Data input'!J$109-'Data input'!J$108)*(AZ96-1)/4)+'Data input'!J$108,"")</f>
        <v/>
      </c>
      <c r="BK96" s="19" t="str">
        <f>IF(K96&lt;&gt;"",(('Data input'!K$109-'Data input'!K$108)*(BA96-1)/4)+'Data input'!K$108,"")</f>
        <v/>
      </c>
      <c r="BL96" s="19" t="str">
        <f>IF(L96&lt;&gt;"",(('Data input'!L$109-'Data input'!L$108)*(BB96-1)/4)+'Data input'!L$108,"")</f>
        <v/>
      </c>
      <c r="BM96" s="18" t="str">
        <f>IF(C96&lt;&gt;"",BC96-'Data input'!C96,"")</f>
        <v/>
      </c>
      <c r="BN96" s="18" t="str">
        <f>IF(D96&lt;&gt;"",BD96-'Data input'!D96,"")</f>
        <v/>
      </c>
      <c r="BO96" s="18" t="str">
        <f>IF(E96&lt;&gt;"",BE96-'Data input'!E96,"")</f>
        <v/>
      </c>
      <c r="BP96" s="18" t="str">
        <f>IF(F96&lt;&gt;"",BF96-'Data input'!F96,"")</f>
        <v/>
      </c>
      <c r="BQ96" s="18" t="str">
        <f>IF(G96&lt;&gt;"",BG96-'Data input'!G96,"")</f>
        <v/>
      </c>
      <c r="BR96" s="19" t="str">
        <f>IF(H96&lt;&gt;"",BH96-'Data input'!H96,"")</f>
        <v/>
      </c>
      <c r="BS96" s="18" t="str">
        <f>IF(I96&lt;&gt;"",BI96-'Data input'!I96,"")</f>
        <v/>
      </c>
      <c r="BT96" s="18" t="str">
        <f>IF(J96&lt;&gt;"",BJ96-'Data input'!J96,"")</f>
        <v/>
      </c>
      <c r="BU96" s="18" t="str">
        <f>IF(K96&lt;&gt;"",BK96-'Data input'!K96,"")</f>
        <v/>
      </c>
      <c r="BV96" s="72" t="str">
        <f>IF(L96&lt;&gt;"",BL96-'Data input'!L96,"")</f>
        <v/>
      </c>
      <c r="BW96" s="121" t="str">
        <f t="shared" si="49"/>
        <v/>
      </c>
      <c r="FT96" s="1" t="str">
        <f t="shared" si="57"/>
        <v/>
      </c>
      <c r="FU96" s="1" t="str">
        <f t="shared" si="55"/>
        <v/>
      </c>
      <c r="FV96" s="1" t="str">
        <f t="shared" si="55"/>
        <v/>
      </c>
      <c r="FW96" s="1" t="str">
        <f t="shared" si="55"/>
        <v/>
      </c>
      <c r="FX96" s="1" t="str">
        <f t="shared" si="55"/>
        <v/>
      </c>
      <c r="FY96" s="1" t="str">
        <f t="shared" si="55"/>
        <v/>
      </c>
      <c r="FZ96" s="1" t="str">
        <f t="shared" si="55"/>
        <v/>
      </c>
      <c r="GA96" s="1" t="str">
        <f t="shared" si="55"/>
        <v/>
      </c>
      <c r="GB96" s="1" t="str">
        <f t="shared" si="55"/>
        <v/>
      </c>
      <c r="GC96" s="1" t="str">
        <f t="shared" si="55"/>
        <v/>
      </c>
      <c r="GD96" s="1" t="str">
        <f t="shared" si="55"/>
        <v/>
      </c>
      <c r="GE96" s="1" t="str">
        <f t="shared" si="55"/>
        <v/>
      </c>
      <c r="GF96" s="1" t="str">
        <f t="shared" si="55"/>
        <v/>
      </c>
      <c r="GG96" s="1" t="str">
        <f t="shared" si="55"/>
        <v/>
      </c>
      <c r="GH96" s="1" t="str">
        <f t="shared" si="55"/>
        <v/>
      </c>
      <c r="GI96" s="1" t="str">
        <f t="shared" si="55"/>
        <v/>
      </c>
      <c r="GJ96" s="1" t="str">
        <f t="shared" si="55"/>
        <v/>
      </c>
      <c r="GK96" s="1" t="str">
        <f t="shared" si="61"/>
        <v/>
      </c>
      <c r="GL96" s="1" t="str">
        <f t="shared" si="61"/>
        <v/>
      </c>
      <c r="GM96" s="1" t="str">
        <f t="shared" si="61"/>
        <v/>
      </c>
      <c r="GN96" s="1" t="str">
        <f t="shared" si="61"/>
        <v/>
      </c>
      <c r="GO96" s="1" t="str">
        <f t="shared" si="60"/>
        <v/>
      </c>
      <c r="GP96" s="1" t="str">
        <f t="shared" si="60"/>
        <v/>
      </c>
      <c r="GQ96" s="1" t="str">
        <f t="shared" si="60"/>
        <v/>
      </c>
      <c r="GR96" s="1" t="str">
        <f t="shared" si="60"/>
        <v/>
      </c>
      <c r="GS96" s="1" t="str">
        <f t="shared" si="60"/>
        <v/>
      </c>
      <c r="GT96" s="1" t="str">
        <f t="shared" si="50"/>
        <v/>
      </c>
      <c r="GU96" s="1" t="str">
        <f t="shared" si="50"/>
        <v/>
      </c>
      <c r="GV96" s="1" t="str">
        <f t="shared" si="50"/>
        <v/>
      </c>
      <c r="GW96" s="1" t="str">
        <f t="shared" si="50"/>
        <v/>
      </c>
      <c r="GX96" s="1" t="str">
        <f t="shared" si="50"/>
        <v/>
      </c>
      <c r="GY96" s="1" t="str">
        <f t="shared" si="50"/>
        <v/>
      </c>
      <c r="GZ96" s="1" t="str">
        <f t="shared" si="50"/>
        <v/>
      </c>
      <c r="HA96" s="1" t="str">
        <f t="shared" si="50"/>
        <v/>
      </c>
      <c r="HB96" s="1" t="str">
        <f t="shared" si="50"/>
        <v/>
      </c>
      <c r="HC96" s="1" t="str">
        <f t="shared" si="50"/>
        <v/>
      </c>
      <c r="HD96" s="1" t="str">
        <f t="shared" si="50"/>
        <v/>
      </c>
      <c r="HE96" s="1" t="str">
        <f t="shared" si="50"/>
        <v/>
      </c>
      <c r="HF96" s="1" t="str">
        <f t="shared" si="50"/>
        <v/>
      </c>
      <c r="HG96" s="1" t="str">
        <f t="shared" si="50"/>
        <v/>
      </c>
      <c r="HH96" s="1" t="str">
        <f t="shared" si="50"/>
        <v/>
      </c>
      <c r="HI96" s="1" t="str">
        <f t="shared" si="50"/>
        <v/>
      </c>
      <c r="HJ96" s="1" t="str">
        <f t="shared" si="58"/>
        <v/>
      </c>
      <c r="HK96" s="1" t="str">
        <f t="shared" si="58"/>
        <v/>
      </c>
      <c r="HL96" s="1" t="str">
        <f t="shared" si="58"/>
        <v/>
      </c>
      <c r="HM96" s="1" t="str">
        <f t="shared" si="58"/>
        <v/>
      </c>
      <c r="HN96" s="1" t="str">
        <f t="shared" si="58"/>
        <v/>
      </c>
      <c r="HO96" s="1" t="str">
        <f t="shared" si="52"/>
        <v/>
      </c>
      <c r="HP96" s="1" t="str">
        <f t="shared" si="52"/>
        <v/>
      </c>
      <c r="HQ96" s="1" t="str">
        <f t="shared" si="52"/>
        <v/>
      </c>
      <c r="HR96" s="1" t="str">
        <f t="shared" si="52"/>
        <v/>
      </c>
      <c r="HS96" s="1" t="str">
        <f t="shared" si="52"/>
        <v/>
      </c>
      <c r="HT96" s="1" t="str">
        <f t="shared" si="52"/>
        <v/>
      </c>
      <c r="HU96" s="1" t="str">
        <f t="shared" si="52"/>
        <v/>
      </c>
      <c r="HV96" s="1" t="str">
        <f t="shared" si="52"/>
        <v/>
      </c>
      <c r="HW96" s="1" t="str">
        <f t="shared" si="52"/>
        <v/>
      </c>
      <c r="HX96" s="1" t="str">
        <f t="shared" si="52"/>
        <v/>
      </c>
      <c r="HY96" s="1" t="str">
        <f t="shared" si="52"/>
        <v/>
      </c>
      <c r="HZ96" s="1" t="str">
        <f t="shared" si="52"/>
        <v/>
      </c>
      <c r="IA96" s="1" t="str">
        <f t="shared" si="52"/>
        <v/>
      </c>
      <c r="IB96" s="1" t="str">
        <f t="shared" si="52"/>
        <v/>
      </c>
      <c r="IC96" s="1" t="str">
        <f t="shared" si="52"/>
        <v/>
      </c>
      <c r="ID96" s="1" t="str">
        <f t="shared" si="52"/>
        <v/>
      </c>
      <c r="IE96" s="1" t="str">
        <f t="shared" si="59"/>
        <v/>
      </c>
      <c r="IF96" s="1" t="str">
        <f t="shared" si="56"/>
        <v/>
      </c>
      <c r="IG96" s="1" t="str">
        <f t="shared" si="56"/>
        <v/>
      </c>
      <c r="IH96" s="1" t="str">
        <f t="shared" si="53"/>
        <v/>
      </c>
      <c r="II96" s="1" t="str">
        <f t="shared" si="53"/>
        <v/>
      </c>
      <c r="IJ96" s="1" t="str">
        <f t="shared" si="53"/>
        <v/>
      </c>
      <c r="IK96" s="1" t="str">
        <f t="shared" si="53"/>
        <v/>
      </c>
      <c r="IL96" s="1" t="str">
        <f t="shared" si="53"/>
        <v/>
      </c>
      <c r="IM96" s="1" t="str">
        <f t="shared" si="53"/>
        <v/>
      </c>
      <c r="IN96" s="1" t="str">
        <f t="shared" si="53"/>
        <v/>
      </c>
      <c r="IO96" s="1" t="str">
        <f t="shared" si="53"/>
        <v/>
      </c>
      <c r="IP96" s="1" t="str">
        <f t="shared" si="53"/>
        <v/>
      </c>
      <c r="IQ96" s="1" t="str">
        <f t="shared" si="53"/>
        <v/>
      </c>
      <c r="IR96" s="1" t="str">
        <f t="shared" si="53"/>
        <v/>
      </c>
      <c r="IS96" s="1" t="str">
        <f t="shared" si="53"/>
        <v/>
      </c>
      <c r="IT96" s="1" t="str">
        <f t="shared" si="53"/>
        <v/>
      </c>
      <c r="IU96" s="1" t="str">
        <f t="shared" si="53"/>
        <v/>
      </c>
      <c r="IV96" s="1" t="str">
        <f t="shared" si="53"/>
        <v/>
      </c>
      <c r="IW96" s="1" t="str">
        <f t="shared" si="53"/>
        <v/>
      </c>
      <c r="IX96" s="1" t="str">
        <f t="shared" si="54"/>
        <v/>
      </c>
      <c r="IY96" s="1" t="str">
        <f t="shared" si="54"/>
        <v/>
      </c>
      <c r="IZ96" s="1" t="str">
        <f t="shared" si="54"/>
        <v/>
      </c>
      <c r="JA96" s="1" t="str">
        <f t="shared" si="54"/>
        <v/>
      </c>
      <c r="JB96" s="1" t="str">
        <f t="shared" si="54"/>
        <v/>
      </c>
      <c r="JC96" s="1" t="str">
        <f t="shared" si="43"/>
        <v/>
      </c>
      <c r="JD96" s="1" t="str">
        <f t="shared" si="43"/>
        <v/>
      </c>
      <c r="JE96" s="1" t="str">
        <f t="shared" si="43"/>
        <v/>
      </c>
      <c r="JF96" s="1" t="str">
        <f t="shared" si="43"/>
        <v/>
      </c>
      <c r="JG96" s="1" t="str">
        <f t="shared" si="37"/>
        <v/>
      </c>
      <c r="JH96" s="1" t="str">
        <f t="shared" si="37"/>
        <v/>
      </c>
      <c r="JI96" s="1" t="str">
        <f t="shared" si="37"/>
        <v/>
      </c>
      <c r="JJ96" s="1" t="str">
        <f t="shared" si="30"/>
        <v/>
      </c>
      <c r="JK96" s="1" t="str">
        <f t="shared" si="30"/>
        <v/>
      </c>
      <c r="JL96" s="1" t="str">
        <f t="shared" si="30"/>
        <v/>
      </c>
      <c r="JM96" s="1" t="str">
        <f t="shared" si="30"/>
        <v/>
      </c>
      <c r="JN96" s="1" t="str">
        <f t="shared" si="30"/>
        <v/>
      </c>
      <c r="JO96" s="1" t="str">
        <f t="shared" si="30"/>
        <v/>
      </c>
    </row>
    <row r="97" spans="1:275" ht="14.5" x14ac:dyDescent="0.35">
      <c r="A97" s="59" t="str">
        <f>IF('Data input'!A97&lt;&gt;"",'Data input'!A97,"")</f>
        <v/>
      </c>
      <c r="B97" s="15" t="str">
        <f>IF('Data input'!B97&lt;&gt;"",'Data input'!B97,"")</f>
        <v/>
      </c>
      <c r="C97" s="16" t="str">
        <f>IF('Data input'!C97="","",4*('Data input'!C97-'Data input'!C$108)/('Data input'!C$109-'Data input'!C$108)+1)</f>
        <v/>
      </c>
      <c r="D97" s="16" t="str">
        <f>IF('Data input'!D97="","",4*('Data input'!D97-'Data input'!D$108)/('Data input'!D$109-'Data input'!D$108)+1)</f>
        <v/>
      </c>
      <c r="E97" s="16" t="str">
        <f>IF('Data input'!E97="","",4*('Data input'!E97-'Data input'!E$108)/('Data input'!E$109-'Data input'!E$108)+1)</f>
        <v/>
      </c>
      <c r="F97" s="16" t="str">
        <f>IF('Data input'!F97="","",4*('Data input'!F97-'Data input'!F$108)/('Data input'!F$109-'Data input'!F$108)+1)</f>
        <v/>
      </c>
      <c r="G97" s="16" t="str">
        <f>IF('Data input'!G97="","",4*('Data input'!G97-'Data input'!G$108)/('Data input'!G$109-'Data input'!G$108)+1)</f>
        <v/>
      </c>
      <c r="H97" s="16" t="str">
        <f>IF('Data input'!H97="","",4*('Data input'!H97-'Data input'!H$108)/('Data input'!H$109-'Data input'!H$108)+1)</f>
        <v/>
      </c>
      <c r="I97" s="19" t="str">
        <f>IF('Data input'!I97="","",4*('Data input'!I97-'Data input'!I$108)/('Data input'!I$109-'Data input'!I$108)+1)</f>
        <v/>
      </c>
      <c r="J97" s="19" t="str">
        <f>IF('Data input'!J97="","",4*('Data input'!J97-'Data input'!J$108)/('Data input'!J$109-'Data input'!J$108)+1)</f>
        <v/>
      </c>
      <c r="K97" s="19" t="str">
        <f>IF('Data input'!K97="","",4*('Data input'!K97-'Data input'!K$108)/('Data input'!K$109-'Data input'!K$108)+1)</f>
        <v/>
      </c>
      <c r="L97" s="19" t="str">
        <f>IF('Data input'!L97="","",4*('Data input'!L97-'Data input'!L$108)/('Data input'!L$109-'Data input'!L$108)+1)</f>
        <v/>
      </c>
      <c r="M97" s="16" t="str">
        <f>IF('Data input'!M97="","",4*('Data input'!M97-'Data input'!M$108)/('Data input'!M$109-'Data input'!M$108)+1)</f>
        <v/>
      </c>
      <c r="N97" s="16" t="str">
        <f>IF('Data input'!N97="","",4*('Data input'!N97-'Data input'!N$108)/('Data input'!N$109-'Data input'!N$108)+1)</f>
        <v/>
      </c>
      <c r="O97" s="16" t="str">
        <f>IF('Data input'!O97="","",4*('Data input'!O97-'Data input'!O$108)/('Data input'!O$109-'Data input'!O$108)+1)</f>
        <v/>
      </c>
      <c r="P97" s="16" t="str">
        <f>IF('Data input'!P97="","",4*('Data input'!P97-'Data input'!P$108)/('Data input'!P$109-'Data input'!P$108)+1)</f>
        <v/>
      </c>
      <c r="Q97" s="16" t="str">
        <f>IF('Data input'!Q97="","",4*('Data input'!Q97-'Data input'!Q$108)/('Data input'!Q$109-'Data input'!Q$108)+1)</f>
        <v/>
      </c>
      <c r="R97" s="16" t="str">
        <f>IF('Data input'!R97="","",4*('Data input'!R97-'Data input'!R$108)/('Data input'!R$109-'Data input'!R$108)+1)</f>
        <v/>
      </c>
      <c r="S97" s="16" t="str">
        <f>IF('Data input'!S97="","",4*('Data input'!S97-'Data input'!S$108)/('Data input'!S$109-'Data input'!S$108)+1)</f>
        <v/>
      </c>
      <c r="T97" s="16" t="str">
        <f>IF('Data input'!T97="","",4*('Data input'!T97-'Data input'!T$108)/('Data input'!T$109-'Data input'!T$108)+1)</f>
        <v/>
      </c>
      <c r="U97" s="16" t="str">
        <f>IF('Data input'!U97="","",4*('Data input'!U97-'Data input'!U$108)/('Data input'!U$109-'Data input'!U$108)+1)</f>
        <v/>
      </c>
      <c r="V97" s="16" t="str">
        <f>IF('Data input'!V97="","",4*('Data input'!V97-'Data input'!V$108)/('Data input'!V$109-'Data input'!V$108)+1)</f>
        <v/>
      </c>
      <c r="W97" s="16" t="str">
        <f>IF('Data input'!W97="","",4*('Data input'!W97-'Data input'!W$108)/('Data input'!W$109-'Data input'!W$108)+1)</f>
        <v/>
      </c>
      <c r="X97" s="16" t="str">
        <f>IF('Data input'!X97="","",4*('Data input'!X97-'Data input'!X$108)/('Data input'!X$109-'Data input'!X$108)+1)</f>
        <v/>
      </c>
      <c r="Y97" s="16" t="str">
        <f>IF('Data input'!Y97="","",4*('Data input'!Y97-'Data input'!Y$108)/('Data input'!Y$109-'Data input'!Y$108)+1)</f>
        <v/>
      </c>
      <c r="Z97" s="16" t="str">
        <f>IF('Data input'!Z97="","",4*('Data input'!Z97-'Data input'!Z$108)/('Data input'!Z$109-'Data input'!Z$108)+1)</f>
        <v/>
      </c>
      <c r="AA97" s="62" t="str">
        <f>IF('Data input'!AA97="","",4*('Data input'!AA97-'Data input'!AA$108)/('Data input'!AA$109-'Data input'!AA$108)+1)</f>
        <v/>
      </c>
      <c r="AB97" s="78"/>
      <c r="AC97" s="79">
        <v>0</v>
      </c>
      <c r="AD97" s="80" t="e">
        <f t="shared" si="48"/>
        <v>#DIV/0!</v>
      </c>
      <c r="AE97" s="4"/>
      <c r="AF97" s="59" t="str">
        <f t="shared" si="40"/>
        <v/>
      </c>
      <c r="AG97" s="60" t="str">
        <f t="shared" si="40"/>
        <v/>
      </c>
      <c r="AH97"/>
      <c r="AI97"/>
      <c r="AJ97"/>
      <c r="AK97"/>
      <c r="AL97"/>
      <c r="AM97"/>
      <c r="AN97"/>
      <c r="AO97"/>
      <c r="AP97"/>
      <c r="AQ97"/>
      <c r="AR97"/>
      <c r="AS97" s="71" t="str">
        <f t="shared" si="44"/>
        <v/>
      </c>
      <c r="AT97" s="71" t="str">
        <f t="shared" si="44"/>
        <v/>
      </c>
      <c r="AU97" s="71" t="str">
        <f t="shared" si="44"/>
        <v/>
      </c>
      <c r="AV97" s="71" t="str">
        <f t="shared" si="44"/>
        <v/>
      </c>
      <c r="AW97" s="71" t="str">
        <f t="shared" si="44"/>
        <v/>
      </c>
      <c r="AX97" s="71" t="str">
        <f t="shared" si="45"/>
        <v/>
      </c>
      <c r="AY97" s="71" t="str">
        <f t="shared" si="45"/>
        <v/>
      </c>
      <c r="AZ97" s="71" t="str">
        <f t="shared" si="45"/>
        <v/>
      </c>
      <c r="BA97" s="71" t="str">
        <f t="shared" si="45"/>
        <v/>
      </c>
      <c r="BB97" s="71" t="str">
        <f t="shared" si="45"/>
        <v/>
      </c>
      <c r="BC97" s="18" t="str">
        <f>IF(C97&lt;&gt;"",(('Data input'!C$109-'Data input'!C$108)*(AS97-1)/4)+'Data input'!C$108,"")</f>
        <v/>
      </c>
      <c r="BD97" s="18" t="str">
        <f>IF(D97&lt;&gt;"",(('Data input'!D$109-'Data input'!D$108)*(AT97-1)/4)+'Data input'!D$108,"")</f>
        <v/>
      </c>
      <c r="BE97" s="18" t="str">
        <f>IF(E97&lt;&gt;"",(('Data input'!E$109-'Data input'!E$108)*(AU97-1)/4)+'Data input'!E$108,"")</f>
        <v/>
      </c>
      <c r="BF97" s="18" t="str">
        <f>IF(F97&lt;&gt;"",(('Data input'!F$109-'Data input'!F$108)*(AV97-1)/4)+'Data input'!F$108,"")</f>
        <v/>
      </c>
      <c r="BG97" s="18" t="str">
        <f>IF(G97&lt;&gt;"",(('Data input'!G$109-'Data input'!G$108)*(AW97-1)/4)+'Data input'!G$108,"")</f>
        <v/>
      </c>
      <c r="BH97" s="19" t="str">
        <f>IF(H97&lt;&gt;"",(('Data input'!H$109-'Data input'!H$108)*(AX97-1)/4)+'Data input'!H$108,"")</f>
        <v/>
      </c>
      <c r="BI97" s="18" t="str">
        <f>IF(I97&lt;&gt;"",(('Data input'!I$109-'Data input'!I$108)*(AY97-1)/4)+'Data input'!I$108,"")</f>
        <v/>
      </c>
      <c r="BJ97" s="19" t="str">
        <f>IF(J97&lt;&gt;"",(('Data input'!J$109-'Data input'!J$108)*(AZ97-1)/4)+'Data input'!J$108,"")</f>
        <v/>
      </c>
      <c r="BK97" s="19" t="str">
        <f>IF(K97&lt;&gt;"",(('Data input'!K$109-'Data input'!K$108)*(BA97-1)/4)+'Data input'!K$108,"")</f>
        <v/>
      </c>
      <c r="BL97" s="19" t="str">
        <f>IF(L97&lt;&gt;"",(('Data input'!L$109-'Data input'!L$108)*(BB97-1)/4)+'Data input'!L$108,"")</f>
        <v/>
      </c>
      <c r="BM97" s="18" t="str">
        <f>IF(C97&lt;&gt;"",BC97-'Data input'!C97,"")</f>
        <v/>
      </c>
      <c r="BN97" s="18" t="str">
        <f>IF(D97&lt;&gt;"",BD97-'Data input'!D97,"")</f>
        <v/>
      </c>
      <c r="BO97" s="18" t="str">
        <f>IF(E97&lt;&gt;"",BE97-'Data input'!E97,"")</f>
        <v/>
      </c>
      <c r="BP97" s="18" t="str">
        <f>IF(F97&lt;&gt;"",BF97-'Data input'!F97,"")</f>
        <v/>
      </c>
      <c r="BQ97" s="18" t="str">
        <f>IF(G97&lt;&gt;"",BG97-'Data input'!G97,"")</f>
        <v/>
      </c>
      <c r="BR97" s="19" t="str">
        <f>IF(H97&lt;&gt;"",BH97-'Data input'!H97,"")</f>
        <v/>
      </c>
      <c r="BS97" s="18" t="str">
        <f>IF(I97&lt;&gt;"",BI97-'Data input'!I97,"")</f>
        <v/>
      </c>
      <c r="BT97" s="18" t="str">
        <f>IF(J97&lt;&gt;"",BJ97-'Data input'!J97,"")</f>
        <v/>
      </c>
      <c r="BU97" s="18" t="str">
        <f>IF(K97&lt;&gt;"",BK97-'Data input'!K97,"")</f>
        <v/>
      </c>
      <c r="BV97" s="72" t="str">
        <f>IF(L97&lt;&gt;"",BL97-'Data input'!L97,"")</f>
        <v/>
      </c>
      <c r="BW97" s="121" t="str">
        <f t="shared" si="49"/>
        <v/>
      </c>
      <c r="FT97" s="1" t="str">
        <f t="shared" si="57"/>
        <v/>
      </c>
      <c r="FU97" s="1" t="str">
        <f t="shared" si="55"/>
        <v/>
      </c>
      <c r="FV97" s="1" t="str">
        <f t="shared" si="55"/>
        <v/>
      </c>
      <c r="FW97" s="1" t="str">
        <f t="shared" si="55"/>
        <v/>
      </c>
      <c r="FX97" s="1" t="str">
        <f t="shared" si="55"/>
        <v/>
      </c>
      <c r="FY97" s="1" t="str">
        <f t="shared" si="55"/>
        <v/>
      </c>
      <c r="FZ97" s="1" t="str">
        <f t="shared" si="55"/>
        <v/>
      </c>
      <c r="GA97" s="1" t="str">
        <f t="shared" si="55"/>
        <v/>
      </c>
      <c r="GB97" s="1" t="str">
        <f t="shared" si="55"/>
        <v/>
      </c>
      <c r="GC97" s="1" t="str">
        <f t="shared" si="55"/>
        <v/>
      </c>
      <c r="GD97" s="1" t="str">
        <f t="shared" si="55"/>
        <v/>
      </c>
      <c r="GE97" s="1" t="str">
        <f t="shared" si="55"/>
        <v/>
      </c>
      <c r="GF97" s="1" t="str">
        <f t="shared" si="55"/>
        <v/>
      </c>
      <c r="GG97" s="1" t="str">
        <f t="shared" si="55"/>
        <v/>
      </c>
      <c r="GH97" s="1" t="str">
        <f t="shared" si="55"/>
        <v/>
      </c>
      <c r="GI97" s="1" t="str">
        <f t="shared" si="55"/>
        <v/>
      </c>
      <c r="GJ97" s="1" t="str">
        <f t="shared" si="55"/>
        <v/>
      </c>
      <c r="GK97" s="1" t="str">
        <f t="shared" si="61"/>
        <v/>
      </c>
      <c r="GL97" s="1" t="str">
        <f t="shared" si="61"/>
        <v/>
      </c>
      <c r="GM97" s="1" t="str">
        <f t="shared" si="61"/>
        <v/>
      </c>
      <c r="GN97" s="1" t="str">
        <f t="shared" si="61"/>
        <v/>
      </c>
      <c r="GO97" s="1" t="str">
        <f t="shared" si="60"/>
        <v/>
      </c>
      <c r="GP97" s="1" t="str">
        <f t="shared" si="60"/>
        <v/>
      </c>
      <c r="GQ97" s="1" t="str">
        <f t="shared" si="60"/>
        <v/>
      </c>
      <c r="GR97" s="1" t="str">
        <f t="shared" si="60"/>
        <v/>
      </c>
      <c r="GS97" s="1" t="str">
        <f t="shared" si="60"/>
        <v/>
      </c>
      <c r="GT97" s="1" t="str">
        <f t="shared" si="60"/>
        <v/>
      </c>
      <c r="GU97" s="1" t="str">
        <f t="shared" si="60"/>
        <v/>
      </c>
      <c r="GV97" s="1" t="str">
        <f t="shared" si="60"/>
        <v/>
      </c>
      <c r="GW97" s="1" t="str">
        <f t="shared" si="60"/>
        <v/>
      </c>
      <c r="GX97" s="1" t="str">
        <f t="shared" si="60"/>
        <v/>
      </c>
      <c r="GY97" s="1" t="str">
        <f t="shared" si="60"/>
        <v/>
      </c>
      <c r="GZ97" s="1" t="str">
        <f t="shared" si="60"/>
        <v/>
      </c>
      <c r="HA97" s="1" t="str">
        <f t="shared" si="60"/>
        <v/>
      </c>
      <c r="HB97" s="1" t="str">
        <f t="shared" si="60"/>
        <v/>
      </c>
      <c r="HC97" s="1" t="str">
        <f t="shared" si="60"/>
        <v/>
      </c>
      <c r="HD97" s="1" t="str">
        <f t="shared" si="60"/>
        <v/>
      </c>
      <c r="HE97" s="1" t="str">
        <f t="shared" ref="HE97:HI102" si="62">IF(DI97&gt;0.0001,CONCATENATE(DI$2,"; "),"")</f>
        <v/>
      </c>
      <c r="HF97" s="1" t="str">
        <f t="shared" si="62"/>
        <v/>
      </c>
      <c r="HG97" s="1" t="str">
        <f t="shared" si="62"/>
        <v/>
      </c>
      <c r="HH97" s="1" t="str">
        <f t="shared" si="62"/>
        <v/>
      </c>
      <c r="HI97" s="1" t="str">
        <f t="shared" si="62"/>
        <v/>
      </c>
      <c r="HJ97" s="1" t="str">
        <f t="shared" si="58"/>
        <v/>
      </c>
      <c r="HK97" s="1" t="str">
        <f t="shared" si="58"/>
        <v/>
      </c>
      <c r="HL97" s="1" t="str">
        <f t="shared" si="58"/>
        <v/>
      </c>
      <c r="HM97" s="1" t="str">
        <f t="shared" si="58"/>
        <v/>
      </c>
      <c r="HN97" s="1" t="str">
        <f t="shared" si="58"/>
        <v/>
      </c>
      <c r="HO97" s="1" t="str">
        <f t="shared" si="52"/>
        <v/>
      </c>
      <c r="HP97" s="1" t="str">
        <f t="shared" si="52"/>
        <v/>
      </c>
      <c r="HQ97" s="1" t="str">
        <f t="shared" si="52"/>
        <v/>
      </c>
      <c r="HR97" s="1" t="str">
        <f t="shared" si="52"/>
        <v/>
      </c>
      <c r="HS97" s="1" t="str">
        <f t="shared" si="52"/>
        <v/>
      </c>
      <c r="HT97" s="1" t="str">
        <f t="shared" si="52"/>
        <v/>
      </c>
      <c r="HU97" s="1" t="str">
        <f t="shared" si="52"/>
        <v/>
      </c>
      <c r="HV97" s="1" t="str">
        <f t="shared" si="52"/>
        <v/>
      </c>
      <c r="HW97" s="1" t="str">
        <f t="shared" si="52"/>
        <v/>
      </c>
      <c r="HX97" s="1" t="str">
        <f t="shared" si="52"/>
        <v/>
      </c>
      <c r="HY97" s="1" t="str">
        <f t="shared" si="52"/>
        <v/>
      </c>
      <c r="HZ97" s="1" t="str">
        <f t="shared" si="52"/>
        <v/>
      </c>
      <c r="IA97" s="1" t="str">
        <f t="shared" si="52"/>
        <v/>
      </c>
      <c r="IB97" s="1" t="str">
        <f t="shared" si="52"/>
        <v/>
      </c>
      <c r="IC97" s="1" t="str">
        <f t="shared" si="52"/>
        <v/>
      </c>
      <c r="ID97" s="1" t="str">
        <f t="shared" si="52"/>
        <v/>
      </c>
      <c r="IE97" s="1" t="str">
        <f t="shared" si="59"/>
        <v/>
      </c>
      <c r="IF97" s="1" t="str">
        <f t="shared" si="56"/>
        <v/>
      </c>
      <c r="IG97" s="1" t="str">
        <f t="shared" si="56"/>
        <v/>
      </c>
      <c r="IH97" s="1" t="str">
        <f t="shared" si="53"/>
        <v/>
      </c>
      <c r="II97" s="1" t="str">
        <f t="shared" si="53"/>
        <v/>
      </c>
      <c r="IJ97" s="1" t="str">
        <f t="shared" si="53"/>
        <v/>
      </c>
      <c r="IK97" s="1" t="str">
        <f t="shared" si="53"/>
        <v/>
      </c>
      <c r="IL97" s="1" t="str">
        <f t="shared" si="53"/>
        <v/>
      </c>
      <c r="IM97" s="1" t="str">
        <f t="shared" si="53"/>
        <v/>
      </c>
      <c r="IN97" s="1" t="str">
        <f t="shared" si="53"/>
        <v/>
      </c>
      <c r="IO97" s="1" t="str">
        <f t="shared" si="53"/>
        <v/>
      </c>
      <c r="IP97" s="1" t="str">
        <f t="shared" si="53"/>
        <v/>
      </c>
      <c r="IQ97" s="1" t="str">
        <f t="shared" si="53"/>
        <v/>
      </c>
      <c r="IR97" s="1" t="str">
        <f t="shared" si="53"/>
        <v/>
      </c>
      <c r="IS97" s="1" t="str">
        <f t="shared" si="53"/>
        <v/>
      </c>
      <c r="IT97" s="1" t="str">
        <f t="shared" si="53"/>
        <v/>
      </c>
      <c r="IU97" s="1" t="str">
        <f t="shared" si="53"/>
        <v/>
      </c>
      <c r="IV97" s="1" t="str">
        <f t="shared" si="53"/>
        <v/>
      </c>
      <c r="IW97" s="1" t="str">
        <f t="shared" si="53"/>
        <v/>
      </c>
      <c r="IX97" s="1" t="str">
        <f t="shared" si="54"/>
        <v/>
      </c>
      <c r="IY97" s="1" t="str">
        <f t="shared" si="54"/>
        <v/>
      </c>
      <c r="IZ97" s="1" t="str">
        <f t="shared" si="54"/>
        <v/>
      </c>
      <c r="JA97" s="1" t="str">
        <f t="shared" si="54"/>
        <v/>
      </c>
      <c r="JB97" s="1" t="str">
        <f t="shared" si="54"/>
        <v/>
      </c>
      <c r="JC97" s="1" t="str">
        <f t="shared" si="43"/>
        <v/>
      </c>
      <c r="JD97" s="1" t="str">
        <f t="shared" si="43"/>
        <v/>
      </c>
      <c r="JE97" s="1" t="str">
        <f t="shared" si="43"/>
        <v/>
      </c>
      <c r="JF97" s="1" t="str">
        <f t="shared" si="43"/>
        <v/>
      </c>
      <c r="JG97" s="1" t="str">
        <f t="shared" si="37"/>
        <v/>
      </c>
      <c r="JH97" s="1" t="str">
        <f t="shared" si="37"/>
        <v/>
      </c>
      <c r="JI97" s="1" t="str">
        <f t="shared" si="37"/>
        <v/>
      </c>
      <c r="JJ97" s="1" t="str">
        <f t="shared" si="30"/>
        <v/>
      </c>
      <c r="JK97" s="1" t="str">
        <f t="shared" si="30"/>
        <v/>
      </c>
      <c r="JL97" s="1" t="str">
        <f t="shared" si="30"/>
        <v/>
      </c>
      <c r="JM97" s="1" t="str">
        <f t="shared" si="30"/>
        <v/>
      </c>
      <c r="JN97" s="1" t="str">
        <f t="shared" si="30"/>
        <v/>
      </c>
      <c r="JO97" s="1" t="str">
        <f t="shared" si="30"/>
        <v/>
      </c>
    </row>
    <row r="98" spans="1:275" ht="14.5" x14ac:dyDescent="0.35">
      <c r="A98" s="59" t="str">
        <f>IF('Data input'!A98&lt;&gt;"",'Data input'!A98,"")</f>
        <v/>
      </c>
      <c r="B98" s="15" t="str">
        <f>IF('Data input'!B98&lt;&gt;"",'Data input'!B98,"")</f>
        <v/>
      </c>
      <c r="C98" s="16" t="str">
        <f>IF('Data input'!C98="","",4*('Data input'!C98-'Data input'!C$108)/('Data input'!C$109-'Data input'!C$108)+1)</f>
        <v/>
      </c>
      <c r="D98" s="16" t="str">
        <f>IF('Data input'!D98="","",4*('Data input'!D98-'Data input'!D$108)/('Data input'!D$109-'Data input'!D$108)+1)</f>
        <v/>
      </c>
      <c r="E98" s="16" t="str">
        <f>IF('Data input'!E98="","",4*('Data input'!E98-'Data input'!E$108)/('Data input'!E$109-'Data input'!E$108)+1)</f>
        <v/>
      </c>
      <c r="F98" s="16" t="str">
        <f>IF('Data input'!F98="","",4*('Data input'!F98-'Data input'!F$108)/('Data input'!F$109-'Data input'!F$108)+1)</f>
        <v/>
      </c>
      <c r="G98" s="16" t="str">
        <f>IF('Data input'!G98="","",4*('Data input'!G98-'Data input'!G$108)/('Data input'!G$109-'Data input'!G$108)+1)</f>
        <v/>
      </c>
      <c r="H98" s="16" t="str">
        <f>IF('Data input'!H98="","",4*('Data input'!H98-'Data input'!H$108)/('Data input'!H$109-'Data input'!H$108)+1)</f>
        <v/>
      </c>
      <c r="I98" s="19" t="str">
        <f>IF('Data input'!I98="","",4*('Data input'!I98-'Data input'!I$108)/('Data input'!I$109-'Data input'!I$108)+1)</f>
        <v/>
      </c>
      <c r="J98" s="19" t="str">
        <f>IF('Data input'!J98="","",4*('Data input'!J98-'Data input'!J$108)/('Data input'!J$109-'Data input'!J$108)+1)</f>
        <v/>
      </c>
      <c r="K98" s="19" t="str">
        <f>IF('Data input'!K98="","",4*('Data input'!K98-'Data input'!K$108)/('Data input'!K$109-'Data input'!K$108)+1)</f>
        <v/>
      </c>
      <c r="L98" s="19" t="str">
        <f>IF('Data input'!L98="","",4*('Data input'!L98-'Data input'!L$108)/('Data input'!L$109-'Data input'!L$108)+1)</f>
        <v/>
      </c>
      <c r="M98" s="16" t="str">
        <f>IF('Data input'!M98="","",4*('Data input'!M98-'Data input'!M$108)/('Data input'!M$109-'Data input'!M$108)+1)</f>
        <v/>
      </c>
      <c r="N98" s="16" t="str">
        <f>IF('Data input'!N98="","",4*('Data input'!N98-'Data input'!N$108)/('Data input'!N$109-'Data input'!N$108)+1)</f>
        <v/>
      </c>
      <c r="O98" s="16" t="str">
        <f>IF('Data input'!O98="","",4*('Data input'!O98-'Data input'!O$108)/('Data input'!O$109-'Data input'!O$108)+1)</f>
        <v/>
      </c>
      <c r="P98" s="16" t="str">
        <f>IF('Data input'!P98="","",4*('Data input'!P98-'Data input'!P$108)/('Data input'!P$109-'Data input'!P$108)+1)</f>
        <v/>
      </c>
      <c r="Q98" s="16" t="str">
        <f>IF('Data input'!Q98="","",4*('Data input'!Q98-'Data input'!Q$108)/('Data input'!Q$109-'Data input'!Q$108)+1)</f>
        <v/>
      </c>
      <c r="R98" s="16" t="str">
        <f>IF('Data input'!R98="","",4*('Data input'!R98-'Data input'!R$108)/('Data input'!R$109-'Data input'!R$108)+1)</f>
        <v/>
      </c>
      <c r="S98" s="16" t="str">
        <f>IF('Data input'!S98="","",4*('Data input'!S98-'Data input'!S$108)/('Data input'!S$109-'Data input'!S$108)+1)</f>
        <v/>
      </c>
      <c r="T98" s="16" t="str">
        <f>IF('Data input'!T98="","",4*('Data input'!T98-'Data input'!T$108)/('Data input'!T$109-'Data input'!T$108)+1)</f>
        <v/>
      </c>
      <c r="U98" s="16" t="str">
        <f>IF('Data input'!U98="","",4*('Data input'!U98-'Data input'!U$108)/('Data input'!U$109-'Data input'!U$108)+1)</f>
        <v/>
      </c>
      <c r="V98" s="16" t="str">
        <f>IF('Data input'!V98="","",4*('Data input'!V98-'Data input'!V$108)/('Data input'!V$109-'Data input'!V$108)+1)</f>
        <v/>
      </c>
      <c r="W98" s="16" t="str">
        <f>IF('Data input'!W98="","",4*('Data input'!W98-'Data input'!W$108)/('Data input'!W$109-'Data input'!W$108)+1)</f>
        <v/>
      </c>
      <c r="X98" s="16" t="str">
        <f>IF('Data input'!X98="","",4*('Data input'!X98-'Data input'!X$108)/('Data input'!X$109-'Data input'!X$108)+1)</f>
        <v/>
      </c>
      <c r="Y98" s="16" t="str">
        <f>IF('Data input'!Y98="","",4*('Data input'!Y98-'Data input'!Y$108)/('Data input'!Y$109-'Data input'!Y$108)+1)</f>
        <v/>
      </c>
      <c r="Z98" s="16" t="str">
        <f>IF('Data input'!Z98="","",4*('Data input'!Z98-'Data input'!Z$108)/('Data input'!Z$109-'Data input'!Z$108)+1)</f>
        <v/>
      </c>
      <c r="AA98" s="62" t="str">
        <f>IF('Data input'!AA98="","",4*('Data input'!AA98-'Data input'!AA$108)/('Data input'!AA$109-'Data input'!AA$108)+1)</f>
        <v/>
      </c>
      <c r="AB98" s="78"/>
      <c r="AC98" s="79">
        <v>0</v>
      </c>
      <c r="AD98" s="80" t="e">
        <f t="shared" si="48"/>
        <v>#DIV/0!</v>
      </c>
      <c r="AE98" s="4"/>
      <c r="AF98" s="59" t="str">
        <f t="shared" si="40"/>
        <v/>
      </c>
      <c r="AG98" s="60" t="str">
        <f t="shared" si="40"/>
        <v/>
      </c>
      <c r="AH98"/>
      <c r="AI98"/>
      <c r="AJ98"/>
      <c r="AK98"/>
      <c r="AL98"/>
      <c r="AM98"/>
      <c r="AN98"/>
      <c r="AO98"/>
      <c r="AP98"/>
      <c r="AQ98"/>
      <c r="AR98"/>
      <c r="AS98" s="71" t="str">
        <f t="shared" si="44"/>
        <v/>
      </c>
      <c r="AT98" s="71" t="str">
        <f t="shared" si="44"/>
        <v/>
      </c>
      <c r="AU98" s="71" t="str">
        <f t="shared" si="44"/>
        <v/>
      </c>
      <c r="AV98" s="71" t="str">
        <f t="shared" si="44"/>
        <v/>
      </c>
      <c r="AW98" s="71" t="str">
        <f t="shared" si="44"/>
        <v/>
      </c>
      <c r="AX98" s="71" t="str">
        <f t="shared" si="45"/>
        <v/>
      </c>
      <c r="AY98" s="71" t="str">
        <f t="shared" si="45"/>
        <v/>
      </c>
      <c r="AZ98" s="71" t="str">
        <f t="shared" si="45"/>
        <v/>
      </c>
      <c r="BA98" s="71" t="str">
        <f t="shared" si="45"/>
        <v/>
      </c>
      <c r="BB98" s="71" t="str">
        <f t="shared" si="45"/>
        <v/>
      </c>
      <c r="BC98" s="18" t="str">
        <f>IF(C98&lt;&gt;"",(('Data input'!C$109-'Data input'!C$108)*(AS98-1)/4)+'Data input'!C$108,"")</f>
        <v/>
      </c>
      <c r="BD98" s="18" t="str">
        <f>IF(D98&lt;&gt;"",(('Data input'!D$109-'Data input'!D$108)*(AT98-1)/4)+'Data input'!D$108,"")</f>
        <v/>
      </c>
      <c r="BE98" s="18" t="str">
        <f>IF(E98&lt;&gt;"",(('Data input'!E$109-'Data input'!E$108)*(AU98-1)/4)+'Data input'!E$108,"")</f>
        <v/>
      </c>
      <c r="BF98" s="18" t="str">
        <f>IF(F98&lt;&gt;"",(('Data input'!F$109-'Data input'!F$108)*(AV98-1)/4)+'Data input'!F$108,"")</f>
        <v/>
      </c>
      <c r="BG98" s="18" t="str">
        <f>IF(G98&lt;&gt;"",(('Data input'!G$109-'Data input'!G$108)*(AW98-1)/4)+'Data input'!G$108,"")</f>
        <v/>
      </c>
      <c r="BH98" s="19" t="str">
        <f>IF(H98&lt;&gt;"",(('Data input'!H$109-'Data input'!H$108)*(AX98-1)/4)+'Data input'!H$108,"")</f>
        <v/>
      </c>
      <c r="BI98" s="18" t="str">
        <f>IF(I98&lt;&gt;"",(('Data input'!I$109-'Data input'!I$108)*(AY98-1)/4)+'Data input'!I$108,"")</f>
        <v/>
      </c>
      <c r="BJ98" s="19" t="str">
        <f>IF(J98&lt;&gt;"",(('Data input'!J$109-'Data input'!J$108)*(AZ98-1)/4)+'Data input'!J$108,"")</f>
        <v/>
      </c>
      <c r="BK98" s="19" t="str">
        <f>IF(K98&lt;&gt;"",(('Data input'!K$109-'Data input'!K$108)*(BA98-1)/4)+'Data input'!K$108,"")</f>
        <v/>
      </c>
      <c r="BL98" s="19" t="str">
        <f>IF(L98&lt;&gt;"",(('Data input'!L$109-'Data input'!L$108)*(BB98-1)/4)+'Data input'!L$108,"")</f>
        <v/>
      </c>
      <c r="BM98" s="18" t="str">
        <f>IF(C98&lt;&gt;"",BC98-'Data input'!C98,"")</f>
        <v/>
      </c>
      <c r="BN98" s="18" t="str">
        <f>IF(D98&lt;&gt;"",BD98-'Data input'!D98,"")</f>
        <v/>
      </c>
      <c r="BO98" s="18" t="str">
        <f>IF(E98&lt;&gt;"",BE98-'Data input'!E98,"")</f>
        <v/>
      </c>
      <c r="BP98" s="18" t="str">
        <f>IF(F98&lt;&gt;"",BF98-'Data input'!F98,"")</f>
        <v/>
      </c>
      <c r="BQ98" s="18" t="str">
        <f>IF(G98&lt;&gt;"",BG98-'Data input'!G98,"")</f>
        <v/>
      </c>
      <c r="BR98" s="19" t="str">
        <f>IF(H98&lt;&gt;"",BH98-'Data input'!H98,"")</f>
        <v/>
      </c>
      <c r="BS98" s="18" t="str">
        <f>IF(I98&lt;&gt;"",BI98-'Data input'!I98,"")</f>
        <v/>
      </c>
      <c r="BT98" s="18" t="str">
        <f>IF(J98&lt;&gt;"",BJ98-'Data input'!J98,"")</f>
        <v/>
      </c>
      <c r="BU98" s="18" t="str">
        <f>IF(K98&lt;&gt;"",BK98-'Data input'!K98,"")</f>
        <v/>
      </c>
      <c r="BV98" s="72" t="str">
        <f>IF(L98&lt;&gt;"",BL98-'Data input'!L98,"")</f>
        <v/>
      </c>
      <c r="BW98" s="121" t="str">
        <f t="shared" si="49"/>
        <v/>
      </c>
      <c r="FT98" s="1" t="str">
        <f t="shared" si="57"/>
        <v/>
      </c>
      <c r="FU98" s="1" t="str">
        <f t="shared" si="55"/>
        <v/>
      </c>
      <c r="FV98" s="1" t="str">
        <f t="shared" si="55"/>
        <v/>
      </c>
      <c r="FW98" s="1" t="str">
        <f t="shared" si="55"/>
        <v/>
      </c>
      <c r="FX98" s="1" t="str">
        <f t="shared" si="55"/>
        <v/>
      </c>
      <c r="FY98" s="1" t="str">
        <f t="shared" si="55"/>
        <v/>
      </c>
      <c r="FZ98" s="1" t="str">
        <f t="shared" si="55"/>
        <v/>
      </c>
      <c r="GA98" s="1" t="str">
        <f t="shared" si="55"/>
        <v/>
      </c>
      <c r="GB98" s="1" t="str">
        <f t="shared" si="55"/>
        <v/>
      </c>
      <c r="GC98" s="1" t="str">
        <f t="shared" si="55"/>
        <v/>
      </c>
      <c r="GD98" s="1" t="str">
        <f t="shared" si="55"/>
        <v/>
      </c>
      <c r="GE98" s="1" t="str">
        <f t="shared" si="55"/>
        <v/>
      </c>
      <c r="GF98" s="1" t="str">
        <f t="shared" si="55"/>
        <v/>
      </c>
      <c r="GG98" s="1" t="str">
        <f t="shared" si="55"/>
        <v/>
      </c>
      <c r="GH98" s="1" t="str">
        <f t="shared" si="55"/>
        <v/>
      </c>
      <c r="GI98" s="1" t="str">
        <f t="shared" si="55"/>
        <v/>
      </c>
      <c r="GJ98" s="1" t="str">
        <f t="shared" si="55"/>
        <v/>
      </c>
      <c r="GK98" s="1" t="str">
        <f t="shared" si="61"/>
        <v/>
      </c>
      <c r="GL98" s="1" t="str">
        <f t="shared" si="61"/>
        <v/>
      </c>
      <c r="GM98" s="1" t="str">
        <f t="shared" si="61"/>
        <v/>
      </c>
      <c r="GN98" s="1" t="str">
        <f t="shared" si="61"/>
        <v/>
      </c>
      <c r="GO98" s="1" t="str">
        <f t="shared" si="60"/>
        <v/>
      </c>
      <c r="GP98" s="1" t="str">
        <f t="shared" si="60"/>
        <v/>
      </c>
      <c r="GQ98" s="1" t="str">
        <f t="shared" si="60"/>
        <v/>
      </c>
      <c r="GR98" s="1" t="str">
        <f t="shared" si="60"/>
        <v/>
      </c>
      <c r="GS98" s="1" t="str">
        <f t="shared" si="60"/>
        <v/>
      </c>
      <c r="GT98" s="1" t="str">
        <f t="shared" si="60"/>
        <v/>
      </c>
      <c r="GU98" s="1" t="str">
        <f t="shared" si="60"/>
        <v/>
      </c>
      <c r="GV98" s="1" t="str">
        <f t="shared" si="60"/>
        <v/>
      </c>
      <c r="GW98" s="1" t="str">
        <f t="shared" si="60"/>
        <v/>
      </c>
      <c r="GX98" s="1" t="str">
        <f t="shared" si="60"/>
        <v/>
      </c>
      <c r="GY98" s="1" t="str">
        <f t="shared" si="60"/>
        <v/>
      </c>
      <c r="GZ98" s="1" t="str">
        <f t="shared" si="60"/>
        <v/>
      </c>
      <c r="HA98" s="1" t="str">
        <f t="shared" si="60"/>
        <v/>
      </c>
      <c r="HB98" s="1" t="str">
        <f t="shared" si="60"/>
        <v/>
      </c>
      <c r="HC98" s="1" t="str">
        <f t="shared" si="60"/>
        <v/>
      </c>
      <c r="HD98" s="1" t="str">
        <f t="shared" si="60"/>
        <v/>
      </c>
      <c r="HE98" s="1" t="str">
        <f t="shared" si="62"/>
        <v/>
      </c>
      <c r="HF98" s="1" t="str">
        <f t="shared" si="62"/>
        <v/>
      </c>
      <c r="HG98" s="1" t="str">
        <f t="shared" si="62"/>
        <v/>
      </c>
      <c r="HH98" s="1" t="str">
        <f t="shared" si="62"/>
        <v/>
      </c>
      <c r="HI98" s="1" t="str">
        <f t="shared" si="62"/>
        <v/>
      </c>
      <c r="HJ98" s="1" t="str">
        <f t="shared" si="58"/>
        <v/>
      </c>
      <c r="HK98" s="1" t="str">
        <f t="shared" si="58"/>
        <v/>
      </c>
      <c r="HL98" s="1" t="str">
        <f t="shared" si="58"/>
        <v/>
      </c>
      <c r="HM98" s="1" t="str">
        <f t="shared" si="58"/>
        <v/>
      </c>
      <c r="HN98" s="1" t="str">
        <f t="shared" si="58"/>
        <v/>
      </c>
      <c r="HO98" s="1" t="str">
        <f t="shared" si="52"/>
        <v/>
      </c>
      <c r="HP98" s="1" t="str">
        <f t="shared" si="52"/>
        <v/>
      </c>
      <c r="HQ98" s="1" t="str">
        <f t="shared" si="52"/>
        <v/>
      </c>
      <c r="HR98" s="1" t="str">
        <f t="shared" si="52"/>
        <v/>
      </c>
      <c r="HS98" s="1" t="str">
        <f t="shared" si="52"/>
        <v/>
      </c>
      <c r="HT98" s="1" t="str">
        <f t="shared" si="52"/>
        <v/>
      </c>
      <c r="HU98" s="1" t="str">
        <f t="shared" si="52"/>
        <v/>
      </c>
      <c r="HV98" s="1" t="str">
        <f t="shared" si="52"/>
        <v/>
      </c>
      <c r="HW98" s="1" t="str">
        <f t="shared" si="52"/>
        <v/>
      </c>
      <c r="HX98" s="1" t="str">
        <f t="shared" si="52"/>
        <v/>
      </c>
      <c r="HY98" s="1" t="str">
        <f t="shared" si="52"/>
        <v/>
      </c>
      <c r="HZ98" s="1" t="str">
        <f t="shared" si="52"/>
        <v/>
      </c>
      <c r="IA98" s="1" t="str">
        <f t="shared" si="52"/>
        <v/>
      </c>
      <c r="IB98" s="1" t="str">
        <f t="shared" si="52"/>
        <v/>
      </c>
      <c r="IC98" s="1" t="str">
        <f t="shared" si="52"/>
        <v/>
      </c>
      <c r="ID98" s="1" t="str">
        <f t="shared" si="52"/>
        <v/>
      </c>
      <c r="IE98" s="1" t="str">
        <f t="shared" si="59"/>
        <v/>
      </c>
      <c r="IF98" s="1" t="str">
        <f t="shared" si="56"/>
        <v/>
      </c>
      <c r="IG98" s="1" t="str">
        <f t="shared" si="56"/>
        <v/>
      </c>
      <c r="IH98" s="1" t="str">
        <f t="shared" si="53"/>
        <v/>
      </c>
      <c r="II98" s="1" t="str">
        <f t="shared" si="53"/>
        <v/>
      </c>
      <c r="IJ98" s="1" t="str">
        <f t="shared" si="53"/>
        <v/>
      </c>
      <c r="IK98" s="1" t="str">
        <f t="shared" si="53"/>
        <v/>
      </c>
      <c r="IL98" s="1" t="str">
        <f t="shared" si="53"/>
        <v/>
      </c>
      <c r="IM98" s="1" t="str">
        <f t="shared" si="53"/>
        <v/>
      </c>
      <c r="IN98" s="1" t="str">
        <f t="shared" si="53"/>
        <v/>
      </c>
      <c r="IO98" s="1" t="str">
        <f t="shared" si="53"/>
        <v/>
      </c>
      <c r="IP98" s="1" t="str">
        <f t="shared" si="53"/>
        <v/>
      </c>
      <c r="IQ98" s="1" t="str">
        <f t="shared" si="53"/>
        <v/>
      </c>
      <c r="IR98" s="1" t="str">
        <f t="shared" ref="IR98:IW102" si="63">IF(EV98&gt;0.0001,CONCATENATE(EV$2,"; "),"")</f>
        <v/>
      </c>
      <c r="IS98" s="1" t="str">
        <f t="shared" si="63"/>
        <v/>
      </c>
      <c r="IT98" s="1" t="str">
        <f t="shared" si="63"/>
        <v/>
      </c>
      <c r="IU98" s="1" t="str">
        <f t="shared" si="63"/>
        <v/>
      </c>
      <c r="IV98" s="1" t="str">
        <f t="shared" si="63"/>
        <v/>
      </c>
      <c r="IW98" s="1" t="str">
        <f t="shared" si="63"/>
        <v/>
      </c>
      <c r="IX98" s="1" t="str">
        <f t="shared" si="54"/>
        <v/>
      </c>
      <c r="IY98" s="1" t="str">
        <f t="shared" si="54"/>
        <v/>
      </c>
      <c r="IZ98" s="1" t="str">
        <f t="shared" si="54"/>
        <v/>
      </c>
      <c r="JA98" s="1" t="str">
        <f t="shared" si="54"/>
        <v/>
      </c>
      <c r="JB98" s="1" t="str">
        <f t="shared" si="54"/>
        <v/>
      </c>
      <c r="JC98" s="1" t="str">
        <f t="shared" si="43"/>
        <v/>
      </c>
      <c r="JD98" s="1" t="str">
        <f t="shared" si="43"/>
        <v/>
      </c>
      <c r="JE98" s="1" t="str">
        <f t="shared" si="43"/>
        <v/>
      </c>
      <c r="JF98" s="1" t="str">
        <f t="shared" si="43"/>
        <v/>
      </c>
      <c r="JG98" s="1" t="str">
        <f t="shared" si="37"/>
        <v/>
      </c>
      <c r="JH98" s="1" t="str">
        <f t="shared" si="37"/>
        <v/>
      </c>
      <c r="JI98" s="1" t="str">
        <f t="shared" si="37"/>
        <v/>
      </c>
      <c r="JJ98" s="1" t="str">
        <f t="shared" si="37"/>
        <v/>
      </c>
      <c r="JK98" s="1" t="str">
        <f t="shared" si="37"/>
        <v/>
      </c>
      <c r="JL98" s="1" t="str">
        <f t="shared" si="37"/>
        <v/>
      </c>
      <c r="JM98" s="1" t="str">
        <f t="shared" si="37"/>
        <v/>
      </c>
      <c r="JN98" s="1" t="str">
        <f t="shared" si="37"/>
        <v/>
      </c>
      <c r="JO98" s="1" t="str">
        <f t="shared" si="37"/>
        <v/>
      </c>
    </row>
    <row r="99" spans="1:275" ht="14.5" x14ac:dyDescent="0.35">
      <c r="A99" s="59" t="str">
        <f>IF('Data input'!A99&lt;&gt;"",'Data input'!A99,"")</f>
        <v/>
      </c>
      <c r="B99" s="15" t="str">
        <f>IF('Data input'!B99&lt;&gt;"",'Data input'!B99,"")</f>
        <v/>
      </c>
      <c r="C99" s="16" t="str">
        <f>IF('Data input'!C99="","",4*('Data input'!C99-'Data input'!C$108)/('Data input'!C$109-'Data input'!C$108)+1)</f>
        <v/>
      </c>
      <c r="D99" s="16" t="str">
        <f>IF('Data input'!D99="","",4*('Data input'!D99-'Data input'!D$108)/('Data input'!D$109-'Data input'!D$108)+1)</f>
        <v/>
      </c>
      <c r="E99" s="16" t="str">
        <f>IF('Data input'!E99="","",4*('Data input'!E99-'Data input'!E$108)/('Data input'!E$109-'Data input'!E$108)+1)</f>
        <v/>
      </c>
      <c r="F99" s="16" t="str">
        <f>IF('Data input'!F99="","",4*('Data input'!F99-'Data input'!F$108)/('Data input'!F$109-'Data input'!F$108)+1)</f>
        <v/>
      </c>
      <c r="G99" s="16" t="str">
        <f>IF('Data input'!G99="","",4*('Data input'!G99-'Data input'!G$108)/('Data input'!G$109-'Data input'!G$108)+1)</f>
        <v/>
      </c>
      <c r="H99" s="16" t="str">
        <f>IF('Data input'!H99="","",4*('Data input'!H99-'Data input'!H$108)/('Data input'!H$109-'Data input'!H$108)+1)</f>
        <v/>
      </c>
      <c r="I99" s="19" t="str">
        <f>IF('Data input'!I99="","",4*('Data input'!I99-'Data input'!I$108)/('Data input'!I$109-'Data input'!I$108)+1)</f>
        <v/>
      </c>
      <c r="J99" s="19" t="str">
        <f>IF('Data input'!J99="","",4*('Data input'!J99-'Data input'!J$108)/('Data input'!J$109-'Data input'!J$108)+1)</f>
        <v/>
      </c>
      <c r="K99" s="19" t="str">
        <f>IF('Data input'!K99="","",4*('Data input'!K99-'Data input'!K$108)/('Data input'!K$109-'Data input'!K$108)+1)</f>
        <v/>
      </c>
      <c r="L99" s="19" t="str">
        <f>IF('Data input'!L99="","",4*('Data input'!L99-'Data input'!L$108)/('Data input'!L$109-'Data input'!L$108)+1)</f>
        <v/>
      </c>
      <c r="M99" s="16" t="str">
        <f>IF('Data input'!M99="","",4*('Data input'!M99-'Data input'!M$108)/('Data input'!M$109-'Data input'!M$108)+1)</f>
        <v/>
      </c>
      <c r="N99" s="16" t="str">
        <f>IF('Data input'!N99="","",4*('Data input'!N99-'Data input'!N$108)/('Data input'!N$109-'Data input'!N$108)+1)</f>
        <v/>
      </c>
      <c r="O99" s="16" t="str">
        <f>IF('Data input'!O99="","",4*('Data input'!O99-'Data input'!O$108)/('Data input'!O$109-'Data input'!O$108)+1)</f>
        <v/>
      </c>
      <c r="P99" s="16" t="str">
        <f>IF('Data input'!P99="","",4*('Data input'!P99-'Data input'!P$108)/('Data input'!P$109-'Data input'!P$108)+1)</f>
        <v/>
      </c>
      <c r="Q99" s="16" t="str">
        <f>IF('Data input'!Q99="","",4*('Data input'!Q99-'Data input'!Q$108)/('Data input'!Q$109-'Data input'!Q$108)+1)</f>
        <v/>
      </c>
      <c r="R99" s="16" t="str">
        <f>IF('Data input'!R99="","",4*('Data input'!R99-'Data input'!R$108)/('Data input'!R$109-'Data input'!R$108)+1)</f>
        <v/>
      </c>
      <c r="S99" s="16" t="str">
        <f>IF('Data input'!S99="","",4*('Data input'!S99-'Data input'!S$108)/('Data input'!S$109-'Data input'!S$108)+1)</f>
        <v/>
      </c>
      <c r="T99" s="16" t="str">
        <f>IF('Data input'!T99="","",4*('Data input'!T99-'Data input'!T$108)/('Data input'!T$109-'Data input'!T$108)+1)</f>
        <v/>
      </c>
      <c r="U99" s="16" t="str">
        <f>IF('Data input'!U99="","",4*('Data input'!U99-'Data input'!U$108)/('Data input'!U$109-'Data input'!U$108)+1)</f>
        <v/>
      </c>
      <c r="V99" s="16" t="str">
        <f>IF('Data input'!V99="","",4*('Data input'!V99-'Data input'!V$108)/('Data input'!V$109-'Data input'!V$108)+1)</f>
        <v/>
      </c>
      <c r="W99" s="16" t="str">
        <f>IF('Data input'!W99="","",4*('Data input'!W99-'Data input'!W$108)/('Data input'!W$109-'Data input'!W$108)+1)</f>
        <v/>
      </c>
      <c r="X99" s="16" t="str">
        <f>IF('Data input'!X99="","",4*('Data input'!X99-'Data input'!X$108)/('Data input'!X$109-'Data input'!X$108)+1)</f>
        <v/>
      </c>
      <c r="Y99" s="16" t="str">
        <f>IF('Data input'!Y99="","",4*('Data input'!Y99-'Data input'!Y$108)/('Data input'!Y$109-'Data input'!Y$108)+1)</f>
        <v/>
      </c>
      <c r="Z99" s="16" t="str">
        <f>IF('Data input'!Z99="","",4*('Data input'!Z99-'Data input'!Z$108)/('Data input'!Z$109-'Data input'!Z$108)+1)</f>
        <v/>
      </c>
      <c r="AA99" s="62" t="str">
        <f>IF('Data input'!AA99="","",4*('Data input'!AA99-'Data input'!AA$108)/('Data input'!AA$109-'Data input'!AA$108)+1)</f>
        <v/>
      </c>
      <c r="AB99" s="78"/>
      <c r="AC99" s="79">
        <v>0</v>
      </c>
      <c r="AD99" s="80" t="e">
        <f t="shared" si="48"/>
        <v>#DIV/0!</v>
      </c>
      <c r="AE99" s="4"/>
      <c r="AF99" s="59" t="str">
        <f t="shared" si="40"/>
        <v/>
      </c>
      <c r="AG99" s="60" t="str">
        <f t="shared" si="40"/>
        <v/>
      </c>
      <c r="AH99"/>
      <c r="AI99"/>
      <c r="AJ99"/>
      <c r="AK99"/>
      <c r="AL99"/>
      <c r="AM99"/>
      <c r="AN99"/>
      <c r="AO99"/>
      <c r="AP99"/>
      <c r="AQ99"/>
      <c r="AR99"/>
      <c r="AS99" s="71" t="str">
        <f t="shared" si="44"/>
        <v/>
      </c>
      <c r="AT99" s="71" t="str">
        <f t="shared" si="44"/>
        <v/>
      </c>
      <c r="AU99" s="71" t="str">
        <f t="shared" si="44"/>
        <v/>
      </c>
      <c r="AV99" s="71" t="str">
        <f t="shared" si="44"/>
        <v/>
      </c>
      <c r="AW99" s="71" t="str">
        <f t="shared" si="44"/>
        <v/>
      </c>
      <c r="AX99" s="71" t="str">
        <f t="shared" si="45"/>
        <v/>
      </c>
      <c r="AY99" s="71" t="str">
        <f t="shared" si="45"/>
        <v/>
      </c>
      <c r="AZ99" s="71" t="str">
        <f t="shared" si="45"/>
        <v/>
      </c>
      <c r="BA99" s="71" t="str">
        <f t="shared" si="45"/>
        <v/>
      </c>
      <c r="BB99" s="71" t="str">
        <f t="shared" si="45"/>
        <v/>
      </c>
      <c r="BC99" s="18" t="str">
        <f>IF(C99&lt;&gt;"",(('Data input'!C$109-'Data input'!C$108)*(AS99-1)/4)+'Data input'!C$108,"")</f>
        <v/>
      </c>
      <c r="BD99" s="18" t="str">
        <f>IF(D99&lt;&gt;"",(('Data input'!D$109-'Data input'!D$108)*(AT99-1)/4)+'Data input'!D$108,"")</f>
        <v/>
      </c>
      <c r="BE99" s="18" t="str">
        <f>IF(E99&lt;&gt;"",(('Data input'!E$109-'Data input'!E$108)*(AU99-1)/4)+'Data input'!E$108,"")</f>
        <v/>
      </c>
      <c r="BF99" s="18" t="str">
        <f>IF(F99&lt;&gt;"",(('Data input'!F$109-'Data input'!F$108)*(AV99-1)/4)+'Data input'!F$108,"")</f>
        <v/>
      </c>
      <c r="BG99" s="18" t="str">
        <f>IF(G99&lt;&gt;"",(('Data input'!G$109-'Data input'!G$108)*(AW99-1)/4)+'Data input'!G$108,"")</f>
        <v/>
      </c>
      <c r="BH99" s="19" t="str">
        <f>IF(H99&lt;&gt;"",(('Data input'!H$109-'Data input'!H$108)*(AX99-1)/4)+'Data input'!H$108,"")</f>
        <v/>
      </c>
      <c r="BI99" s="18" t="str">
        <f>IF(I99&lt;&gt;"",(('Data input'!I$109-'Data input'!I$108)*(AY99-1)/4)+'Data input'!I$108,"")</f>
        <v/>
      </c>
      <c r="BJ99" s="19" t="str">
        <f>IF(J99&lt;&gt;"",(('Data input'!J$109-'Data input'!J$108)*(AZ99-1)/4)+'Data input'!J$108,"")</f>
        <v/>
      </c>
      <c r="BK99" s="19" t="str">
        <f>IF(K99&lt;&gt;"",(('Data input'!K$109-'Data input'!K$108)*(BA99-1)/4)+'Data input'!K$108,"")</f>
        <v/>
      </c>
      <c r="BL99" s="19" t="str">
        <f>IF(L99&lt;&gt;"",(('Data input'!L$109-'Data input'!L$108)*(BB99-1)/4)+'Data input'!L$108,"")</f>
        <v/>
      </c>
      <c r="BM99" s="18" t="str">
        <f>IF(C99&lt;&gt;"",BC99-'Data input'!C99,"")</f>
        <v/>
      </c>
      <c r="BN99" s="18" t="str">
        <f>IF(D99&lt;&gt;"",BD99-'Data input'!D99,"")</f>
        <v/>
      </c>
      <c r="BO99" s="18" t="str">
        <f>IF(E99&lt;&gt;"",BE99-'Data input'!E99,"")</f>
        <v/>
      </c>
      <c r="BP99" s="18" t="str">
        <f>IF(F99&lt;&gt;"",BF99-'Data input'!F99,"")</f>
        <v/>
      </c>
      <c r="BQ99" s="18" t="str">
        <f>IF(G99&lt;&gt;"",BG99-'Data input'!G99,"")</f>
        <v/>
      </c>
      <c r="BR99" s="19" t="str">
        <f>IF(H99&lt;&gt;"",BH99-'Data input'!H99,"")</f>
        <v/>
      </c>
      <c r="BS99" s="18" t="str">
        <f>IF(I99&lt;&gt;"",BI99-'Data input'!I99,"")</f>
        <v/>
      </c>
      <c r="BT99" s="18" t="str">
        <f>IF(J99&lt;&gt;"",BJ99-'Data input'!J99,"")</f>
        <v/>
      </c>
      <c r="BU99" s="18" t="str">
        <f>IF(K99&lt;&gt;"",BK99-'Data input'!K99,"")</f>
        <v/>
      </c>
      <c r="BV99" s="72" t="str">
        <f>IF(L99&lt;&gt;"",BL99-'Data input'!L99,"")</f>
        <v/>
      </c>
      <c r="BW99" s="121" t="str">
        <f t="shared" si="49"/>
        <v/>
      </c>
      <c r="FT99" s="1" t="str">
        <f t="shared" si="57"/>
        <v/>
      </c>
      <c r="FU99" s="1" t="str">
        <f t="shared" si="55"/>
        <v/>
      </c>
      <c r="FV99" s="1" t="str">
        <f t="shared" si="55"/>
        <v/>
      </c>
      <c r="FW99" s="1" t="str">
        <f t="shared" si="55"/>
        <v/>
      </c>
      <c r="FX99" s="1" t="str">
        <f t="shared" si="55"/>
        <v/>
      </c>
      <c r="FY99" s="1" t="str">
        <f t="shared" si="55"/>
        <v/>
      </c>
      <c r="FZ99" s="1" t="str">
        <f t="shared" si="55"/>
        <v/>
      </c>
      <c r="GA99" s="1" t="str">
        <f t="shared" si="55"/>
        <v/>
      </c>
      <c r="GB99" s="1" t="str">
        <f t="shared" si="55"/>
        <v/>
      </c>
      <c r="GC99" s="1" t="str">
        <f t="shared" si="55"/>
        <v/>
      </c>
      <c r="GD99" s="1" t="str">
        <f t="shared" si="55"/>
        <v/>
      </c>
      <c r="GE99" s="1" t="str">
        <f t="shared" si="55"/>
        <v/>
      </c>
      <c r="GF99" s="1" t="str">
        <f t="shared" ref="GF99:GJ102" si="64">IF(CJ99&gt;0.0001,CONCATENATE(CJ$2,"; "),"")</f>
        <v/>
      </c>
      <c r="GG99" s="1" t="str">
        <f t="shared" si="64"/>
        <v/>
      </c>
      <c r="GH99" s="1" t="str">
        <f t="shared" si="64"/>
        <v/>
      </c>
      <c r="GI99" s="1" t="str">
        <f t="shared" si="64"/>
        <v/>
      </c>
      <c r="GJ99" s="1" t="str">
        <f t="shared" si="64"/>
        <v/>
      </c>
      <c r="GK99" s="1" t="str">
        <f t="shared" si="61"/>
        <v/>
      </c>
      <c r="GL99" s="1" t="str">
        <f t="shared" si="61"/>
        <v/>
      </c>
      <c r="GM99" s="1" t="str">
        <f t="shared" si="61"/>
        <v/>
      </c>
      <c r="GN99" s="1" t="str">
        <f t="shared" si="61"/>
        <v/>
      </c>
      <c r="GO99" s="1" t="str">
        <f t="shared" si="60"/>
        <v/>
      </c>
      <c r="GP99" s="1" t="str">
        <f t="shared" si="60"/>
        <v/>
      </c>
      <c r="GQ99" s="1" t="str">
        <f t="shared" si="60"/>
        <v/>
      </c>
      <c r="GR99" s="1" t="str">
        <f t="shared" si="60"/>
        <v/>
      </c>
      <c r="GS99" s="1" t="str">
        <f t="shared" si="60"/>
        <v/>
      </c>
      <c r="GT99" s="1" t="str">
        <f t="shared" si="60"/>
        <v/>
      </c>
      <c r="GU99" s="1" t="str">
        <f t="shared" si="60"/>
        <v/>
      </c>
      <c r="GV99" s="1" t="str">
        <f t="shared" si="60"/>
        <v/>
      </c>
      <c r="GW99" s="1" t="str">
        <f t="shared" si="60"/>
        <v/>
      </c>
      <c r="GX99" s="1" t="str">
        <f t="shared" si="60"/>
        <v/>
      </c>
      <c r="GY99" s="1" t="str">
        <f t="shared" si="60"/>
        <v/>
      </c>
      <c r="GZ99" s="1" t="str">
        <f t="shared" si="60"/>
        <v/>
      </c>
      <c r="HA99" s="1" t="str">
        <f t="shared" si="60"/>
        <v/>
      </c>
      <c r="HB99" s="1" t="str">
        <f t="shared" si="60"/>
        <v/>
      </c>
      <c r="HC99" s="1" t="str">
        <f t="shared" si="60"/>
        <v/>
      </c>
      <c r="HD99" s="1" t="str">
        <f t="shared" si="60"/>
        <v/>
      </c>
      <c r="HE99" s="1" t="str">
        <f t="shared" si="62"/>
        <v/>
      </c>
      <c r="HF99" s="1" t="str">
        <f t="shared" si="62"/>
        <v/>
      </c>
      <c r="HG99" s="1" t="str">
        <f t="shared" si="62"/>
        <v/>
      </c>
      <c r="HH99" s="1" t="str">
        <f t="shared" si="62"/>
        <v/>
      </c>
      <c r="HI99" s="1" t="str">
        <f t="shared" si="62"/>
        <v/>
      </c>
      <c r="HJ99" s="1" t="str">
        <f t="shared" si="58"/>
        <v/>
      </c>
      <c r="HK99" s="1" t="str">
        <f t="shared" si="58"/>
        <v/>
      </c>
      <c r="HL99" s="1" t="str">
        <f t="shared" si="58"/>
        <v/>
      </c>
      <c r="HM99" s="1" t="str">
        <f t="shared" si="58"/>
        <v/>
      </c>
      <c r="HN99" s="1" t="str">
        <f t="shared" si="58"/>
        <v/>
      </c>
      <c r="HO99" s="1" t="str">
        <f t="shared" si="52"/>
        <v/>
      </c>
      <c r="HP99" s="1" t="str">
        <f t="shared" si="52"/>
        <v/>
      </c>
      <c r="HQ99" s="1" t="str">
        <f t="shared" si="52"/>
        <v/>
      </c>
      <c r="HR99" s="1" t="str">
        <f t="shared" si="52"/>
        <v/>
      </c>
      <c r="HS99" s="1" t="str">
        <f t="shared" si="52"/>
        <v/>
      </c>
      <c r="HT99" s="1" t="str">
        <f t="shared" si="52"/>
        <v/>
      </c>
      <c r="HU99" s="1" t="str">
        <f t="shared" si="52"/>
        <v/>
      </c>
      <c r="HV99" s="1" t="str">
        <f t="shared" si="52"/>
        <v/>
      </c>
      <c r="HW99" s="1" t="str">
        <f t="shared" si="52"/>
        <v/>
      </c>
      <c r="HX99" s="1" t="str">
        <f t="shared" si="52"/>
        <v/>
      </c>
      <c r="HY99" s="1" t="str">
        <f t="shared" si="52"/>
        <v/>
      </c>
      <c r="HZ99" s="1" t="str">
        <f t="shared" si="52"/>
        <v/>
      </c>
      <c r="IA99" s="1" t="str">
        <f t="shared" si="52"/>
        <v/>
      </c>
      <c r="IB99" s="1" t="str">
        <f t="shared" si="52"/>
        <v/>
      </c>
      <c r="IC99" s="1" t="str">
        <f t="shared" si="52"/>
        <v/>
      </c>
      <c r="ID99" s="1" t="str">
        <f t="shared" si="52"/>
        <v/>
      </c>
      <c r="IE99" s="1" t="str">
        <f t="shared" si="59"/>
        <v/>
      </c>
      <c r="IF99" s="1" t="str">
        <f t="shared" si="56"/>
        <v/>
      </c>
      <c r="IG99" s="1" t="str">
        <f t="shared" si="56"/>
        <v/>
      </c>
      <c r="IH99" s="1" t="str">
        <f t="shared" si="56"/>
        <v/>
      </c>
      <c r="II99" s="1" t="str">
        <f t="shared" si="56"/>
        <v/>
      </c>
      <c r="IJ99" s="1" t="str">
        <f t="shared" si="56"/>
        <v/>
      </c>
      <c r="IK99" s="1" t="str">
        <f t="shared" si="56"/>
        <v/>
      </c>
      <c r="IL99" s="1" t="str">
        <f t="shared" si="56"/>
        <v/>
      </c>
      <c r="IM99" s="1" t="str">
        <f t="shared" si="56"/>
        <v/>
      </c>
      <c r="IN99" s="1" t="str">
        <f t="shared" si="56"/>
        <v/>
      </c>
      <c r="IO99" s="1" t="str">
        <f t="shared" si="56"/>
        <v/>
      </c>
      <c r="IP99" s="1" t="str">
        <f t="shared" si="56"/>
        <v/>
      </c>
      <c r="IQ99" s="1" t="str">
        <f t="shared" si="56"/>
        <v/>
      </c>
      <c r="IR99" s="1" t="str">
        <f t="shared" si="63"/>
        <v/>
      </c>
      <c r="IS99" s="1" t="str">
        <f t="shared" si="63"/>
        <v/>
      </c>
      <c r="IT99" s="1" t="str">
        <f t="shared" si="63"/>
        <v/>
      </c>
      <c r="IU99" s="1" t="str">
        <f t="shared" si="63"/>
        <v/>
      </c>
      <c r="IV99" s="1" t="str">
        <f t="shared" si="63"/>
        <v/>
      </c>
      <c r="IW99" s="1" t="str">
        <f t="shared" si="63"/>
        <v/>
      </c>
      <c r="IX99" s="1" t="str">
        <f t="shared" si="54"/>
        <v/>
      </c>
      <c r="IY99" s="1" t="str">
        <f t="shared" si="54"/>
        <v/>
      </c>
      <c r="IZ99" s="1" t="str">
        <f t="shared" si="54"/>
        <v/>
      </c>
      <c r="JA99" s="1" t="str">
        <f t="shared" si="54"/>
        <v/>
      </c>
      <c r="JB99" s="1" t="str">
        <f t="shared" si="54"/>
        <v/>
      </c>
      <c r="JC99" s="1" t="str">
        <f t="shared" si="43"/>
        <v/>
      </c>
      <c r="JD99" s="1" t="str">
        <f t="shared" si="43"/>
        <v/>
      </c>
      <c r="JE99" s="1" t="str">
        <f t="shared" si="43"/>
        <v/>
      </c>
      <c r="JF99" s="1" t="str">
        <f t="shared" si="43"/>
        <v/>
      </c>
      <c r="JG99" s="1" t="str">
        <f t="shared" si="37"/>
        <v/>
      </c>
      <c r="JH99" s="1" t="str">
        <f t="shared" si="37"/>
        <v/>
      </c>
      <c r="JI99" s="1" t="str">
        <f t="shared" si="37"/>
        <v/>
      </c>
      <c r="JJ99" s="1" t="str">
        <f t="shared" si="37"/>
        <v/>
      </c>
      <c r="JK99" s="1" t="str">
        <f t="shared" si="37"/>
        <v/>
      </c>
      <c r="JL99" s="1" t="str">
        <f t="shared" si="37"/>
        <v/>
      </c>
      <c r="JM99" s="1" t="str">
        <f t="shared" si="37"/>
        <v/>
      </c>
      <c r="JN99" s="1" t="str">
        <f t="shared" si="37"/>
        <v/>
      </c>
      <c r="JO99" s="1" t="str">
        <f t="shared" si="37"/>
        <v/>
      </c>
    </row>
    <row r="100" spans="1:275" ht="14.5" x14ac:dyDescent="0.35">
      <c r="A100" s="59" t="str">
        <f>IF('Data input'!A100&lt;&gt;"",'Data input'!A100,"")</f>
        <v/>
      </c>
      <c r="B100" s="15" t="str">
        <f>IF('Data input'!B100&lt;&gt;"",'Data input'!B100,"")</f>
        <v/>
      </c>
      <c r="C100" s="16" t="str">
        <f>IF('Data input'!C100="","",4*('Data input'!C100-'Data input'!C$108)/('Data input'!C$109-'Data input'!C$108)+1)</f>
        <v/>
      </c>
      <c r="D100" s="16" t="str">
        <f>IF('Data input'!D100="","",4*('Data input'!D100-'Data input'!D$108)/('Data input'!D$109-'Data input'!D$108)+1)</f>
        <v/>
      </c>
      <c r="E100" s="16" t="str">
        <f>IF('Data input'!E100="","",4*('Data input'!E100-'Data input'!E$108)/('Data input'!E$109-'Data input'!E$108)+1)</f>
        <v/>
      </c>
      <c r="F100" s="16" t="str">
        <f>IF('Data input'!F100="","",4*('Data input'!F100-'Data input'!F$108)/('Data input'!F$109-'Data input'!F$108)+1)</f>
        <v/>
      </c>
      <c r="G100" s="16" t="str">
        <f>IF('Data input'!G100="","",4*('Data input'!G100-'Data input'!G$108)/('Data input'!G$109-'Data input'!G$108)+1)</f>
        <v/>
      </c>
      <c r="H100" s="16" t="str">
        <f>IF('Data input'!H100="","",4*('Data input'!H100-'Data input'!H$108)/('Data input'!H$109-'Data input'!H$108)+1)</f>
        <v/>
      </c>
      <c r="I100" s="19" t="str">
        <f>IF('Data input'!I100="","",4*('Data input'!I100-'Data input'!I$108)/('Data input'!I$109-'Data input'!I$108)+1)</f>
        <v/>
      </c>
      <c r="J100" s="19" t="str">
        <f>IF('Data input'!J100="","",4*('Data input'!J100-'Data input'!J$108)/('Data input'!J$109-'Data input'!J$108)+1)</f>
        <v/>
      </c>
      <c r="K100" s="19" t="str">
        <f>IF('Data input'!K100="","",4*('Data input'!K100-'Data input'!K$108)/('Data input'!K$109-'Data input'!K$108)+1)</f>
        <v/>
      </c>
      <c r="L100" s="19" t="str">
        <f>IF('Data input'!L100="","",4*('Data input'!L100-'Data input'!L$108)/('Data input'!L$109-'Data input'!L$108)+1)</f>
        <v/>
      </c>
      <c r="M100" s="16" t="str">
        <f>IF('Data input'!M100="","",4*('Data input'!M100-'Data input'!M$108)/('Data input'!M$109-'Data input'!M$108)+1)</f>
        <v/>
      </c>
      <c r="N100" s="16" t="str">
        <f>IF('Data input'!N100="","",4*('Data input'!N100-'Data input'!N$108)/('Data input'!N$109-'Data input'!N$108)+1)</f>
        <v/>
      </c>
      <c r="O100" s="16" t="str">
        <f>IF('Data input'!O100="","",4*('Data input'!O100-'Data input'!O$108)/('Data input'!O$109-'Data input'!O$108)+1)</f>
        <v/>
      </c>
      <c r="P100" s="16" t="str">
        <f>IF('Data input'!P100="","",4*('Data input'!P100-'Data input'!P$108)/('Data input'!P$109-'Data input'!P$108)+1)</f>
        <v/>
      </c>
      <c r="Q100" s="16" t="str">
        <f>IF('Data input'!Q100="","",4*('Data input'!Q100-'Data input'!Q$108)/('Data input'!Q$109-'Data input'!Q$108)+1)</f>
        <v/>
      </c>
      <c r="R100" s="16" t="str">
        <f>IF('Data input'!R100="","",4*('Data input'!R100-'Data input'!R$108)/('Data input'!R$109-'Data input'!R$108)+1)</f>
        <v/>
      </c>
      <c r="S100" s="16" t="str">
        <f>IF('Data input'!S100="","",4*('Data input'!S100-'Data input'!S$108)/('Data input'!S$109-'Data input'!S$108)+1)</f>
        <v/>
      </c>
      <c r="T100" s="16" t="str">
        <f>IF('Data input'!T100="","",4*('Data input'!T100-'Data input'!T$108)/('Data input'!T$109-'Data input'!T$108)+1)</f>
        <v/>
      </c>
      <c r="U100" s="16" t="str">
        <f>IF('Data input'!U100="","",4*('Data input'!U100-'Data input'!U$108)/('Data input'!U$109-'Data input'!U$108)+1)</f>
        <v/>
      </c>
      <c r="V100" s="16" t="str">
        <f>IF('Data input'!V100="","",4*('Data input'!V100-'Data input'!V$108)/('Data input'!V$109-'Data input'!V$108)+1)</f>
        <v/>
      </c>
      <c r="W100" s="16" t="str">
        <f>IF('Data input'!W100="","",4*('Data input'!W100-'Data input'!W$108)/('Data input'!W$109-'Data input'!W$108)+1)</f>
        <v/>
      </c>
      <c r="X100" s="16" t="str">
        <f>IF('Data input'!X100="","",4*('Data input'!X100-'Data input'!X$108)/('Data input'!X$109-'Data input'!X$108)+1)</f>
        <v/>
      </c>
      <c r="Y100" s="16" t="str">
        <f>IF('Data input'!Y100="","",4*('Data input'!Y100-'Data input'!Y$108)/('Data input'!Y$109-'Data input'!Y$108)+1)</f>
        <v/>
      </c>
      <c r="Z100" s="16" t="str">
        <f>IF('Data input'!Z100="","",4*('Data input'!Z100-'Data input'!Z$108)/('Data input'!Z$109-'Data input'!Z$108)+1)</f>
        <v/>
      </c>
      <c r="AA100" s="62" t="str">
        <f>IF('Data input'!AA100="","",4*('Data input'!AA100-'Data input'!AA$108)/('Data input'!AA$109-'Data input'!AA$108)+1)</f>
        <v/>
      </c>
      <c r="AB100" s="78"/>
      <c r="AC100" s="79">
        <v>0</v>
      </c>
      <c r="AD100" s="80" t="e">
        <f t="shared" si="48"/>
        <v>#DIV/0!</v>
      </c>
      <c r="AE100" s="4"/>
      <c r="AF100" s="59" t="str">
        <f t="shared" si="40"/>
        <v/>
      </c>
      <c r="AG100" s="60" t="str">
        <f t="shared" si="40"/>
        <v/>
      </c>
      <c r="AH100"/>
      <c r="AI100"/>
      <c r="AJ100"/>
      <c r="AK100"/>
      <c r="AL100"/>
      <c r="AM100"/>
      <c r="AN100"/>
      <c r="AO100"/>
      <c r="AP100"/>
      <c r="AQ100"/>
      <c r="AR100"/>
      <c r="AS100" s="71" t="str">
        <f t="shared" si="44"/>
        <v/>
      </c>
      <c r="AT100" s="71" t="str">
        <f t="shared" si="44"/>
        <v/>
      </c>
      <c r="AU100" s="71" t="str">
        <f t="shared" si="44"/>
        <v/>
      </c>
      <c r="AV100" s="71" t="str">
        <f t="shared" si="44"/>
        <v/>
      </c>
      <c r="AW100" s="71" t="str">
        <f t="shared" si="44"/>
        <v/>
      </c>
      <c r="AX100" s="71" t="str">
        <f t="shared" si="45"/>
        <v/>
      </c>
      <c r="AY100" s="71" t="str">
        <f t="shared" si="45"/>
        <v/>
      </c>
      <c r="AZ100" s="71" t="str">
        <f t="shared" si="45"/>
        <v/>
      </c>
      <c r="BA100" s="71" t="str">
        <f t="shared" si="45"/>
        <v/>
      </c>
      <c r="BB100" s="71" t="str">
        <f t="shared" si="45"/>
        <v/>
      </c>
      <c r="BC100" s="18" t="str">
        <f>IF(C100&lt;&gt;"",(('Data input'!C$109-'Data input'!C$108)*(AS100-1)/4)+'Data input'!C$108,"")</f>
        <v/>
      </c>
      <c r="BD100" s="18" t="str">
        <f>IF(D100&lt;&gt;"",(('Data input'!D$109-'Data input'!D$108)*(AT100-1)/4)+'Data input'!D$108,"")</f>
        <v/>
      </c>
      <c r="BE100" s="18" t="str">
        <f>IF(E100&lt;&gt;"",(('Data input'!E$109-'Data input'!E$108)*(AU100-1)/4)+'Data input'!E$108,"")</f>
        <v/>
      </c>
      <c r="BF100" s="18" t="str">
        <f>IF(F100&lt;&gt;"",(('Data input'!F$109-'Data input'!F$108)*(AV100-1)/4)+'Data input'!F$108,"")</f>
        <v/>
      </c>
      <c r="BG100" s="18" t="str">
        <f>IF(G100&lt;&gt;"",(('Data input'!G$109-'Data input'!G$108)*(AW100-1)/4)+'Data input'!G$108,"")</f>
        <v/>
      </c>
      <c r="BH100" s="19" t="str">
        <f>IF(H100&lt;&gt;"",(('Data input'!H$109-'Data input'!H$108)*(AX100-1)/4)+'Data input'!H$108,"")</f>
        <v/>
      </c>
      <c r="BI100" s="18" t="str">
        <f>IF(I100&lt;&gt;"",(('Data input'!I$109-'Data input'!I$108)*(AY100-1)/4)+'Data input'!I$108,"")</f>
        <v/>
      </c>
      <c r="BJ100" s="19" t="str">
        <f>IF(J100&lt;&gt;"",(('Data input'!J$109-'Data input'!J$108)*(AZ100-1)/4)+'Data input'!J$108,"")</f>
        <v/>
      </c>
      <c r="BK100" s="19" t="str">
        <f>IF(K100&lt;&gt;"",(('Data input'!K$109-'Data input'!K$108)*(BA100-1)/4)+'Data input'!K$108,"")</f>
        <v/>
      </c>
      <c r="BL100" s="19" t="str">
        <f>IF(L100&lt;&gt;"",(('Data input'!L$109-'Data input'!L$108)*(BB100-1)/4)+'Data input'!L$108,"")</f>
        <v/>
      </c>
      <c r="BM100" s="18" t="str">
        <f>IF(C100&lt;&gt;"",BC100-'Data input'!C100,"")</f>
        <v/>
      </c>
      <c r="BN100" s="18" t="str">
        <f>IF(D100&lt;&gt;"",BD100-'Data input'!D100,"")</f>
        <v/>
      </c>
      <c r="BO100" s="18" t="str">
        <f>IF(E100&lt;&gt;"",BE100-'Data input'!E100,"")</f>
        <v/>
      </c>
      <c r="BP100" s="18" t="str">
        <f>IF(F100&lt;&gt;"",BF100-'Data input'!F100,"")</f>
        <v/>
      </c>
      <c r="BQ100" s="18" t="str">
        <f>IF(G100&lt;&gt;"",BG100-'Data input'!G100,"")</f>
        <v/>
      </c>
      <c r="BR100" s="19" t="str">
        <f>IF(H100&lt;&gt;"",BH100-'Data input'!H100,"")</f>
        <v/>
      </c>
      <c r="BS100" s="18" t="str">
        <f>IF(I100&lt;&gt;"",BI100-'Data input'!I100,"")</f>
        <v/>
      </c>
      <c r="BT100" s="18" t="str">
        <f>IF(J100&lt;&gt;"",BJ100-'Data input'!J100,"")</f>
        <v/>
      </c>
      <c r="BU100" s="18" t="str">
        <f>IF(K100&lt;&gt;"",BK100-'Data input'!K100,"")</f>
        <v/>
      </c>
      <c r="BV100" s="72" t="str">
        <f>IF(L100&lt;&gt;"",BL100-'Data input'!L100,"")</f>
        <v/>
      </c>
      <c r="BW100" s="121" t="str">
        <f t="shared" si="49"/>
        <v/>
      </c>
      <c r="FT100" s="1" t="str">
        <f t="shared" si="57"/>
        <v/>
      </c>
      <c r="FU100" s="1" t="str">
        <f t="shared" si="57"/>
        <v/>
      </c>
      <c r="FV100" s="1" t="str">
        <f t="shared" si="57"/>
        <v/>
      </c>
      <c r="FW100" s="1" t="str">
        <f t="shared" si="57"/>
        <v/>
      </c>
      <c r="FX100" s="1" t="str">
        <f t="shared" si="57"/>
        <v/>
      </c>
      <c r="FY100" s="1" t="str">
        <f t="shared" si="57"/>
        <v/>
      </c>
      <c r="FZ100" s="1" t="str">
        <f t="shared" si="57"/>
        <v/>
      </c>
      <c r="GA100" s="1" t="str">
        <f t="shared" si="57"/>
        <v/>
      </c>
      <c r="GB100" s="1" t="str">
        <f t="shared" si="57"/>
        <v/>
      </c>
      <c r="GC100" s="1" t="str">
        <f t="shared" si="57"/>
        <v/>
      </c>
      <c r="GD100" s="1" t="str">
        <f t="shared" si="57"/>
        <v/>
      </c>
      <c r="GE100" s="1" t="str">
        <f t="shared" si="57"/>
        <v/>
      </c>
      <c r="GF100" s="1" t="str">
        <f t="shared" si="64"/>
        <v/>
      </c>
      <c r="GG100" s="1" t="str">
        <f t="shared" si="64"/>
        <v/>
      </c>
      <c r="GH100" s="1" t="str">
        <f t="shared" si="64"/>
        <v/>
      </c>
      <c r="GI100" s="1" t="str">
        <f t="shared" si="64"/>
        <v/>
      </c>
      <c r="GJ100" s="1" t="str">
        <f t="shared" si="64"/>
        <v/>
      </c>
      <c r="GK100" s="1" t="str">
        <f t="shared" si="61"/>
        <v/>
      </c>
      <c r="GL100" s="1" t="str">
        <f t="shared" si="61"/>
        <v/>
      </c>
      <c r="GM100" s="1" t="str">
        <f t="shared" si="61"/>
        <v/>
      </c>
      <c r="GN100" s="1" t="str">
        <f t="shared" si="61"/>
        <v/>
      </c>
      <c r="GO100" s="1" t="str">
        <f t="shared" si="60"/>
        <v/>
      </c>
      <c r="GP100" s="1" t="str">
        <f t="shared" si="60"/>
        <v/>
      </c>
      <c r="GQ100" s="1" t="str">
        <f t="shared" si="60"/>
        <v/>
      </c>
      <c r="GR100" s="1" t="str">
        <f t="shared" si="60"/>
        <v/>
      </c>
      <c r="GS100" s="1" t="str">
        <f t="shared" si="60"/>
        <v/>
      </c>
      <c r="GT100" s="1" t="str">
        <f t="shared" si="60"/>
        <v/>
      </c>
      <c r="GU100" s="1" t="str">
        <f t="shared" si="60"/>
        <v/>
      </c>
      <c r="GV100" s="1" t="str">
        <f t="shared" si="60"/>
        <v/>
      </c>
      <c r="GW100" s="1" t="str">
        <f t="shared" si="60"/>
        <v/>
      </c>
      <c r="GX100" s="1" t="str">
        <f t="shared" si="60"/>
        <v/>
      </c>
      <c r="GY100" s="1" t="str">
        <f t="shared" si="60"/>
        <v/>
      </c>
      <c r="GZ100" s="1" t="str">
        <f t="shared" si="60"/>
        <v/>
      </c>
      <c r="HA100" s="1" t="str">
        <f t="shared" si="60"/>
        <v/>
      </c>
      <c r="HB100" s="1" t="str">
        <f t="shared" si="60"/>
        <v/>
      </c>
      <c r="HC100" s="1" t="str">
        <f t="shared" si="60"/>
        <v/>
      </c>
      <c r="HD100" s="1" t="str">
        <f t="shared" si="60"/>
        <v/>
      </c>
      <c r="HE100" s="1" t="str">
        <f t="shared" si="62"/>
        <v/>
      </c>
      <c r="HF100" s="1" t="str">
        <f t="shared" si="62"/>
        <v/>
      </c>
      <c r="HG100" s="1" t="str">
        <f t="shared" si="62"/>
        <v/>
      </c>
      <c r="HH100" s="1" t="str">
        <f t="shared" si="62"/>
        <v/>
      </c>
      <c r="HI100" s="1" t="str">
        <f t="shared" si="62"/>
        <v/>
      </c>
      <c r="HJ100" s="1" t="str">
        <f t="shared" si="58"/>
        <v/>
      </c>
      <c r="HK100" s="1" t="str">
        <f t="shared" si="58"/>
        <v/>
      </c>
      <c r="HL100" s="1" t="str">
        <f t="shared" si="58"/>
        <v/>
      </c>
      <c r="HM100" s="1" t="str">
        <f t="shared" si="58"/>
        <v/>
      </c>
      <c r="HN100" s="1" t="str">
        <f t="shared" si="58"/>
        <v/>
      </c>
      <c r="HO100" s="1" t="str">
        <f t="shared" si="52"/>
        <v/>
      </c>
      <c r="HP100" s="1" t="str">
        <f t="shared" si="52"/>
        <v/>
      </c>
      <c r="HQ100" s="1" t="str">
        <f t="shared" si="52"/>
        <v/>
      </c>
      <c r="HR100" s="1" t="str">
        <f t="shared" si="52"/>
        <v/>
      </c>
      <c r="HS100" s="1" t="str">
        <f t="shared" si="52"/>
        <v/>
      </c>
      <c r="HT100" s="1" t="str">
        <f t="shared" si="52"/>
        <v/>
      </c>
      <c r="HU100" s="1" t="str">
        <f t="shared" si="52"/>
        <v/>
      </c>
      <c r="HV100" s="1" t="str">
        <f t="shared" si="52"/>
        <v/>
      </c>
      <c r="HW100" s="1" t="str">
        <f t="shared" si="52"/>
        <v/>
      </c>
      <c r="HX100" s="1" t="str">
        <f t="shared" si="52"/>
        <v/>
      </c>
      <c r="HY100" s="1" t="str">
        <f t="shared" si="52"/>
        <v/>
      </c>
      <c r="HZ100" s="1" t="str">
        <f t="shared" si="52"/>
        <v/>
      </c>
      <c r="IA100" s="1" t="str">
        <f t="shared" si="52"/>
        <v/>
      </c>
      <c r="IB100" s="1" t="str">
        <f t="shared" si="52"/>
        <v/>
      </c>
      <c r="IC100" s="1" t="str">
        <f t="shared" si="52"/>
        <v/>
      </c>
      <c r="ID100" s="1" t="str">
        <f t="shared" si="52"/>
        <v/>
      </c>
      <c r="IE100" s="1" t="str">
        <f t="shared" si="59"/>
        <v/>
      </c>
      <c r="IF100" s="1" t="str">
        <f t="shared" si="56"/>
        <v/>
      </c>
      <c r="IG100" s="1" t="str">
        <f t="shared" si="56"/>
        <v/>
      </c>
      <c r="IH100" s="1" t="str">
        <f t="shared" si="56"/>
        <v/>
      </c>
      <c r="II100" s="1" t="str">
        <f t="shared" si="56"/>
        <v/>
      </c>
      <c r="IJ100" s="1" t="str">
        <f t="shared" si="56"/>
        <v/>
      </c>
      <c r="IK100" s="1" t="str">
        <f t="shared" si="56"/>
        <v/>
      </c>
      <c r="IL100" s="1" t="str">
        <f t="shared" si="56"/>
        <v/>
      </c>
      <c r="IM100" s="1" t="str">
        <f t="shared" si="56"/>
        <v/>
      </c>
      <c r="IN100" s="1" t="str">
        <f t="shared" si="56"/>
        <v/>
      </c>
      <c r="IO100" s="1" t="str">
        <f t="shared" si="56"/>
        <v/>
      </c>
      <c r="IP100" s="1" t="str">
        <f t="shared" si="56"/>
        <v/>
      </c>
      <c r="IQ100" s="1" t="str">
        <f t="shared" si="56"/>
        <v/>
      </c>
      <c r="IR100" s="1" t="str">
        <f t="shared" si="63"/>
        <v/>
      </c>
      <c r="IS100" s="1" t="str">
        <f t="shared" si="63"/>
        <v/>
      </c>
      <c r="IT100" s="1" t="str">
        <f t="shared" si="63"/>
        <v/>
      </c>
      <c r="IU100" s="1" t="str">
        <f t="shared" si="63"/>
        <v/>
      </c>
      <c r="IV100" s="1" t="str">
        <f t="shared" si="63"/>
        <v/>
      </c>
      <c r="IW100" s="1" t="str">
        <f t="shared" si="63"/>
        <v/>
      </c>
      <c r="IX100" s="1" t="str">
        <f t="shared" si="54"/>
        <v/>
      </c>
      <c r="IY100" s="1" t="str">
        <f t="shared" si="54"/>
        <v/>
      </c>
      <c r="IZ100" s="1" t="str">
        <f t="shared" si="54"/>
        <v/>
      </c>
      <c r="JA100" s="1" t="str">
        <f t="shared" si="54"/>
        <v/>
      </c>
      <c r="JB100" s="1" t="str">
        <f t="shared" si="54"/>
        <v/>
      </c>
      <c r="JC100" s="1" t="str">
        <f t="shared" si="43"/>
        <v/>
      </c>
      <c r="JD100" s="1" t="str">
        <f t="shared" si="43"/>
        <v/>
      </c>
      <c r="JE100" s="1" t="str">
        <f t="shared" si="43"/>
        <v/>
      </c>
      <c r="JF100" s="1" t="str">
        <f t="shared" si="43"/>
        <v/>
      </c>
      <c r="JG100" s="1" t="str">
        <f t="shared" si="37"/>
        <v/>
      </c>
      <c r="JH100" s="1" t="str">
        <f t="shared" si="37"/>
        <v/>
      </c>
      <c r="JI100" s="1" t="str">
        <f t="shared" si="37"/>
        <v/>
      </c>
      <c r="JJ100" s="1" t="str">
        <f t="shared" si="37"/>
        <v/>
      </c>
      <c r="JK100" s="1" t="str">
        <f t="shared" si="37"/>
        <v/>
      </c>
      <c r="JL100" s="1" t="str">
        <f t="shared" si="37"/>
        <v/>
      </c>
      <c r="JM100" s="1" t="str">
        <f t="shared" si="37"/>
        <v/>
      </c>
      <c r="JN100" s="1" t="str">
        <f t="shared" si="37"/>
        <v/>
      </c>
      <c r="JO100" s="1" t="str">
        <f t="shared" si="37"/>
        <v/>
      </c>
    </row>
    <row r="101" spans="1:275" ht="14.5" x14ac:dyDescent="0.35">
      <c r="A101" s="59" t="str">
        <f>IF('Data input'!A101&lt;&gt;"",'Data input'!A101,"")</f>
        <v/>
      </c>
      <c r="B101" s="15" t="str">
        <f>IF('Data input'!B101&lt;&gt;"",'Data input'!B101,"")</f>
        <v/>
      </c>
      <c r="C101" s="16" t="str">
        <f>IF('Data input'!C101="","",4*('Data input'!C101-'Data input'!C$108)/('Data input'!C$109-'Data input'!C$108)+1)</f>
        <v/>
      </c>
      <c r="D101" s="16" t="str">
        <f>IF('Data input'!D101="","",4*('Data input'!D101-'Data input'!D$108)/('Data input'!D$109-'Data input'!D$108)+1)</f>
        <v/>
      </c>
      <c r="E101" s="16" t="str">
        <f>IF('Data input'!E101="","",4*('Data input'!E101-'Data input'!E$108)/('Data input'!E$109-'Data input'!E$108)+1)</f>
        <v/>
      </c>
      <c r="F101" s="16" t="str">
        <f>IF('Data input'!F101="","",4*('Data input'!F101-'Data input'!F$108)/('Data input'!F$109-'Data input'!F$108)+1)</f>
        <v/>
      </c>
      <c r="G101" s="16" t="str">
        <f>IF('Data input'!G101="","",4*('Data input'!G101-'Data input'!G$108)/('Data input'!G$109-'Data input'!G$108)+1)</f>
        <v/>
      </c>
      <c r="H101" s="16" t="str">
        <f>IF('Data input'!H101="","",4*('Data input'!H101-'Data input'!H$108)/('Data input'!H$109-'Data input'!H$108)+1)</f>
        <v/>
      </c>
      <c r="I101" s="19" t="str">
        <f>IF('Data input'!I101="","",4*('Data input'!I101-'Data input'!I$108)/('Data input'!I$109-'Data input'!I$108)+1)</f>
        <v/>
      </c>
      <c r="J101" s="19" t="str">
        <f>IF('Data input'!J101="","",4*('Data input'!J101-'Data input'!J$108)/('Data input'!J$109-'Data input'!J$108)+1)</f>
        <v/>
      </c>
      <c r="K101" s="19" t="str">
        <f>IF('Data input'!K101="","",4*('Data input'!K101-'Data input'!K$108)/('Data input'!K$109-'Data input'!K$108)+1)</f>
        <v/>
      </c>
      <c r="L101" s="19" t="str">
        <f>IF('Data input'!L101="","",4*('Data input'!L101-'Data input'!L$108)/('Data input'!L$109-'Data input'!L$108)+1)</f>
        <v/>
      </c>
      <c r="M101" s="16" t="str">
        <f>IF('Data input'!M101="","",4*('Data input'!M101-'Data input'!M$108)/('Data input'!M$109-'Data input'!M$108)+1)</f>
        <v/>
      </c>
      <c r="N101" s="16" t="str">
        <f>IF('Data input'!N101="","",4*('Data input'!N101-'Data input'!N$108)/('Data input'!N$109-'Data input'!N$108)+1)</f>
        <v/>
      </c>
      <c r="O101" s="16" t="str">
        <f>IF('Data input'!O101="","",4*('Data input'!O101-'Data input'!O$108)/('Data input'!O$109-'Data input'!O$108)+1)</f>
        <v/>
      </c>
      <c r="P101" s="16" t="str">
        <f>IF('Data input'!P101="","",4*('Data input'!P101-'Data input'!P$108)/('Data input'!P$109-'Data input'!P$108)+1)</f>
        <v/>
      </c>
      <c r="Q101" s="16" t="str">
        <f>IF('Data input'!Q101="","",4*('Data input'!Q101-'Data input'!Q$108)/('Data input'!Q$109-'Data input'!Q$108)+1)</f>
        <v/>
      </c>
      <c r="R101" s="16" t="str">
        <f>IF('Data input'!R101="","",4*('Data input'!R101-'Data input'!R$108)/('Data input'!R$109-'Data input'!R$108)+1)</f>
        <v/>
      </c>
      <c r="S101" s="16" t="str">
        <f>IF('Data input'!S101="","",4*('Data input'!S101-'Data input'!S$108)/('Data input'!S$109-'Data input'!S$108)+1)</f>
        <v/>
      </c>
      <c r="T101" s="16" t="str">
        <f>IF('Data input'!T101="","",4*('Data input'!T101-'Data input'!T$108)/('Data input'!T$109-'Data input'!T$108)+1)</f>
        <v/>
      </c>
      <c r="U101" s="16" t="str">
        <f>IF('Data input'!U101="","",4*('Data input'!U101-'Data input'!U$108)/('Data input'!U$109-'Data input'!U$108)+1)</f>
        <v/>
      </c>
      <c r="V101" s="16" t="str">
        <f>IF('Data input'!V101="","",4*('Data input'!V101-'Data input'!V$108)/('Data input'!V$109-'Data input'!V$108)+1)</f>
        <v/>
      </c>
      <c r="W101" s="16" t="str">
        <f>IF('Data input'!W101="","",4*('Data input'!W101-'Data input'!W$108)/('Data input'!W$109-'Data input'!W$108)+1)</f>
        <v/>
      </c>
      <c r="X101" s="16" t="str">
        <f>IF('Data input'!X101="","",4*('Data input'!X101-'Data input'!X$108)/('Data input'!X$109-'Data input'!X$108)+1)</f>
        <v/>
      </c>
      <c r="Y101" s="16" t="str">
        <f>IF('Data input'!Y101="","",4*('Data input'!Y101-'Data input'!Y$108)/('Data input'!Y$109-'Data input'!Y$108)+1)</f>
        <v/>
      </c>
      <c r="Z101" s="16" t="str">
        <f>IF('Data input'!Z101="","",4*('Data input'!Z101-'Data input'!Z$108)/('Data input'!Z$109-'Data input'!Z$108)+1)</f>
        <v/>
      </c>
      <c r="AA101" s="62" t="str">
        <f>IF('Data input'!AA101="","",4*('Data input'!AA101-'Data input'!AA$108)/('Data input'!AA$109-'Data input'!AA$108)+1)</f>
        <v/>
      </c>
      <c r="AB101" s="78"/>
      <c r="AC101" s="79">
        <v>0</v>
      </c>
      <c r="AD101" s="80" t="e">
        <f t="shared" si="48"/>
        <v>#DIV/0!</v>
      </c>
      <c r="AE101" s="4"/>
      <c r="AF101" s="59" t="str">
        <f t="shared" si="40"/>
        <v/>
      </c>
      <c r="AG101" s="60" t="str">
        <f t="shared" si="40"/>
        <v/>
      </c>
      <c r="AH101"/>
      <c r="AI101"/>
      <c r="AJ101"/>
      <c r="AK101"/>
      <c r="AL101"/>
      <c r="AM101"/>
      <c r="AN101"/>
      <c r="AO101"/>
      <c r="AP101"/>
      <c r="AQ101"/>
      <c r="AR101"/>
      <c r="AS101" s="71" t="str">
        <f t="shared" si="44"/>
        <v/>
      </c>
      <c r="AT101" s="71" t="str">
        <f t="shared" si="44"/>
        <v/>
      </c>
      <c r="AU101" s="71" t="str">
        <f t="shared" si="44"/>
        <v/>
      </c>
      <c r="AV101" s="71" t="str">
        <f t="shared" si="44"/>
        <v/>
      </c>
      <c r="AW101" s="71" t="str">
        <f t="shared" si="44"/>
        <v/>
      </c>
      <c r="AX101" s="71" t="str">
        <f t="shared" si="45"/>
        <v/>
      </c>
      <c r="AY101" s="71" t="str">
        <f t="shared" si="45"/>
        <v/>
      </c>
      <c r="AZ101" s="71" t="str">
        <f t="shared" si="45"/>
        <v/>
      </c>
      <c r="BA101" s="71" t="str">
        <f t="shared" si="45"/>
        <v/>
      </c>
      <c r="BB101" s="71" t="str">
        <f t="shared" si="45"/>
        <v/>
      </c>
      <c r="BC101" s="18" t="str">
        <f>IF(C101&lt;&gt;"",(('Data input'!C$109-'Data input'!C$108)*(AS101-1)/4)+'Data input'!C$108,"")</f>
        <v/>
      </c>
      <c r="BD101" s="18" t="str">
        <f>IF(D101&lt;&gt;"",(('Data input'!D$109-'Data input'!D$108)*(AT101-1)/4)+'Data input'!D$108,"")</f>
        <v/>
      </c>
      <c r="BE101" s="18" t="str">
        <f>IF(E101&lt;&gt;"",(('Data input'!E$109-'Data input'!E$108)*(AU101-1)/4)+'Data input'!E$108,"")</f>
        <v/>
      </c>
      <c r="BF101" s="18" t="str">
        <f>IF(F101&lt;&gt;"",(('Data input'!F$109-'Data input'!F$108)*(AV101-1)/4)+'Data input'!F$108,"")</f>
        <v/>
      </c>
      <c r="BG101" s="18" t="str">
        <f>IF(G101&lt;&gt;"",(('Data input'!G$109-'Data input'!G$108)*(AW101-1)/4)+'Data input'!G$108,"")</f>
        <v/>
      </c>
      <c r="BH101" s="19" t="str">
        <f>IF(H101&lt;&gt;"",(('Data input'!H$109-'Data input'!H$108)*(AX101-1)/4)+'Data input'!H$108,"")</f>
        <v/>
      </c>
      <c r="BI101" s="18" t="str">
        <f>IF(I101&lt;&gt;"",(('Data input'!I$109-'Data input'!I$108)*(AY101-1)/4)+'Data input'!I$108,"")</f>
        <v/>
      </c>
      <c r="BJ101" s="19" t="str">
        <f>IF(J101&lt;&gt;"",(('Data input'!J$109-'Data input'!J$108)*(AZ101-1)/4)+'Data input'!J$108,"")</f>
        <v/>
      </c>
      <c r="BK101" s="19" t="str">
        <f>IF(K101&lt;&gt;"",(('Data input'!K$109-'Data input'!K$108)*(BA101-1)/4)+'Data input'!K$108,"")</f>
        <v/>
      </c>
      <c r="BL101" s="19" t="str">
        <f>IF(L101&lt;&gt;"",(('Data input'!L$109-'Data input'!L$108)*(BB101-1)/4)+'Data input'!L$108,"")</f>
        <v/>
      </c>
      <c r="BM101" s="18" t="str">
        <f>IF(C101&lt;&gt;"",BC101-'Data input'!C101,"")</f>
        <v/>
      </c>
      <c r="BN101" s="18" t="str">
        <f>IF(D101&lt;&gt;"",BD101-'Data input'!D101,"")</f>
        <v/>
      </c>
      <c r="BO101" s="18" t="str">
        <f>IF(E101&lt;&gt;"",BE101-'Data input'!E101,"")</f>
        <v/>
      </c>
      <c r="BP101" s="18" t="str">
        <f>IF(F101&lt;&gt;"",BF101-'Data input'!F101,"")</f>
        <v/>
      </c>
      <c r="BQ101" s="18" t="str">
        <f>IF(G101&lt;&gt;"",BG101-'Data input'!G101,"")</f>
        <v/>
      </c>
      <c r="BR101" s="19" t="str">
        <f>IF(H101&lt;&gt;"",BH101-'Data input'!H101,"")</f>
        <v/>
      </c>
      <c r="BS101" s="18" t="str">
        <f>IF(I101&lt;&gt;"",BI101-'Data input'!I101,"")</f>
        <v/>
      </c>
      <c r="BT101" s="18" t="str">
        <f>IF(J101&lt;&gt;"",BJ101-'Data input'!J101,"")</f>
        <v/>
      </c>
      <c r="BU101" s="18" t="str">
        <f>IF(K101&lt;&gt;"",BK101-'Data input'!K101,"")</f>
        <v/>
      </c>
      <c r="BV101" s="72" t="str">
        <f>IF(L101&lt;&gt;"",BL101-'Data input'!L101,"")</f>
        <v/>
      </c>
      <c r="BW101" s="121" t="str">
        <f t="shared" si="49"/>
        <v/>
      </c>
      <c r="FT101" s="1" t="str">
        <f t="shared" si="57"/>
        <v/>
      </c>
      <c r="FU101" s="1" t="str">
        <f t="shared" si="57"/>
        <v/>
      </c>
      <c r="FV101" s="1" t="str">
        <f t="shared" si="57"/>
        <v/>
      </c>
      <c r="FW101" s="1" t="str">
        <f t="shared" si="57"/>
        <v/>
      </c>
      <c r="FX101" s="1" t="str">
        <f t="shared" si="57"/>
        <v/>
      </c>
      <c r="FY101" s="1" t="str">
        <f t="shared" si="57"/>
        <v/>
      </c>
      <c r="FZ101" s="1" t="str">
        <f t="shared" si="57"/>
        <v/>
      </c>
      <c r="GA101" s="1" t="str">
        <f t="shared" si="57"/>
        <v/>
      </c>
      <c r="GB101" s="1" t="str">
        <f t="shared" si="57"/>
        <v/>
      </c>
      <c r="GC101" s="1" t="str">
        <f t="shared" si="57"/>
        <v/>
      </c>
      <c r="GD101" s="1" t="str">
        <f t="shared" si="57"/>
        <v/>
      </c>
      <c r="GE101" s="1" t="str">
        <f t="shared" si="57"/>
        <v/>
      </c>
      <c r="GF101" s="1" t="str">
        <f t="shared" si="64"/>
        <v/>
      </c>
      <c r="GG101" s="1" t="str">
        <f t="shared" si="64"/>
        <v/>
      </c>
      <c r="GH101" s="1" t="str">
        <f t="shared" si="64"/>
        <v/>
      </c>
      <c r="GI101" s="1" t="str">
        <f t="shared" si="64"/>
        <v/>
      </c>
      <c r="GJ101" s="1" t="str">
        <f t="shared" si="64"/>
        <v/>
      </c>
      <c r="GK101" s="1" t="str">
        <f t="shared" si="61"/>
        <v/>
      </c>
      <c r="GL101" s="1" t="str">
        <f t="shared" si="61"/>
        <v/>
      </c>
      <c r="GM101" s="1" t="str">
        <f t="shared" si="61"/>
        <v/>
      </c>
      <c r="GN101" s="1" t="str">
        <f t="shared" si="61"/>
        <v/>
      </c>
      <c r="GO101" s="1" t="str">
        <f t="shared" si="60"/>
        <v/>
      </c>
      <c r="GP101" s="1" t="str">
        <f t="shared" si="60"/>
        <v/>
      </c>
      <c r="GQ101" s="1" t="str">
        <f t="shared" si="60"/>
        <v/>
      </c>
      <c r="GR101" s="1" t="str">
        <f t="shared" si="60"/>
        <v/>
      </c>
      <c r="GS101" s="1" t="str">
        <f t="shared" si="60"/>
        <v/>
      </c>
      <c r="GT101" s="1" t="str">
        <f t="shared" si="60"/>
        <v/>
      </c>
      <c r="GU101" s="1" t="str">
        <f t="shared" si="60"/>
        <v/>
      </c>
      <c r="GV101" s="1" t="str">
        <f t="shared" si="60"/>
        <v/>
      </c>
      <c r="GW101" s="1" t="str">
        <f t="shared" si="60"/>
        <v/>
      </c>
      <c r="GX101" s="1" t="str">
        <f t="shared" si="60"/>
        <v/>
      </c>
      <c r="GY101" s="1" t="str">
        <f t="shared" si="60"/>
        <v/>
      </c>
      <c r="GZ101" s="1" t="str">
        <f t="shared" si="60"/>
        <v/>
      </c>
      <c r="HA101" s="1" t="str">
        <f t="shared" si="60"/>
        <v/>
      </c>
      <c r="HB101" s="1" t="str">
        <f t="shared" si="60"/>
        <v/>
      </c>
      <c r="HC101" s="1" t="str">
        <f t="shared" si="60"/>
        <v/>
      </c>
      <c r="HD101" s="1" t="str">
        <f t="shared" si="60"/>
        <v/>
      </c>
      <c r="HE101" s="1" t="str">
        <f t="shared" si="62"/>
        <v/>
      </c>
      <c r="HF101" s="1" t="str">
        <f t="shared" si="62"/>
        <v/>
      </c>
      <c r="HG101" s="1" t="str">
        <f t="shared" si="62"/>
        <v/>
      </c>
      <c r="HH101" s="1" t="str">
        <f t="shared" si="62"/>
        <v/>
      </c>
      <c r="HI101" s="1" t="str">
        <f t="shared" si="62"/>
        <v/>
      </c>
      <c r="HJ101" s="1" t="str">
        <f t="shared" si="58"/>
        <v/>
      </c>
      <c r="HK101" s="1" t="str">
        <f t="shared" si="58"/>
        <v/>
      </c>
      <c r="HL101" s="1" t="str">
        <f t="shared" si="58"/>
        <v/>
      </c>
      <c r="HM101" s="1" t="str">
        <f t="shared" si="58"/>
        <v/>
      </c>
      <c r="HN101" s="1" t="str">
        <f t="shared" si="58"/>
        <v/>
      </c>
      <c r="HO101" s="1" t="str">
        <f t="shared" si="52"/>
        <v/>
      </c>
      <c r="HP101" s="1" t="str">
        <f t="shared" si="52"/>
        <v/>
      </c>
      <c r="HQ101" s="1" t="str">
        <f t="shared" si="52"/>
        <v/>
      </c>
      <c r="HR101" s="1" t="str">
        <f t="shared" si="52"/>
        <v/>
      </c>
      <c r="HS101" s="1" t="str">
        <f t="shared" si="52"/>
        <v/>
      </c>
      <c r="HT101" s="1" t="str">
        <f t="shared" si="52"/>
        <v/>
      </c>
      <c r="HU101" s="1" t="str">
        <f t="shared" si="52"/>
        <v/>
      </c>
      <c r="HV101" s="1" t="str">
        <f t="shared" si="52"/>
        <v/>
      </c>
      <c r="HW101" s="1" t="str">
        <f t="shared" si="52"/>
        <v/>
      </c>
      <c r="HX101" s="1" t="str">
        <f t="shared" si="52"/>
        <v/>
      </c>
      <c r="HY101" s="1" t="str">
        <f t="shared" si="52"/>
        <v/>
      </c>
      <c r="HZ101" s="1" t="str">
        <f t="shared" si="52"/>
        <v/>
      </c>
      <c r="IA101" s="1" t="str">
        <f t="shared" si="52"/>
        <v/>
      </c>
      <c r="IB101" s="1" t="str">
        <f t="shared" si="52"/>
        <v/>
      </c>
      <c r="IC101" s="1" t="str">
        <f t="shared" si="52"/>
        <v/>
      </c>
      <c r="ID101" s="1" t="str">
        <f t="shared" si="52"/>
        <v/>
      </c>
      <c r="IE101" s="1" t="str">
        <f t="shared" si="59"/>
        <v/>
      </c>
      <c r="IF101" s="1" t="str">
        <f t="shared" si="56"/>
        <v/>
      </c>
      <c r="IG101" s="1" t="str">
        <f t="shared" si="56"/>
        <v/>
      </c>
      <c r="IH101" s="1" t="str">
        <f t="shared" si="56"/>
        <v/>
      </c>
      <c r="II101" s="1" t="str">
        <f t="shared" si="56"/>
        <v/>
      </c>
      <c r="IJ101" s="1" t="str">
        <f t="shared" si="56"/>
        <v/>
      </c>
      <c r="IK101" s="1" t="str">
        <f t="shared" si="56"/>
        <v/>
      </c>
      <c r="IL101" s="1" t="str">
        <f t="shared" si="56"/>
        <v/>
      </c>
      <c r="IM101" s="1" t="str">
        <f t="shared" si="56"/>
        <v/>
      </c>
      <c r="IN101" s="1" t="str">
        <f t="shared" si="56"/>
        <v/>
      </c>
      <c r="IO101" s="1" t="str">
        <f t="shared" si="56"/>
        <v/>
      </c>
      <c r="IP101" s="1" t="str">
        <f t="shared" si="56"/>
        <v/>
      </c>
      <c r="IQ101" s="1" t="str">
        <f t="shared" si="56"/>
        <v/>
      </c>
      <c r="IR101" s="1" t="str">
        <f t="shared" si="63"/>
        <v/>
      </c>
      <c r="IS101" s="1" t="str">
        <f t="shared" si="63"/>
        <v/>
      </c>
      <c r="IT101" s="1" t="str">
        <f t="shared" si="63"/>
        <v/>
      </c>
      <c r="IU101" s="1" t="str">
        <f t="shared" si="63"/>
        <v/>
      </c>
      <c r="IV101" s="1" t="str">
        <f t="shared" si="63"/>
        <v/>
      </c>
      <c r="IW101" s="1" t="str">
        <f t="shared" si="63"/>
        <v/>
      </c>
      <c r="IX101" s="1" t="str">
        <f t="shared" si="54"/>
        <v/>
      </c>
      <c r="IY101" s="1" t="str">
        <f t="shared" si="54"/>
        <v/>
      </c>
      <c r="IZ101" s="1" t="str">
        <f t="shared" si="54"/>
        <v/>
      </c>
      <c r="JA101" s="1" t="str">
        <f t="shared" si="54"/>
        <v/>
      </c>
      <c r="JB101" s="1" t="str">
        <f t="shared" si="54"/>
        <v/>
      </c>
      <c r="JC101" s="1" t="str">
        <f t="shared" si="43"/>
        <v/>
      </c>
      <c r="JD101" s="1" t="str">
        <f t="shared" si="43"/>
        <v/>
      </c>
      <c r="JE101" s="1" t="str">
        <f t="shared" si="43"/>
        <v/>
      </c>
      <c r="JF101" s="1" t="str">
        <f t="shared" si="43"/>
        <v/>
      </c>
      <c r="JG101" s="1" t="str">
        <f t="shared" si="37"/>
        <v/>
      </c>
      <c r="JH101" s="1" t="str">
        <f t="shared" si="37"/>
        <v/>
      </c>
      <c r="JI101" s="1" t="str">
        <f t="shared" si="37"/>
        <v/>
      </c>
      <c r="JJ101" s="1" t="str">
        <f t="shared" si="37"/>
        <v/>
      </c>
      <c r="JK101" s="1" t="str">
        <f t="shared" si="37"/>
        <v/>
      </c>
      <c r="JL101" s="1" t="str">
        <f t="shared" si="37"/>
        <v/>
      </c>
      <c r="JM101" s="1" t="str">
        <f t="shared" si="37"/>
        <v/>
      </c>
      <c r="JN101" s="1" t="str">
        <f t="shared" si="37"/>
        <v/>
      </c>
      <c r="JO101" s="1" t="str">
        <f t="shared" si="37"/>
        <v/>
      </c>
    </row>
    <row r="102" spans="1:275" ht="15" thickBot="1" x14ac:dyDescent="0.4">
      <c r="A102" s="64" t="str">
        <f>IF('Data input'!A102&lt;&gt;"",'Data input'!A102,"")</f>
        <v/>
      </c>
      <c r="B102" s="67" t="str">
        <f>IF('Data input'!B102&lt;&gt;"",'Data input'!B102,"")</f>
        <v/>
      </c>
      <c r="C102" s="68" t="str">
        <f>IF('Data input'!C102="","",4*('Data input'!C102-'Data input'!C$108)/('Data input'!C$109-'Data input'!C$108)+1)</f>
        <v/>
      </c>
      <c r="D102" s="68" t="str">
        <f>IF('Data input'!D102="","",4*('Data input'!D102-'Data input'!D$108)/('Data input'!D$109-'Data input'!D$108)+1)</f>
        <v/>
      </c>
      <c r="E102" s="68" t="str">
        <f>IF('Data input'!E102="","",4*('Data input'!E102-'Data input'!E$108)/('Data input'!E$109-'Data input'!E$108)+1)</f>
        <v/>
      </c>
      <c r="F102" s="68" t="str">
        <f>IF('Data input'!F102="","",4*('Data input'!F102-'Data input'!F$108)/('Data input'!F$109-'Data input'!F$108)+1)</f>
        <v/>
      </c>
      <c r="G102" s="68" t="str">
        <f>IF('Data input'!G102="","",4*('Data input'!G102-'Data input'!G$108)/('Data input'!G$109-'Data input'!G$108)+1)</f>
        <v/>
      </c>
      <c r="H102" s="68" t="str">
        <f>IF('Data input'!H102="","",4*('Data input'!H102-'Data input'!H$108)/('Data input'!H$109-'Data input'!H$108)+1)</f>
        <v/>
      </c>
      <c r="I102" s="69" t="str">
        <f>IF('Data input'!I102="","",4*('Data input'!I102-'Data input'!I$108)/('Data input'!I$109-'Data input'!I$108)+1)</f>
        <v/>
      </c>
      <c r="J102" s="69" t="str">
        <f>IF('Data input'!J102="","",4*('Data input'!J102-'Data input'!J$108)/('Data input'!J$109-'Data input'!J$108)+1)</f>
        <v/>
      </c>
      <c r="K102" s="69" t="str">
        <f>IF('Data input'!K102="","",4*('Data input'!K102-'Data input'!K$108)/('Data input'!K$109-'Data input'!K$108)+1)</f>
        <v/>
      </c>
      <c r="L102" s="69" t="str">
        <f>IF('Data input'!L102="","",4*('Data input'!L102-'Data input'!L$108)/('Data input'!L$109-'Data input'!L$108)+1)</f>
        <v/>
      </c>
      <c r="M102" s="68" t="str">
        <f>IF('Data input'!M102="","",4*('Data input'!M102-'Data input'!M$108)/('Data input'!M$109-'Data input'!M$108)+1)</f>
        <v/>
      </c>
      <c r="N102" s="68" t="str">
        <f>IF('Data input'!N102="","",4*('Data input'!N102-'Data input'!N$108)/('Data input'!N$109-'Data input'!N$108)+1)</f>
        <v/>
      </c>
      <c r="O102" s="68" t="str">
        <f>IF('Data input'!O102="","",4*('Data input'!O102-'Data input'!O$108)/('Data input'!O$109-'Data input'!O$108)+1)</f>
        <v/>
      </c>
      <c r="P102" s="68" t="str">
        <f>IF('Data input'!P102="","",4*('Data input'!P102-'Data input'!P$108)/('Data input'!P$109-'Data input'!P$108)+1)</f>
        <v/>
      </c>
      <c r="Q102" s="68" t="str">
        <f>IF('Data input'!Q102="","",4*('Data input'!Q102-'Data input'!Q$108)/('Data input'!Q$109-'Data input'!Q$108)+1)</f>
        <v/>
      </c>
      <c r="R102" s="68" t="str">
        <f>IF('Data input'!R102="","",4*('Data input'!R102-'Data input'!R$108)/('Data input'!R$109-'Data input'!R$108)+1)</f>
        <v/>
      </c>
      <c r="S102" s="68" t="str">
        <f>IF('Data input'!S102="","",4*('Data input'!S102-'Data input'!S$108)/('Data input'!S$109-'Data input'!S$108)+1)</f>
        <v/>
      </c>
      <c r="T102" s="68" t="str">
        <f>IF('Data input'!T102="","",4*('Data input'!T102-'Data input'!T$108)/('Data input'!T$109-'Data input'!T$108)+1)</f>
        <v/>
      </c>
      <c r="U102" s="68" t="str">
        <f>IF('Data input'!U102="","",4*('Data input'!U102-'Data input'!U$108)/('Data input'!U$109-'Data input'!U$108)+1)</f>
        <v/>
      </c>
      <c r="V102" s="68" t="str">
        <f>IF('Data input'!V102="","",4*('Data input'!V102-'Data input'!V$108)/('Data input'!V$109-'Data input'!V$108)+1)</f>
        <v/>
      </c>
      <c r="W102" s="68" t="str">
        <f>IF('Data input'!W102="","",4*('Data input'!W102-'Data input'!W$108)/('Data input'!W$109-'Data input'!W$108)+1)</f>
        <v/>
      </c>
      <c r="X102" s="68" t="str">
        <f>IF('Data input'!X102="","",4*('Data input'!X102-'Data input'!X$108)/('Data input'!X$109-'Data input'!X$108)+1)</f>
        <v/>
      </c>
      <c r="Y102" s="68" t="str">
        <f>IF('Data input'!Y102="","",4*('Data input'!Y102-'Data input'!Y$108)/('Data input'!Y$109-'Data input'!Y$108)+1)</f>
        <v/>
      </c>
      <c r="Z102" s="68" t="str">
        <f>IF('Data input'!Z102="","",4*('Data input'!Z102-'Data input'!Z$108)/('Data input'!Z$109-'Data input'!Z$108)+1)</f>
        <v/>
      </c>
      <c r="AA102" s="70" t="str">
        <f>IF('Data input'!AA102="","",4*('Data input'!AA102-'Data input'!AA$108)/('Data input'!AA$109-'Data input'!AA$108)+1)</f>
        <v/>
      </c>
      <c r="AB102" s="78"/>
      <c r="AC102" s="79">
        <v>0</v>
      </c>
      <c r="AD102" s="80" t="e">
        <f t="shared" si="48"/>
        <v>#DIV/0!</v>
      </c>
      <c r="AE102" s="4"/>
      <c r="AF102" s="64" t="str">
        <f t="shared" si="40"/>
        <v/>
      </c>
      <c r="AG102" s="73" t="str">
        <f t="shared" si="40"/>
        <v/>
      </c>
      <c r="AH102"/>
      <c r="AI102"/>
      <c r="AJ102"/>
      <c r="AK102"/>
      <c r="AL102"/>
      <c r="AM102"/>
      <c r="AN102"/>
      <c r="AO102"/>
      <c r="AP102"/>
      <c r="AQ102"/>
      <c r="AR102"/>
      <c r="AS102" s="74" t="str">
        <f t="shared" si="44"/>
        <v/>
      </c>
      <c r="AT102" s="74" t="str">
        <f t="shared" si="44"/>
        <v/>
      </c>
      <c r="AU102" s="74" t="str">
        <f t="shared" si="44"/>
        <v/>
      </c>
      <c r="AV102" s="74" t="str">
        <f t="shared" si="44"/>
        <v/>
      </c>
      <c r="AW102" s="74" t="str">
        <f t="shared" si="44"/>
        <v/>
      </c>
      <c r="AX102" s="74" t="str">
        <f t="shared" si="45"/>
        <v/>
      </c>
      <c r="AY102" s="74" t="str">
        <f t="shared" si="45"/>
        <v/>
      </c>
      <c r="AZ102" s="74" t="str">
        <f t="shared" si="45"/>
        <v/>
      </c>
      <c r="BA102" s="74" t="str">
        <f t="shared" si="45"/>
        <v/>
      </c>
      <c r="BB102" s="74" t="str">
        <f t="shared" si="45"/>
        <v/>
      </c>
      <c r="BC102" s="66" t="str">
        <f>IF(C102&lt;&gt;"",(('Data input'!C$109-'Data input'!C$108)*(AS102-1)/4)+'Data input'!C$108,"")</f>
        <v/>
      </c>
      <c r="BD102" s="66" t="str">
        <f>IF(D102&lt;&gt;"",(('Data input'!D$109-'Data input'!D$108)*(AT102-1)/4)+'Data input'!D$108,"")</f>
        <v/>
      </c>
      <c r="BE102" s="66" t="str">
        <f>IF(E102&lt;&gt;"",(('Data input'!E$109-'Data input'!E$108)*(AU102-1)/4)+'Data input'!E$108,"")</f>
        <v/>
      </c>
      <c r="BF102" s="66" t="str">
        <f>IF(F102&lt;&gt;"",(('Data input'!F$109-'Data input'!F$108)*(AV102-1)/4)+'Data input'!F$108,"")</f>
        <v/>
      </c>
      <c r="BG102" s="66" t="str">
        <f>IF(G102&lt;&gt;"",(('Data input'!G$109-'Data input'!G$108)*(AW102-1)/4)+'Data input'!G$108,"")</f>
        <v/>
      </c>
      <c r="BH102" s="69" t="str">
        <f>IF(H102&lt;&gt;"",(('Data input'!H$109-'Data input'!H$108)*(AX102-1)/4)+'Data input'!H$108,"")</f>
        <v/>
      </c>
      <c r="BI102" s="66" t="str">
        <f>IF(I102&lt;&gt;"",(('Data input'!I$109-'Data input'!I$108)*(AY102-1)/4)+'Data input'!I$108,"")</f>
        <v/>
      </c>
      <c r="BJ102" s="69" t="str">
        <f>IF(J102&lt;&gt;"",(('Data input'!J$109-'Data input'!J$108)*(AZ102-1)/4)+'Data input'!J$108,"")</f>
        <v/>
      </c>
      <c r="BK102" s="69" t="str">
        <f>IF(K102&lt;&gt;"",(('Data input'!K$109-'Data input'!K$108)*(BA102-1)/4)+'Data input'!K$108,"")</f>
        <v/>
      </c>
      <c r="BL102" s="69" t="str">
        <f>IF(L102&lt;&gt;"",(('Data input'!L$109-'Data input'!L$108)*(BB102-1)/4)+'Data input'!L$108,"")</f>
        <v/>
      </c>
      <c r="BM102" s="66" t="str">
        <f>IF(C102&lt;&gt;"",BC102-'Data input'!C102,"")</f>
        <v/>
      </c>
      <c r="BN102" s="66" t="str">
        <f>IF(D102&lt;&gt;"",BD102-'Data input'!D102,"")</f>
        <v/>
      </c>
      <c r="BO102" s="66" t="str">
        <f>IF(E102&lt;&gt;"",BE102-'Data input'!E102,"")</f>
        <v/>
      </c>
      <c r="BP102" s="66" t="str">
        <f>IF(F102&lt;&gt;"",BF102-'Data input'!F102,"")</f>
        <v/>
      </c>
      <c r="BQ102" s="66" t="str">
        <f>IF(G102&lt;&gt;"",BG102-'Data input'!G102,"")</f>
        <v/>
      </c>
      <c r="BR102" s="69" t="str">
        <f>IF(H102&lt;&gt;"",BH102-'Data input'!H102,"")</f>
        <v/>
      </c>
      <c r="BS102" s="66" t="str">
        <f>IF(I102&lt;&gt;"",BI102-'Data input'!I102,"")</f>
        <v/>
      </c>
      <c r="BT102" s="66" t="str">
        <f>IF(J102&lt;&gt;"",BJ102-'Data input'!J102,"")</f>
        <v/>
      </c>
      <c r="BU102" s="66" t="str">
        <f>IF(K102&lt;&gt;"",BK102-'Data input'!K102,"")</f>
        <v/>
      </c>
      <c r="BV102" s="75" t="str">
        <f>IF(L102&lt;&gt;"",BL102-'Data input'!L102,"")</f>
        <v/>
      </c>
      <c r="BW102" s="121" t="str">
        <f t="shared" si="49"/>
        <v/>
      </c>
      <c r="FT102" s="1" t="str">
        <f t="shared" si="57"/>
        <v/>
      </c>
      <c r="FU102" s="1" t="str">
        <f t="shared" si="57"/>
        <v/>
      </c>
      <c r="FV102" s="1" t="str">
        <f t="shared" si="57"/>
        <v/>
      </c>
      <c r="FW102" s="1" t="str">
        <f t="shared" si="57"/>
        <v/>
      </c>
      <c r="FX102" s="1" t="str">
        <f t="shared" si="57"/>
        <v/>
      </c>
      <c r="FY102" s="1" t="str">
        <f t="shared" si="57"/>
        <v/>
      </c>
      <c r="FZ102" s="1" t="str">
        <f t="shared" si="57"/>
        <v/>
      </c>
      <c r="GA102" s="1" t="str">
        <f t="shared" si="57"/>
        <v/>
      </c>
      <c r="GB102" s="1" t="str">
        <f t="shared" si="57"/>
        <v/>
      </c>
      <c r="GC102" s="1" t="str">
        <f t="shared" si="57"/>
        <v/>
      </c>
      <c r="GD102" s="1" t="str">
        <f t="shared" si="57"/>
        <v/>
      </c>
      <c r="GE102" s="1" t="str">
        <f t="shared" si="57"/>
        <v/>
      </c>
      <c r="GF102" s="1" t="str">
        <f t="shared" si="64"/>
        <v/>
      </c>
      <c r="GG102" s="1" t="str">
        <f t="shared" si="64"/>
        <v/>
      </c>
      <c r="GH102" s="1" t="str">
        <f t="shared" si="64"/>
        <v/>
      </c>
      <c r="GI102" s="1" t="str">
        <f t="shared" si="64"/>
        <v/>
      </c>
      <c r="GJ102" s="1" t="str">
        <f t="shared" si="64"/>
        <v/>
      </c>
      <c r="GK102" s="1" t="str">
        <f t="shared" si="61"/>
        <v/>
      </c>
      <c r="GL102" s="1" t="str">
        <f t="shared" si="61"/>
        <v/>
      </c>
      <c r="GM102" s="1" t="str">
        <f t="shared" si="61"/>
        <v/>
      </c>
      <c r="GN102" s="1" t="str">
        <f t="shared" si="61"/>
        <v/>
      </c>
      <c r="GO102" s="1" t="str">
        <f t="shared" si="60"/>
        <v/>
      </c>
      <c r="GP102" s="1" t="str">
        <f t="shared" si="60"/>
        <v/>
      </c>
      <c r="GQ102" s="1" t="str">
        <f t="shared" si="60"/>
        <v/>
      </c>
      <c r="GR102" s="1" t="str">
        <f t="shared" si="60"/>
        <v/>
      </c>
      <c r="GS102" s="1" t="str">
        <f t="shared" si="60"/>
        <v/>
      </c>
      <c r="GT102" s="1" t="str">
        <f t="shared" si="60"/>
        <v/>
      </c>
      <c r="GU102" s="1" t="str">
        <f t="shared" si="60"/>
        <v/>
      </c>
      <c r="GV102" s="1" t="str">
        <f t="shared" si="60"/>
        <v/>
      </c>
      <c r="GW102" s="1" t="str">
        <f t="shared" si="60"/>
        <v/>
      </c>
      <c r="GX102" s="1" t="str">
        <f t="shared" si="60"/>
        <v/>
      </c>
      <c r="GY102" s="1" t="str">
        <f t="shared" si="60"/>
        <v/>
      </c>
      <c r="GZ102" s="1" t="str">
        <f t="shared" si="60"/>
        <v/>
      </c>
      <c r="HA102" s="1" t="str">
        <f t="shared" si="60"/>
        <v/>
      </c>
      <c r="HB102" s="1" t="str">
        <f t="shared" si="60"/>
        <v/>
      </c>
      <c r="HC102" s="1" t="str">
        <f t="shared" si="60"/>
        <v/>
      </c>
      <c r="HD102" s="1" t="str">
        <f t="shared" si="60"/>
        <v/>
      </c>
      <c r="HE102" s="1" t="str">
        <f t="shared" si="62"/>
        <v/>
      </c>
      <c r="HF102" s="1" t="str">
        <f t="shared" si="62"/>
        <v/>
      </c>
      <c r="HG102" s="1" t="str">
        <f t="shared" si="62"/>
        <v/>
      </c>
      <c r="HH102" s="1" t="str">
        <f t="shared" si="62"/>
        <v/>
      </c>
      <c r="HI102" s="1" t="str">
        <f t="shared" si="62"/>
        <v/>
      </c>
      <c r="HJ102" s="1" t="str">
        <f t="shared" si="58"/>
        <v/>
      </c>
      <c r="HK102" s="1" t="str">
        <f t="shared" si="58"/>
        <v/>
      </c>
      <c r="HL102" s="1" t="str">
        <f t="shared" si="58"/>
        <v/>
      </c>
      <c r="HM102" s="1" t="str">
        <f t="shared" si="58"/>
        <v/>
      </c>
      <c r="HN102" s="1" t="str">
        <f t="shared" si="58"/>
        <v/>
      </c>
      <c r="HO102" s="1" t="str">
        <f t="shared" si="52"/>
        <v/>
      </c>
      <c r="HP102" s="1" t="str">
        <f t="shared" si="52"/>
        <v/>
      </c>
      <c r="HQ102" s="1" t="str">
        <f t="shared" si="52"/>
        <v/>
      </c>
      <c r="HR102" s="1" t="str">
        <f t="shared" si="52"/>
        <v/>
      </c>
      <c r="HS102" s="1" t="str">
        <f t="shared" si="52"/>
        <v/>
      </c>
      <c r="HT102" s="1" t="str">
        <f t="shared" si="52"/>
        <v/>
      </c>
      <c r="HU102" s="1" t="str">
        <f t="shared" si="52"/>
        <v/>
      </c>
      <c r="HV102" s="1" t="str">
        <f t="shared" si="52"/>
        <v/>
      </c>
      <c r="HW102" s="1" t="str">
        <f t="shared" si="52"/>
        <v/>
      </c>
      <c r="HX102" s="1" t="str">
        <f t="shared" si="52"/>
        <v/>
      </c>
      <c r="HY102" s="1" t="str">
        <f t="shared" si="52"/>
        <v/>
      </c>
      <c r="HZ102" s="1" t="str">
        <f t="shared" si="52"/>
        <v/>
      </c>
      <c r="IA102" s="1" t="str">
        <f t="shared" si="52"/>
        <v/>
      </c>
      <c r="IB102" s="1" t="str">
        <f t="shared" si="52"/>
        <v/>
      </c>
      <c r="IC102" s="1" t="str">
        <f t="shared" si="52"/>
        <v/>
      </c>
      <c r="ID102" s="1" t="str">
        <f t="shared" si="52"/>
        <v/>
      </c>
      <c r="IE102" s="1" t="str">
        <f t="shared" si="59"/>
        <v/>
      </c>
      <c r="IF102" s="1" t="str">
        <f t="shared" si="56"/>
        <v/>
      </c>
      <c r="IG102" s="1" t="str">
        <f t="shared" si="56"/>
        <v/>
      </c>
      <c r="IH102" s="1" t="str">
        <f t="shared" si="56"/>
        <v/>
      </c>
      <c r="II102" s="1" t="str">
        <f t="shared" si="56"/>
        <v/>
      </c>
      <c r="IJ102" s="1" t="str">
        <f t="shared" si="56"/>
        <v/>
      </c>
      <c r="IK102" s="1" t="str">
        <f t="shared" si="56"/>
        <v/>
      </c>
      <c r="IL102" s="1" t="str">
        <f t="shared" si="56"/>
        <v/>
      </c>
      <c r="IM102" s="1" t="str">
        <f t="shared" si="56"/>
        <v/>
      </c>
      <c r="IN102" s="1" t="str">
        <f t="shared" si="56"/>
        <v/>
      </c>
      <c r="IO102" s="1" t="str">
        <f t="shared" si="56"/>
        <v/>
      </c>
      <c r="IP102" s="1" t="str">
        <f t="shared" si="56"/>
        <v/>
      </c>
      <c r="IQ102" s="1" t="str">
        <f t="shared" si="56"/>
        <v/>
      </c>
      <c r="IR102" s="1" t="str">
        <f t="shared" si="63"/>
        <v/>
      </c>
      <c r="IS102" s="1" t="str">
        <f t="shared" si="63"/>
        <v/>
      </c>
      <c r="IT102" s="1" t="str">
        <f t="shared" si="63"/>
        <v/>
      </c>
      <c r="IU102" s="1" t="str">
        <f t="shared" si="63"/>
        <v/>
      </c>
      <c r="IV102" s="1" t="str">
        <f t="shared" si="63"/>
        <v/>
      </c>
      <c r="IW102" s="1" t="str">
        <f t="shared" si="63"/>
        <v/>
      </c>
      <c r="IX102" s="1" t="str">
        <f t="shared" si="54"/>
        <v/>
      </c>
      <c r="IY102" s="1" t="str">
        <f t="shared" si="54"/>
        <v/>
      </c>
      <c r="IZ102" s="1" t="str">
        <f t="shared" si="54"/>
        <v/>
      </c>
      <c r="JA102" s="1" t="str">
        <f t="shared" si="54"/>
        <v/>
      </c>
      <c r="JB102" s="1" t="str">
        <f t="shared" si="54"/>
        <v/>
      </c>
      <c r="JC102" s="1" t="str">
        <f t="shared" si="43"/>
        <v/>
      </c>
      <c r="JD102" s="1" t="str">
        <f t="shared" si="43"/>
        <v/>
      </c>
      <c r="JE102" s="1" t="str">
        <f t="shared" si="43"/>
        <v/>
      </c>
      <c r="JF102" s="1" t="str">
        <f t="shared" si="43"/>
        <v/>
      </c>
      <c r="JG102" s="1" t="str">
        <f t="shared" si="37"/>
        <v/>
      </c>
      <c r="JH102" s="1" t="str">
        <f t="shared" si="37"/>
        <v/>
      </c>
      <c r="JI102" s="1" t="str">
        <f t="shared" si="37"/>
        <v/>
      </c>
      <c r="JJ102" s="1" t="str">
        <f t="shared" si="37"/>
        <v/>
      </c>
      <c r="JK102" s="1" t="str">
        <f t="shared" si="37"/>
        <v/>
      </c>
      <c r="JL102" s="1" t="str">
        <f t="shared" si="37"/>
        <v/>
      </c>
      <c r="JM102" s="1" t="str">
        <f t="shared" si="37"/>
        <v/>
      </c>
      <c r="JN102" s="1" t="str">
        <f t="shared" si="37"/>
        <v/>
      </c>
      <c r="JO102" s="1" t="str">
        <f t="shared" si="37"/>
        <v/>
      </c>
    </row>
    <row r="103" spans="1:275" x14ac:dyDescent="0.35">
      <c r="A103" s="81"/>
      <c r="B103" s="4"/>
      <c r="C103" s="4"/>
      <c r="D103" s="4"/>
      <c r="E103" s="4"/>
      <c r="F103" s="4"/>
      <c r="G103" s="4"/>
      <c r="H103" s="4"/>
      <c r="I103" s="82"/>
      <c r="J103" s="82"/>
      <c r="K103" s="82"/>
      <c r="L103" s="82"/>
      <c r="M103" s="42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83"/>
      <c r="AG103" s="8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85"/>
      <c r="BW103" s="4"/>
    </row>
    <row r="104" spans="1:275" ht="13.5" thickBot="1" x14ac:dyDescent="0.4">
      <c r="A104" s="81"/>
      <c r="B104" s="4"/>
      <c r="C104" s="4"/>
      <c r="D104" s="4"/>
      <c r="E104" s="4"/>
      <c r="F104" s="4"/>
      <c r="G104" s="4"/>
      <c r="H104" s="4"/>
      <c r="I104" s="82"/>
      <c r="J104" s="82"/>
      <c r="K104" s="82"/>
      <c r="L104" s="82"/>
      <c r="M104" s="42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83"/>
      <c r="AG104" s="8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85"/>
      <c r="BW104" s="4"/>
    </row>
    <row r="105" spans="1:275" s="5" customFormat="1" ht="52.5" customHeight="1" x14ac:dyDescent="5.0999999999999996">
      <c r="A105" s="163"/>
      <c r="B105" s="164"/>
      <c r="C105" s="97">
        <f t="shared" ref="C105:AA105" si="65">IF(C2&lt;&gt;"",SUMPRODUCT(C$3:C$102,$AC$3:$AC$102),"")</f>
        <v>0</v>
      </c>
      <c r="D105" s="97" t="str">
        <f t="shared" si="65"/>
        <v/>
      </c>
      <c r="E105" s="97" t="str">
        <f t="shared" si="65"/>
        <v/>
      </c>
      <c r="F105" s="97" t="str">
        <f t="shared" si="65"/>
        <v/>
      </c>
      <c r="G105" s="97" t="str">
        <f t="shared" si="65"/>
        <v/>
      </c>
      <c r="H105" s="97">
        <f t="shared" si="65"/>
        <v>0</v>
      </c>
      <c r="I105" s="97">
        <f t="shared" si="65"/>
        <v>0</v>
      </c>
      <c r="J105" s="97" t="str">
        <f t="shared" si="65"/>
        <v/>
      </c>
      <c r="K105" s="97" t="str">
        <f t="shared" si="65"/>
        <v/>
      </c>
      <c r="L105" s="97" t="str">
        <f t="shared" si="65"/>
        <v/>
      </c>
      <c r="M105" s="97">
        <f t="shared" si="65"/>
        <v>0</v>
      </c>
      <c r="N105" s="97" t="str">
        <f t="shared" si="65"/>
        <v/>
      </c>
      <c r="O105" s="97" t="str">
        <f t="shared" si="65"/>
        <v/>
      </c>
      <c r="P105" s="97" t="str">
        <f t="shared" si="65"/>
        <v/>
      </c>
      <c r="Q105" s="97" t="str">
        <f t="shared" si="65"/>
        <v/>
      </c>
      <c r="R105" s="97" t="str">
        <f t="shared" si="65"/>
        <v/>
      </c>
      <c r="S105" s="97" t="str">
        <f t="shared" si="65"/>
        <v/>
      </c>
      <c r="T105" s="97" t="str">
        <f t="shared" si="65"/>
        <v/>
      </c>
      <c r="U105" s="97" t="str">
        <f t="shared" si="65"/>
        <v/>
      </c>
      <c r="V105" s="97" t="str">
        <f t="shared" si="65"/>
        <v/>
      </c>
      <c r="W105" s="97" t="str">
        <f t="shared" si="65"/>
        <v/>
      </c>
      <c r="X105" s="97" t="str">
        <f t="shared" si="65"/>
        <v/>
      </c>
      <c r="Y105" s="97" t="str">
        <f t="shared" si="65"/>
        <v/>
      </c>
      <c r="Z105" s="97" t="str">
        <f t="shared" si="65"/>
        <v/>
      </c>
      <c r="AA105" s="98" t="str">
        <f t="shared" si="65"/>
        <v/>
      </c>
      <c r="AB105" s="86"/>
      <c r="AC105" s="6">
        <f>SUM(AC3:AC102)</f>
        <v>0</v>
      </c>
      <c r="AD105" s="83">
        <v>1</v>
      </c>
      <c r="AE105" s="83"/>
      <c r="AF105" s="83"/>
      <c r="AG105" s="84"/>
      <c r="AH105" s="83"/>
      <c r="AI105" s="83"/>
      <c r="AJ105" s="83"/>
      <c r="AK105" s="83"/>
      <c r="AL105" s="83"/>
      <c r="AM105" s="83"/>
      <c r="AN105" s="83"/>
      <c r="AO105" s="83"/>
      <c r="AP105" s="83"/>
      <c r="AQ105" s="83"/>
      <c r="AR105" s="83"/>
      <c r="AS105" s="83"/>
      <c r="AT105" s="83"/>
      <c r="AU105" s="83"/>
      <c r="AV105" s="83"/>
      <c r="AW105" s="83"/>
      <c r="AX105" s="83"/>
      <c r="AY105" s="83"/>
      <c r="AZ105" s="83"/>
      <c r="BA105" s="83"/>
      <c r="BB105" s="83"/>
      <c r="BC105" s="83"/>
      <c r="BD105" s="83"/>
      <c r="BE105" s="83"/>
      <c r="BF105" s="83"/>
      <c r="BG105" s="83"/>
      <c r="BH105" s="83"/>
      <c r="BI105" s="83"/>
      <c r="BJ105" s="83"/>
      <c r="BK105" s="83"/>
      <c r="BL105" s="83"/>
      <c r="BM105" s="83"/>
      <c r="BN105" s="83"/>
      <c r="BO105" s="83"/>
      <c r="BP105" s="83"/>
      <c r="BQ105" s="83"/>
      <c r="BR105" s="83"/>
      <c r="BS105" s="83"/>
      <c r="BT105" s="83"/>
      <c r="BU105" s="83"/>
      <c r="BV105" s="87"/>
      <c r="BW105" s="83"/>
    </row>
    <row r="106" spans="1:275" s="5" customFormat="1" ht="52.5" customHeight="1" x14ac:dyDescent="5.0999999999999996">
      <c r="A106" s="158"/>
      <c r="B106" s="159"/>
      <c r="C106" s="53">
        <f t="shared" ref="C106:AA106" si="66">IF(C2&lt;&gt;"",INDEX(C$3:C$102,$AE$1),"")</f>
        <v>3.1225648601169125</v>
      </c>
      <c r="D106" s="53" t="str">
        <f t="shared" si="66"/>
        <v/>
      </c>
      <c r="E106" s="53" t="str">
        <f t="shared" si="66"/>
        <v/>
      </c>
      <c r="F106" s="53" t="str">
        <f t="shared" si="66"/>
        <v/>
      </c>
      <c r="G106" s="53" t="str">
        <f t="shared" si="66"/>
        <v/>
      </c>
      <c r="H106" s="53">
        <f t="shared" si="66"/>
        <v>3.3063678655658033</v>
      </c>
      <c r="I106" s="53">
        <f t="shared" si="66"/>
        <v>2.2605265098444067</v>
      </c>
      <c r="J106" s="53" t="str">
        <f t="shared" si="66"/>
        <v/>
      </c>
      <c r="K106" s="53" t="str">
        <f t="shared" si="66"/>
        <v/>
      </c>
      <c r="L106" s="53" t="str">
        <f t="shared" si="66"/>
        <v/>
      </c>
      <c r="M106" s="53">
        <f t="shared" si="66"/>
        <v>1.3506957548042415</v>
      </c>
      <c r="N106" s="53" t="str">
        <f t="shared" si="66"/>
        <v/>
      </c>
      <c r="O106" s="53" t="str">
        <f t="shared" si="66"/>
        <v/>
      </c>
      <c r="P106" s="53" t="str">
        <f t="shared" si="66"/>
        <v/>
      </c>
      <c r="Q106" s="88" t="str">
        <f t="shared" si="66"/>
        <v/>
      </c>
      <c r="R106" s="53" t="str">
        <f t="shared" si="66"/>
        <v/>
      </c>
      <c r="S106" s="88" t="str">
        <f t="shared" si="66"/>
        <v/>
      </c>
      <c r="T106" s="88" t="str">
        <f t="shared" si="66"/>
        <v/>
      </c>
      <c r="U106" s="53" t="str">
        <f t="shared" si="66"/>
        <v/>
      </c>
      <c r="V106" s="88" t="str">
        <f t="shared" si="66"/>
        <v/>
      </c>
      <c r="W106" s="88" t="str">
        <f t="shared" si="66"/>
        <v/>
      </c>
      <c r="X106" s="88" t="str">
        <f t="shared" si="66"/>
        <v/>
      </c>
      <c r="Y106" s="88" t="str">
        <f t="shared" si="66"/>
        <v/>
      </c>
      <c r="Z106" s="88" t="str">
        <f t="shared" si="66"/>
        <v/>
      </c>
      <c r="AA106" s="99" t="str">
        <f t="shared" si="66"/>
        <v/>
      </c>
      <c r="AB106" s="86"/>
      <c r="AC106" s="4"/>
      <c r="AD106" s="83"/>
      <c r="AE106" s="83"/>
      <c r="AF106" s="83"/>
      <c r="AG106" s="83"/>
      <c r="AH106" s="83"/>
      <c r="AI106" s="83"/>
      <c r="AJ106" s="83"/>
      <c r="AK106" s="83"/>
      <c r="AL106" s="83"/>
      <c r="AM106" s="83"/>
      <c r="AN106" s="83"/>
      <c r="AO106" s="83"/>
      <c r="AP106" s="83"/>
      <c r="AQ106" s="83"/>
      <c r="AR106" s="83"/>
      <c r="AS106" s="83"/>
      <c r="AT106" s="83"/>
      <c r="AU106" s="83"/>
      <c r="AV106" s="83"/>
      <c r="AW106" s="83"/>
      <c r="AX106" s="83"/>
      <c r="AY106" s="83"/>
      <c r="AZ106" s="83"/>
      <c r="BA106" s="83"/>
      <c r="BB106" s="83"/>
      <c r="BC106" s="83"/>
      <c r="BD106" s="83"/>
      <c r="BE106" s="83"/>
      <c r="BF106" s="83"/>
      <c r="BG106" s="83"/>
      <c r="BH106" s="83"/>
      <c r="BI106" s="83"/>
      <c r="BJ106" s="83"/>
      <c r="BK106" s="83"/>
      <c r="BL106" s="83"/>
      <c r="BM106" s="83"/>
      <c r="BN106" s="83"/>
      <c r="BO106" s="83"/>
      <c r="BP106" s="83"/>
      <c r="BQ106" s="83"/>
      <c r="BR106" s="83"/>
      <c r="BS106" s="83"/>
      <c r="BT106" s="83"/>
      <c r="BU106" s="83"/>
      <c r="BV106" s="87"/>
      <c r="BW106" s="83"/>
    </row>
    <row r="107" spans="1:275" ht="52.5" customHeight="1" x14ac:dyDescent="0.35">
      <c r="A107" s="165"/>
      <c r="B107" s="166"/>
      <c r="C107" s="53">
        <f t="shared" ref="C107:AA107" si="67">IF(C2&lt;&gt;"",$AC$107*C106,"")</f>
        <v>0</v>
      </c>
      <c r="D107" s="53" t="str">
        <f t="shared" si="67"/>
        <v/>
      </c>
      <c r="E107" s="53" t="str">
        <f t="shared" si="67"/>
        <v/>
      </c>
      <c r="F107" s="53" t="str">
        <f t="shared" si="67"/>
        <v/>
      </c>
      <c r="G107" s="53" t="str">
        <f t="shared" si="67"/>
        <v/>
      </c>
      <c r="H107" s="53">
        <f t="shared" si="67"/>
        <v>0</v>
      </c>
      <c r="I107" s="53">
        <f t="shared" si="67"/>
        <v>0</v>
      </c>
      <c r="J107" s="53" t="str">
        <f t="shared" si="67"/>
        <v/>
      </c>
      <c r="K107" s="53" t="str">
        <f t="shared" si="67"/>
        <v/>
      </c>
      <c r="L107" s="53" t="str">
        <f t="shared" si="67"/>
        <v/>
      </c>
      <c r="M107" s="53">
        <f t="shared" si="67"/>
        <v>0</v>
      </c>
      <c r="N107" s="53" t="str">
        <f t="shared" si="67"/>
        <v/>
      </c>
      <c r="O107" s="53" t="str">
        <f t="shared" si="67"/>
        <v/>
      </c>
      <c r="P107" s="53" t="str">
        <f t="shared" si="67"/>
        <v/>
      </c>
      <c r="Q107" s="53" t="str">
        <f t="shared" si="67"/>
        <v/>
      </c>
      <c r="R107" s="53" t="str">
        <f t="shared" si="67"/>
        <v/>
      </c>
      <c r="S107" s="53" t="str">
        <f t="shared" si="67"/>
        <v/>
      </c>
      <c r="T107" s="53" t="str">
        <f t="shared" si="67"/>
        <v/>
      </c>
      <c r="U107" s="53" t="str">
        <f t="shared" si="67"/>
        <v/>
      </c>
      <c r="V107" s="53" t="str">
        <f t="shared" si="67"/>
        <v/>
      </c>
      <c r="W107" s="53" t="str">
        <f t="shared" si="67"/>
        <v/>
      </c>
      <c r="X107" s="53" t="str">
        <f t="shared" si="67"/>
        <v/>
      </c>
      <c r="Y107" s="53" t="str">
        <f t="shared" si="67"/>
        <v/>
      </c>
      <c r="Z107" s="53" t="str">
        <f t="shared" si="67"/>
        <v/>
      </c>
      <c r="AA107" s="100" t="str">
        <f t="shared" si="67"/>
        <v/>
      </c>
      <c r="AB107" s="89" t="s">
        <v>55</v>
      </c>
      <c r="AC107" s="90">
        <v>0</v>
      </c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85"/>
      <c r="BW107" s="4"/>
    </row>
    <row r="108" spans="1:275" ht="52.5" customHeight="1" thickBot="1" x14ac:dyDescent="0.4">
      <c r="A108" s="165"/>
      <c r="B108" s="166"/>
      <c r="C108" s="91">
        <v>0</v>
      </c>
      <c r="D108" s="91">
        <v>0</v>
      </c>
      <c r="E108" s="91">
        <v>0</v>
      </c>
      <c r="F108" s="91">
        <v>0</v>
      </c>
      <c r="G108" s="91">
        <v>0</v>
      </c>
      <c r="H108" s="91">
        <v>0</v>
      </c>
      <c r="I108" s="91">
        <v>0</v>
      </c>
      <c r="J108" s="91">
        <v>0</v>
      </c>
      <c r="K108" s="91">
        <v>0</v>
      </c>
      <c r="L108" s="91">
        <v>0</v>
      </c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85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85"/>
      <c r="BW108" s="4"/>
    </row>
    <row r="109" spans="1:275" ht="52.5" customHeight="1" thickBot="1" x14ac:dyDescent="0.4">
      <c r="A109" s="165"/>
      <c r="B109" s="166"/>
      <c r="C109" s="46" t="e">
        <f t="shared" ref="C109:L109" si="68">IF(C2&lt;&gt;"",C108/$AC$107,"")</f>
        <v>#DIV/0!</v>
      </c>
      <c r="D109" s="47" t="str">
        <f t="shared" si="68"/>
        <v/>
      </c>
      <c r="E109" s="47" t="str">
        <f t="shared" si="68"/>
        <v/>
      </c>
      <c r="F109" s="47" t="str">
        <f t="shared" si="68"/>
        <v/>
      </c>
      <c r="G109" s="47" t="str">
        <f t="shared" si="68"/>
        <v/>
      </c>
      <c r="H109" s="47" t="e">
        <f t="shared" si="68"/>
        <v>#DIV/0!</v>
      </c>
      <c r="I109" s="47" t="e">
        <f t="shared" si="68"/>
        <v>#DIV/0!</v>
      </c>
      <c r="J109" s="47" t="str">
        <f t="shared" si="68"/>
        <v/>
      </c>
      <c r="K109" s="47" t="str">
        <f t="shared" si="68"/>
        <v/>
      </c>
      <c r="L109" s="48" t="str">
        <f t="shared" si="68"/>
        <v/>
      </c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85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85"/>
      <c r="BW109" s="4"/>
    </row>
    <row r="110" spans="1:275" ht="52.5" customHeight="1" thickBot="1" x14ac:dyDescent="0.4">
      <c r="A110" s="165"/>
      <c r="B110" s="166"/>
      <c r="C110" s="88">
        <f>IF(C2&lt;&gt;"",C105-C108,"")</f>
        <v>0</v>
      </c>
      <c r="D110" s="88" t="str">
        <f>IF(D2&lt;&gt;"",D105-D108,"")</f>
        <v/>
      </c>
      <c r="E110" s="88" t="str">
        <f>IF(E2&lt;&gt;"",E105-E108,"")</f>
        <v/>
      </c>
      <c r="F110" s="88" t="str">
        <f>IF(F2&lt;&gt;"",F105-F108,"")</f>
        <v/>
      </c>
      <c r="G110" s="88" t="str">
        <f>IF(G2&lt;&gt;"",G105-G108,"")</f>
        <v/>
      </c>
      <c r="H110" s="88">
        <f>IF(H2&lt;&gt;"",H105+H108,"")</f>
        <v>0</v>
      </c>
      <c r="I110" s="88">
        <f>IF(I2&lt;&gt;"",I105+I108,"")</f>
        <v>0</v>
      </c>
      <c r="J110" s="88" t="str">
        <f>IF(J2&lt;&gt;"",J105+J108,"")</f>
        <v/>
      </c>
      <c r="K110" s="88" t="str">
        <f>IF(K2&lt;&gt;"",K105+K108,"")</f>
        <v/>
      </c>
      <c r="L110" s="88" t="str">
        <f>IF(L2&lt;&gt;"",L105+L108,"")</f>
        <v/>
      </c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85"/>
      <c r="AB110" s="92"/>
      <c r="AC110" s="11">
        <f>H112</f>
        <v>0</v>
      </c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85"/>
      <c r="BW110" s="4"/>
    </row>
    <row r="111" spans="1:275" ht="52.5" customHeight="1" x14ac:dyDescent="0.35">
      <c r="A111" s="165"/>
      <c r="B111" s="166"/>
      <c r="C111" s="88">
        <f>IF(C2&lt;&gt;"",IF('Set-ups'!C5&lt;&gt;"",'Set-ups'!C5*C108/C106,""),"")</f>
        <v>0</v>
      </c>
      <c r="D111" s="88" t="str">
        <f>IF(D2&lt;&gt;"",IF('Set-ups'!D5&lt;&gt;"",'Set-ups'!D5*D108/D106,""),"")</f>
        <v/>
      </c>
      <c r="E111" s="88" t="str">
        <f>IF(E2&lt;&gt;"",IF('Set-ups'!E5&lt;&gt;"",'Set-ups'!E5*E108/E106,""),"")</f>
        <v/>
      </c>
      <c r="F111" s="88" t="str">
        <f>IF(F2&lt;&gt;"",IF('Set-ups'!F5&lt;&gt;"",'Set-ups'!F5*F108/F106,""),"")</f>
        <v/>
      </c>
      <c r="G111" s="88" t="str">
        <f>IF(G2&lt;&gt;"",IF('Set-ups'!G5&lt;&gt;"",'Set-ups'!G5*G108/G106,""),"")</f>
        <v/>
      </c>
      <c r="H111" s="88">
        <f>IF(H2&lt;&gt;"",IF('Set-ups'!C9&lt;&gt;"",'Set-ups'!C9*H108/H106,""),"")</f>
        <v>0</v>
      </c>
      <c r="I111" s="88">
        <f>IF(I2&lt;&gt;"",IF('Set-ups'!D9&lt;&gt;"",'Set-ups'!D9*I108/I106,""),"")</f>
        <v>0</v>
      </c>
      <c r="J111" s="88" t="str">
        <f>IF(J2&lt;&gt;"",IF('Set-ups'!E9&lt;&gt;"",'Set-ups'!E9*J108/J106,""),"")</f>
        <v/>
      </c>
      <c r="K111" s="88" t="str">
        <f>IF(K2&lt;&gt;"",IF('Set-ups'!F9&lt;&gt;"",'Set-ups'!F9*K108/K106,""),"")</f>
        <v/>
      </c>
      <c r="L111" s="88" t="str">
        <f>IF(L2&lt;&gt;"",IF('Set-ups'!G9&lt;&gt;"",'Set-ups'!G9*L108/L106,""),"")</f>
        <v/>
      </c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85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85"/>
      <c r="BW111" s="4"/>
    </row>
    <row r="112" spans="1:275" ht="52.5" customHeight="1" thickBot="1" x14ac:dyDescent="0.4">
      <c r="A112" s="165"/>
      <c r="B112" s="166"/>
      <c r="C112" s="169">
        <f>$AC$107+IF(D111&lt;&gt;"",SUM(C111:D111),IF(E111&lt;&gt;"",SUM(C111:E111),IF(F111&lt;&gt;"",SUM(C111:F111),IF(G111&lt;&gt;"",SUM(C111:G111),C111))))</f>
        <v>0</v>
      </c>
      <c r="D112" s="169"/>
      <c r="E112" s="169"/>
      <c r="F112" s="169"/>
      <c r="G112" s="169"/>
      <c r="H112" s="169">
        <f>$AC$107-IF(I111&lt;&gt;"",SUM(H111:I111),IF(J111&lt;&gt;"",SUM(H111:J111),IF(K111&lt;&gt;"",SUM(H111:K111),IF(L111&lt;&gt;"",SUM(H111:L111),H111))))</f>
        <v>0</v>
      </c>
      <c r="I112" s="169"/>
      <c r="J112" s="169"/>
      <c r="K112" s="169"/>
      <c r="L112" s="169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85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85"/>
      <c r="BW112" s="4"/>
    </row>
    <row r="113" spans="1:75" ht="52.5" customHeight="1" thickBot="1" x14ac:dyDescent="0.4">
      <c r="A113" s="165"/>
      <c r="B113" s="166"/>
      <c r="C113" s="49" t="e">
        <f>IF(C2&lt;&gt;"",C105/$AC$107,"")</f>
        <v>#DIV/0!</v>
      </c>
      <c r="D113" s="50" t="str">
        <f t="shared" ref="D113:L113" si="69">IF(D2&lt;&gt;"",D105/$AC$107,"")</f>
        <v/>
      </c>
      <c r="E113" s="51" t="str">
        <f t="shared" si="69"/>
        <v/>
      </c>
      <c r="F113" s="52" t="str">
        <f t="shared" si="69"/>
        <v/>
      </c>
      <c r="G113" s="51" t="str">
        <f t="shared" si="69"/>
        <v/>
      </c>
      <c r="H113" s="51" t="e">
        <f t="shared" si="69"/>
        <v>#DIV/0!</v>
      </c>
      <c r="I113" s="51" t="e">
        <f t="shared" si="69"/>
        <v>#DIV/0!</v>
      </c>
      <c r="J113" s="51" t="str">
        <f t="shared" si="69"/>
        <v/>
      </c>
      <c r="K113" s="51" t="str">
        <f t="shared" si="69"/>
        <v/>
      </c>
      <c r="L113" s="54" t="str">
        <f t="shared" si="69"/>
        <v/>
      </c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85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85"/>
      <c r="BW113" s="4"/>
    </row>
    <row r="114" spans="1:75" ht="52.5" customHeight="1" x14ac:dyDescent="0.35">
      <c r="A114" s="165" t="s">
        <v>1</v>
      </c>
      <c r="B114" s="166"/>
      <c r="C114" s="53">
        <f>IF(C2&lt;&gt;"",(5-C106)*$AC$107,"")</f>
        <v>0</v>
      </c>
      <c r="D114" s="53" t="str">
        <f>IF(D2&lt;&gt;"",(5-D106)*$AC$107,"")</f>
        <v/>
      </c>
      <c r="E114" s="53" t="str">
        <f>IF(E2&lt;&gt;"",(5-E106)*$AC$107,"")</f>
        <v/>
      </c>
      <c r="F114" s="53" t="str">
        <f>IF(F2&lt;&gt;"",(5-F106)*$AC$107,"")</f>
        <v/>
      </c>
      <c r="G114" s="88" t="str">
        <f>IF(G2&lt;&gt;"",(5-G106)*$AC$107,"")</f>
        <v/>
      </c>
      <c r="H114" s="88">
        <f>IF(H2&lt;&gt;"",(H106-1)*$AC$107,"")</f>
        <v>0</v>
      </c>
      <c r="I114" s="88">
        <f>IF(I2&lt;&gt;"",(I106-1)*$AC$107,"")</f>
        <v>0</v>
      </c>
      <c r="J114" s="88" t="str">
        <f>IF(J2&lt;&gt;"",(J106-1)*$AC$107,"")</f>
        <v/>
      </c>
      <c r="K114" s="88" t="str">
        <f>IF(K2&lt;&gt;"",(K106-1)*$AC$107,"")</f>
        <v/>
      </c>
      <c r="L114" s="88" t="str">
        <f>IF(L2&lt;&gt;"",(L106-1)*$AC$107,"")</f>
        <v/>
      </c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85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85"/>
      <c r="BW114" s="4"/>
    </row>
    <row r="115" spans="1:75" ht="52.5" customHeight="1" thickBot="1" x14ac:dyDescent="0.4">
      <c r="A115" s="93" t="s">
        <v>68</v>
      </c>
      <c r="B115" s="94">
        <f>COUNTIF('Data input'!$B$3:$B$102,"&lt;&gt;")</f>
        <v>50</v>
      </c>
      <c r="C115" s="170">
        <f>IF(G2&lt;&gt;"",5,IF(F2&lt;&gt;"",4,IF(E2&lt;&gt;"",3,IF(D2&lt;&gt;"",2,1))))</f>
        <v>1</v>
      </c>
      <c r="D115" s="170"/>
      <c r="E115" s="170"/>
      <c r="F115" s="170"/>
      <c r="G115" s="170"/>
      <c r="H115" s="170">
        <f>IF(L2&lt;&gt;"",5,IF(K2&lt;&gt;"",4,IF(J2&lt;&gt;"",3,IF(I2&lt;&gt;"",2,1))))</f>
        <v>2</v>
      </c>
      <c r="I115" s="170"/>
      <c r="J115" s="170"/>
      <c r="K115" s="170"/>
      <c r="L115" s="170"/>
      <c r="M115" s="167">
        <f>IF(AA2&lt;&gt;"",15,IF(Z2&lt;&gt;"",14,IF(Y2&lt;&gt;"",13,IF(X2&lt;&gt;"",12,IF(W2&lt;&gt;"",11,IF(V2&lt;&gt;"",10,IF(U2&lt;&gt;"",9,IF(T2&lt;&gt;"",8,IF(S2&lt;&gt;"",7,IF(R2&lt;&gt;"",6,IF(Q2&lt;&gt;"",5,IF(P2&lt;&gt;"",4,IF(O2&lt;&gt;"",3,IF(N2&lt;&gt;"",2,1))))))))))))))</f>
        <v>1</v>
      </c>
      <c r="N115" s="167"/>
      <c r="O115" s="167"/>
      <c r="P115" s="167"/>
      <c r="Q115" s="167"/>
      <c r="R115" s="167"/>
      <c r="S115" s="167"/>
      <c r="T115" s="167"/>
      <c r="U115" s="167"/>
      <c r="V115" s="167"/>
      <c r="W115" s="167"/>
      <c r="X115" s="167"/>
      <c r="Y115" s="167"/>
      <c r="Z115" s="167"/>
      <c r="AA115" s="168"/>
      <c r="AB115" s="95"/>
      <c r="AC115" s="95"/>
      <c r="AD115" s="95"/>
      <c r="AE115" s="95"/>
      <c r="AF115" s="95"/>
      <c r="AG115" s="95"/>
      <c r="AH115" s="95"/>
      <c r="AI115" s="95"/>
      <c r="AJ115" s="95"/>
      <c r="AK115" s="95"/>
      <c r="AL115" s="95"/>
      <c r="AM115" s="95"/>
      <c r="AN115" s="95"/>
      <c r="AO115" s="95"/>
      <c r="AP115" s="95"/>
      <c r="AQ115" s="95"/>
      <c r="AR115" s="95"/>
      <c r="AS115" s="95"/>
      <c r="AT115" s="95"/>
      <c r="AU115" s="95"/>
      <c r="AV115" s="95"/>
      <c r="AW115" s="95"/>
      <c r="AX115" s="95"/>
      <c r="AY115" s="95"/>
      <c r="AZ115" s="95"/>
      <c r="BA115" s="95"/>
      <c r="BB115" s="95"/>
      <c r="BC115" s="95"/>
      <c r="BD115" s="95"/>
      <c r="BE115" s="95"/>
      <c r="BF115" s="95"/>
      <c r="BG115" s="95"/>
      <c r="BH115" s="95"/>
      <c r="BI115" s="95"/>
      <c r="BJ115" s="95"/>
      <c r="BK115" s="95"/>
      <c r="BL115" s="95"/>
      <c r="BM115" s="95"/>
      <c r="BN115" s="95"/>
      <c r="BO115" s="95"/>
      <c r="BP115" s="95"/>
      <c r="BQ115" s="95"/>
      <c r="BR115" s="95"/>
      <c r="BS115" s="95"/>
      <c r="BT115" s="95"/>
      <c r="BU115" s="95"/>
      <c r="BV115" s="96"/>
      <c r="BW115" s="4"/>
    </row>
  </sheetData>
  <autoFilter ref="C2:AA102" xr:uid="{253C3633-3142-4D6F-8B12-CF3C976B0B56}"/>
  <mergeCells count="67">
    <mergeCell ref="M115:AA115"/>
    <mergeCell ref="C112:G112"/>
    <mergeCell ref="H112:L112"/>
    <mergeCell ref="A113:B113"/>
    <mergeCell ref="A114:B114"/>
    <mergeCell ref="C115:G115"/>
    <mergeCell ref="H115:L115"/>
    <mergeCell ref="A112:B112"/>
    <mergeCell ref="A107:B107"/>
    <mergeCell ref="A108:B108"/>
    <mergeCell ref="A109:B109"/>
    <mergeCell ref="A110:B110"/>
    <mergeCell ref="A111:B111"/>
    <mergeCell ref="BT1:BT2"/>
    <mergeCell ref="BU1:BU2"/>
    <mergeCell ref="BV1:BV2"/>
    <mergeCell ref="BW1:FS1"/>
    <mergeCell ref="A105:B105"/>
    <mergeCell ref="BR1:BR2"/>
    <mergeCell ref="BS1:BS2"/>
    <mergeCell ref="BG1:BG2"/>
    <mergeCell ref="AV1:AV2"/>
    <mergeCell ref="AW1:AW2"/>
    <mergeCell ref="AX1:AX2"/>
    <mergeCell ref="AY1:AY2"/>
    <mergeCell ref="AZ1:AZ2"/>
    <mergeCell ref="BA1:BA2"/>
    <mergeCell ref="AP1:AP2"/>
    <mergeCell ref="AQ1:AQ2"/>
    <mergeCell ref="A106:B106"/>
    <mergeCell ref="BN1:BN2"/>
    <mergeCell ref="BO1:BO2"/>
    <mergeCell ref="BP1:BP2"/>
    <mergeCell ref="BQ1:BQ2"/>
    <mergeCell ref="BH1:BH2"/>
    <mergeCell ref="BI1:BI2"/>
    <mergeCell ref="BJ1:BJ2"/>
    <mergeCell ref="BK1:BK2"/>
    <mergeCell ref="BL1:BL2"/>
    <mergeCell ref="BM1:BM2"/>
    <mergeCell ref="BB1:BB2"/>
    <mergeCell ref="BC1:BC2"/>
    <mergeCell ref="BD1:BD2"/>
    <mergeCell ref="BE1:BE2"/>
    <mergeCell ref="BF1:BF2"/>
    <mergeCell ref="AR1:AR2"/>
    <mergeCell ref="AS1:AS2"/>
    <mergeCell ref="AT1:AT2"/>
    <mergeCell ref="AU1:AU2"/>
    <mergeCell ref="AJ1:AJ2"/>
    <mergeCell ref="AK1:AK2"/>
    <mergeCell ref="AL1:AL2"/>
    <mergeCell ref="AM1:AM2"/>
    <mergeCell ref="AN1:AN2"/>
    <mergeCell ref="AO1:AO2"/>
    <mergeCell ref="AI1:AI2"/>
    <mergeCell ref="A1:A2"/>
    <mergeCell ref="B1:B2"/>
    <mergeCell ref="C1:G1"/>
    <mergeCell ref="H1:L1"/>
    <mergeCell ref="M1:AA1"/>
    <mergeCell ref="AC1:AC2"/>
    <mergeCell ref="AD1:AD2"/>
    <mergeCell ref="AE1:AE2"/>
    <mergeCell ref="AF1:AF2"/>
    <mergeCell ref="AG1:AG2"/>
    <mergeCell ref="AH1:AH2"/>
  </mergeCells>
  <conditionalFormatting sqref="A3:A102 AF3:AF102">
    <cfRule type="expression" dxfId="189" priority="4">
      <formula>A3&lt;&gt;""</formula>
    </cfRule>
  </conditionalFormatting>
  <conditionalFormatting sqref="B3:B102 AG3:AG102">
    <cfRule type="expression" dxfId="188" priority="5">
      <formula>B3&lt;&gt;""</formula>
    </cfRule>
  </conditionalFormatting>
  <conditionalFormatting sqref="C3:C102 AS3:AS102 BC3:BC102 BM3:BM102">
    <cfRule type="expression" dxfId="187" priority="6">
      <formula>C3&lt;&gt;""</formula>
    </cfRule>
  </conditionalFormatting>
  <conditionalFormatting sqref="D3:D102 AT3:AT102 BD3:BD102 BN3:BN102">
    <cfRule type="expression" dxfId="186" priority="7">
      <formula>D3&lt;&gt;""</formula>
    </cfRule>
  </conditionalFormatting>
  <conditionalFormatting sqref="E3:E102">
    <cfRule type="expression" dxfId="185" priority="8">
      <formula>E3&lt;&gt;""</formula>
    </cfRule>
  </conditionalFormatting>
  <conditionalFormatting sqref="F3:F102 AV3:AV102 BF3:BF102 BP3:BP102">
    <cfRule type="expression" dxfId="184" priority="9">
      <formula>F3&lt;&gt;""</formula>
    </cfRule>
  </conditionalFormatting>
  <conditionalFormatting sqref="G3:G102 AW3:AW102 BG3:BG102 BQ3:BQ102">
    <cfRule type="expression" dxfId="183" priority="10">
      <formula>G3&lt;&gt;""</formula>
    </cfRule>
  </conditionalFormatting>
  <conditionalFormatting sqref="H3:H102 AX3:AX102 BH3:BH102 BR3:BR102">
    <cfRule type="expression" dxfId="182" priority="11">
      <formula>H3&lt;&gt;""</formula>
    </cfRule>
  </conditionalFormatting>
  <conditionalFormatting sqref="I3:I102 AY3:AY102 BI3:BI102 BS3:BS102">
    <cfRule type="expression" dxfId="181" priority="12">
      <formula>I3&lt;&gt;""</formula>
    </cfRule>
  </conditionalFormatting>
  <conditionalFormatting sqref="J3:J102 AZ3:AZ102 BJ3:BJ102 BT3:BT102">
    <cfRule type="expression" dxfId="180" priority="13">
      <formula>J3&lt;&gt;""</formula>
    </cfRule>
  </conditionalFormatting>
  <conditionalFormatting sqref="K3:K102 BA3:BA102 BK3:BK102 BU3:BU102">
    <cfRule type="expression" dxfId="179" priority="14">
      <formula>K3&lt;&gt;""</formula>
    </cfRule>
  </conditionalFormatting>
  <conditionalFormatting sqref="L3:L102 BB3:BB102 BL3:BL102 BV3:BW102">
    <cfRule type="expression" dxfId="178" priority="15">
      <formula>L3&lt;&gt;""</formula>
    </cfRule>
  </conditionalFormatting>
  <conditionalFormatting sqref="M3:M102">
    <cfRule type="expression" dxfId="177" priority="16">
      <formula>M3&lt;&gt;""</formula>
    </cfRule>
  </conditionalFormatting>
  <conditionalFormatting sqref="N3:N102">
    <cfRule type="expression" dxfId="176" priority="17">
      <formula>N3&lt;&gt;""</formula>
    </cfRule>
  </conditionalFormatting>
  <conditionalFormatting sqref="O3:O102">
    <cfRule type="expression" dxfId="175" priority="18">
      <formula>O3&lt;&gt;""</formula>
    </cfRule>
  </conditionalFormatting>
  <conditionalFormatting sqref="P3:P102">
    <cfRule type="expression" dxfId="174" priority="19">
      <formula>P3&lt;&gt;""</formula>
    </cfRule>
  </conditionalFormatting>
  <conditionalFormatting sqref="Q3:Q102">
    <cfRule type="expression" dxfId="173" priority="20">
      <formula>Q3&lt;&gt;""</formula>
    </cfRule>
  </conditionalFormatting>
  <conditionalFormatting sqref="R3:R102">
    <cfRule type="expression" dxfId="172" priority="21">
      <formula>R3&lt;&gt;""</formula>
    </cfRule>
  </conditionalFormatting>
  <conditionalFormatting sqref="S3:S102">
    <cfRule type="expression" dxfId="171" priority="22">
      <formula>S3&lt;&gt;""</formula>
    </cfRule>
  </conditionalFormatting>
  <conditionalFormatting sqref="T3:T102">
    <cfRule type="expression" dxfId="170" priority="23">
      <formula>T3&lt;&gt;""</formula>
    </cfRule>
  </conditionalFormatting>
  <conditionalFormatting sqref="U3:U102">
    <cfRule type="expression" dxfId="169" priority="24">
      <formula>U3&lt;&gt;""</formula>
    </cfRule>
  </conditionalFormatting>
  <conditionalFormatting sqref="V3:V102">
    <cfRule type="expression" dxfId="168" priority="25">
      <formula>V3&lt;&gt;""</formula>
    </cfRule>
  </conditionalFormatting>
  <conditionalFormatting sqref="W3:W102">
    <cfRule type="expression" dxfId="167" priority="26">
      <formula>W3&lt;&gt;""</formula>
    </cfRule>
  </conditionalFormatting>
  <conditionalFormatting sqref="X3:X102">
    <cfRule type="expression" dxfId="166" priority="27">
      <formula>X3&lt;&gt;""</formula>
    </cfRule>
  </conditionalFormatting>
  <conditionalFormatting sqref="Y3:Y102">
    <cfRule type="expression" dxfId="165" priority="28">
      <formula>Y3&lt;&gt;""</formula>
    </cfRule>
  </conditionalFormatting>
  <conditionalFormatting sqref="Z3:Z102">
    <cfRule type="expression" dxfId="164" priority="29">
      <formula>Z3&lt;&gt;""</formula>
    </cfRule>
  </conditionalFormatting>
  <conditionalFormatting sqref="AA3:AA102">
    <cfRule type="expression" dxfId="163" priority="30">
      <formula>AA3&lt;&gt;""</formula>
    </cfRule>
  </conditionalFormatting>
  <conditionalFormatting sqref="C2:G2">
    <cfRule type="expression" dxfId="162" priority="31">
      <formula>C2&lt;&gt;""</formula>
    </cfRule>
  </conditionalFormatting>
  <conditionalFormatting sqref="H2:L2">
    <cfRule type="expression" dxfId="161" priority="37">
      <formula>H2&lt;&gt;""</formula>
    </cfRule>
  </conditionalFormatting>
  <conditionalFormatting sqref="M2:AA2">
    <cfRule type="expression" dxfId="160" priority="43">
      <formula>M2&lt;&gt;""</formula>
    </cfRule>
  </conditionalFormatting>
  <conditionalFormatting sqref="C105:G114">
    <cfRule type="expression" dxfId="159" priority="36">
      <formula>C$2&lt;&gt;""</formula>
    </cfRule>
  </conditionalFormatting>
  <conditionalFormatting sqref="H105:L114">
    <cfRule type="expression" dxfId="158" priority="42">
      <formula>H$2&lt;&gt;""</formula>
    </cfRule>
  </conditionalFormatting>
  <conditionalFormatting sqref="M105:AA107">
    <cfRule type="expression" dxfId="157" priority="44">
      <formula>M$2&lt;&gt;""</formula>
    </cfRule>
  </conditionalFormatting>
  <conditionalFormatting sqref="AH1:AL2">
    <cfRule type="expression" dxfId="156" priority="32">
      <formula>C2&lt;&gt;""</formula>
    </cfRule>
  </conditionalFormatting>
  <conditionalFormatting sqref="AS1:AW2">
    <cfRule type="expression" dxfId="155" priority="33">
      <formula>C2&lt;&gt;""</formula>
    </cfRule>
  </conditionalFormatting>
  <conditionalFormatting sqref="BC1:BG2">
    <cfRule type="expression" dxfId="154" priority="34">
      <formula>C2&lt;&gt;""</formula>
    </cfRule>
  </conditionalFormatting>
  <conditionalFormatting sqref="BM1:BQ2">
    <cfRule type="expression" dxfId="153" priority="35">
      <formula>C2&lt;&gt;""</formula>
    </cfRule>
  </conditionalFormatting>
  <conditionalFormatting sqref="AM1:AQ2">
    <cfRule type="expression" dxfId="152" priority="38">
      <formula>H2&lt;&gt;""</formula>
    </cfRule>
  </conditionalFormatting>
  <conditionalFormatting sqref="AX1:BB2">
    <cfRule type="expression" dxfId="151" priority="39">
      <formula>H2&lt;&gt;""</formula>
    </cfRule>
  </conditionalFormatting>
  <conditionalFormatting sqref="BH1:BL2">
    <cfRule type="expression" dxfId="150" priority="40">
      <formula>H2&lt;&gt;""</formula>
    </cfRule>
  </conditionalFormatting>
  <conditionalFormatting sqref="BR2:BW2 BR1:BV1">
    <cfRule type="expression" dxfId="149" priority="41">
      <formula>H2&lt;&gt;""</formula>
    </cfRule>
  </conditionalFormatting>
  <conditionalFormatting sqref="C115:G115">
    <cfRule type="expression" dxfId="148" priority="2">
      <formula>C$2&lt;&gt;""</formula>
    </cfRule>
  </conditionalFormatting>
  <conditionalFormatting sqref="H115:L115">
    <cfRule type="expression" dxfId="147" priority="3">
      <formula>H$2&lt;&gt;""</formula>
    </cfRule>
  </conditionalFormatting>
  <conditionalFormatting sqref="M115">
    <cfRule type="expression" dxfId="146" priority="1">
      <formula>M$2&lt;&gt;""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42" r:id="rId4" name="Individual">
          <controlPr defaultSize="0" autoLine="0" autoPict="0" r:id="rId5">
            <anchor moveWithCells="1">
              <from>
                <xdr:col>30</xdr:col>
                <xdr:colOff>38100</xdr:colOff>
                <xdr:row>5</xdr:row>
                <xdr:rowOff>88900</xdr:rowOff>
              </from>
              <to>
                <xdr:col>30</xdr:col>
                <xdr:colOff>1536700</xdr:colOff>
                <xdr:row>7</xdr:row>
                <xdr:rowOff>133350</xdr:rowOff>
              </to>
            </anchor>
          </controlPr>
        </control>
      </mc:Choice>
      <mc:Fallback>
        <control shapeId="112642" r:id="rId4" name="Individual"/>
      </mc:Fallback>
    </mc:AlternateContent>
    <mc:AlternateContent xmlns:mc="http://schemas.openxmlformats.org/markup-compatibility/2006">
      <mc:Choice Requires="x14">
        <control shapeId="112641" r:id="rId6" name="All">
          <controlPr defaultSize="0" autoLine="0" r:id="rId7">
            <anchor moveWithCells="1">
              <from>
                <xdr:col>30</xdr:col>
                <xdr:colOff>50800</xdr:colOff>
                <xdr:row>2</xdr:row>
                <xdr:rowOff>69850</xdr:rowOff>
              </from>
              <to>
                <xdr:col>31</xdr:col>
                <xdr:colOff>19050</xdr:colOff>
                <xdr:row>4</xdr:row>
                <xdr:rowOff>127000</xdr:rowOff>
              </to>
            </anchor>
          </controlPr>
        </control>
      </mc:Choice>
      <mc:Fallback>
        <control shapeId="112641" r:id="rId6" name="Al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0F4DC-4B4A-4022-80D5-E96FA82CA123}">
  <sheetPr codeName="Sheet4">
    <tabColor theme="5" tint="0.39997558519241921"/>
  </sheetPr>
  <dimension ref="A1:AR102"/>
  <sheetViews>
    <sheetView topLeftCell="A15" workbookViewId="0">
      <selection activeCell="A22" sqref="A22:XFD22"/>
    </sheetView>
  </sheetViews>
  <sheetFormatPr defaultRowHeight="14.5" x14ac:dyDescent="0.35"/>
  <cols>
    <col min="1" max="1" width="9.1796875" customWidth="1"/>
    <col min="2" max="2" width="20.453125" customWidth="1"/>
    <col min="3" max="3" width="15" customWidth="1"/>
    <col min="4" max="4" width="23.7265625" bestFit="1" customWidth="1"/>
    <col min="5" max="44" width="15" customWidth="1"/>
  </cols>
  <sheetData>
    <row r="1" spans="1:44" s="101" customFormat="1" ht="27" customHeight="1" x14ac:dyDescent="0.35">
      <c r="A1" s="152" t="str">
        <f>IF('Run CRS'!AF1&lt;&gt;"",'Run CRS'!AF1,"")</f>
        <v>Index</v>
      </c>
      <c r="B1" s="154" t="str">
        <f>IF('Run CRS'!AG1&lt;&gt;"",'Run CRS'!AG1,"")</f>
        <v>DMU</v>
      </c>
      <c r="C1" s="154" t="str">
        <f>IF('Run CRS'!AR1&lt;&gt;"",'Run CRS'!AR1,"")</f>
        <v>Performance</v>
      </c>
      <c r="D1" s="154" t="str">
        <f>'Run CRS'!BW2</f>
        <v>Group name</v>
      </c>
      <c r="E1" s="156" t="str">
        <f>IF('Run CRS'!BC1&lt;&gt;"",'Run CRS'!BC1,"")</f>
        <v>Reliability (%) (Target real value)</v>
      </c>
      <c r="F1" s="156" t="str">
        <f>IF('Run CRS'!BD1&lt;&gt;"",'Run CRS'!BD1,"")</f>
        <v/>
      </c>
      <c r="G1" s="156" t="str">
        <f>IF('Run CRS'!BE1&lt;&gt;"",'Run CRS'!BE1,"")</f>
        <v/>
      </c>
      <c r="H1" s="156" t="str">
        <f>IF('Run CRS'!BF1&lt;&gt;"",'Run CRS'!BF1,"")</f>
        <v/>
      </c>
      <c r="I1" s="156" t="str">
        <f>IF('Run CRS'!BG1&lt;&gt;"",'Run CRS'!BG1,"")</f>
        <v/>
      </c>
      <c r="J1" s="156" t="str">
        <f>IF('Run CRS'!BH1&lt;&gt;"",'Run CRS'!BH1,"")</f>
        <v>Maintenance costs (USD/m2) (Target real value)</v>
      </c>
      <c r="K1" s="156" t="str">
        <f>IF('Run CRS'!BI1&lt;&gt;"",'Run CRS'!BI1,"")</f>
        <v>Outdated data (%) (Target real value)</v>
      </c>
      <c r="L1" s="156" t="str">
        <f>IF('Run CRS'!BJ1&lt;&gt;"",'Run CRS'!BJ1,"")</f>
        <v/>
      </c>
      <c r="M1" s="156" t="str">
        <f>IF('Run CRS'!BK1&lt;&gt;"",'Run CRS'!BK1,"")</f>
        <v/>
      </c>
      <c r="N1" s="156" t="str">
        <f>IF('Run CRS'!BL1&lt;&gt;"",'Run CRS'!BL1,"")</f>
        <v/>
      </c>
      <c r="O1" s="156" t="str">
        <f>IF('Run CRS'!BM1&lt;&gt;"",'Run CRS'!BM1,"")</f>
        <v>Reliability (%) (Slacks real value)</v>
      </c>
      <c r="P1" s="156" t="str">
        <f>IF('Run CRS'!BN1&lt;&gt;"",'Run CRS'!BN1,"")</f>
        <v/>
      </c>
      <c r="Q1" s="156" t="str">
        <f>IF('Run CRS'!BO1&lt;&gt;"",'Run CRS'!BO1,"")</f>
        <v/>
      </c>
      <c r="R1" s="156" t="str">
        <f>IF('Run CRS'!BP1&lt;&gt;"",'Run CRS'!BP1,"")</f>
        <v/>
      </c>
      <c r="S1" s="156" t="str">
        <f>IF('Run CRS'!BQ1&lt;&gt;"",'Run CRS'!BQ1,"")</f>
        <v/>
      </c>
      <c r="T1" s="156" t="str">
        <f>IF('Run CRS'!BR1&lt;&gt;"",'Run CRS'!BR1,"")</f>
        <v>Maintenance costs (USD/m2) (Slacks real value)</v>
      </c>
      <c r="U1" s="156" t="str">
        <f>IF('Run CRS'!BS1&lt;&gt;"",'Run CRS'!BS1,"")</f>
        <v>Outdated data (%) (Slacks real value)</v>
      </c>
      <c r="V1" s="156" t="str">
        <f>IF('Run CRS'!BT1&lt;&gt;"",'Run CRS'!BT1,"")</f>
        <v/>
      </c>
      <c r="W1" s="156" t="str">
        <f>IF('Run CRS'!BU1&lt;&gt;"",'Run CRS'!BU1,"")</f>
        <v/>
      </c>
      <c r="X1" s="160" t="str">
        <f>IF('Run CRS'!BV1&lt;&gt;"",'Run CRS'!BV1,"")</f>
        <v/>
      </c>
      <c r="Y1" s="156" t="str">
        <f>IF('Data input'!C2&lt;&gt;"",'Data input'!C2&amp;"(% slacks to Actual)","")</f>
        <v>Reliability (%)(% slacks to Actual)</v>
      </c>
      <c r="Z1" s="156" t="str">
        <f>IF('Data input'!D2&lt;&gt;"",'Data input'!D2&amp;"(% slacks to Actual)","")</f>
        <v/>
      </c>
      <c r="AA1" s="156" t="str">
        <f>IF('Data input'!E2&lt;&gt;"",'Data input'!E2&amp;"(% slacks to Actual)","")</f>
        <v/>
      </c>
      <c r="AB1" s="156" t="str">
        <f>IF('Data input'!F2&lt;&gt;"",'Data input'!F2&amp;"(% slacks to Actual)","")</f>
        <v/>
      </c>
      <c r="AC1" s="156" t="str">
        <f>IF('Data input'!G2&lt;&gt;"",'Data input'!G2&amp;"(% slacks to Actual)","")</f>
        <v/>
      </c>
      <c r="AD1" s="156" t="str">
        <f>IF('Data input'!H2&lt;&gt;"",'Data input'!H2&amp;"(% slacks to Actual)","")</f>
        <v>Maintenance costs (USD/m2)(% slacks to Actual)</v>
      </c>
      <c r="AE1" s="156" t="str">
        <f>IF('Data input'!I2&lt;&gt;"",'Data input'!I2&amp;"(% slacks to Actual)","")</f>
        <v>Outdated data (%)(% slacks to Actual)</v>
      </c>
      <c r="AF1" s="156" t="str">
        <f>IF('Data input'!J2&lt;&gt;"",'Data input'!J2&amp;"(% slacks to Actual)","")</f>
        <v/>
      </c>
      <c r="AG1" s="156" t="str">
        <f>IF('Data input'!K2&lt;&gt;"",'Data input'!K2&amp;"(% slacks to Actual)","")</f>
        <v/>
      </c>
      <c r="AH1" s="160" t="str">
        <f>IF('Data input'!L2&lt;&gt;"",'Data input'!L2&amp;"(% slacks to Actual)","")</f>
        <v/>
      </c>
      <c r="AI1" s="156" t="str">
        <f>IF('Data input'!C2&lt;&gt;"",'Data input'!C2&amp;"(% slacks to Actual NORMALIZED)","")</f>
        <v>Reliability (%)(% slacks to Actual NORMALIZED)</v>
      </c>
      <c r="AJ1" s="156" t="str">
        <f>IF('Data input'!D2&lt;&gt;"",'Data input'!D2&amp;"(% slacks to Actual NORMALIZED)","")</f>
        <v/>
      </c>
      <c r="AK1" s="156" t="str">
        <f>IF('Data input'!E2&lt;&gt;"",'Data input'!E2&amp;"(% slacks to Actual NORMALIZED)","")</f>
        <v/>
      </c>
      <c r="AL1" s="156" t="str">
        <f>IF('Data input'!F2&lt;&gt;"",'Data input'!F2&amp;"(% slacks to Actual NORMALIZED)","")</f>
        <v/>
      </c>
      <c r="AM1" s="156" t="str">
        <f>IF('Data input'!G2&lt;&gt;"",'Data input'!G2&amp;"(% slacks to Actual NORMALIZED)","")</f>
        <v/>
      </c>
      <c r="AN1" s="156" t="str">
        <f>IF('Data input'!H2&lt;&gt;"",'Data input'!H2&amp;"(% slacks to Actual NORMALIZED)","")</f>
        <v>Maintenance costs (USD/m2)(% slacks to Actual NORMALIZED)</v>
      </c>
      <c r="AO1" s="156" t="str">
        <f>IF('Data input'!I2&lt;&gt;"",'Data input'!I2&amp;"(% slacks to Actual NORMALIZED)","")</f>
        <v>Outdated data (%)(% slacks to Actual NORMALIZED)</v>
      </c>
      <c r="AP1" s="156" t="str">
        <f>IF('Data input'!J2&lt;&gt;"",'Data input'!J2&amp;"(% slacks to Actual NORMALIZED)","")</f>
        <v/>
      </c>
      <c r="AQ1" s="156" t="str">
        <f>IF('Data input'!K2&lt;&gt;"",'Data input'!K2&amp;"(% slacks to Actual NORMALIZED)","")</f>
        <v/>
      </c>
      <c r="AR1" s="160" t="str">
        <f>IF('Data input'!L2&lt;&gt;"",'Data input'!L2&amp;"(% slacks to Actual NORMALIZED)","")</f>
        <v/>
      </c>
    </row>
    <row r="2" spans="1:44" s="101" customFormat="1" ht="27" customHeight="1" x14ac:dyDescent="0.35">
      <c r="A2" s="153"/>
      <c r="B2" s="155"/>
      <c r="C2" s="155"/>
      <c r="D2" s="155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61"/>
      <c r="Y2" s="157"/>
      <c r="Z2" s="157"/>
      <c r="AA2" s="157"/>
      <c r="AB2" s="157"/>
      <c r="AC2" s="157"/>
      <c r="AD2" s="157"/>
      <c r="AE2" s="157"/>
      <c r="AF2" s="157"/>
      <c r="AG2" s="157"/>
      <c r="AH2" s="161"/>
      <c r="AI2" s="157"/>
      <c r="AJ2" s="157"/>
      <c r="AK2" s="157"/>
      <c r="AL2" s="157"/>
      <c r="AM2" s="157"/>
      <c r="AN2" s="157"/>
      <c r="AO2" s="157"/>
      <c r="AP2" s="157"/>
      <c r="AQ2" s="157"/>
      <c r="AR2" s="161"/>
    </row>
    <row r="3" spans="1:44" x14ac:dyDescent="0.35">
      <c r="A3" s="102">
        <f>IF('Run CRS'!AF3&lt;&gt;"",'Run CRS'!AF3,"")</f>
        <v>1</v>
      </c>
      <c r="B3" s="103" t="str">
        <f>IF('Run CRS'!AG3&lt;&gt;"",'Run CRS'!AG3,"")</f>
        <v>Alabama</v>
      </c>
      <c r="C3" s="104">
        <f>IF('Run CRS'!AR3&lt;&gt;"",'Run CRS'!AR3,"")</f>
        <v>0.8919946274565963</v>
      </c>
      <c r="D3" s="104" t="str">
        <f>IF(ROUND(C3,3)=100%,"Optimal frontier",'Run CRS'!BW3)</f>
        <v xml:space="preserve">Texas; Utah; </v>
      </c>
      <c r="E3" s="105">
        <f>IF('Run CRS'!BC3&lt;&gt;"",'Run CRS'!BC3,"")</f>
        <v>0.9931943920088725</v>
      </c>
      <c r="F3" s="106" t="str">
        <f>IF('Run CRS'!BD3&lt;&gt;"",'Run CRS'!BD3,"")</f>
        <v/>
      </c>
      <c r="G3" s="106" t="str">
        <f>IF('Run CRS'!BE3&lt;&gt;"",'Run CRS'!BE3,"")</f>
        <v/>
      </c>
      <c r="H3" s="106" t="str">
        <f>IF('Run CRS'!BF3&lt;&gt;"",'Run CRS'!BF3,"")</f>
        <v/>
      </c>
      <c r="I3" s="106" t="str">
        <f>IF('Run CRS'!BG3&lt;&gt;"",'Run CRS'!BG3,"")</f>
        <v/>
      </c>
      <c r="J3" s="106">
        <f>IF('Run CRS'!BH3&lt;&gt;"",'Run CRS'!BH3,"")</f>
        <v>1.1450335782503325</v>
      </c>
      <c r="K3" s="105">
        <f>IF('Run CRS'!BI3&lt;&gt;"",'Run CRS'!BI3,"")</f>
        <v>7.5785377963576192E-2</v>
      </c>
      <c r="L3" s="105" t="str">
        <f>IF('Run CRS'!BJ3&lt;&gt;"",'Run CRS'!BJ3,"")</f>
        <v/>
      </c>
      <c r="M3" s="105" t="str">
        <f>IF('Run CRS'!BK3&lt;&gt;"",'Run CRS'!BK3,"")</f>
        <v/>
      </c>
      <c r="N3" s="105" t="str">
        <f>IF('Run CRS'!BL3&lt;&gt;"",'Run CRS'!BL3,"")</f>
        <v/>
      </c>
      <c r="O3" s="105">
        <f>IF('Run CRS'!BM3&lt;&gt;"",'Run CRS'!BM3,"")</f>
        <v>0</v>
      </c>
      <c r="P3" s="106" t="str">
        <f>IF('Run CRS'!BN3&lt;&gt;"",'Run CRS'!BN3,"")</f>
        <v/>
      </c>
      <c r="Q3" s="106" t="str">
        <f>IF('Run CRS'!BO3&lt;&gt;"",'Run CRS'!BO3,"")</f>
        <v/>
      </c>
      <c r="R3" s="106" t="str">
        <f>IF('Run CRS'!BP3&lt;&gt;"",'Run CRS'!BP3,"")</f>
        <v/>
      </c>
      <c r="S3" s="106" t="str">
        <f>IF('Run CRS'!BQ3&lt;&gt;"",'Run CRS'!BQ3,"")</f>
        <v/>
      </c>
      <c r="T3" s="106">
        <f>IF('Run CRS'!BR3&lt;&gt;"",'Run CRS'!BR3,"")</f>
        <v>-0.48925320963288321</v>
      </c>
      <c r="U3" s="105">
        <f>IF('Run CRS'!BS3&lt;&gt;"",'Run CRS'!BS3,"")</f>
        <v>-1.1543932928770581E-2</v>
      </c>
      <c r="V3" s="105" t="str">
        <f>IF('Run CRS'!BT3&lt;&gt;"",'Run CRS'!BT3,"")</f>
        <v/>
      </c>
      <c r="W3" s="105" t="str">
        <f>IF('Run CRS'!BU3&lt;&gt;"",'Run CRS'!BU3,"")</f>
        <v/>
      </c>
      <c r="X3" s="107" t="str">
        <f>IF('Run CRS'!BV3&lt;&gt;"",'Run CRS'!BV3,"")</f>
        <v/>
      </c>
      <c r="Y3" s="114">
        <f>IF('Data input'!C3&lt;&gt;"",O3/'Data input'!C3*100%,"")</f>
        <v>0</v>
      </c>
      <c r="Z3" s="114" t="str">
        <f>IF('Data input'!D3&lt;&gt;"",P3/'Data input'!D3*100%,"")</f>
        <v/>
      </c>
      <c r="AA3" s="114" t="str">
        <f>IF('Data input'!E3&lt;&gt;"",Q3/'Data input'!E3*100%,"")</f>
        <v/>
      </c>
      <c r="AB3" s="114" t="str">
        <f>IF('Data input'!F3&lt;&gt;"",R3/'Data input'!F3*100%,"")</f>
        <v/>
      </c>
      <c r="AC3" s="114" t="str">
        <f>IF('Data input'!G3&lt;&gt;"",S3/'Data input'!G3*100%,"")</f>
        <v/>
      </c>
      <c r="AD3" s="114">
        <f>IF('Data input'!H3&lt;&gt;"",T3/'Data input'!H3*100%,"")</f>
        <v>-0.29936802601615642</v>
      </c>
      <c r="AE3" s="114">
        <f>IF('Data input'!I3&lt;&gt;"",U3/'Data input'!I3*100%,"")</f>
        <v>-0.13218852651890386</v>
      </c>
      <c r="AF3" s="114" t="str">
        <f>IF('Data input'!J3&lt;&gt;"",V3/'Data input'!J3*100%,"")</f>
        <v/>
      </c>
      <c r="AG3" s="114" t="str">
        <f>IF('Data input'!K3&lt;&gt;"",W3/'Data input'!K3*100%,"")</f>
        <v/>
      </c>
      <c r="AH3" s="115" t="str">
        <f>IF('Data input'!L3&lt;&gt;"",X3/'Data input'!L3*100%,"")</f>
        <v/>
      </c>
      <c r="AI3" s="114">
        <f>IF('Data input'!C3&lt;&gt;"",'Run CRS'!AH3/'Run CRS'!C3,"")</f>
        <v>0</v>
      </c>
      <c r="AJ3" s="114" t="str">
        <f>IF('Data input'!D3&lt;&gt;"",'Run CRS'!AI3/'Run CRS'!D3,"")</f>
        <v/>
      </c>
      <c r="AK3" s="114" t="str">
        <f>IF('Data input'!E3&lt;&gt;"",'Run CRS'!AJ3/'Run CRS'!E3,"")</f>
        <v/>
      </c>
      <c r="AL3" s="114" t="str">
        <f>IF('Data input'!F3&lt;&gt;"",'Run CRS'!AK3/'Run CRS'!F3,"")</f>
        <v/>
      </c>
      <c r="AM3" s="114" t="str">
        <f>IF('Data input'!G3&lt;&gt;"",'Run CRS'!AL3/'Run CRS'!G3,"")</f>
        <v/>
      </c>
      <c r="AN3" s="114">
        <f>IF('Data input'!H3&lt;&gt;"",'Run CRS'!AM3/'Run CRS'!H3,"")</f>
        <v>2.1164789518824442E-2</v>
      </c>
      <c r="AO3" s="114">
        <f>IF('Data input'!I3&lt;&gt;"",'Run CRS'!AN3/'Run CRS'!I3,"")</f>
        <v>8.7961962112899444E-2</v>
      </c>
      <c r="AP3" s="114" t="str">
        <f>IF('Data input'!J3&lt;&gt;"",'Run CRS'!AO3/'Run CRS'!J3,"")</f>
        <v/>
      </c>
      <c r="AQ3" s="114" t="str">
        <f>IF('Data input'!K3&lt;&gt;"",'Run CRS'!AP3/'Run CRS'!K3,"")</f>
        <v/>
      </c>
      <c r="AR3" s="115" t="str">
        <f>IF('Data input'!L3&lt;&gt;"",'Run CRS'!AQ3/'Run CRS'!L3,"")</f>
        <v/>
      </c>
    </row>
    <row r="4" spans="1:44" x14ac:dyDescent="0.35">
      <c r="A4" s="102">
        <f>IF('Run CRS'!AF4&lt;&gt;"",'Run CRS'!AF4,"")</f>
        <v>2</v>
      </c>
      <c r="B4" s="103" t="str">
        <f>IF('Run CRS'!AG4&lt;&gt;"",'Run CRS'!AG4,"")</f>
        <v>Alaska</v>
      </c>
      <c r="C4" s="104">
        <f>IF('Run CRS'!AR4&lt;&gt;"",'Run CRS'!AR4,"")</f>
        <v>0.43952199655651064</v>
      </c>
      <c r="D4" s="104" t="str">
        <f>IF(ROUND(C4,3)=100%,"Optimal frontier",'Run CRS'!BW4)</f>
        <v xml:space="preserve">Nevada; Texas; </v>
      </c>
      <c r="E4" s="105">
        <f>IF('Run CRS'!BC4&lt;&gt;"",'Run CRS'!BC4,"")</f>
        <v>0.98769964482058537</v>
      </c>
      <c r="F4" s="106" t="str">
        <f>IF('Run CRS'!BD4&lt;&gt;"",'Run CRS'!BD4,"")</f>
        <v/>
      </c>
      <c r="G4" s="106" t="str">
        <f>IF('Run CRS'!BE4&lt;&gt;"",'Run CRS'!BE4,"")</f>
        <v/>
      </c>
      <c r="H4" s="106" t="str">
        <f>IF('Run CRS'!BF4&lt;&gt;"",'Run CRS'!BF4,"")</f>
        <v/>
      </c>
      <c r="I4" s="106" t="str">
        <f>IF('Run CRS'!BG4&lt;&gt;"",'Run CRS'!BG4,"")</f>
        <v/>
      </c>
      <c r="J4" s="106">
        <f>IF('Run CRS'!BH4&lt;&gt;"",'Run CRS'!BH4,"")</f>
        <v>0.29574268608420123</v>
      </c>
      <c r="K4" s="105">
        <f>IF('Run CRS'!BI4&lt;&gt;"",'Run CRS'!BI4,"")</f>
        <v>0</v>
      </c>
      <c r="L4" s="105" t="str">
        <f>IF('Run CRS'!BJ4&lt;&gt;"",'Run CRS'!BJ4,"")</f>
        <v/>
      </c>
      <c r="M4" s="105" t="str">
        <f>IF('Run CRS'!BK4&lt;&gt;"",'Run CRS'!BK4,"")</f>
        <v/>
      </c>
      <c r="N4" s="105" t="str">
        <f>IF('Run CRS'!BL4&lt;&gt;"",'Run CRS'!BL4,"")</f>
        <v/>
      </c>
      <c r="O4" s="105">
        <f>IF('Run CRS'!BM4&lt;&gt;"",'Run CRS'!BM4,"")</f>
        <v>4.5650106195714191E-2</v>
      </c>
      <c r="P4" s="106" t="str">
        <f>IF('Run CRS'!BN4&lt;&gt;"",'Run CRS'!BN4,"")</f>
        <v/>
      </c>
      <c r="Q4" s="106" t="str">
        <f>IF('Run CRS'!BO4&lt;&gt;"",'Run CRS'!BO4,"")</f>
        <v/>
      </c>
      <c r="R4" s="106" t="str">
        <f>IF('Run CRS'!BP4&lt;&gt;"",'Run CRS'!BP4,"")</f>
        <v/>
      </c>
      <c r="S4" s="106" t="str">
        <f>IF('Run CRS'!BQ4&lt;&gt;"",'Run CRS'!BQ4,"")</f>
        <v/>
      </c>
      <c r="T4" s="106">
        <f>IF('Run CRS'!BR4&lt;&gt;"",'Run CRS'!BR4,"")</f>
        <v>-87.1113232752313</v>
      </c>
      <c r="U4" s="105">
        <f>IF('Run CRS'!BS4&lt;&gt;"",'Run CRS'!BS4,"")</f>
        <v>0</v>
      </c>
      <c r="V4" s="105" t="str">
        <f>IF('Run CRS'!BT4&lt;&gt;"",'Run CRS'!BT4,"")</f>
        <v/>
      </c>
      <c r="W4" s="105" t="str">
        <f>IF('Run CRS'!BU4&lt;&gt;"",'Run CRS'!BU4,"")</f>
        <v/>
      </c>
      <c r="X4" s="107" t="str">
        <f>IF('Run CRS'!BV4&lt;&gt;"",'Run CRS'!BV4,"")</f>
        <v/>
      </c>
      <c r="Y4" s="114">
        <f>IF('Data input'!C4&lt;&gt;"",O4/'Data input'!C4*100%,"")</f>
        <v>4.8458286240817626E-2</v>
      </c>
      <c r="Z4" s="114" t="str">
        <f>IF('Data input'!D4&lt;&gt;"",P4/'Data input'!D4*100%,"")</f>
        <v/>
      </c>
      <c r="AA4" s="114" t="str">
        <f>IF('Data input'!E4&lt;&gt;"",Q4/'Data input'!E4*100%,"")</f>
        <v/>
      </c>
      <c r="AB4" s="114" t="str">
        <f>IF('Data input'!F4&lt;&gt;"",R4/'Data input'!F4*100%,"")</f>
        <v/>
      </c>
      <c r="AC4" s="114" t="str">
        <f>IF('Data input'!G4&lt;&gt;"",S4/'Data input'!G4*100%,"")</f>
        <v/>
      </c>
      <c r="AD4" s="114">
        <f>IF('Data input'!H4&lt;&gt;"",T4/'Data input'!H4*100%,"")</f>
        <v>-0.99661648995042251</v>
      </c>
      <c r="AE4" s="114" t="e">
        <f>IF('Data input'!I4&lt;&gt;"",U4/'Data input'!I4*100%,"")</f>
        <v>#DIV/0!</v>
      </c>
      <c r="AF4" s="114" t="str">
        <f>IF('Data input'!J4&lt;&gt;"",V4/'Data input'!J4*100%,"")</f>
        <v/>
      </c>
      <c r="AG4" s="114" t="str">
        <f>IF('Data input'!K4&lt;&gt;"",W4/'Data input'!K4*100%,"")</f>
        <v/>
      </c>
      <c r="AH4" s="115" t="str">
        <f>IF('Data input'!L4&lt;&gt;"",X4/'Data input'!L4*100%,"")</f>
        <v/>
      </c>
      <c r="AI4" s="114">
        <f>IF('Data input'!C4&lt;&gt;"",'Run CRS'!AH4/'Run CRS'!C4,"")</f>
        <v>0.35862312103028715</v>
      </c>
      <c r="AJ4" s="114" t="str">
        <f>IF('Data input'!D4&lt;&gt;"",'Run CRS'!AI4/'Run CRS'!D4,"")</f>
        <v/>
      </c>
      <c r="AK4" s="114" t="str">
        <f>IF('Data input'!E4&lt;&gt;"",'Run CRS'!AJ4/'Run CRS'!E4,"")</f>
        <v/>
      </c>
      <c r="AL4" s="114" t="str">
        <f>IF('Data input'!F4&lt;&gt;"",'Run CRS'!AK4/'Run CRS'!F4,"")</f>
        <v/>
      </c>
      <c r="AM4" s="114" t="str">
        <f>IF('Data input'!G4&lt;&gt;"",'Run CRS'!AL4/'Run CRS'!G4,"")</f>
        <v/>
      </c>
      <c r="AN4" s="114">
        <f>IF('Data input'!H4&lt;&gt;"",'Run CRS'!AM4/'Run CRS'!H4,"")</f>
        <v>0.79999999999999838</v>
      </c>
      <c r="AO4" s="114">
        <f>IF('Data input'!I4&lt;&gt;"",'Run CRS'!AN4/'Run CRS'!I4,"")</f>
        <v>0</v>
      </c>
      <c r="AP4" s="114" t="str">
        <f>IF('Data input'!J4&lt;&gt;"",'Run CRS'!AO4/'Run CRS'!J4,"")</f>
        <v/>
      </c>
      <c r="AQ4" s="114" t="str">
        <f>IF('Data input'!K4&lt;&gt;"",'Run CRS'!AP4/'Run CRS'!K4,"")</f>
        <v/>
      </c>
      <c r="AR4" s="115" t="str">
        <f>IF('Data input'!L4&lt;&gt;"",'Run CRS'!AQ4/'Run CRS'!L4,"")</f>
        <v/>
      </c>
    </row>
    <row r="5" spans="1:44" x14ac:dyDescent="0.35">
      <c r="A5" s="102">
        <f>IF('Run CRS'!AF5&lt;&gt;"",'Run CRS'!AF5,"")</f>
        <v>3</v>
      </c>
      <c r="B5" s="103" t="str">
        <f>IF('Run CRS'!AG5&lt;&gt;"",'Run CRS'!AG5,"")</f>
        <v>Arizona</v>
      </c>
      <c r="C5" s="104">
        <f>IF('Run CRS'!AR5&lt;&gt;"",'Run CRS'!AR5,"")</f>
        <v>0.84713549812730937</v>
      </c>
      <c r="D5" s="104" t="str">
        <f>IF(ROUND(C5,3)=100%,"Optimal frontier",'Run CRS'!BW5)</f>
        <v xml:space="preserve">Texas; Utah; </v>
      </c>
      <c r="E5" s="105">
        <f>IF('Run CRS'!BC5&lt;&gt;"",'Run CRS'!BC5,"")</f>
        <v>0.98972783176683632</v>
      </c>
      <c r="F5" s="106" t="str">
        <f>IF('Run CRS'!BD5&lt;&gt;"",'Run CRS'!BD5,"")</f>
        <v/>
      </c>
      <c r="G5" s="106" t="str">
        <f>IF('Run CRS'!BE5&lt;&gt;"",'Run CRS'!BE5,"")</f>
        <v/>
      </c>
      <c r="H5" s="106" t="str">
        <f>IF('Run CRS'!BF5&lt;&gt;"",'Run CRS'!BF5,"")</f>
        <v/>
      </c>
      <c r="I5" s="106" t="str">
        <f>IF('Run CRS'!BG5&lt;&gt;"",'Run CRS'!BG5,"")</f>
        <v/>
      </c>
      <c r="J5" s="106">
        <f>IF('Run CRS'!BH5&lt;&gt;"",'Run CRS'!BH5,"")</f>
        <v>0.31340090115919317</v>
      </c>
      <c r="K5" s="105">
        <f>IF('Run CRS'!BI5&lt;&gt;"",'Run CRS'!BI5,"")</f>
        <v>5.68799027647287E-2</v>
      </c>
      <c r="L5" s="105" t="str">
        <f>IF('Run CRS'!BJ5&lt;&gt;"",'Run CRS'!BJ5,"")</f>
        <v/>
      </c>
      <c r="M5" s="105" t="str">
        <f>IF('Run CRS'!BK5&lt;&gt;"",'Run CRS'!BK5,"")</f>
        <v/>
      </c>
      <c r="N5" s="105" t="str">
        <f>IF('Run CRS'!BL5&lt;&gt;"",'Run CRS'!BL5,"")</f>
        <v/>
      </c>
      <c r="O5" s="105">
        <f>IF('Run CRS'!BM5&lt;&gt;"",'Run CRS'!BM5,"")</f>
        <v>0</v>
      </c>
      <c r="P5" s="106" t="str">
        <f>IF('Run CRS'!BN5&lt;&gt;"",'Run CRS'!BN5,"")</f>
        <v/>
      </c>
      <c r="Q5" s="106" t="str">
        <f>IF('Run CRS'!BO5&lt;&gt;"",'Run CRS'!BO5,"")</f>
        <v/>
      </c>
      <c r="R5" s="106" t="str">
        <f>IF('Run CRS'!BP5&lt;&gt;"",'Run CRS'!BP5,"")</f>
        <v/>
      </c>
      <c r="S5" s="106" t="str">
        <f>IF('Run CRS'!BQ5&lt;&gt;"",'Run CRS'!BQ5,"")</f>
        <v/>
      </c>
      <c r="T5" s="106">
        <f>IF('Run CRS'!BR5&lt;&gt;"",'Run CRS'!BR5,"")</f>
        <v>-2.2931331938377042</v>
      </c>
      <c r="U5" s="105">
        <f>IF('Run CRS'!BS5&lt;&gt;"",'Run CRS'!BS5,"")</f>
        <v>-1.1783134137872638E-2</v>
      </c>
      <c r="V5" s="105" t="str">
        <f>IF('Run CRS'!BT5&lt;&gt;"",'Run CRS'!BT5,"")</f>
        <v/>
      </c>
      <c r="W5" s="105" t="str">
        <f>IF('Run CRS'!BU5&lt;&gt;"",'Run CRS'!BU5,"")</f>
        <v/>
      </c>
      <c r="X5" s="107" t="str">
        <f>IF('Run CRS'!BV5&lt;&gt;"",'Run CRS'!BV5,"")</f>
        <v/>
      </c>
      <c r="Y5" s="114">
        <f>IF('Data input'!C5&lt;&gt;"",O5/'Data input'!C5*100%,"")</f>
        <v>0</v>
      </c>
      <c r="Z5" s="114" t="str">
        <f>IF('Data input'!D5&lt;&gt;"",P5/'Data input'!D5*100%,"")</f>
        <v/>
      </c>
      <c r="AA5" s="114" t="str">
        <f>IF('Data input'!E5&lt;&gt;"",Q5/'Data input'!E5*100%,"")</f>
        <v/>
      </c>
      <c r="AB5" s="114" t="str">
        <f>IF('Data input'!F5&lt;&gt;"",R5/'Data input'!F5*100%,"")</f>
        <v/>
      </c>
      <c r="AC5" s="114" t="str">
        <f>IF('Data input'!G5&lt;&gt;"",S5/'Data input'!G5*100%,"")</f>
        <v/>
      </c>
      <c r="AD5" s="114">
        <f>IF('Data input'!H5&lt;&gt;"",T5/'Data input'!H5*100%,"")</f>
        <v>-0.87976336017980761</v>
      </c>
      <c r="AE5" s="114">
        <f>IF('Data input'!I5&lt;&gt;"",U5/'Data input'!I5*100%,"")</f>
        <v>-0.1716081121577398</v>
      </c>
      <c r="AF5" s="114" t="str">
        <f>IF('Data input'!J5&lt;&gt;"",V5/'Data input'!J5*100%,"")</f>
        <v/>
      </c>
      <c r="AG5" s="114" t="str">
        <f>IF('Data input'!K5&lt;&gt;"",W5/'Data input'!K5*100%,"")</f>
        <v/>
      </c>
      <c r="AH5" s="115" t="str">
        <f>IF('Data input'!L5&lt;&gt;"",X5/'Data input'!L5*100%,"")</f>
        <v/>
      </c>
      <c r="AI5" s="114">
        <f>IF('Data input'!C5&lt;&gt;"",'Run CRS'!AH5/'Run CRS'!C5,"")</f>
        <v>0</v>
      </c>
      <c r="AJ5" s="114" t="str">
        <f>IF('Data input'!D5&lt;&gt;"",'Run CRS'!AI5/'Run CRS'!D5,"")</f>
        <v/>
      </c>
      <c r="AK5" s="114" t="str">
        <f>IF('Data input'!E5&lt;&gt;"",'Run CRS'!AJ5/'Run CRS'!E5,"")</f>
        <v/>
      </c>
      <c r="AL5" s="114" t="str">
        <f>IF('Data input'!F5&lt;&gt;"",'Run CRS'!AK5/'Run CRS'!F5,"")</f>
        <v/>
      </c>
      <c r="AM5" s="114" t="str">
        <f>IF('Data input'!G5&lt;&gt;"",'Run CRS'!AL5/'Run CRS'!G5,"")</f>
        <v/>
      </c>
      <c r="AN5" s="114">
        <f>IF('Data input'!H5&lt;&gt;"",'Run CRS'!AM5/'Run CRS'!H5,"")</f>
        <v>9.5195697460804196E-2</v>
      </c>
      <c r="AO5" s="114">
        <f>IF('Data input'!I5&lt;&gt;"",'Run CRS'!AN5/'Run CRS'!I5,"")</f>
        <v>0.10467243623637641</v>
      </c>
      <c r="AP5" s="114" t="str">
        <f>IF('Data input'!J5&lt;&gt;"",'Run CRS'!AO5/'Run CRS'!J5,"")</f>
        <v/>
      </c>
      <c r="AQ5" s="114" t="str">
        <f>IF('Data input'!K5&lt;&gt;"",'Run CRS'!AP5/'Run CRS'!K5,"")</f>
        <v/>
      </c>
      <c r="AR5" s="115" t="str">
        <f>IF('Data input'!L5&lt;&gt;"",'Run CRS'!AQ5/'Run CRS'!L5,"")</f>
        <v/>
      </c>
    </row>
    <row r="6" spans="1:44" x14ac:dyDescent="0.35">
      <c r="A6" s="102">
        <f>IF('Run CRS'!AF6&lt;&gt;"",'Run CRS'!AF6,"")</f>
        <v>4</v>
      </c>
      <c r="B6" s="103" t="str">
        <f>IF('Run CRS'!AG6&lt;&gt;"",'Run CRS'!AG6,"")</f>
        <v>Arkansas</v>
      </c>
      <c r="C6" s="104">
        <f>IF('Run CRS'!AR6&lt;&gt;"",'Run CRS'!AR6,"")</f>
        <v>0.75250174604310616</v>
      </c>
      <c r="D6" s="104" t="str">
        <f>IF(ROUND(C6,3)=100%,"Optimal frontier",'Run CRS'!BW6)</f>
        <v xml:space="preserve">Texas; </v>
      </c>
      <c r="E6" s="105">
        <f>IF('Run CRS'!BC6&lt;&gt;"",'Run CRS'!BC6,"")</f>
        <v>0.98908100898843487</v>
      </c>
      <c r="F6" s="106" t="str">
        <f>IF('Run CRS'!BD6&lt;&gt;"",'Run CRS'!BD6,"")</f>
        <v/>
      </c>
      <c r="G6" s="106" t="str">
        <f>IF('Run CRS'!BE6&lt;&gt;"",'Run CRS'!BE6,"")</f>
        <v/>
      </c>
      <c r="H6" s="106" t="str">
        <f>IF('Run CRS'!BF6&lt;&gt;"",'Run CRS'!BF6,"")</f>
        <v/>
      </c>
      <c r="I6" s="106" t="str">
        <f>IF('Run CRS'!BG6&lt;&gt;"",'Run CRS'!BG6,"")</f>
        <v/>
      </c>
      <c r="J6" s="106">
        <f>IF('Run CRS'!BH6&lt;&gt;"",'Run CRS'!BH6,"")</f>
        <v>0.29574268608402715</v>
      </c>
      <c r="K6" s="105">
        <f>IF('Run CRS'!BI6&lt;&gt;"",'Run CRS'!BI6,"")</f>
        <v>4.5343030965364906E-2</v>
      </c>
      <c r="L6" s="105" t="str">
        <f>IF('Run CRS'!BJ6&lt;&gt;"",'Run CRS'!BJ6,"")</f>
        <v/>
      </c>
      <c r="M6" s="105" t="str">
        <f>IF('Run CRS'!BK6&lt;&gt;"",'Run CRS'!BK6,"")</f>
        <v/>
      </c>
      <c r="N6" s="105" t="str">
        <f>IF('Run CRS'!BL6&lt;&gt;"",'Run CRS'!BL6,"")</f>
        <v/>
      </c>
      <c r="O6" s="105">
        <f>IF('Run CRS'!BM6&lt;&gt;"",'Run CRS'!BM6,"")</f>
        <v>2.2454904493197647E-2</v>
      </c>
      <c r="P6" s="106" t="str">
        <f>IF('Run CRS'!BN6&lt;&gt;"",'Run CRS'!BN6,"")</f>
        <v/>
      </c>
      <c r="Q6" s="106" t="str">
        <f>IF('Run CRS'!BO6&lt;&gt;"",'Run CRS'!BO6,"")</f>
        <v/>
      </c>
      <c r="R6" s="106" t="str">
        <f>IF('Run CRS'!BP6&lt;&gt;"",'Run CRS'!BP6,"")</f>
        <v/>
      </c>
      <c r="S6" s="106" t="str">
        <f>IF('Run CRS'!BQ6&lt;&gt;"",'Run CRS'!BQ6,"")</f>
        <v/>
      </c>
      <c r="T6" s="106">
        <f>IF('Run CRS'!BR6&lt;&gt;"",'Run CRS'!BR6,"")</f>
        <v>-2.2135652584068479</v>
      </c>
      <c r="U6" s="105">
        <f>IF('Run CRS'!BS6&lt;&gt;"",'Run CRS'!BS6,"")</f>
        <v>-9.4157695561474797E-3</v>
      </c>
      <c r="V6" s="105" t="str">
        <f>IF('Run CRS'!BT6&lt;&gt;"",'Run CRS'!BT6,"")</f>
        <v/>
      </c>
      <c r="W6" s="105" t="str">
        <f>IF('Run CRS'!BU6&lt;&gt;"",'Run CRS'!BU6,"")</f>
        <v/>
      </c>
      <c r="X6" s="107" t="str">
        <f>IF('Run CRS'!BV6&lt;&gt;"",'Run CRS'!BV6,"")</f>
        <v/>
      </c>
      <c r="Y6" s="114">
        <f>IF('Data input'!C6&lt;&gt;"",O6/'Data input'!C6*100%,"")</f>
        <v>2.3230186303444991E-2</v>
      </c>
      <c r="Z6" s="114" t="str">
        <f>IF('Data input'!D6&lt;&gt;"",P6/'Data input'!D6*100%,"")</f>
        <v/>
      </c>
      <c r="AA6" s="114" t="str">
        <f>IF('Data input'!E6&lt;&gt;"",Q6/'Data input'!E6*100%,"")</f>
        <v/>
      </c>
      <c r="AB6" s="114" t="str">
        <f>IF('Data input'!F6&lt;&gt;"",R6/'Data input'!F6*100%,"")</f>
        <v/>
      </c>
      <c r="AC6" s="114" t="str">
        <f>IF('Data input'!G6&lt;&gt;"",S6/'Data input'!G6*100%,"")</f>
        <v/>
      </c>
      <c r="AD6" s="114">
        <f>IF('Data input'!H6&lt;&gt;"",T6/'Data input'!H6*100%,"")</f>
        <v>-0.88214173284975927</v>
      </c>
      <c r="AE6" s="114">
        <f>IF('Data input'!I6&lt;&gt;"",U6/'Data input'!I6*100%,"")</f>
        <v>-0.17194988689440754</v>
      </c>
      <c r="AF6" s="114" t="str">
        <f>IF('Data input'!J6&lt;&gt;"",V6/'Data input'!J6*100%,"")</f>
        <v/>
      </c>
      <c r="AG6" s="114" t="str">
        <f>IF('Data input'!K6&lt;&gt;"",W6/'Data input'!K6*100%,"")</f>
        <v/>
      </c>
      <c r="AH6" s="115" t="str">
        <f>IF('Data input'!L6&lt;&gt;"",X6/'Data input'!L6*100%,"")</f>
        <v/>
      </c>
      <c r="AI6" s="114">
        <f>IF('Data input'!C6&lt;&gt;"",'Run CRS'!AH6/'Run CRS'!C6,"")</f>
        <v>0.14785680314762897</v>
      </c>
      <c r="AJ6" s="114" t="str">
        <f>IF('Data input'!D6&lt;&gt;"",'Run CRS'!AI6/'Run CRS'!D6,"")</f>
        <v/>
      </c>
      <c r="AK6" s="114" t="str">
        <f>IF('Data input'!E6&lt;&gt;"",'Run CRS'!AJ6/'Run CRS'!E6,"")</f>
        <v/>
      </c>
      <c r="AL6" s="114" t="str">
        <f>IF('Data input'!F6&lt;&gt;"",'Run CRS'!AK6/'Run CRS'!F6,"")</f>
        <v/>
      </c>
      <c r="AM6" s="114" t="str">
        <f>IF('Data input'!G6&lt;&gt;"",'Run CRS'!AL6/'Run CRS'!G6,"")</f>
        <v/>
      </c>
      <c r="AN6" s="114">
        <f>IF('Data input'!H6&lt;&gt;"",'Run CRS'!AM6/'Run CRS'!H6,"")</f>
        <v>9.2264962459151334E-2</v>
      </c>
      <c r="AO6" s="114">
        <f>IF('Data input'!I6&lt;&gt;"",'Run CRS'!AN6/'Run CRS'!I6,"")</f>
        <v>9.5429510411345786E-2</v>
      </c>
      <c r="AP6" s="114" t="str">
        <f>IF('Data input'!J6&lt;&gt;"",'Run CRS'!AO6/'Run CRS'!J6,"")</f>
        <v/>
      </c>
      <c r="AQ6" s="114" t="str">
        <f>IF('Data input'!K6&lt;&gt;"",'Run CRS'!AP6/'Run CRS'!K6,"")</f>
        <v/>
      </c>
      <c r="AR6" s="115" t="str">
        <f>IF('Data input'!L6&lt;&gt;"",'Run CRS'!AQ6/'Run CRS'!L6,"")</f>
        <v/>
      </c>
    </row>
    <row r="7" spans="1:44" x14ac:dyDescent="0.35">
      <c r="A7" s="102">
        <f>IF('Run CRS'!AF7&lt;&gt;"",'Run CRS'!AF7,"")</f>
        <v>5</v>
      </c>
      <c r="B7" s="103" t="str">
        <f>IF('Run CRS'!AG7&lt;&gt;"",'Run CRS'!AG7,"")</f>
        <v>California</v>
      </c>
      <c r="C7" s="104">
        <f>IF('Run CRS'!AR7&lt;&gt;"",'Run CRS'!AR7,"")</f>
        <v>0.65578013716521466</v>
      </c>
      <c r="D7" s="104" t="str">
        <f>IF(ROUND(C7,3)=100%,"Optimal frontier",'Run CRS'!BW7)</f>
        <v xml:space="preserve">Texas; </v>
      </c>
      <c r="E7" s="105">
        <f>IF('Run CRS'!BC7&lt;&gt;"",'Run CRS'!BC7,"")</f>
        <v>0.98873396379033551</v>
      </c>
      <c r="F7" s="106" t="str">
        <f>IF('Run CRS'!BD7&lt;&gt;"",'Run CRS'!BD7,"")</f>
        <v/>
      </c>
      <c r="G7" s="106" t="str">
        <f>IF('Run CRS'!BE7&lt;&gt;"",'Run CRS'!BE7,"")</f>
        <v/>
      </c>
      <c r="H7" s="106" t="str">
        <f>IF('Run CRS'!BF7&lt;&gt;"",'Run CRS'!BF7,"")</f>
        <v/>
      </c>
      <c r="I7" s="106" t="str">
        <f>IF('Run CRS'!BG7&lt;&gt;"",'Run CRS'!BG7,"")</f>
        <v/>
      </c>
      <c r="J7" s="106">
        <f>IF('Run CRS'!BH7&lt;&gt;"",'Run CRS'!BH7,"")</f>
        <v>0.29574268608402715</v>
      </c>
      <c r="K7" s="105">
        <f>IF('Run CRS'!BI7&lt;&gt;"",'Run CRS'!BI7,"")</f>
        <v>8.5775270154160088E-2</v>
      </c>
      <c r="L7" s="105" t="str">
        <f>IF('Run CRS'!BJ7&lt;&gt;"",'Run CRS'!BJ7,"")</f>
        <v/>
      </c>
      <c r="M7" s="105" t="str">
        <f>IF('Run CRS'!BK7&lt;&gt;"",'Run CRS'!BK7,"")</f>
        <v/>
      </c>
      <c r="N7" s="105" t="str">
        <f>IF('Run CRS'!BL7&lt;&gt;"",'Run CRS'!BL7,"")</f>
        <v/>
      </c>
      <c r="O7" s="105">
        <f>IF('Run CRS'!BM7&lt;&gt;"",'Run CRS'!BM7,"")</f>
        <v>3.6049880939103107E-2</v>
      </c>
      <c r="P7" s="106" t="str">
        <f>IF('Run CRS'!BN7&lt;&gt;"",'Run CRS'!BN7,"")</f>
        <v/>
      </c>
      <c r="Q7" s="106" t="str">
        <f>IF('Run CRS'!BO7&lt;&gt;"",'Run CRS'!BO7,"")</f>
        <v/>
      </c>
      <c r="R7" s="106" t="str">
        <f>IF('Run CRS'!BP7&lt;&gt;"",'Run CRS'!BP7,"")</f>
        <v/>
      </c>
      <c r="S7" s="106" t="str">
        <f>IF('Run CRS'!BQ7&lt;&gt;"",'Run CRS'!BQ7,"")</f>
        <v/>
      </c>
      <c r="T7" s="106">
        <f>IF('Run CRS'!BR7&lt;&gt;"",'Run CRS'!BR7,"")</f>
        <v>-1.1241261579831017</v>
      </c>
      <c r="U7" s="105">
        <f>IF('Run CRS'!BS7&lt;&gt;"",'Run CRS'!BS7,"")</f>
        <v>-1.8029990058486808E-2</v>
      </c>
      <c r="V7" s="105" t="str">
        <f>IF('Run CRS'!BT7&lt;&gt;"",'Run CRS'!BT7,"")</f>
        <v/>
      </c>
      <c r="W7" s="105" t="str">
        <f>IF('Run CRS'!BU7&lt;&gt;"",'Run CRS'!BU7,"")</f>
        <v/>
      </c>
      <c r="X7" s="107" t="str">
        <f>IF('Run CRS'!BV7&lt;&gt;"",'Run CRS'!BV7,"")</f>
        <v/>
      </c>
      <c r="Y7" s="114">
        <f>IF('Data input'!C7&lt;&gt;"",O7/'Data input'!C7*100%,"")</f>
        <v>3.7840330900891644E-2</v>
      </c>
      <c r="Z7" s="114" t="str">
        <f>IF('Data input'!D7&lt;&gt;"",P7/'Data input'!D7*100%,"")</f>
        <v/>
      </c>
      <c r="AA7" s="114" t="str">
        <f>IF('Data input'!E7&lt;&gt;"",Q7/'Data input'!E7*100%,"")</f>
        <v/>
      </c>
      <c r="AB7" s="114" t="str">
        <f>IF('Data input'!F7&lt;&gt;"",R7/'Data input'!F7*100%,"")</f>
        <v/>
      </c>
      <c r="AC7" s="114" t="str">
        <f>IF('Data input'!G7&lt;&gt;"",S7/'Data input'!G7*100%,"")</f>
        <v/>
      </c>
      <c r="AD7" s="114">
        <f>IF('Data input'!H7&lt;&gt;"",T7/'Data input'!H7*100%,"")</f>
        <v>-0.79171126451589013</v>
      </c>
      <c r="AE7" s="114">
        <f>IF('Data input'!I7&lt;&gt;"",U7/'Data input'!I7*100%,"")</f>
        <v>-0.17369052417528802</v>
      </c>
      <c r="AF7" s="114" t="str">
        <f>IF('Data input'!J7&lt;&gt;"",V7/'Data input'!J7*100%,"")</f>
        <v/>
      </c>
      <c r="AG7" s="114" t="str">
        <f>IF('Data input'!K7&lt;&gt;"",W7/'Data input'!K7*100%,"")</f>
        <v/>
      </c>
      <c r="AH7" s="115" t="str">
        <f>IF('Data input'!L7&lt;&gt;"",X7/'Data input'!L7*100%,"")</f>
        <v/>
      </c>
      <c r="AI7" s="114">
        <f>IF('Data input'!C7&lt;&gt;"",'Run CRS'!AH7/'Run CRS'!C7,"")</f>
        <v>0.26136881463153366</v>
      </c>
      <c r="AJ7" s="114" t="str">
        <f>IF('Data input'!D7&lt;&gt;"",'Run CRS'!AI7/'Run CRS'!D7,"")</f>
        <v/>
      </c>
      <c r="AK7" s="114" t="str">
        <f>IF('Data input'!E7&lt;&gt;"",'Run CRS'!AJ7/'Run CRS'!E7,"")</f>
        <v/>
      </c>
      <c r="AL7" s="114" t="str">
        <f>IF('Data input'!F7&lt;&gt;"",'Run CRS'!AK7/'Run CRS'!F7,"")</f>
        <v/>
      </c>
      <c r="AM7" s="114" t="str">
        <f>IF('Data input'!G7&lt;&gt;"",'Run CRS'!AL7/'Run CRS'!G7,"")</f>
        <v/>
      </c>
      <c r="AN7" s="114">
        <f>IF('Data input'!H7&lt;&gt;"",'Run CRS'!AM7/'Run CRS'!H7,"")</f>
        <v>4.9084283894267201E-2</v>
      </c>
      <c r="AO7" s="114">
        <f>IF('Data input'!I7&lt;&gt;"",'Run CRS'!AN7/'Run CRS'!I7,"")</f>
        <v>0.12206035098994167</v>
      </c>
      <c r="AP7" s="114" t="str">
        <f>IF('Data input'!J7&lt;&gt;"",'Run CRS'!AO7/'Run CRS'!J7,"")</f>
        <v/>
      </c>
      <c r="AQ7" s="114" t="str">
        <f>IF('Data input'!K7&lt;&gt;"",'Run CRS'!AP7/'Run CRS'!K7,"")</f>
        <v/>
      </c>
      <c r="AR7" s="115" t="str">
        <f>IF('Data input'!L7&lt;&gt;"",'Run CRS'!AQ7/'Run CRS'!L7,"")</f>
        <v/>
      </c>
    </row>
    <row r="8" spans="1:44" x14ac:dyDescent="0.35">
      <c r="A8" s="102">
        <f>IF('Run CRS'!AF8&lt;&gt;"",'Run CRS'!AF8,"")</f>
        <v>6</v>
      </c>
      <c r="B8" s="103" t="str">
        <f>IF('Run CRS'!AG8&lt;&gt;"",'Run CRS'!AG8,"")</f>
        <v>Colorado</v>
      </c>
      <c r="C8" s="104">
        <f>IF('Run CRS'!AR8&lt;&gt;"",'Run CRS'!AR8,"")</f>
        <v>0.58468312592357052</v>
      </c>
      <c r="D8" s="104" t="str">
        <f>IF(ROUND(C8,3)=100%,"Optimal frontier",'Run CRS'!BW8)</f>
        <v xml:space="preserve">Texas; </v>
      </c>
      <c r="E8" s="105">
        <f>IF('Run CRS'!BC8&lt;&gt;"",'Run CRS'!BC8,"")</f>
        <v>0.98846552645912433</v>
      </c>
      <c r="F8" s="106" t="str">
        <f>IF('Run CRS'!BD8&lt;&gt;"",'Run CRS'!BD8,"")</f>
        <v/>
      </c>
      <c r="G8" s="106" t="str">
        <f>IF('Run CRS'!BE8&lt;&gt;"",'Run CRS'!BE8,"")</f>
        <v/>
      </c>
      <c r="H8" s="106" t="str">
        <f>IF('Run CRS'!BF8&lt;&gt;"",'Run CRS'!BF8,"")</f>
        <v/>
      </c>
      <c r="I8" s="106" t="str">
        <f>IF('Run CRS'!BG8&lt;&gt;"",'Run CRS'!BG8,"")</f>
        <v/>
      </c>
      <c r="J8" s="106">
        <f>IF('Run CRS'!BH8&lt;&gt;"",'Run CRS'!BH8,"")</f>
        <v>0.29574268608400783</v>
      </c>
      <c r="K8" s="105">
        <f>IF('Run CRS'!BI8&lt;&gt;"",'Run CRS'!BI8,"")</f>
        <v>8.3666075183885885E-2</v>
      </c>
      <c r="L8" s="105" t="str">
        <f>IF('Run CRS'!BJ8&lt;&gt;"",'Run CRS'!BJ8,"")</f>
        <v/>
      </c>
      <c r="M8" s="105" t="str">
        <f>IF('Run CRS'!BK8&lt;&gt;"",'Run CRS'!BK8,"")</f>
        <v/>
      </c>
      <c r="N8" s="105" t="str">
        <f>IF('Run CRS'!BL8&lt;&gt;"",'Run CRS'!BL8,"")</f>
        <v/>
      </c>
      <c r="O8" s="105">
        <f>IF('Run CRS'!BM8&lt;&gt;"",'Run CRS'!BM8,"")</f>
        <v>4.6565511799380732E-2</v>
      </c>
      <c r="P8" s="106" t="str">
        <f>IF('Run CRS'!BN8&lt;&gt;"",'Run CRS'!BN8,"")</f>
        <v/>
      </c>
      <c r="Q8" s="106" t="str">
        <f>IF('Run CRS'!BO8&lt;&gt;"",'Run CRS'!BO8,"")</f>
        <v/>
      </c>
      <c r="R8" s="106" t="str">
        <f>IF('Run CRS'!BP8&lt;&gt;"",'Run CRS'!BP8,"")</f>
        <v/>
      </c>
      <c r="S8" s="106" t="str">
        <f>IF('Run CRS'!BQ8&lt;&gt;"",'Run CRS'!BQ8,"")</f>
        <v/>
      </c>
      <c r="T8" s="106">
        <f>IF('Run CRS'!BR8&lt;&gt;"",'Run CRS'!BR8,"")</f>
        <v>-2.6813594066364574</v>
      </c>
      <c r="U8" s="105">
        <f>IF('Run CRS'!BS8&lt;&gt;"",'Run CRS'!BS8,"")</f>
        <v>-1.7580619187100133E-2</v>
      </c>
      <c r="V8" s="105" t="str">
        <f>IF('Run CRS'!BT8&lt;&gt;"",'Run CRS'!BT8,"")</f>
        <v/>
      </c>
      <c r="W8" s="105" t="str">
        <f>IF('Run CRS'!BU8&lt;&gt;"",'Run CRS'!BU8,"")</f>
        <v/>
      </c>
      <c r="X8" s="107" t="str">
        <f>IF('Run CRS'!BV8&lt;&gt;"",'Run CRS'!BV8,"")</f>
        <v/>
      </c>
      <c r="Y8" s="114">
        <f>IF('Data input'!C8&lt;&gt;"",O8/'Data input'!C8*100%,"")</f>
        <v>4.9437850169481393E-2</v>
      </c>
      <c r="Z8" s="114" t="str">
        <f>IF('Data input'!D8&lt;&gt;"",P8/'Data input'!D8*100%,"")</f>
        <v/>
      </c>
      <c r="AA8" s="114" t="str">
        <f>IF('Data input'!E8&lt;&gt;"",Q8/'Data input'!E8*100%,"")</f>
        <v/>
      </c>
      <c r="AB8" s="114" t="str">
        <f>IF('Data input'!F8&lt;&gt;"",R8/'Data input'!F8*100%,"")</f>
        <v/>
      </c>
      <c r="AC8" s="114" t="str">
        <f>IF('Data input'!G8&lt;&gt;"",S8/'Data input'!G8*100%,"")</f>
        <v/>
      </c>
      <c r="AD8" s="114">
        <f>IF('Data input'!H8&lt;&gt;"",T8/'Data input'!H8*100%,"")</f>
        <v>-0.90066088535991073</v>
      </c>
      <c r="AE8" s="114">
        <f>IF('Data input'!I8&lt;&gt;"",U8/'Data input'!I8*100%,"")</f>
        <v>-0.17364141413527631</v>
      </c>
      <c r="AF8" s="114" t="str">
        <f>IF('Data input'!J8&lt;&gt;"",V8/'Data input'!J8*100%,"")</f>
        <v/>
      </c>
      <c r="AG8" s="114" t="str">
        <f>IF('Data input'!K8&lt;&gt;"",W8/'Data input'!K8*100%,"")</f>
        <v/>
      </c>
      <c r="AH8" s="115" t="str">
        <f>IF('Data input'!L8&lt;&gt;"",X8/'Data input'!L8*100%,"")</f>
        <v/>
      </c>
      <c r="AI8" s="114">
        <f>IF('Data input'!C8&lt;&gt;"",'Run CRS'!AH8/'Run CRS'!C8,"")</f>
        <v>0.36624467310358244</v>
      </c>
      <c r="AJ8" s="114" t="str">
        <f>IF('Data input'!D8&lt;&gt;"",'Run CRS'!AI8/'Run CRS'!D8,"")</f>
        <v/>
      </c>
      <c r="AK8" s="114" t="str">
        <f>IF('Data input'!E8&lt;&gt;"",'Run CRS'!AJ8/'Run CRS'!E8,"")</f>
        <v/>
      </c>
      <c r="AL8" s="114" t="str">
        <f>IF('Data input'!F8&lt;&gt;"",'Run CRS'!AK8/'Run CRS'!F8,"")</f>
        <v/>
      </c>
      <c r="AM8" s="114" t="str">
        <f>IF('Data input'!G8&lt;&gt;"",'Run CRS'!AL8/'Run CRS'!G8,"")</f>
        <v/>
      </c>
      <c r="AN8" s="114">
        <f>IF('Data input'!H8&lt;&gt;"",'Run CRS'!AM8/'Run CRS'!H8,"")</f>
        <v>0.10962584541523801</v>
      </c>
      <c r="AO8" s="114">
        <f>IF('Data input'!I8&lt;&gt;"",'Run CRS'!AN8/'Run CRS'!I8,"")</f>
        <v>0.12111604132672797</v>
      </c>
      <c r="AP8" s="114" t="str">
        <f>IF('Data input'!J8&lt;&gt;"",'Run CRS'!AO8/'Run CRS'!J8,"")</f>
        <v/>
      </c>
      <c r="AQ8" s="114" t="str">
        <f>IF('Data input'!K8&lt;&gt;"",'Run CRS'!AP8/'Run CRS'!K8,"")</f>
        <v/>
      </c>
      <c r="AR8" s="115" t="str">
        <f>IF('Data input'!L8&lt;&gt;"",'Run CRS'!AQ8/'Run CRS'!L8,"")</f>
        <v/>
      </c>
    </row>
    <row r="9" spans="1:44" x14ac:dyDescent="0.35">
      <c r="A9" s="102">
        <f>IF('Run CRS'!AF9&lt;&gt;"",'Run CRS'!AF9,"")</f>
        <v>7</v>
      </c>
      <c r="B9" s="103" t="str">
        <f>IF('Run CRS'!AG9&lt;&gt;"",'Run CRS'!AG9,"")</f>
        <v>Connecticut</v>
      </c>
      <c r="C9" s="104">
        <f>IF('Run CRS'!AR9&lt;&gt;"",'Run CRS'!AR9,"")</f>
        <v>0.42784789933931194</v>
      </c>
      <c r="D9" s="104" t="str">
        <f>IF(ROUND(C9,3)=100%,"Optimal frontier",'Run CRS'!BW9)</f>
        <v xml:space="preserve">Texas; </v>
      </c>
      <c r="E9" s="105">
        <f>IF('Run CRS'!BC9&lt;&gt;"",'Run CRS'!BC9,"")</f>
        <v>0.98787807530444127</v>
      </c>
      <c r="F9" s="106" t="str">
        <f>IF('Run CRS'!BD9&lt;&gt;"",'Run CRS'!BD9,"")</f>
        <v/>
      </c>
      <c r="G9" s="106" t="str">
        <f>IF('Run CRS'!BE9&lt;&gt;"",'Run CRS'!BE9,"")</f>
        <v/>
      </c>
      <c r="H9" s="106" t="str">
        <f>IF('Run CRS'!BF9&lt;&gt;"",'Run CRS'!BF9,"")</f>
        <v/>
      </c>
      <c r="I9" s="106" t="str">
        <f>IF('Run CRS'!BG9&lt;&gt;"",'Run CRS'!BG9,"")</f>
        <v/>
      </c>
      <c r="J9" s="106">
        <f>IF('Run CRS'!BH9&lt;&gt;"",'Run CRS'!BH9,"")</f>
        <v>0.29574268608402715</v>
      </c>
      <c r="K9" s="105">
        <f>IF('Run CRS'!BI9&lt;&gt;"",'Run CRS'!BI9,"")</f>
        <v>1.9646461555761306E-2</v>
      </c>
      <c r="L9" s="105" t="str">
        <f>IF('Run CRS'!BJ9&lt;&gt;"",'Run CRS'!BJ9,"")</f>
        <v/>
      </c>
      <c r="M9" s="105" t="str">
        <f>IF('Run CRS'!BK9&lt;&gt;"",'Run CRS'!BK9,"")</f>
        <v/>
      </c>
      <c r="N9" s="105" t="str">
        <f>IF('Run CRS'!BL9&lt;&gt;"",'Run CRS'!BL9,"")</f>
        <v/>
      </c>
      <c r="O9" s="105">
        <f>IF('Run CRS'!BM9&lt;&gt;"",'Run CRS'!BM9,"")</f>
        <v>6.9578031940210394E-2</v>
      </c>
      <c r="P9" s="106" t="str">
        <f>IF('Run CRS'!BN9&lt;&gt;"",'Run CRS'!BN9,"")</f>
        <v/>
      </c>
      <c r="Q9" s="106" t="str">
        <f>IF('Run CRS'!BO9&lt;&gt;"",'Run CRS'!BO9,"")</f>
        <v/>
      </c>
      <c r="R9" s="106" t="str">
        <f>IF('Run CRS'!BP9&lt;&gt;"",'Run CRS'!BP9,"")</f>
        <v/>
      </c>
      <c r="S9" s="106" t="str">
        <f>IF('Run CRS'!BQ9&lt;&gt;"",'Run CRS'!BQ9,"")</f>
        <v/>
      </c>
      <c r="T9" s="106">
        <f>IF('Run CRS'!BR9&lt;&gt;"",'Run CRS'!BR9,"")</f>
        <v>-19.929151819669965</v>
      </c>
      <c r="U9" s="105">
        <f>IF('Run CRS'!BS9&lt;&gt;"",'Run CRS'!BS9,"")</f>
        <v>-3.9410315874092924E-3</v>
      </c>
      <c r="V9" s="105" t="str">
        <f>IF('Run CRS'!BT9&lt;&gt;"",'Run CRS'!BT9,"")</f>
        <v/>
      </c>
      <c r="W9" s="105" t="str">
        <f>IF('Run CRS'!BU9&lt;&gt;"",'Run CRS'!BU9,"")</f>
        <v/>
      </c>
      <c r="X9" s="107" t="str">
        <f>IF('Run CRS'!BV9&lt;&gt;"",'Run CRS'!BV9,"")</f>
        <v/>
      </c>
      <c r="Y9" s="114">
        <f>IF('Data input'!C9&lt;&gt;"",O9/'Data input'!C9*100%,"")</f>
        <v>7.5768298654662308E-2</v>
      </c>
      <c r="Z9" s="114" t="str">
        <f>IF('Data input'!D9&lt;&gt;"",P9/'Data input'!D9*100%,"")</f>
        <v/>
      </c>
      <c r="AA9" s="114" t="str">
        <f>IF('Data input'!E9&lt;&gt;"",Q9/'Data input'!E9*100%,"")</f>
        <v/>
      </c>
      <c r="AB9" s="114" t="str">
        <f>IF('Data input'!F9&lt;&gt;"",R9/'Data input'!F9*100%,"")</f>
        <v/>
      </c>
      <c r="AC9" s="114" t="str">
        <f>IF('Data input'!G9&lt;&gt;"",S9/'Data input'!G9*100%,"")</f>
        <v/>
      </c>
      <c r="AD9" s="114">
        <f>IF('Data input'!H9&lt;&gt;"",T9/'Data input'!H9*100%,"")</f>
        <v>-0.98537729400764551</v>
      </c>
      <c r="AE9" s="114">
        <f>IF('Data input'!I9&lt;&gt;"",U9/'Data input'!I9*100%,"")</f>
        <v>-0.16708140892667767</v>
      </c>
      <c r="AF9" s="114" t="str">
        <f>IF('Data input'!J9&lt;&gt;"",V9/'Data input'!J9*100%,"")</f>
        <v/>
      </c>
      <c r="AG9" s="114" t="str">
        <f>IF('Data input'!K9&lt;&gt;"",W9/'Data input'!K9*100%,"")</f>
        <v/>
      </c>
      <c r="AH9" s="115" t="str">
        <f>IF('Data input'!L9&lt;&gt;"",X9/'Data input'!L9*100%,"")</f>
        <v/>
      </c>
      <c r="AI9" s="114">
        <f>IF('Data input'!C9&lt;&gt;"",'Run CRS'!AH9/'Run CRS'!C9,"")</f>
        <v>0.67197099555090134</v>
      </c>
      <c r="AJ9" s="114" t="str">
        <f>IF('Data input'!D9&lt;&gt;"",'Run CRS'!AI9/'Run CRS'!D9,"")</f>
        <v/>
      </c>
      <c r="AK9" s="114" t="str">
        <f>IF('Data input'!E9&lt;&gt;"",'Run CRS'!AJ9/'Run CRS'!E9,"")</f>
        <v/>
      </c>
      <c r="AL9" s="114" t="str">
        <f>IF('Data input'!F9&lt;&gt;"",'Run CRS'!AK9/'Run CRS'!F9,"")</f>
        <v/>
      </c>
      <c r="AM9" s="114" t="str">
        <f>IF('Data input'!G9&lt;&gt;"",'Run CRS'!AL9/'Run CRS'!G9,"")</f>
        <v/>
      </c>
      <c r="AN9" s="114">
        <f>IF('Data input'!H9&lt;&gt;"",'Run CRS'!AM9/'Run CRS'!H9,"")</f>
        <v>0.47783729627287441</v>
      </c>
      <c r="AO9" s="114">
        <f>IF('Data input'!I9&lt;&gt;"",'Run CRS'!AN9/'Run CRS'!I9,"")</f>
        <v>5.8389142981045986E-2</v>
      </c>
      <c r="AP9" s="114" t="str">
        <f>IF('Data input'!J9&lt;&gt;"",'Run CRS'!AO9/'Run CRS'!J9,"")</f>
        <v/>
      </c>
      <c r="AQ9" s="114" t="str">
        <f>IF('Data input'!K9&lt;&gt;"",'Run CRS'!AP9/'Run CRS'!K9,"")</f>
        <v/>
      </c>
      <c r="AR9" s="115" t="str">
        <f>IF('Data input'!L9&lt;&gt;"",'Run CRS'!AQ9/'Run CRS'!L9,"")</f>
        <v/>
      </c>
    </row>
    <row r="10" spans="1:44" x14ac:dyDescent="0.35">
      <c r="A10" s="102">
        <f>IF('Run CRS'!AF10&lt;&gt;"",'Run CRS'!AF10,"")</f>
        <v>8</v>
      </c>
      <c r="B10" s="103" t="str">
        <f>IF('Run CRS'!AG10&lt;&gt;"",'Run CRS'!AG10,"")</f>
        <v>Delaware</v>
      </c>
      <c r="C10" s="104">
        <f>IF('Run CRS'!AR10&lt;&gt;"",'Run CRS'!AR10,"")</f>
        <v>0.52561686666548479</v>
      </c>
      <c r="D10" s="104" t="str">
        <f>IF(ROUND(C10,3)=100%,"Optimal frontier",'Run CRS'!BW10)</f>
        <v xml:space="preserve">Texas; </v>
      </c>
      <c r="E10" s="105">
        <f>IF('Run CRS'!BC10&lt;&gt;"",'Run CRS'!BC10,"")</f>
        <v>0.98884274822415996</v>
      </c>
      <c r="F10" s="106" t="str">
        <f>IF('Run CRS'!BD10&lt;&gt;"",'Run CRS'!BD10,"")</f>
        <v/>
      </c>
      <c r="G10" s="106" t="str">
        <f>IF('Run CRS'!BE10&lt;&gt;"",'Run CRS'!BE10,"")</f>
        <v/>
      </c>
      <c r="H10" s="106" t="str">
        <f>IF('Run CRS'!BF10&lt;&gt;"",'Run CRS'!BF10,"")</f>
        <v/>
      </c>
      <c r="I10" s="106" t="str">
        <f>IF('Run CRS'!BG10&lt;&gt;"",'Run CRS'!BG10,"")</f>
        <v/>
      </c>
      <c r="J10" s="106">
        <f>IF('Run CRS'!BH10&lt;&gt;"",'Run CRS'!BH10,"")</f>
        <v>0.29574268608403681</v>
      </c>
      <c r="K10" s="105">
        <f>IF('Run CRS'!BI10&lt;&gt;"",'Run CRS'!BI10,"")</f>
        <v>3.4991960270989741E-3</v>
      </c>
      <c r="L10" s="105" t="str">
        <f>IF('Run CRS'!BJ10&lt;&gt;"",'Run CRS'!BJ10,"")</f>
        <v/>
      </c>
      <c r="M10" s="105" t="str">
        <f>IF('Run CRS'!BK10&lt;&gt;"",'Run CRS'!BK10,"")</f>
        <v/>
      </c>
      <c r="N10" s="105" t="str">
        <f>IF('Run CRS'!BL10&lt;&gt;"",'Run CRS'!BL10,"")</f>
        <v/>
      </c>
      <c r="O10" s="105">
        <f>IF('Run CRS'!BM10&lt;&gt;"",'Run CRS'!BM10,"")</f>
        <v>3.1788413488701872E-2</v>
      </c>
      <c r="P10" s="106" t="str">
        <f>IF('Run CRS'!BN10&lt;&gt;"",'Run CRS'!BN10,"")</f>
        <v/>
      </c>
      <c r="Q10" s="106" t="str">
        <f>IF('Run CRS'!BO10&lt;&gt;"",'Run CRS'!BO10,"")</f>
        <v/>
      </c>
      <c r="R10" s="106" t="str">
        <f>IF('Run CRS'!BP10&lt;&gt;"",'Run CRS'!BP10,"")</f>
        <v/>
      </c>
      <c r="S10" s="106" t="str">
        <f>IF('Run CRS'!BQ10&lt;&gt;"",'Run CRS'!BQ10,"")</f>
        <v/>
      </c>
      <c r="T10" s="106">
        <f>IF('Run CRS'!BR10&lt;&gt;"",'Run CRS'!BR10,"")</f>
        <v>-50.397410455700594</v>
      </c>
      <c r="U10" s="105">
        <f>IF('Run CRS'!BS10&lt;&gt;"",'Run CRS'!BS10,"")</f>
        <v>-5.0080397290102599E-4</v>
      </c>
      <c r="V10" s="105" t="str">
        <f>IF('Run CRS'!BT10&lt;&gt;"",'Run CRS'!BT10,"")</f>
        <v/>
      </c>
      <c r="W10" s="105" t="str">
        <f>IF('Run CRS'!BU10&lt;&gt;"",'Run CRS'!BU10,"")</f>
        <v/>
      </c>
      <c r="X10" s="107" t="str">
        <f>IF('Run CRS'!BV10&lt;&gt;"",'Run CRS'!BV10,"")</f>
        <v/>
      </c>
      <c r="Y10" s="114">
        <f>IF('Data input'!C10&lt;&gt;"",O10/'Data input'!C10*100%,"")</f>
        <v>3.3214847198292659E-2</v>
      </c>
      <c r="Z10" s="114" t="str">
        <f>IF('Data input'!D10&lt;&gt;"",P10/'Data input'!D10*100%,"")</f>
        <v/>
      </c>
      <c r="AA10" s="114" t="str">
        <f>IF('Data input'!E10&lt;&gt;"",Q10/'Data input'!E10*100%,"")</f>
        <v/>
      </c>
      <c r="AB10" s="114" t="str">
        <f>IF('Data input'!F10&lt;&gt;"",R10/'Data input'!F10*100%,"")</f>
        <v/>
      </c>
      <c r="AC10" s="114" t="str">
        <f>IF('Data input'!G10&lt;&gt;"",S10/'Data input'!G10*100%,"")</f>
        <v/>
      </c>
      <c r="AD10" s="114">
        <f>IF('Data input'!H10&lt;&gt;"",T10/'Data input'!H10*100%,"")</f>
        <v>-0.99416602306712165</v>
      </c>
      <c r="AE10" s="114">
        <f>IF('Data input'!I10&lt;&gt;"",U10/'Data input'!I10*100%,"")</f>
        <v>-0.12520099322525649</v>
      </c>
      <c r="AF10" s="114" t="str">
        <f>IF('Data input'!J10&lt;&gt;"",V10/'Data input'!J10*100%,"")</f>
        <v/>
      </c>
      <c r="AG10" s="114" t="str">
        <f>IF('Data input'!K10&lt;&gt;"",W10/'Data input'!K10*100%,"")</f>
        <v/>
      </c>
      <c r="AH10" s="115" t="str">
        <f>IF('Data input'!L10&lt;&gt;"",X10/'Data input'!L10*100%,"")</f>
        <v/>
      </c>
      <c r="AI10" s="114">
        <f>IF('Data input'!C10&lt;&gt;"",'Run CRS'!AH10/'Run CRS'!C10,"")</f>
        <v>0.22339404301533874</v>
      </c>
      <c r="AJ10" s="114" t="str">
        <f>IF('Data input'!D10&lt;&gt;"",'Run CRS'!AI10/'Run CRS'!D10,"")</f>
        <v/>
      </c>
      <c r="AK10" s="114" t="str">
        <f>IF('Data input'!E10&lt;&gt;"",'Run CRS'!AJ10/'Run CRS'!E10,"")</f>
        <v/>
      </c>
      <c r="AL10" s="114" t="str">
        <f>IF('Data input'!F10&lt;&gt;"",'Run CRS'!AK10/'Run CRS'!F10,"")</f>
        <v/>
      </c>
      <c r="AM10" s="114" t="str">
        <f>IF('Data input'!G10&lt;&gt;"",'Run CRS'!AL10/'Run CRS'!G10,"")</f>
        <v/>
      </c>
      <c r="AN10" s="114">
        <f>IF('Data input'!H10&lt;&gt;"",'Run CRS'!AM10/'Run CRS'!H10,"")</f>
        <v>0.69826452348141199</v>
      </c>
      <c r="AO10" s="114">
        <f>IF('Data input'!I10&lt;&gt;"",'Run CRS'!AN10/'Run CRS'!I10,"")</f>
        <v>1.0453348791513233E-2</v>
      </c>
      <c r="AP10" s="114" t="str">
        <f>IF('Data input'!J10&lt;&gt;"",'Run CRS'!AO10/'Run CRS'!J10,"")</f>
        <v/>
      </c>
      <c r="AQ10" s="114" t="str">
        <f>IF('Data input'!K10&lt;&gt;"",'Run CRS'!AP10/'Run CRS'!K10,"")</f>
        <v/>
      </c>
      <c r="AR10" s="115" t="str">
        <f>IF('Data input'!L10&lt;&gt;"",'Run CRS'!AQ10/'Run CRS'!L10,"")</f>
        <v/>
      </c>
    </row>
    <row r="11" spans="1:44" x14ac:dyDescent="0.35">
      <c r="A11" s="102">
        <f>IF('Run CRS'!AF11&lt;&gt;"",'Run CRS'!AF11,"")</f>
        <v>9</v>
      </c>
      <c r="B11" s="103" t="str">
        <f>IF('Run CRS'!AG11&lt;&gt;"",'Run CRS'!AG11,"")</f>
        <v>District Of Columbia</v>
      </c>
      <c r="C11" s="104">
        <f>IF('Run CRS'!AR11&lt;&gt;"",'Run CRS'!AR11,"")</f>
        <v>0.41047120336821674</v>
      </c>
      <c r="D11" s="104" t="str">
        <f>IF(ROUND(C11,3)=100%,"Optimal frontier",'Run CRS'!BW11)</f>
        <v xml:space="preserve">Texas; </v>
      </c>
      <c r="E11" s="105">
        <f>IF('Run CRS'!BC11&lt;&gt;"",'Run CRS'!BC11,"")</f>
        <v>0.98801125222599551</v>
      </c>
      <c r="F11" s="106" t="str">
        <f>IF('Run CRS'!BD11&lt;&gt;"",'Run CRS'!BD11,"")</f>
        <v/>
      </c>
      <c r="G11" s="106" t="str">
        <f>IF('Run CRS'!BE11&lt;&gt;"",'Run CRS'!BE11,"")</f>
        <v/>
      </c>
      <c r="H11" s="106" t="str">
        <f>IF('Run CRS'!BF11&lt;&gt;"",'Run CRS'!BF11,"")</f>
        <v/>
      </c>
      <c r="I11" s="106" t="str">
        <f>IF('Run CRS'!BG11&lt;&gt;"",'Run CRS'!BG11,"")</f>
        <v/>
      </c>
      <c r="J11" s="106">
        <f>IF('Run CRS'!BH11&lt;&gt;"",'Run CRS'!BH11,"")</f>
        <v>0.29574268608410453</v>
      </c>
      <c r="K11" s="105">
        <f>IF('Run CRS'!BI11&lt;&gt;"",'Run CRS'!BI11,"")</f>
        <v>6.2739850282531567E-2</v>
      </c>
      <c r="L11" s="105" t="str">
        <f>IF('Run CRS'!BJ11&lt;&gt;"",'Run CRS'!BJ11,"")</f>
        <v/>
      </c>
      <c r="M11" s="105" t="str">
        <f>IF('Run CRS'!BK11&lt;&gt;"",'Run CRS'!BK11,"")</f>
        <v/>
      </c>
      <c r="N11" s="105" t="str">
        <f>IF('Run CRS'!BL11&lt;&gt;"",'Run CRS'!BL11,"")</f>
        <v/>
      </c>
      <c r="O11" s="105">
        <f>IF('Run CRS'!BM11&lt;&gt;"",'Run CRS'!BM11,"")</f>
        <v>6.4361025274845107E-2</v>
      </c>
      <c r="P11" s="106" t="str">
        <f>IF('Run CRS'!BN11&lt;&gt;"",'Run CRS'!BN11,"")</f>
        <v/>
      </c>
      <c r="Q11" s="106" t="str">
        <f>IF('Run CRS'!BO11&lt;&gt;"",'Run CRS'!BO11,"")</f>
        <v/>
      </c>
      <c r="R11" s="106" t="str">
        <f>IF('Run CRS'!BP11&lt;&gt;"",'Run CRS'!BP11,"")</f>
        <v/>
      </c>
      <c r="S11" s="106" t="str">
        <f>IF('Run CRS'!BQ11&lt;&gt;"",'Run CRS'!BQ11,"")</f>
        <v/>
      </c>
      <c r="T11" s="106">
        <f>IF('Run CRS'!BR11&lt;&gt;"",'Run CRS'!BR11,"")</f>
        <v>-18.282668871064171</v>
      </c>
      <c r="U11" s="105">
        <f>IF('Run CRS'!BS11&lt;&gt;"",'Run CRS'!BS11,"")</f>
        <v>-1.3122218682985673E-2</v>
      </c>
      <c r="V11" s="105" t="str">
        <f>IF('Run CRS'!BT11&lt;&gt;"",'Run CRS'!BT11,"")</f>
        <v/>
      </c>
      <c r="W11" s="105" t="str">
        <f>IF('Run CRS'!BU11&lt;&gt;"",'Run CRS'!BU11,"")</f>
        <v/>
      </c>
      <c r="X11" s="107" t="str">
        <f>IF('Run CRS'!BV11&lt;&gt;"",'Run CRS'!BV11,"")</f>
        <v/>
      </c>
      <c r="Y11" s="114">
        <f>IF('Data input'!C11&lt;&gt;"",O11/'Data input'!C11*100%,"")</f>
        <v>6.9681166524792074E-2</v>
      </c>
      <c r="Z11" s="114" t="str">
        <f>IF('Data input'!D11&lt;&gt;"",P11/'Data input'!D11*100%,"")</f>
        <v/>
      </c>
      <c r="AA11" s="114" t="str">
        <f>IF('Data input'!E11&lt;&gt;"",Q11/'Data input'!E11*100%,"")</f>
        <v/>
      </c>
      <c r="AB11" s="114" t="str">
        <f>IF('Data input'!F11&lt;&gt;"",R11/'Data input'!F11*100%,"")</f>
        <v/>
      </c>
      <c r="AC11" s="114" t="str">
        <f>IF('Data input'!G11&lt;&gt;"",S11/'Data input'!G11*100%,"")</f>
        <v/>
      </c>
      <c r="AD11" s="114">
        <f>IF('Data input'!H11&lt;&gt;"",T11/'Data input'!H11*100%,"")</f>
        <v>-0.98408137933782003</v>
      </c>
      <c r="AE11" s="114">
        <f>IF('Data input'!I11&lt;&gt;"",U11/'Data input'!I11*100%,"")</f>
        <v>-0.17297470082117478</v>
      </c>
      <c r="AF11" s="114" t="str">
        <f>IF('Data input'!J11&lt;&gt;"",V11/'Data input'!J11*100%,"")</f>
        <v/>
      </c>
      <c r="AG11" s="114" t="str">
        <f>IF('Data input'!K11&lt;&gt;"",W11/'Data input'!K11*100%,"")</f>
        <v/>
      </c>
      <c r="AH11" s="115" t="str">
        <f>IF('Data input'!L11&lt;&gt;"",X11/'Data input'!L11*100%,"")</f>
        <v/>
      </c>
      <c r="AI11" s="114">
        <f>IF('Data input'!C11&lt;&gt;"",'Run CRS'!AH11/'Run CRS'!C11,"")</f>
        <v>0.59104620477027225</v>
      </c>
      <c r="AJ11" s="114" t="str">
        <f>IF('Data input'!D11&lt;&gt;"",'Run CRS'!AI11/'Run CRS'!D11,"")</f>
        <v/>
      </c>
      <c r="AK11" s="114" t="str">
        <f>IF('Data input'!E11&lt;&gt;"",'Run CRS'!AJ11/'Run CRS'!E11,"")</f>
        <v/>
      </c>
      <c r="AL11" s="114" t="str">
        <f>IF('Data input'!F11&lt;&gt;"",'Run CRS'!AK11/'Run CRS'!F11,"")</f>
        <v/>
      </c>
      <c r="AM11" s="114" t="str">
        <f>IF('Data input'!G11&lt;&gt;"",'Run CRS'!AL11/'Run CRS'!G11,"")</f>
        <v/>
      </c>
      <c r="AN11" s="114">
        <f>IF('Data input'!H11&lt;&gt;"",'Run CRS'!AM11/'Run CRS'!H11,"")</f>
        <v>0.45637645592539366</v>
      </c>
      <c r="AO11" s="114">
        <f>IF('Data input'!I11&lt;&gt;"",'Run CRS'!AN11/'Run CRS'!I11,"")</f>
        <v>0.10956132054363064</v>
      </c>
      <c r="AP11" s="114" t="str">
        <f>IF('Data input'!J11&lt;&gt;"",'Run CRS'!AO11/'Run CRS'!J11,"")</f>
        <v/>
      </c>
      <c r="AQ11" s="114" t="str">
        <f>IF('Data input'!K11&lt;&gt;"",'Run CRS'!AP11/'Run CRS'!K11,"")</f>
        <v/>
      </c>
      <c r="AR11" s="115" t="str">
        <f>IF('Data input'!L11&lt;&gt;"",'Run CRS'!AQ11/'Run CRS'!L11,"")</f>
        <v/>
      </c>
    </row>
    <row r="12" spans="1:44" x14ac:dyDescent="0.35">
      <c r="A12" s="102">
        <f>IF('Run CRS'!AF12&lt;&gt;"",'Run CRS'!AF12,"")</f>
        <v>10</v>
      </c>
      <c r="B12" s="103" t="str">
        <f>IF('Run CRS'!AG12&lt;&gt;"",'Run CRS'!AG12,"")</f>
        <v>Florida</v>
      </c>
      <c r="C12" s="104">
        <f>IF('Run CRS'!AR12&lt;&gt;"",'Run CRS'!AR12,"")</f>
        <v>0.85680194302542745</v>
      </c>
      <c r="D12" s="104" t="str">
        <f>IF(ROUND(C12,3)=100%,"Optimal frontier",'Run CRS'!BW12)</f>
        <v xml:space="preserve">Texas; </v>
      </c>
      <c r="E12" s="105">
        <f>IF('Run CRS'!BC12&lt;&gt;"",'Run CRS'!BC12,"")</f>
        <v>0.98947172015710183</v>
      </c>
      <c r="F12" s="106" t="str">
        <f>IF('Run CRS'!BD12&lt;&gt;"",'Run CRS'!BD12,"")</f>
        <v/>
      </c>
      <c r="G12" s="106" t="str">
        <f>IF('Run CRS'!BE12&lt;&gt;"",'Run CRS'!BE12,"")</f>
        <v/>
      </c>
      <c r="H12" s="106" t="str">
        <f>IF('Run CRS'!BF12&lt;&gt;"",'Run CRS'!BF12,"")</f>
        <v/>
      </c>
      <c r="I12" s="106" t="str">
        <f>IF('Run CRS'!BG12&lt;&gt;"",'Run CRS'!BG12,"")</f>
        <v/>
      </c>
      <c r="J12" s="106">
        <f>IF('Run CRS'!BH12&lt;&gt;"",'Run CRS'!BH12,"")</f>
        <v>0.29574268608402715</v>
      </c>
      <c r="K12" s="105">
        <f>IF('Run CRS'!BI12&lt;&gt;"",'Run CRS'!BI12,"")</f>
        <v>4.8332900144622999E-2</v>
      </c>
      <c r="L12" s="105" t="str">
        <f>IF('Run CRS'!BJ12&lt;&gt;"",'Run CRS'!BJ12,"")</f>
        <v/>
      </c>
      <c r="M12" s="105" t="str">
        <f>IF('Run CRS'!BK12&lt;&gt;"",'Run CRS'!BK12,"")</f>
        <v/>
      </c>
      <c r="N12" s="105" t="str">
        <f>IF('Run CRS'!BL12&lt;&gt;"",'Run CRS'!BL12,"")</f>
        <v/>
      </c>
      <c r="O12" s="105">
        <f>IF('Run CRS'!BM12&lt;&gt;"",'Run CRS'!BM12,"")</f>
        <v>7.1493789757782755E-3</v>
      </c>
      <c r="P12" s="106" t="str">
        <f>IF('Run CRS'!BN12&lt;&gt;"",'Run CRS'!BN12,"")</f>
        <v/>
      </c>
      <c r="Q12" s="106" t="str">
        <f>IF('Run CRS'!BO12&lt;&gt;"",'Run CRS'!BO12,"")</f>
        <v/>
      </c>
      <c r="R12" s="106" t="str">
        <f>IF('Run CRS'!BP12&lt;&gt;"",'Run CRS'!BP12,"")</f>
        <v/>
      </c>
      <c r="S12" s="106" t="str">
        <f>IF('Run CRS'!BQ12&lt;&gt;"",'Run CRS'!BQ12,"")</f>
        <v/>
      </c>
      <c r="T12" s="106">
        <f>IF('Run CRS'!BR12&lt;&gt;"",'Run CRS'!BR12,"")</f>
        <v>-0.58655015035741997</v>
      </c>
      <c r="U12" s="105">
        <f>IF('Run CRS'!BS12&lt;&gt;"",'Run CRS'!BS12,"")</f>
        <v>-1.0052770941676142E-2</v>
      </c>
      <c r="V12" s="105" t="str">
        <f>IF('Run CRS'!BT12&lt;&gt;"",'Run CRS'!BT12,"")</f>
        <v/>
      </c>
      <c r="W12" s="105" t="str">
        <f>IF('Run CRS'!BU12&lt;&gt;"",'Run CRS'!BU12,"")</f>
        <v/>
      </c>
      <c r="X12" s="107" t="str">
        <f>IF('Run CRS'!BV12&lt;&gt;"",'Run CRS'!BV12,"")</f>
        <v/>
      </c>
      <c r="Y12" s="114">
        <f>IF('Data input'!C12&lt;&gt;"",O12/'Data input'!C12*100%,"")</f>
        <v>7.2780376420845299E-3</v>
      </c>
      <c r="Z12" s="114" t="str">
        <f>IF('Data input'!D12&lt;&gt;"",P12/'Data input'!D12*100%,"")</f>
        <v/>
      </c>
      <c r="AA12" s="114" t="str">
        <f>IF('Data input'!E12&lt;&gt;"",Q12/'Data input'!E12*100%,"")</f>
        <v/>
      </c>
      <c r="AB12" s="114" t="str">
        <f>IF('Data input'!F12&lt;&gt;"",R12/'Data input'!F12*100%,"")</f>
        <v/>
      </c>
      <c r="AC12" s="114" t="str">
        <f>IF('Data input'!G12&lt;&gt;"",S12/'Data input'!G12*100%,"")</f>
        <v/>
      </c>
      <c r="AD12" s="114">
        <f>IF('Data input'!H12&lt;&gt;"",T12/'Data input'!H12*100%,"")</f>
        <v>-0.66480212252788251</v>
      </c>
      <c r="AE12" s="114">
        <f>IF('Data input'!I12&lt;&gt;"",U12/'Data input'!I12*100%,"")</f>
        <v>-0.17217873417635751</v>
      </c>
      <c r="AF12" s="114" t="str">
        <f>IF('Data input'!J12&lt;&gt;"",V12/'Data input'!J12*100%,"")</f>
        <v/>
      </c>
      <c r="AG12" s="114" t="str">
        <f>IF('Data input'!K12&lt;&gt;"",W12/'Data input'!K12*100%,"")</f>
        <v/>
      </c>
      <c r="AH12" s="115" t="str">
        <f>IF('Data input'!L12&lt;&gt;"",X12/'Data input'!L12*100%,"")</f>
        <v/>
      </c>
      <c r="AI12" s="114">
        <f>IF('Data input'!C12&lt;&gt;"",'Run CRS'!AH12/'Run CRS'!C12,"")</f>
        <v>4.2666173926517448E-2</v>
      </c>
      <c r="AJ12" s="114" t="str">
        <f>IF('Data input'!D12&lt;&gt;"",'Run CRS'!AI12/'Run CRS'!D12,"")</f>
        <v/>
      </c>
      <c r="AK12" s="114" t="str">
        <f>IF('Data input'!E12&lt;&gt;"",'Run CRS'!AJ12/'Run CRS'!E12,"")</f>
        <v/>
      </c>
      <c r="AL12" s="114" t="str">
        <f>IF('Data input'!F12&lt;&gt;"",'Run CRS'!AK12/'Run CRS'!F12,"")</f>
        <v/>
      </c>
      <c r="AM12" s="114" t="str">
        <f>IF('Data input'!G12&lt;&gt;"",'Run CRS'!AL12/'Run CRS'!G12,"")</f>
        <v/>
      </c>
      <c r="AN12" s="114">
        <f>IF('Data input'!H12&lt;&gt;"",'Run CRS'!AM12/'Run CRS'!H12,"")</f>
        <v>2.6226979014805848E-2</v>
      </c>
      <c r="AO12" s="114">
        <f>IF('Data input'!I12&lt;&gt;"",'Run CRS'!AN12/'Run CRS'!I12,"")</f>
        <v>9.8273181545045662E-2</v>
      </c>
      <c r="AP12" s="114" t="str">
        <f>IF('Data input'!J12&lt;&gt;"",'Run CRS'!AO12/'Run CRS'!J12,"")</f>
        <v/>
      </c>
      <c r="AQ12" s="114" t="str">
        <f>IF('Data input'!K12&lt;&gt;"",'Run CRS'!AP12/'Run CRS'!K12,"")</f>
        <v/>
      </c>
      <c r="AR12" s="115" t="str">
        <f>IF('Data input'!L12&lt;&gt;"",'Run CRS'!AQ12/'Run CRS'!L12,"")</f>
        <v/>
      </c>
    </row>
    <row r="13" spans="1:44" x14ac:dyDescent="0.35">
      <c r="A13" s="102">
        <f>IF('Run CRS'!AF13&lt;&gt;"",'Run CRS'!AF13,"")</f>
        <v>11</v>
      </c>
      <c r="B13" s="103" t="str">
        <f>IF('Run CRS'!AG13&lt;&gt;"",'Run CRS'!AG13,"")</f>
        <v>Georgia</v>
      </c>
      <c r="C13" s="104">
        <f>IF('Run CRS'!AR13&lt;&gt;"",'Run CRS'!AR13,"")</f>
        <v>0.96476325487848413</v>
      </c>
      <c r="D13" s="104" t="str">
        <f>IF(ROUND(C13,3)=100%,"Optimal frontier",'Run CRS'!BW13)</f>
        <v xml:space="preserve">Texas; Utah; </v>
      </c>
      <c r="E13" s="105">
        <f>IF('Run CRS'!BC13&lt;&gt;"",'Run CRS'!BC13,"")</f>
        <v>0.99418629513662549</v>
      </c>
      <c r="F13" s="106" t="str">
        <f>IF('Run CRS'!BD13&lt;&gt;"",'Run CRS'!BD13,"")</f>
        <v/>
      </c>
      <c r="G13" s="106" t="str">
        <f>IF('Run CRS'!BE13&lt;&gt;"",'Run CRS'!BE13,"")</f>
        <v/>
      </c>
      <c r="H13" s="106" t="str">
        <f>IF('Run CRS'!BF13&lt;&gt;"",'Run CRS'!BF13,"")</f>
        <v/>
      </c>
      <c r="I13" s="106" t="str">
        <f>IF('Run CRS'!BG13&lt;&gt;"",'Run CRS'!BG13,"")</f>
        <v/>
      </c>
      <c r="J13" s="106">
        <f>IF('Run CRS'!BH13&lt;&gt;"",'Run CRS'!BH13,"")</f>
        <v>1.3829925335127671</v>
      </c>
      <c r="K13" s="105">
        <f>IF('Run CRS'!BI13&lt;&gt;"",'Run CRS'!BI13,"")</f>
        <v>4.4666288661369319E-2</v>
      </c>
      <c r="L13" s="105" t="str">
        <f>IF('Run CRS'!BJ13&lt;&gt;"",'Run CRS'!BJ13,"")</f>
        <v/>
      </c>
      <c r="M13" s="105" t="str">
        <f>IF('Run CRS'!BK13&lt;&gt;"",'Run CRS'!BK13,"")</f>
        <v/>
      </c>
      <c r="N13" s="105" t="str">
        <f>IF('Run CRS'!BL13&lt;&gt;"",'Run CRS'!BL13,"")</f>
        <v/>
      </c>
      <c r="O13" s="105">
        <f>IF('Run CRS'!BM13&lt;&gt;"",'Run CRS'!BM13,"")</f>
        <v>0</v>
      </c>
      <c r="P13" s="106" t="str">
        <f>IF('Run CRS'!BN13&lt;&gt;"",'Run CRS'!BN13,"")</f>
        <v/>
      </c>
      <c r="Q13" s="106" t="str">
        <f>IF('Run CRS'!BO13&lt;&gt;"",'Run CRS'!BO13,"")</f>
        <v/>
      </c>
      <c r="R13" s="106" t="str">
        <f>IF('Run CRS'!BP13&lt;&gt;"",'Run CRS'!BP13,"")</f>
        <v/>
      </c>
      <c r="S13" s="106" t="str">
        <f>IF('Run CRS'!BQ13&lt;&gt;"",'Run CRS'!BQ13,"")</f>
        <v/>
      </c>
      <c r="T13" s="106">
        <f>IF('Run CRS'!BR13&lt;&gt;"",'Run CRS'!BR13,"")</f>
        <v>1.0480505352461478E-13</v>
      </c>
      <c r="U13" s="105">
        <f>IF('Run CRS'!BS13&lt;&gt;"",'Run CRS'!BS13,"")</f>
        <v>-3.6929514077153128E-3</v>
      </c>
      <c r="V13" s="105" t="str">
        <f>IF('Run CRS'!BT13&lt;&gt;"",'Run CRS'!BT13,"")</f>
        <v/>
      </c>
      <c r="W13" s="105" t="str">
        <f>IF('Run CRS'!BU13&lt;&gt;"",'Run CRS'!BU13,"")</f>
        <v/>
      </c>
      <c r="X13" s="107" t="str">
        <f>IF('Run CRS'!BV13&lt;&gt;"",'Run CRS'!BV13,"")</f>
        <v/>
      </c>
      <c r="Y13" s="114">
        <f>IF('Data input'!C13&lt;&gt;"",O13/'Data input'!C13*100%,"")</f>
        <v>0</v>
      </c>
      <c r="Z13" s="114" t="str">
        <f>IF('Data input'!D13&lt;&gt;"",P13/'Data input'!D13*100%,"")</f>
        <v/>
      </c>
      <c r="AA13" s="114" t="str">
        <f>IF('Data input'!E13&lt;&gt;"",Q13/'Data input'!E13*100%,"")</f>
        <v/>
      </c>
      <c r="AB13" s="114" t="str">
        <f>IF('Data input'!F13&lt;&gt;"",R13/'Data input'!F13*100%,"")</f>
        <v/>
      </c>
      <c r="AC13" s="114" t="str">
        <f>IF('Data input'!G13&lt;&gt;"",S13/'Data input'!G13*100%,"")</f>
        <v/>
      </c>
      <c r="AD13" s="114">
        <f>IF('Data input'!H13&lt;&gt;"",T13/'Data input'!H13*100%,"")</f>
        <v>7.5781358890217908E-14</v>
      </c>
      <c r="AE13" s="114">
        <f>IF('Data input'!I13&lt;&gt;"",U13/'Data input'!I13*100%,"")</f>
        <v>-7.6364959466684493E-2</v>
      </c>
      <c r="AF13" s="114" t="str">
        <f>IF('Data input'!J13&lt;&gt;"",V13/'Data input'!J13*100%,"")</f>
        <v/>
      </c>
      <c r="AG13" s="114" t="str">
        <f>IF('Data input'!K13&lt;&gt;"",W13/'Data input'!K13*100%,"")</f>
        <v/>
      </c>
      <c r="AH13" s="115" t="str">
        <f>IF('Data input'!L13&lt;&gt;"",X13/'Data input'!L13*100%,"")</f>
        <v/>
      </c>
      <c r="AI13" s="114">
        <f>IF('Data input'!C13&lt;&gt;"",'Run CRS'!AH13/'Run CRS'!C13,"")</f>
        <v>0</v>
      </c>
      <c r="AJ13" s="114" t="str">
        <f>IF('Data input'!D13&lt;&gt;"",'Run CRS'!AI13/'Run CRS'!D13,"")</f>
        <v/>
      </c>
      <c r="AK13" s="114" t="str">
        <f>IF('Data input'!E13&lt;&gt;"",'Run CRS'!AJ13/'Run CRS'!E13,"")</f>
        <v/>
      </c>
      <c r="AL13" s="114" t="str">
        <f>IF('Data input'!F13&lt;&gt;"",'Run CRS'!AK13/'Run CRS'!F13,"")</f>
        <v/>
      </c>
      <c r="AM13" s="114" t="str">
        <f>IF('Data input'!G13&lt;&gt;"",'Run CRS'!AL13/'Run CRS'!G13,"")</f>
        <v/>
      </c>
      <c r="AN13" s="114">
        <f>IF('Data input'!H13&lt;&gt;"",'Run CRS'!AM13/'Run CRS'!H13,"")</f>
        <v>-4.6326772520897358E-15</v>
      </c>
      <c r="AO13" s="114">
        <f>IF('Data input'!I13&lt;&gt;"",'Run CRS'!AN13/'Run CRS'!I13,"")</f>
        <v>4.0024308674117166E-2</v>
      </c>
      <c r="AP13" s="114" t="str">
        <f>IF('Data input'!J13&lt;&gt;"",'Run CRS'!AO13/'Run CRS'!J13,"")</f>
        <v/>
      </c>
      <c r="AQ13" s="114" t="str">
        <f>IF('Data input'!K13&lt;&gt;"",'Run CRS'!AP13/'Run CRS'!K13,"")</f>
        <v/>
      </c>
      <c r="AR13" s="115" t="str">
        <f>IF('Data input'!L13&lt;&gt;"",'Run CRS'!AQ13/'Run CRS'!L13,"")</f>
        <v/>
      </c>
    </row>
    <row r="14" spans="1:44" x14ac:dyDescent="0.35">
      <c r="A14" s="102">
        <f>IF('Run CRS'!AF14&lt;&gt;"",'Run CRS'!AF14,"")</f>
        <v>12</v>
      </c>
      <c r="B14" s="103" t="str">
        <f>IF('Run CRS'!AG14&lt;&gt;"",'Run CRS'!AG14,"")</f>
        <v>Hawaii</v>
      </c>
      <c r="C14" s="104">
        <f>IF('Run CRS'!AR14&lt;&gt;"",'Run CRS'!AR14,"")</f>
        <v>0.71259804942330285</v>
      </c>
      <c r="D14" s="104" t="str">
        <f>IF(ROUND(C14,3)=100%,"Optimal frontier",'Run CRS'!BW14)</f>
        <v xml:space="preserve">Texas; </v>
      </c>
      <c r="E14" s="105">
        <f>IF('Run CRS'!BC14&lt;&gt;"",'Run CRS'!BC14,"")</f>
        <v>0.98934653194969879</v>
      </c>
      <c r="F14" s="106" t="str">
        <f>IF('Run CRS'!BD14&lt;&gt;"",'Run CRS'!BD14,"")</f>
        <v/>
      </c>
      <c r="G14" s="106" t="str">
        <f>IF('Run CRS'!BE14&lt;&gt;"",'Run CRS'!BE14,"")</f>
        <v/>
      </c>
      <c r="H14" s="106" t="str">
        <f>IF('Run CRS'!BF14&lt;&gt;"",'Run CRS'!BF14,"")</f>
        <v/>
      </c>
      <c r="I14" s="106" t="str">
        <f>IF('Run CRS'!BG14&lt;&gt;"",'Run CRS'!BG14,"")</f>
        <v/>
      </c>
      <c r="J14" s="106">
        <f>IF('Run CRS'!BH14&lt;&gt;"",'Run CRS'!BH14,"")</f>
        <v>0.29574268608402715</v>
      </c>
      <c r="K14" s="105">
        <f>IF('Run CRS'!BI14&lt;&gt;"",'Run CRS'!BI14,"")</f>
        <v>5.8392280533628813E-2</v>
      </c>
      <c r="L14" s="105" t="str">
        <f>IF('Run CRS'!BJ14&lt;&gt;"",'Run CRS'!BJ14,"")</f>
        <v/>
      </c>
      <c r="M14" s="105" t="str">
        <f>IF('Run CRS'!BK14&lt;&gt;"",'Run CRS'!BK14,"")</f>
        <v/>
      </c>
      <c r="N14" s="105" t="str">
        <f>IF('Run CRS'!BL14&lt;&gt;"",'Run CRS'!BL14,"")</f>
        <v/>
      </c>
      <c r="O14" s="105">
        <f>IF('Run CRS'!BM14&lt;&gt;"",'Run CRS'!BM14,"")</f>
        <v>1.2053439715669745E-2</v>
      </c>
      <c r="P14" s="106" t="str">
        <f>IF('Run CRS'!BN14&lt;&gt;"",'Run CRS'!BN14,"")</f>
        <v/>
      </c>
      <c r="Q14" s="106" t="str">
        <f>IF('Run CRS'!BO14&lt;&gt;"",'Run CRS'!BO14,"")</f>
        <v/>
      </c>
      <c r="R14" s="106" t="str">
        <f>IF('Run CRS'!BP14&lt;&gt;"",'Run CRS'!BP14,"")</f>
        <v/>
      </c>
      <c r="S14" s="106" t="str">
        <f>IF('Run CRS'!BQ14&lt;&gt;"",'Run CRS'!BQ14,"")</f>
        <v/>
      </c>
      <c r="T14" s="106">
        <f>IF('Run CRS'!BR14&lt;&gt;"",'Run CRS'!BR14,"")</f>
        <v>-7.2759100120456157</v>
      </c>
      <c r="U14" s="105">
        <f>IF('Run CRS'!BS14&lt;&gt;"",'Run CRS'!BS14,"")</f>
        <v>-1.2195954760488834E-2</v>
      </c>
      <c r="V14" s="105" t="str">
        <f>IF('Run CRS'!BT14&lt;&gt;"",'Run CRS'!BT14,"")</f>
        <v/>
      </c>
      <c r="W14" s="105" t="str">
        <f>IF('Run CRS'!BU14&lt;&gt;"",'Run CRS'!BU14,"")</f>
        <v/>
      </c>
      <c r="X14" s="107" t="str">
        <f>IF('Run CRS'!BV14&lt;&gt;"",'Run CRS'!BV14,"")</f>
        <v/>
      </c>
      <c r="Y14" s="114">
        <f>IF('Data input'!C14&lt;&gt;"",O14/'Data input'!C14*100%,"")</f>
        <v>1.2333495254853749E-2</v>
      </c>
      <c r="Z14" s="114" t="str">
        <f>IF('Data input'!D14&lt;&gt;"",P14/'Data input'!D14*100%,"")</f>
        <v/>
      </c>
      <c r="AA14" s="114" t="str">
        <f>IF('Data input'!E14&lt;&gt;"",Q14/'Data input'!E14*100%,"")</f>
        <v/>
      </c>
      <c r="AB14" s="114" t="str">
        <f>IF('Data input'!F14&lt;&gt;"",R14/'Data input'!F14*100%,"")</f>
        <v/>
      </c>
      <c r="AC14" s="114" t="str">
        <f>IF('Data input'!G14&lt;&gt;"",S14/'Data input'!G14*100%,"")</f>
        <v/>
      </c>
      <c r="AD14" s="114">
        <f>IF('Data input'!H14&lt;&gt;"",T14/'Data input'!H14*100%,"")</f>
        <v>-0.96094080145050997</v>
      </c>
      <c r="AE14" s="114">
        <f>IF('Data input'!I14&lt;&gt;"",U14/'Data input'!I14*100%,"")</f>
        <v>-0.1727760257735918</v>
      </c>
      <c r="AF14" s="114" t="str">
        <f>IF('Data input'!J14&lt;&gt;"",V14/'Data input'!J14*100%,"")</f>
        <v/>
      </c>
      <c r="AG14" s="114" t="str">
        <f>IF('Data input'!K14&lt;&gt;"",W14/'Data input'!K14*100%,"")</f>
        <v/>
      </c>
      <c r="AH14" s="115" t="str">
        <f>IF('Data input'!L14&lt;&gt;"",X14/'Data input'!L14*100%,"")</f>
        <v/>
      </c>
      <c r="AI14" s="114">
        <f>IF('Data input'!C14&lt;&gt;"",'Run CRS'!AH14/'Run CRS'!C14,"")</f>
        <v>7.4158467879435808E-2</v>
      </c>
      <c r="AJ14" s="114" t="str">
        <f>IF('Data input'!D14&lt;&gt;"",'Run CRS'!AI14/'Run CRS'!D14,"")</f>
        <v/>
      </c>
      <c r="AK14" s="114" t="str">
        <f>IF('Data input'!E14&lt;&gt;"",'Run CRS'!AJ14/'Run CRS'!E14,"")</f>
        <v/>
      </c>
      <c r="AL14" s="114" t="str">
        <f>IF('Data input'!F14&lt;&gt;"",'Run CRS'!AK14/'Run CRS'!F14,"")</f>
        <v/>
      </c>
      <c r="AM14" s="114" t="str">
        <f>IF('Data input'!G14&lt;&gt;"",'Run CRS'!AL14/'Run CRS'!G14,"")</f>
        <v/>
      </c>
      <c r="AN14" s="114">
        <f>IF('Data input'!H14&lt;&gt;"",'Run CRS'!AM14/'Run CRS'!H14,"")</f>
        <v>0.25042936998732351</v>
      </c>
      <c r="AO14" s="114">
        <f>IF('Data input'!I14&lt;&gt;"",'Run CRS'!AN14/'Run CRS'!I14,"")</f>
        <v>0.10651795145551178</v>
      </c>
      <c r="AP14" s="114" t="str">
        <f>IF('Data input'!J14&lt;&gt;"",'Run CRS'!AO14/'Run CRS'!J14,"")</f>
        <v/>
      </c>
      <c r="AQ14" s="114" t="str">
        <f>IF('Data input'!K14&lt;&gt;"",'Run CRS'!AP14/'Run CRS'!K14,"")</f>
        <v/>
      </c>
      <c r="AR14" s="115" t="str">
        <f>IF('Data input'!L14&lt;&gt;"",'Run CRS'!AQ14/'Run CRS'!L14,"")</f>
        <v/>
      </c>
    </row>
    <row r="15" spans="1:44" x14ac:dyDescent="0.35">
      <c r="A15" s="102">
        <f>IF('Run CRS'!AF15&lt;&gt;"",'Run CRS'!AF15,"")</f>
        <v>13</v>
      </c>
      <c r="B15" s="103" t="str">
        <f>IF('Run CRS'!AG15&lt;&gt;"",'Run CRS'!AG15,"")</f>
        <v>Idaho</v>
      </c>
      <c r="C15" s="104">
        <f>IF('Run CRS'!AR15&lt;&gt;"",'Run CRS'!AR15,"")</f>
        <v>0.70317837347895873</v>
      </c>
      <c r="D15" s="104" t="str">
        <f>IF(ROUND(C15,3)=100%,"Optimal frontier",'Run CRS'!BW15)</f>
        <v xml:space="preserve">Texas; </v>
      </c>
      <c r="E15" s="105">
        <f>IF('Run CRS'!BC15&lt;&gt;"",'Run CRS'!BC15,"")</f>
        <v>0.98930620467891328</v>
      </c>
      <c r="F15" s="106" t="str">
        <f>IF('Run CRS'!BD15&lt;&gt;"",'Run CRS'!BD15,"")</f>
        <v/>
      </c>
      <c r="G15" s="106" t="str">
        <f>IF('Run CRS'!BE15&lt;&gt;"",'Run CRS'!BE15,"")</f>
        <v/>
      </c>
      <c r="H15" s="106" t="str">
        <f>IF('Run CRS'!BF15&lt;&gt;"",'Run CRS'!BF15,"")</f>
        <v/>
      </c>
      <c r="I15" s="106" t="str">
        <f>IF('Run CRS'!BG15&lt;&gt;"",'Run CRS'!BG15,"")</f>
        <v/>
      </c>
      <c r="J15" s="106">
        <f>IF('Run CRS'!BH15&lt;&gt;"",'Run CRS'!BH15,"")</f>
        <v>0.29574268608402715</v>
      </c>
      <c r="K15" s="105">
        <f>IF('Run CRS'!BI15&lt;&gt;"",'Run CRS'!BI15,"")</f>
        <v>3.6043736372881441E-2</v>
      </c>
      <c r="L15" s="105" t="str">
        <f>IF('Run CRS'!BJ15&lt;&gt;"",'Run CRS'!BJ15,"")</f>
        <v/>
      </c>
      <c r="M15" s="105" t="str">
        <f>IF('Run CRS'!BK15&lt;&gt;"",'Run CRS'!BK15,"")</f>
        <v/>
      </c>
      <c r="N15" s="105" t="str">
        <f>IF('Run CRS'!BL15&lt;&gt;"",'Run CRS'!BL15,"")</f>
        <v/>
      </c>
      <c r="O15" s="105">
        <f>IF('Run CRS'!BM15&lt;&gt;"",'Run CRS'!BM15,"")</f>
        <v>1.3633200217905261E-2</v>
      </c>
      <c r="P15" s="106" t="str">
        <f>IF('Run CRS'!BN15&lt;&gt;"",'Run CRS'!BN15,"")</f>
        <v/>
      </c>
      <c r="Q15" s="106" t="str">
        <f>IF('Run CRS'!BO15&lt;&gt;"",'Run CRS'!BO15,"")</f>
        <v/>
      </c>
      <c r="R15" s="106" t="str">
        <f>IF('Run CRS'!BP15&lt;&gt;"",'Run CRS'!BP15,"")</f>
        <v/>
      </c>
      <c r="S15" s="106" t="str">
        <f>IF('Run CRS'!BQ15&lt;&gt;"",'Run CRS'!BQ15,"")</f>
        <v/>
      </c>
      <c r="T15" s="106">
        <f>IF('Run CRS'!BR15&lt;&gt;"",'Run CRS'!BR15,"")</f>
        <v>-10.625658154493804</v>
      </c>
      <c r="U15" s="105">
        <f>IF('Run CRS'!BS15&lt;&gt;"",'Run CRS'!BS15,"")</f>
        <v>-7.4345244966837754E-3</v>
      </c>
      <c r="V15" s="105" t="str">
        <f>IF('Run CRS'!BT15&lt;&gt;"",'Run CRS'!BT15,"")</f>
        <v/>
      </c>
      <c r="W15" s="105" t="str">
        <f>IF('Run CRS'!BU15&lt;&gt;"",'Run CRS'!BU15,"")</f>
        <v/>
      </c>
      <c r="X15" s="107" t="str">
        <f>IF('Run CRS'!BV15&lt;&gt;"",'Run CRS'!BV15,"")</f>
        <v/>
      </c>
      <c r="Y15" s="114">
        <f>IF('Data input'!C15&lt;&gt;"",O15/'Data input'!C15*100%,"")</f>
        <v>1.3973124351674221E-2</v>
      </c>
      <c r="Z15" s="114" t="str">
        <f>IF('Data input'!D15&lt;&gt;"",P15/'Data input'!D15*100%,"")</f>
        <v/>
      </c>
      <c r="AA15" s="114" t="str">
        <f>IF('Data input'!E15&lt;&gt;"",Q15/'Data input'!E15*100%,"")</f>
        <v/>
      </c>
      <c r="AB15" s="114" t="str">
        <f>IF('Data input'!F15&lt;&gt;"",R15/'Data input'!F15*100%,"")</f>
        <v/>
      </c>
      <c r="AC15" s="114" t="str">
        <f>IF('Data input'!G15&lt;&gt;"",S15/'Data input'!G15*100%,"")</f>
        <v/>
      </c>
      <c r="AD15" s="114">
        <f>IF('Data input'!H15&lt;&gt;"",T15/'Data input'!H15*100%,"")</f>
        <v>-0.97292081021463728</v>
      </c>
      <c r="AE15" s="114">
        <f>IF('Data input'!I15&lt;&gt;"",U15/'Data input'!I15*100%,"")</f>
        <v>-0.17099406342372683</v>
      </c>
      <c r="AF15" s="114" t="str">
        <f>IF('Data input'!J15&lt;&gt;"",V15/'Data input'!J15*100%,"")</f>
        <v/>
      </c>
      <c r="AG15" s="114" t="str">
        <f>IF('Data input'!K15&lt;&gt;"",W15/'Data input'!K15*100%,"")</f>
        <v/>
      </c>
      <c r="AH15" s="115" t="str">
        <f>IF('Data input'!L15&lt;&gt;"",X15/'Data input'!L15*100%,"")</f>
        <v/>
      </c>
      <c r="AI15" s="114">
        <f>IF('Data input'!C15&lt;&gt;"",'Run CRS'!AH15/'Run CRS'!C15,"")</f>
        <v>8.4722376706213187E-2</v>
      </c>
      <c r="AJ15" s="114" t="str">
        <f>IF('Data input'!D15&lt;&gt;"",'Run CRS'!AI15/'Run CRS'!D15,"")</f>
        <v/>
      </c>
      <c r="AK15" s="114" t="str">
        <f>IF('Data input'!E15&lt;&gt;"",'Run CRS'!AJ15/'Run CRS'!E15,"")</f>
        <v/>
      </c>
      <c r="AL15" s="114" t="str">
        <f>IF('Data input'!F15&lt;&gt;"",'Run CRS'!AK15/'Run CRS'!F15,"")</f>
        <v/>
      </c>
      <c r="AM15" s="114" t="str">
        <f>IF('Data input'!G15&lt;&gt;"",'Run CRS'!AL15/'Run CRS'!G15,"")</f>
        <v/>
      </c>
      <c r="AN15" s="114">
        <f>IF('Data input'!H15&lt;&gt;"",'Run CRS'!AM15/'Run CRS'!H15,"")</f>
        <v>0.32791710063223872</v>
      </c>
      <c r="AO15" s="114">
        <f>IF('Data input'!I15&lt;&gt;"",'Run CRS'!AN15/'Run CRS'!I15,"")</f>
        <v>8.5076123248051083E-2</v>
      </c>
      <c r="AP15" s="114" t="str">
        <f>IF('Data input'!J15&lt;&gt;"",'Run CRS'!AO15/'Run CRS'!J15,"")</f>
        <v/>
      </c>
      <c r="AQ15" s="114" t="str">
        <f>IF('Data input'!K15&lt;&gt;"",'Run CRS'!AP15/'Run CRS'!K15,"")</f>
        <v/>
      </c>
      <c r="AR15" s="115" t="str">
        <f>IF('Data input'!L15&lt;&gt;"",'Run CRS'!AQ15/'Run CRS'!L15,"")</f>
        <v/>
      </c>
    </row>
    <row r="16" spans="1:44" x14ac:dyDescent="0.35">
      <c r="A16" s="102">
        <f>IF('Run CRS'!AF16&lt;&gt;"",'Run CRS'!AF16,"")</f>
        <v>14</v>
      </c>
      <c r="B16" s="103" t="str">
        <f>IF('Run CRS'!AG16&lt;&gt;"",'Run CRS'!AG16,"")</f>
        <v>Illinois</v>
      </c>
      <c r="C16" s="104">
        <f>IF('Run CRS'!AR16&lt;&gt;"",'Run CRS'!AR16,"")</f>
        <v>0.16184888085803173</v>
      </c>
      <c r="D16" s="104" t="str">
        <f>IF(ROUND(C16,3)=100%,"Optimal frontier",'Run CRS'!BW16)</f>
        <v xml:space="preserve">Texas; </v>
      </c>
      <c r="E16" s="105">
        <f>IF('Run CRS'!BC16&lt;&gt;"",'Run CRS'!BC16,"")</f>
        <v>0.98620443393670332</v>
      </c>
      <c r="F16" s="106" t="str">
        <f>IF('Run CRS'!BD16&lt;&gt;"",'Run CRS'!BD16,"")</f>
        <v/>
      </c>
      <c r="G16" s="106" t="str">
        <f>IF('Run CRS'!BE16&lt;&gt;"",'Run CRS'!BE16,"")</f>
        <v/>
      </c>
      <c r="H16" s="106" t="str">
        <f>IF('Run CRS'!BF16&lt;&gt;"",'Run CRS'!BF16,"")</f>
        <v/>
      </c>
      <c r="I16" s="106" t="str">
        <f>IF('Run CRS'!BG16&lt;&gt;"",'Run CRS'!BG16,"")</f>
        <v/>
      </c>
      <c r="J16" s="106">
        <f>IF('Run CRS'!BH16&lt;&gt;"",'Run CRS'!BH16,"")</f>
        <v>0.29574268608402715</v>
      </c>
      <c r="K16" s="105">
        <f>IF('Run CRS'!BI16&lt;&gt;"",'Run CRS'!BI16,"")</f>
        <v>5.8610924571541198E-2</v>
      </c>
      <c r="L16" s="105" t="str">
        <f>IF('Run CRS'!BJ16&lt;&gt;"",'Run CRS'!BJ16,"")</f>
        <v/>
      </c>
      <c r="M16" s="105" t="str">
        <f>IF('Run CRS'!BK16&lt;&gt;"",'Run CRS'!BK16,"")</f>
        <v/>
      </c>
      <c r="N16" s="105" t="str">
        <f>IF('Run CRS'!BL16&lt;&gt;"",'Run CRS'!BL16,"")</f>
        <v/>
      </c>
      <c r="O16" s="105">
        <f>IF('Run CRS'!BM16&lt;&gt;"",'Run CRS'!BM16,"")</f>
        <v>0.13514042870570642</v>
      </c>
      <c r="P16" s="106" t="str">
        <f>IF('Run CRS'!BN16&lt;&gt;"",'Run CRS'!BN16,"")</f>
        <v/>
      </c>
      <c r="Q16" s="106" t="str">
        <f>IF('Run CRS'!BO16&lt;&gt;"",'Run CRS'!BO16,"")</f>
        <v/>
      </c>
      <c r="R16" s="106" t="str">
        <f>IF('Run CRS'!BP16&lt;&gt;"",'Run CRS'!BP16,"")</f>
        <v/>
      </c>
      <c r="S16" s="106" t="str">
        <f>IF('Run CRS'!BQ16&lt;&gt;"",'Run CRS'!BQ16,"")</f>
        <v/>
      </c>
      <c r="T16" s="106">
        <f>IF('Run CRS'!BR16&lt;&gt;"",'Run CRS'!BR16,"")</f>
        <v>-7.4229956961358186</v>
      </c>
      <c r="U16" s="105">
        <f>IF('Run CRS'!BS16&lt;&gt;"",'Run CRS'!BS16,"")</f>
        <v>-1.2242537586268781E-2</v>
      </c>
      <c r="V16" s="105" t="str">
        <f>IF('Run CRS'!BT16&lt;&gt;"",'Run CRS'!BT16,"")</f>
        <v/>
      </c>
      <c r="W16" s="105" t="str">
        <f>IF('Run CRS'!BU16&lt;&gt;"",'Run CRS'!BU16,"")</f>
        <v/>
      </c>
      <c r="X16" s="107" t="str">
        <f>IF('Run CRS'!BV16&lt;&gt;"",'Run CRS'!BV16,"")</f>
        <v/>
      </c>
      <c r="Y16" s="114">
        <f>IF('Data input'!C16&lt;&gt;"",O16/'Data input'!C16*100%,"")</f>
        <v>0.15878997099522077</v>
      </c>
      <c r="Z16" s="114" t="str">
        <f>IF('Data input'!D16&lt;&gt;"",P16/'Data input'!D16*100%,"")</f>
        <v/>
      </c>
      <c r="AA16" s="114" t="str">
        <f>IF('Data input'!E16&lt;&gt;"",Q16/'Data input'!E16*100%,"")</f>
        <v/>
      </c>
      <c r="AB16" s="114" t="str">
        <f>IF('Data input'!F16&lt;&gt;"",R16/'Data input'!F16*100%,"")</f>
        <v/>
      </c>
      <c r="AC16" s="114" t="str">
        <f>IF('Data input'!G16&lt;&gt;"",S16/'Data input'!G16*100%,"")</f>
        <v/>
      </c>
      <c r="AD16" s="114">
        <f>IF('Data input'!H16&lt;&gt;"",T16/'Data input'!H16*100%,"")</f>
        <v>-0.96168510040899013</v>
      </c>
      <c r="AE16" s="114">
        <f>IF('Data input'!I16&lt;&gt;"",U16/'Data input'!I16*100%,"")</f>
        <v>-0.17278672366074804</v>
      </c>
      <c r="AF16" s="114" t="str">
        <f>IF('Data input'!J16&lt;&gt;"",V16/'Data input'!J16*100%,"")</f>
        <v/>
      </c>
      <c r="AG16" s="114" t="str">
        <f>IF('Data input'!K16&lt;&gt;"",W16/'Data input'!K16*100%,"")</f>
        <v/>
      </c>
      <c r="AH16" s="115" t="str">
        <f>IF('Data input'!L16&lt;&gt;"",X16/'Data input'!L16*100%,"")</f>
        <v/>
      </c>
      <c r="AI16" s="114">
        <f>IF('Data input'!C16&lt;&gt;"",'Run CRS'!AH16/'Run CRS'!C16,"")</f>
        <v>3.7221417325401758</v>
      </c>
      <c r="AJ16" s="114" t="str">
        <f>IF('Data input'!D16&lt;&gt;"",'Run CRS'!AI16/'Run CRS'!D16,"")</f>
        <v/>
      </c>
      <c r="AK16" s="114" t="str">
        <f>IF('Data input'!E16&lt;&gt;"",'Run CRS'!AJ16/'Run CRS'!E16,"")</f>
        <v/>
      </c>
      <c r="AL16" s="114" t="str">
        <f>IF('Data input'!F16&lt;&gt;"",'Run CRS'!AK16/'Run CRS'!F16,"")</f>
        <v/>
      </c>
      <c r="AM16" s="114" t="str">
        <f>IF('Data input'!G16&lt;&gt;"",'Run CRS'!AL16/'Run CRS'!G16,"")</f>
        <v/>
      </c>
      <c r="AN16" s="114">
        <f>IF('Data input'!H16&lt;&gt;"",'Run CRS'!AM16/'Run CRS'!H16,"")</f>
        <v>0.25420498602452424</v>
      </c>
      <c r="AO16" s="114">
        <f>IF('Data input'!I16&lt;&gt;"",'Run CRS'!AN16/'Run CRS'!I16,"")</f>
        <v>0.10667768563606858</v>
      </c>
      <c r="AP16" s="114" t="str">
        <f>IF('Data input'!J16&lt;&gt;"",'Run CRS'!AO16/'Run CRS'!J16,"")</f>
        <v/>
      </c>
      <c r="AQ16" s="114" t="str">
        <f>IF('Data input'!K16&lt;&gt;"",'Run CRS'!AP16/'Run CRS'!K16,"")</f>
        <v/>
      </c>
      <c r="AR16" s="115" t="str">
        <f>IF('Data input'!L16&lt;&gt;"",'Run CRS'!AQ16/'Run CRS'!L16,"")</f>
        <v/>
      </c>
    </row>
    <row r="17" spans="1:44" x14ac:dyDescent="0.35">
      <c r="A17" s="102">
        <f>IF('Run CRS'!AF17&lt;&gt;"",'Run CRS'!AF17,"")</f>
        <v>15</v>
      </c>
      <c r="B17" s="103" t="str">
        <f>IF('Run CRS'!AG17&lt;&gt;"",'Run CRS'!AG17,"")</f>
        <v>Indiana</v>
      </c>
      <c r="C17" s="104">
        <f>IF('Run CRS'!AR17&lt;&gt;"",'Run CRS'!AR17,"")</f>
        <v>0.80409113399478871</v>
      </c>
      <c r="D17" s="104" t="str">
        <f>IF(ROUND(C17,3)=100%,"Optimal frontier",'Run CRS'!BW17)</f>
        <v xml:space="preserve">Texas; </v>
      </c>
      <c r="E17" s="105">
        <f>IF('Run CRS'!BC17&lt;&gt;"",'Run CRS'!BC17,"")</f>
        <v>0.98941069311539165</v>
      </c>
      <c r="F17" s="106" t="str">
        <f>IF('Run CRS'!BD17&lt;&gt;"",'Run CRS'!BD17,"")</f>
        <v/>
      </c>
      <c r="G17" s="106" t="str">
        <f>IF('Run CRS'!BE17&lt;&gt;"",'Run CRS'!BE17,"")</f>
        <v/>
      </c>
      <c r="H17" s="106" t="str">
        <f>IF('Run CRS'!BF17&lt;&gt;"",'Run CRS'!BF17,"")</f>
        <v/>
      </c>
      <c r="I17" s="106" t="str">
        <f>IF('Run CRS'!BG17&lt;&gt;"",'Run CRS'!BG17,"")</f>
        <v/>
      </c>
      <c r="J17" s="106">
        <f>IF('Run CRS'!BH17&lt;&gt;"",'Run CRS'!BH17,"")</f>
        <v>0.29574268608401988</v>
      </c>
      <c r="K17" s="105">
        <f>IF('Run CRS'!BI17&lt;&gt;"",'Run CRS'!BI17,"")</f>
        <v>5.0774546141354827E-2</v>
      </c>
      <c r="L17" s="105" t="str">
        <f>IF('Run CRS'!BJ17&lt;&gt;"",'Run CRS'!BJ17,"")</f>
        <v/>
      </c>
      <c r="M17" s="105" t="str">
        <f>IF('Run CRS'!BK17&lt;&gt;"",'Run CRS'!BK17,"")</f>
        <v/>
      </c>
      <c r="N17" s="105" t="str">
        <f>IF('Run CRS'!BL17&lt;&gt;"",'Run CRS'!BL17,"")</f>
        <v/>
      </c>
      <c r="O17" s="105">
        <f>IF('Run CRS'!BM17&lt;&gt;"",'Run CRS'!BM17,"")</f>
        <v>9.5400220366161914E-3</v>
      </c>
      <c r="P17" s="106" t="str">
        <f>IF('Run CRS'!BN17&lt;&gt;"",'Run CRS'!BN17,"")</f>
        <v/>
      </c>
      <c r="Q17" s="106" t="str">
        <f>IF('Run CRS'!BO17&lt;&gt;"",'Run CRS'!BO17,"")</f>
        <v/>
      </c>
      <c r="R17" s="106" t="str">
        <f>IF('Run CRS'!BP17&lt;&gt;"",'Run CRS'!BP17,"")</f>
        <v/>
      </c>
      <c r="S17" s="106" t="str">
        <f>IF('Run CRS'!BQ17&lt;&gt;"",'Run CRS'!BQ17,"")</f>
        <v/>
      </c>
      <c r="T17" s="106">
        <f>IF('Run CRS'!BR17&lt;&gt;"",'Run CRS'!BR17,"")</f>
        <v>-2.5199131529542682</v>
      </c>
      <c r="U17" s="105">
        <f>IF('Run CRS'!BS17&lt;&gt;"",'Run CRS'!BS17,"")</f>
        <v>-1.0572971589141625E-2</v>
      </c>
      <c r="V17" s="105" t="str">
        <f>IF('Run CRS'!BT17&lt;&gt;"",'Run CRS'!BT17,"")</f>
        <v/>
      </c>
      <c r="W17" s="105" t="str">
        <f>IF('Run CRS'!BU17&lt;&gt;"",'Run CRS'!BU17,"")</f>
        <v/>
      </c>
      <c r="X17" s="107" t="str">
        <f>IF('Run CRS'!BV17&lt;&gt;"",'Run CRS'!BV17,"")</f>
        <v/>
      </c>
      <c r="Y17" s="114">
        <f>IF('Data input'!C17&lt;&gt;"",O17/'Data input'!C17*100%,"")</f>
        <v>9.7360012072952775E-3</v>
      </c>
      <c r="Z17" s="114" t="str">
        <f>IF('Data input'!D17&lt;&gt;"",P17/'Data input'!D17*100%,"")</f>
        <v/>
      </c>
      <c r="AA17" s="114" t="str">
        <f>IF('Data input'!E17&lt;&gt;"",Q17/'Data input'!E17*100%,"")</f>
        <v/>
      </c>
      <c r="AB17" s="114" t="str">
        <f>IF('Data input'!F17&lt;&gt;"",R17/'Data input'!F17*100%,"")</f>
        <v/>
      </c>
      <c r="AC17" s="114" t="str">
        <f>IF('Data input'!G17&lt;&gt;"",S17/'Data input'!G17*100%,"")</f>
        <v/>
      </c>
      <c r="AD17" s="114">
        <f>IF('Data input'!H17&lt;&gt;"",T17/'Data input'!H17*100%,"")</f>
        <v>-0.89496490232093373</v>
      </c>
      <c r="AE17" s="114">
        <f>IF('Data input'!I17&lt;&gt;"",U17/'Data input'!I17*100%,"")</f>
        <v>-0.17234554844727967</v>
      </c>
      <c r="AF17" s="114" t="str">
        <f>IF('Data input'!J17&lt;&gt;"",V17/'Data input'!J17*100%,"")</f>
        <v/>
      </c>
      <c r="AG17" s="114" t="str">
        <f>IF('Data input'!K17&lt;&gt;"",W17/'Data input'!K17*100%,"")</f>
        <v/>
      </c>
      <c r="AH17" s="115" t="str">
        <f>IF('Data input'!L17&lt;&gt;"",X17/'Data input'!L17*100%,"")</f>
        <v/>
      </c>
      <c r="AI17" s="114">
        <f>IF('Data input'!C17&lt;&gt;"",'Run CRS'!AH17/'Run CRS'!C17,"")</f>
        <v>5.7778453567018148E-2</v>
      </c>
      <c r="AJ17" s="114" t="str">
        <f>IF('Data input'!D17&lt;&gt;"",'Run CRS'!AI17/'Run CRS'!D17,"")</f>
        <v/>
      </c>
      <c r="AK17" s="114" t="str">
        <f>IF('Data input'!E17&lt;&gt;"",'Run CRS'!AJ17/'Run CRS'!E17,"")</f>
        <v/>
      </c>
      <c r="AL17" s="114" t="str">
        <f>IF('Data input'!F17&lt;&gt;"",'Run CRS'!AK17/'Run CRS'!F17,"")</f>
        <v/>
      </c>
      <c r="AM17" s="114" t="str">
        <f>IF('Data input'!G17&lt;&gt;"",'Run CRS'!AL17/'Run CRS'!G17,"")</f>
        <v/>
      </c>
      <c r="AN17" s="114">
        <f>IF('Data input'!H17&lt;&gt;"",'Run CRS'!AM17/'Run CRS'!H17,"")</f>
        <v>0.10370975823446041</v>
      </c>
      <c r="AO17" s="114">
        <f>IF('Data input'!I17&lt;&gt;"",'Run CRS'!AN17/'Run CRS'!I17,"")</f>
        <v>0.10045007004358772</v>
      </c>
      <c r="AP17" s="114" t="str">
        <f>IF('Data input'!J17&lt;&gt;"",'Run CRS'!AO17/'Run CRS'!J17,"")</f>
        <v/>
      </c>
      <c r="AQ17" s="114" t="str">
        <f>IF('Data input'!K17&lt;&gt;"",'Run CRS'!AP17/'Run CRS'!K17,"")</f>
        <v/>
      </c>
      <c r="AR17" s="115" t="str">
        <f>IF('Data input'!L17&lt;&gt;"",'Run CRS'!AQ17/'Run CRS'!L17,"")</f>
        <v/>
      </c>
    </row>
    <row r="18" spans="1:44" x14ac:dyDescent="0.35">
      <c r="A18" s="102">
        <f>IF('Run CRS'!AF18&lt;&gt;"",'Run CRS'!AF18,"")</f>
        <v>16</v>
      </c>
      <c r="B18" s="103" t="str">
        <f>IF('Run CRS'!AG18&lt;&gt;"",'Run CRS'!AG18,"")</f>
        <v>Iowa</v>
      </c>
      <c r="C18" s="104">
        <f>IF('Run CRS'!AR18&lt;&gt;"",'Run CRS'!AR18,"")</f>
        <v>0.6388871912819889</v>
      </c>
      <c r="D18" s="104" t="str">
        <f>IF(ROUND(C18,3)=100%,"Optimal frontier",'Run CRS'!BW18)</f>
        <v xml:space="preserve">Texas; </v>
      </c>
      <c r="E18" s="105">
        <f>IF('Run CRS'!BC18&lt;&gt;"",'Run CRS'!BC18,"")</f>
        <v>0.98930588972947631</v>
      </c>
      <c r="F18" s="106" t="str">
        <f>IF('Run CRS'!BD18&lt;&gt;"",'Run CRS'!BD18,"")</f>
        <v/>
      </c>
      <c r="G18" s="106" t="str">
        <f>IF('Run CRS'!BE18&lt;&gt;"",'Run CRS'!BE18,"")</f>
        <v/>
      </c>
      <c r="H18" s="106" t="str">
        <f>IF('Run CRS'!BF18&lt;&gt;"",'Run CRS'!BF18,"")</f>
        <v/>
      </c>
      <c r="I18" s="106" t="str">
        <f>IF('Run CRS'!BG18&lt;&gt;"",'Run CRS'!BG18,"")</f>
        <v/>
      </c>
      <c r="J18" s="106">
        <f>IF('Run CRS'!BH18&lt;&gt;"",'Run CRS'!BH18,"")</f>
        <v>0.29574268608402715</v>
      </c>
      <c r="K18" s="105">
        <f>IF('Run CRS'!BI18&lt;&gt;"",'Run CRS'!BI18,"")</f>
        <v>6.5563080982377564E-2</v>
      </c>
      <c r="L18" s="105" t="str">
        <f>IF('Run CRS'!BJ18&lt;&gt;"",'Run CRS'!BJ18,"")</f>
        <v/>
      </c>
      <c r="M18" s="105" t="str">
        <f>IF('Run CRS'!BK18&lt;&gt;"",'Run CRS'!BK18,"")</f>
        <v/>
      </c>
      <c r="N18" s="105" t="str">
        <f>IF('Run CRS'!BL18&lt;&gt;"",'Run CRS'!BL18,"")</f>
        <v/>
      </c>
      <c r="O18" s="105">
        <f>IF('Run CRS'!BM18&lt;&gt;"",'Run CRS'!BM18,"")</f>
        <v>1.3645537890912829E-2</v>
      </c>
      <c r="P18" s="106" t="str">
        <f>IF('Run CRS'!BN18&lt;&gt;"",'Run CRS'!BN18,"")</f>
        <v/>
      </c>
      <c r="Q18" s="106" t="str">
        <f>IF('Run CRS'!BO18&lt;&gt;"",'Run CRS'!BO18,"")</f>
        <v/>
      </c>
      <c r="R18" s="106" t="str">
        <f>IF('Run CRS'!BP18&lt;&gt;"",'Run CRS'!BP18,"")</f>
        <v/>
      </c>
      <c r="S18" s="106" t="str">
        <f>IF('Run CRS'!BQ18&lt;&gt;"",'Run CRS'!BQ18,"")</f>
        <v/>
      </c>
      <c r="T18" s="106">
        <f>IF('Run CRS'!BR18&lt;&gt;"",'Run CRS'!BR18,"")</f>
        <v>-13.035393694548638</v>
      </c>
      <c r="U18" s="105">
        <f>IF('Run CRS'!BS18&lt;&gt;"",'Run CRS'!BS18,"")</f>
        <v>-1.3723717196681612E-2</v>
      </c>
      <c r="V18" s="105" t="str">
        <f>IF('Run CRS'!BT18&lt;&gt;"",'Run CRS'!BT18,"")</f>
        <v/>
      </c>
      <c r="W18" s="105" t="str">
        <f>IF('Run CRS'!BU18&lt;&gt;"",'Run CRS'!BU18,"")</f>
        <v/>
      </c>
      <c r="X18" s="107" t="str">
        <f>IF('Run CRS'!BV18&lt;&gt;"",'Run CRS'!BV18,"")</f>
        <v/>
      </c>
      <c r="Y18" s="114">
        <f>IF('Data input'!C18&lt;&gt;"",O18/'Data input'!C18*100%,"")</f>
        <v>1.398595101789139E-2</v>
      </c>
      <c r="Z18" s="114" t="str">
        <f>IF('Data input'!D18&lt;&gt;"",P18/'Data input'!D18*100%,"")</f>
        <v/>
      </c>
      <c r="AA18" s="114" t="str">
        <f>IF('Data input'!E18&lt;&gt;"",Q18/'Data input'!E18*100%,"")</f>
        <v/>
      </c>
      <c r="AB18" s="114" t="str">
        <f>IF('Data input'!F18&lt;&gt;"",R18/'Data input'!F18*100%,"")</f>
        <v/>
      </c>
      <c r="AC18" s="114" t="str">
        <f>IF('Data input'!G18&lt;&gt;"",S18/'Data input'!G18*100%,"")</f>
        <v/>
      </c>
      <c r="AD18" s="114">
        <f>IF('Data input'!H18&lt;&gt;"",T18/'Data input'!H18*100%,"")</f>
        <v>-0.97781564319500325</v>
      </c>
      <c r="AE18" s="114">
        <f>IF('Data input'!I18&lt;&gt;"",U18/'Data input'!I18*100%,"")</f>
        <v>-0.17308956234666378</v>
      </c>
      <c r="AF18" s="114" t="str">
        <f>IF('Data input'!J18&lt;&gt;"",V18/'Data input'!J18*100%,"")</f>
        <v/>
      </c>
      <c r="AG18" s="114" t="str">
        <f>IF('Data input'!K18&lt;&gt;"",W18/'Data input'!K18*100%,"")</f>
        <v/>
      </c>
      <c r="AH18" s="115" t="str">
        <f>IF('Data input'!L18&lt;&gt;"",X18/'Data input'!L18*100%,"")</f>
        <v/>
      </c>
      <c r="AI18" s="114">
        <f>IF('Data input'!C18&lt;&gt;"",'Run CRS'!AH18/'Run CRS'!C18,"")</f>
        <v>8.4805716297687739E-2</v>
      </c>
      <c r="AJ18" s="114" t="str">
        <f>IF('Data input'!D18&lt;&gt;"",'Run CRS'!AI18/'Run CRS'!D18,"")</f>
        <v/>
      </c>
      <c r="AK18" s="114" t="str">
        <f>IF('Data input'!E18&lt;&gt;"",'Run CRS'!AJ18/'Run CRS'!E18,"")</f>
        <v/>
      </c>
      <c r="AL18" s="114" t="str">
        <f>IF('Data input'!F18&lt;&gt;"",'Run CRS'!AK18/'Run CRS'!F18,"")</f>
        <v/>
      </c>
      <c r="AM18" s="114" t="str">
        <f>IF('Data input'!G18&lt;&gt;"",'Run CRS'!AL18/'Run CRS'!G18,"")</f>
        <v/>
      </c>
      <c r="AN18" s="114">
        <f>IF('Data input'!H18&lt;&gt;"",'Run CRS'!AM18/'Run CRS'!H18,"")</f>
        <v>0.37443798662049971</v>
      </c>
      <c r="AO18" s="114">
        <f>IF('Data input'!I18&lt;&gt;"",'Run CRS'!AN18/'Run CRS'!I18,"")</f>
        <v>0.11139808470954056</v>
      </c>
      <c r="AP18" s="114" t="str">
        <f>IF('Data input'!J18&lt;&gt;"",'Run CRS'!AO18/'Run CRS'!J18,"")</f>
        <v/>
      </c>
      <c r="AQ18" s="114" t="str">
        <f>IF('Data input'!K18&lt;&gt;"",'Run CRS'!AP18/'Run CRS'!K18,"")</f>
        <v/>
      </c>
      <c r="AR18" s="115" t="str">
        <f>IF('Data input'!L18&lt;&gt;"",'Run CRS'!AQ18/'Run CRS'!L18,"")</f>
        <v/>
      </c>
    </row>
    <row r="19" spans="1:44" x14ac:dyDescent="0.35">
      <c r="A19" s="102">
        <f>IF('Run CRS'!AF19&lt;&gt;"",'Run CRS'!AF19,"")</f>
        <v>17</v>
      </c>
      <c r="B19" s="103" t="str">
        <f>IF('Run CRS'!AG19&lt;&gt;"",'Run CRS'!AG19,"")</f>
        <v>Kansas</v>
      </c>
      <c r="C19" s="104">
        <f>IF('Run CRS'!AR19&lt;&gt;"",'Run CRS'!AR19,"")</f>
        <v>0.88014723734518152</v>
      </c>
      <c r="D19" s="104" t="str">
        <f>IF(ROUND(C19,3)=100%,"Optimal frontier",'Run CRS'!BW19)</f>
        <v xml:space="preserve">Nevada; Texas; </v>
      </c>
      <c r="E19" s="105">
        <f>IF('Run CRS'!BC19&lt;&gt;"",'Run CRS'!BC19,"")</f>
        <v>0.98933725251143745</v>
      </c>
      <c r="F19" s="106" t="str">
        <f>IF('Run CRS'!BD19&lt;&gt;"",'Run CRS'!BD19,"")</f>
        <v/>
      </c>
      <c r="G19" s="106" t="str">
        <f>IF('Run CRS'!BE19&lt;&gt;"",'Run CRS'!BE19,"")</f>
        <v/>
      </c>
      <c r="H19" s="106" t="str">
        <f>IF('Run CRS'!BF19&lt;&gt;"",'Run CRS'!BF19,"")</f>
        <v/>
      </c>
      <c r="I19" s="106" t="str">
        <f>IF('Run CRS'!BG19&lt;&gt;"",'Run CRS'!BG19,"")</f>
        <v/>
      </c>
      <c r="J19" s="106">
        <f>IF('Run CRS'!BH19&lt;&gt;"",'Run CRS'!BH19,"")</f>
        <v>0.29574268608402715</v>
      </c>
      <c r="K19" s="105">
        <f>IF('Run CRS'!BI19&lt;&gt;"",'Run CRS'!BI19,"")</f>
        <v>1.1393847322445853E-3</v>
      </c>
      <c r="L19" s="105" t="str">
        <f>IF('Run CRS'!BJ19&lt;&gt;"",'Run CRS'!BJ19,"")</f>
        <v/>
      </c>
      <c r="M19" s="105" t="str">
        <f>IF('Run CRS'!BK19&lt;&gt;"",'Run CRS'!BK19,"")</f>
        <v/>
      </c>
      <c r="N19" s="105" t="str">
        <f>IF('Run CRS'!BL19&lt;&gt;"",'Run CRS'!BL19,"")</f>
        <v/>
      </c>
      <c r="O19" s="105">
        <f>IF('Run CRS'!BM19&lt;&gt;"",'Run CRS'!BM19,"")</f>
        <v>1.2169121915732606E-2</v>
      </c>
      <c r="P19" s="106" t="str">
        <f>IF('Run CRS'!BN19&lt;&gt;"",'Run CRS'!BN19,"")</f>
        <v/>
      </c>
      <c r="Q19" s="106" t="str">
        <f>IF('Run CRS'!BO19&lt;&gt;"",'Run CRS'!BO19,"")</f>
        <v/>
      </c>
      <c r="R19" s="106" t="str">
        <f>IF('Run CRS'!BP19&lt;&gt;"",'Run CRS'!BP19,"")</f>
        <v/>
      </c>
      <c r="S19" s="106" t="str">
        <f>IF('Run CRS'!BQ19&lt;&gt;"",'Run CRS'!BQ19,"")</f>
        <v/>
      </c>
      <c r="T19" s="106">
        <f>IF('Run CRS'!BR19&lt;&gt;"",'Run CRS'!BR19,"")</f>
        <v>-2.5606815529915217</v>
      </c>
      <c r="U19" s="105">
        <f>IF('Run CRS'!BS19&lt;&gt;"",'Run CRS'!BS19,"")</f>
        <v>-2.6020852139652106E-18</v>
      </c>
      <c r="V19" s="105" t="str">
        <f>IF('Run CRS'!BT19&lt;&gt;"",'Run CRS'!BT19,"")</f>
        <v/>
      </c>
      <c r="W19" s="105" t="str">
        <f>IF('Run CRS'!BU19&lt;&gt;"",'Run CRS'!BU19,"")</f>
        <v/>
      </c>
      <c r="X19" s="107" t="str">
        <f>IF('Run CRS'!BV19&lt;&gt;"",'Run CRS'!BV19,"")</f>
        <v/>
      </c>
      <c r="Y19" s="114">
        <f>IF('Data input'!C19&lt;&gt;"",O19/'Data input'!C19*100%,"")</f>
        <v>1.2453457634065513E-2</v>
      </c>
      <c r="Z19" s="114" t="str">
        <f>IF('Data input'!D19&lt;&gt;"",P19/'Data input'!D19*100%,"")</f>
        <v/>
      </c>
      <c r="AA19" s="114" t="str">
        <f>IF('Data input'!E19&lt;&gt;"",Q19/'Data input'!E19*100%,"")</f>
        <v/>
      </c>
      <c r="AB19" s="114" t="str">
        <f>IF('Data input'!F19&lt;&gt;"",R19/'Data input'!F19*100%,"")</f>
        <v/>
      </c>
      <c r="AC19" s="114" t="str">
        <f>IF('Data input'!G19&lt;&gt;"",S19/'Data input'!G19*100%,"")</f>
        <v/>
      </c>
      <c r="AD19" s="114">
        <f>IF('Data input'!H19&lt;&gt;"",T19/'Data input'!H19*100%,"")</f>
        <v>-0.89646401888126359</v>
      </c>
      <c r="AE19" s="114">
        <f>IF('Data input'!I19&lt;&gt;"",U19/'Data input'!I19*100%,"")</f>
        <v>-2.2837634561234665E-15</v>
      </c>
      <c r="AF19" s="114" t="str">
        <f>IF('Data input'!J19&lt;&gt;"",V19/'Data input'!J19*100%,"")</f>
        <v/>
      </c>
      <c r="AG19" s="114" t="str">
        <f>IF('Data input'!K19&lt;&gt;"",W19/'Data input'!K19*100%,"")</f>
        <v/>
      </c>
      <c r="AH19" s="115" t="str">
        <f>IF('Data input'!L19&lt;&gt;"",X19/'Data input'!L19*100%,"")</f>
        <v/>
      </c>
      <c r="AI19" s="114">
        <f>IF('Data input'!C19&lt;&gt;"",'Run CRS'!AH19/'Run CRS'!C19,"")</f>
        <v>7.4927805777017395E-2</v>
      </c>
      <c r="AJ19" s="114" t="str">
        <f>IF('Data input'!D19&lt;&gt;"",'Run CRS'!AI19/'Run CRS'!D19,"")</f>
        <v/>
      </c>
      <c r="AK19" s="114" t="str">
        <f>IF('Data input'!E19&lt;&gt;"",'Run CRS'!AJ19/'Run CRS'!E19,"")</f>
        <v/>
      </c>
      <c r="AL19" s="114" t="str">
        <f>IF('Data input'!F19&lt;&gt;"",'Run CRS'!AK19/'Run CRS'!F19,"")</f>
        <v/>
      </c>
      <c r="AM19" s="114" t="str">
        <f>IF('Data input'!G19&lt;&gt;"",'Run CRS'!AL19/'Run CRS'!G19,"")</f>
        <v/>
      </c>
      <c r="AN19" s="114">
        <f>IF('Data input'!H19&lt;&gt;"",'Run CRS'!AM19/'Run CRS'!H19,"")</f>
        <v>0.10521109564438869</v>
      </c>
      <c r="AO19" s="114">
        <f>IF('Data input'!I19&lt;&gt;"",'Run CRS'!AN19/'Run CRS'!I19,"")</f>
        <v>0</v>
      </c>
      <c r="AP19" s="114" t="str">
        <f>IF('Data input'!J19&lt;&gt;"",'Run CRS'!AO19/'Run CRS'!J19,"")</f>
        <v/>
      </c>
      <c r="AQ19" s="114" t="str">
        <f>IF('Data input'!K19&lt;&gt;"",'Run CRS'!AP19/'Run CRS'!K19,"")</f>
        <v/>
      </c>
      <c r="AR19" s="115" t="str">
        <f>IF('Data input'!L19&lt;&gt;"",'Run CRS'!AQ19/'Run CRS'!L19,"")</f>
        <v/>
      </c>
    </row>
    <row r="20" spans="1:44" x14ac:dyDescent="0.35">
      <c r="A20" s="102">
        <f>IF('Run CRS'!AF20&lt;&gt;"",'Run CRS'!AF20,"")</f>
        <v>18</v>
      </c>
      <c r="B20" s="103" t="str">
        <f>IF('Run CRS'!AG20&lt;&gt;"",'Run CRS'!AG20,"")</f>
        <v>Kentucky</v>
      </c>
      <c r="C20" s="104">
        <f>IF('Run CRS'!AR20&lt;&gt;"",'Run CRS'!AR20,"")</f>
        <v>0.80065886146494081</v>
      </c>
      <c r="D20" s="104" t="str">
        <f>IF(ROUND(C20,3)=100%,"Optimal frontier",'Run CRS'!BW20)</f>
        <v xml:space="preserve">Nevada; Texas; </v>
      </c>
      <c r="E20" s="105">
        <f>IF('Run CRS'!BC20&lt;&gt;"",'Run CRS'!BC20,"")</f>
        <v>0.98818560743112571</v>
      </c>
      <c r="F20" s="106" t="str">
        <f>IF('Run CRS'!BD20&lt;&gt;"",'Run CRS'!BD20,"")</f>
        <v/>
      </c>
      <c r="G20" s="106" t="str">
        <f>IF('Run CRS'!BE20&lt;&gt;"",'Run CRS'!BE20,"")</f>
        <v/>
      </c>
      <c r="H20" s="106" t="str">
        <f>IF('Run CRS'!BF20&lt;&gt;"",'Run CRS'!BF20,"")</f>
        <v/>
      </c>
      <c r="I20" s="106" t="str">
        <f>IF('Run CRS'!BG20&lt;&gt;"",'Run CRS'!BG20,"")</f>
        <v/>
      </c>
      <c r="J20" s="106">
        <f>IF('Run CRS'!BH20&lt;&gt;"",'Run CRS'!BH20,"")</f>
        <v>0.29574268608402715</v>
      </c>
      <c r="K20" s="105">
        <f>IF('Run CRS'!BI20&lt;&gt;"",'Run CRS'!BI20,"")</f>
        <v>0</v>
      </c>
      <c r="L20" s="105" t="str">
        <f>IF('Run CRS'!BJ20&lt;&gt;"",'Run CRS'!BJ20,"")</f>
        <v/>
      </c>
      <c r="M20" s="105" t="str">
        <f>IF('Run CRS'!BK20&lt;&gt;"",'Run CRS'!BK20,"")</f>
        <v/>
      </c>
      <c r="N20" s="105" t="str">
        <f>IF('Run CRS'!BL20&lt;&gt;"",'Run CRS'!BL20,"")</f>
        <v/>
      </c>
      <c r="O20" s="105">
        <f>IF('Run CRS'!BM20&lt;&gt;"",'Run CRS'!BM20,"")</f>
        <v>2.661324794184472E-2</v>
      </c>
      <c r="P20" s="106" t="str">
        <f>IF('Run CRS'!BN20&lt;&gt;"",'Run CRS'!BN20,"")</f>
        <v/>
      </c>
      <c r="Q20" s="106" t="str">
        <f>IF('Run CRS'!BO20&lt;&gt;"",'Run CRS'!BO20,"")</f>
        <v/>
      </c>
      <c r="R20" s="106" t="str">
        <f>IF('Run CRS'!BP20&lt;&gt;"",'Run CRS'!BP20,"")</f>
        <v/>
      </c>
      <c r="S20" s="106" t="str">
        <f>IF('Run CRS'!BQ20&lt;&gt;"",'Run CRS'!BQ20,"")</f>
        <v/>
      </c>
      <c r="T20" s="106">
        <f>IF('Run CRS'!BR20&lt;&gt;"",'Run CRS'!BR20,"")</f>
        <v>-2.497142023521806</v>
      </c>
      <c r="U20" s="105">
        <f>IF('Run CRS'!BS20&lt;&gt;"",'Run CRS'!BS20,"")</f>
        <v>0</v>
      </c>
      <c r="V20" s="105" t="str">
        <f>IF('Run CRS'!BT20&lt;&gt;"",'Run CRS'!BT20,"")</f>
        <v/>
      </c>
      <c r="W20" s="105" t="str">
        <f>IF('Run CRS'!BU20&lt;&gt;"",'Run CRS'!BU20,"")</f>
        <v/>
      </c>
      <c r="X20" s="107" t="str">
        <f>IF('Run CRS'!BV20&lt;&gt;"",'Run CRS'!BV20,"")</f>
        <v/>
      </c>
      <c r="Y20" s="114">
        <f>IF('Data input'!C20&lt;&gt;"",O20/'Data input'!C20*100%,"")</f>
        <v>2.7676802145165432E-2</v>
      </c>
      <c r="Z20" s="114" t="str">
        <f>IF('Data input'!D20&lt;&gt;"",P20/'Data input'!D20*100%,"")</f>
        <v/>
      </c>
      <c r="AA20" s="114" t="str">
        <f>IF('Data input'!E20&lt;&gt;"",Q20/'Data input'!E20*100%,"")</f>
        <v/>
      </c>
      <c r="AB20" s="114" t="str">
        <f>IF('Data input'!F20&lt;&gt;"",R20/'Data input'!F20*100%,"")</f>
        <v/>
      </c>
      <c r="AC20" s="114" t="str">
        <f>IF('Data input'!G20&lt;&gt;"",S20/'Data input'!G20*100%,"")</f>
        <v/>
      </c>
      <c r="AD20" s="114">
        <f>IF('Data input'!H20&lt;&gt;"",T20/'Data input'!H20*100%,"")</f>
        <v>-0.89410852332470037</v>
      </c>
      <c r="AE20" s="114" t="e">
        <f>IF('Data input'!I20&lt;&gt;"",U20/'Data input'!I20*100%,"")</f>
        <v>#DIV/0!</v>
      </c>
      <c r="AF20" s="114" t="str">
        <f>IF('Data input'!J20&lt;&gt;"",V20/'Data input'!J20*100%,"")</f>
        <v/>
      </c>
      <c r="AG20" s="114" t="str">
        <f>IF('Data input'!K20&lt;&gt;"",W20/'Data input'!K20*100%,"")</f>
        <v/>
      </c>
      <c r="AH20" s="115" t="str">
        <f>IF('Data input'!L20&lt;&gt;"",X20/'Data input'!L20*100%,"")</f>
        <v/>
      </c>
      <c r="AI20" s="114">
        <f>IF('Data input'!C20&lt;&gt;"",'Run CRS'!AH20/'Run CRS'!C20,"")</f>
        <v>0.18126998672830635</v>
      </c>
      <c r="AJ20" s="114" t="str">
        <f>IF('Data input'!D20&lt;&gt;"",'Run CRS'!AI20/'Run CRS'!D20,"")</f>
        <v/>
      </c>
      <c r="AK20" s="114" t="str">
        <f>IF('Data input'!E20&lt;&gt;"",'Run CRS'!AJ20/'Run CRS'!E20,"")</f>
        <v/>
      </c>
      <c r="AL20" s="114" t="str">
        <f>IF('Data input'!F20&lt;&gt;"",'Run CRS'!AK20/'Run CRS'!F20,"")</f>
        <v/>
      </c>
      <c r="AM20" s="114" t="str">
        <f>IF('Data input'!G20&lt;&gt;"",'Run CRS'!AL20/'Run CRS'!G20,"")</f>
        <v/>
      </c>
      <c r="AN20" s="114">
        <f>IF('Data input'!H20&lt;&gt;"",'Run CRS'!AM20/'Run CRS'!H20,"")</f>
        <v>0.10286899349965062</v>
      </c>
      <c r="AO20" s="114">
        <f>IF('Data input'!I20&lt;&gt;"",'Run CRS'!AN20/'Run CRS'!I20,"")</f>
        <v>0</v>
      </c>
      <c r="AP20" s="114" t="str">
        <f>IF('Data input'!J20&lt;&gt;"",'Run CRS'!AO20/'Run CRS'!J20,"")</f>
        <v/>
      </c>
      <c r="AQ20" s="114" t="str">
        <f>IF('Data input'!K20&lt;&gt;"",'Run CRS'!AP20/'Run CRS'!K20,"")</f>
        <v/>
      </c>
      <c r="AR20" s="115" t="str">
        <f>IF('Data input'!L20&lt;&gt;"",'Run CRS'!AQ20/'Run CRS'!L20,"")</f>
        <v/>
      </c>
    </row>
    <row r="21" spans="1:44" x14ac:dyDescent="0.35">
      <c r="A21" s="102">
        <f>IF('Run CRS'!AF21&lt;&gt;"",'Run CRS'!AF21,"")</f>
        <v>19</v>
      </c>
      <c r="B21" s="103" t="str">
        <f>IF('Run CRS'!AG21&lt;&gt;"",'Run CRS'!AG21,"")</f>
        <v>Louisiana</v>
      </c>
      <c r="C21" s="104">
        <f>IF('Run CRS'!AR21&lt;&gt;"",'Run CRS'!AR21,"")</f>
        <v>0.55840225560869827</v>
      </c>
      <c r="D21" s="104" t="str">
        <f>IF(ROUND(C21,3)=100%,"Optimal frontier",'Run CRS'!BW21)</f>
        <v xml:space="preserve">Texas; </v>
      </c>
      <c r="E21" s="105">
        <f>IF('Run CRS'!BC21&lt;&gt;"",'Run CRS'!BC21,"")</f>
        <v>0.98810937740753502</v>
      </c>
      <c r="F21" s="106" t="str">
        <f>IF('Run CRS'!BD21&lt;&gt;"",'Run CRS'!BD21,"")</f>
        <v/>
      </c>
      <c r="G21" s="106" t="str">
        <f>IF('Run CRS'!BE21&lt;&gt;"",'Run CRS'!BE21,"")</f>
        <v/>
      </c>
      <c r="H21" s="106" t="str">
        <f>IF('Run CRS'!BF21&lt;&gt;"",'Run CRS'!BF21,"")</f>
        <v/>
      </c>
      <c r="I21" s="106" t="str">
        <f>IF('Run CRS'!BG21&lt;&gt;"",'Run CRS'!BG21,"")</f>
        <v/>
      </c>
      <c r="J21" s="106">
        <f>IF('Run CRS'!BH21&lt;&gt;"",'Run CRS'!BH21,"")</f>
        <v>0.29574268608411419</v>
      </c>
      <c r="K21" s="105">
        <f>IF('Run CRS'!BI21&lt;&gt;"",'Run CRS'!BI21,"")</f>
        <v>4.0156172134689722E-2</v>
      </c>
      <c r="L21" s="105" t="str">
        <f>IF('Run CRS'!BJ21&lt;&gt;"",'Run CRS'!BJ21,"")</f>
        <v/>
      </c>
      <c r="M21" s="105" t="str">
        <f>IF('Run CRS'!BK21&lt;&gt;"",'Run CRS'!BK21,"")</f>
        <v/>
      </c>
      <c r="N21" s="105" t="str">
        <f>IF('Run CRS'!BL21&lt;&gt;"",'Run CRS'!BL21,"")</f>
        <v/>
      </c>
      <c r="O21" s="105">
        <f>IF('Run CRS'!BM21&lt;&gt;"",'Run CRS'!BM21,"")</f>
        <v>6.0517118086141242E-2</v>
      </c>
      <c r="P21" s="106" t="str">
        <f>IF('Run CRS'!BN21&lt;&gt;"",'Run CRS'!BN21,"")</f>
        <v/>
      </c>
      <c r="Q21" s="106" t="str">
        <f>IF('Run CRS'!BO21&lt;&gt;"",'Run CRS'!BO21,"")</f>
        <v/>
      </c>
      <c r="R21" s="106" t="str">
        <f>IF('Run CRS'!BP21&lt;&gt;"",'Run CRS'!BP21,"")</f>
        <v/>
      </c>
      <c r="S21" s="106" t="str">
        <f>IF('Run CRS'!BQ21&lt;&gt;"",'Run CRS'!BQ21,"")</f>
        <v/>
      </c>
      <c r="T21" s="106">
        <f>IF('Run CRS'!BR21&lt;&gt;"",'Run CRS'!BR21,"")</f>
        <v>-2.8408792379192365</v>
      </c>
      <c r="U21" s="105">
        <f>IF('Run CRS'!BS21&lt;&gt;"",'Run CRS'!BS21,"")</f>
        <v>-8.3106923559136403E-3</v>
      </c>
      <c r="V21" s="105" t="str">
        <f>IF('Run CRS'!BT21&lt;&gt;"",'Run CRS'!BT21,"")</f>
        <v/>
      </c>
      <c r="W21" s="105" t="str">
        <f>IF('Run CRS'!BU21&lt;&gt;"",'Run CRS'!BU21,"")</f>
        <v/>
      </c>
      <c r="X21" s="107" t="str">
        <f>IF('Run CRS'!BV21&lt;&gt;"",'Run CRS'!BV21,"")</f>
        <v/>
      </c>
      <c r="Y21" s="114">
        <f>IF('Data input'!C21&lt;&gt;"",O21/'Data input'!C21*100%,"")</f>
        <v>6.5241077076704207E-2</v>
      </c>
      <c r="Z21" s="114" t="str">
        <f>IF('Data input'!D21&lt;&gt;"",P21/'Data input'!D21*100%,"")</f>
        <v/>
      </c>
      <c r="AA21" s="114" t="str">
        <f>IF('Data input'!E21&lt;&gt;"",Q21/'Data input'!E21*100%,"")</f>
        <v/>
      </c>
      <c r="AB21" s="114" t="str">
        <f>IF('Data input'!F21&lt;&gt;"",R21/'Data input'!F21*100%,"")</f>
        <v/>
      </c>
      <c r="AC21" s="114" t="str">
        <f>IF('Data input'!G21&lt;&gt;"",S21/'Data input'!G21*100%,"")</f>
        <v/>
      </c>
      <c r="AD21" s="114">
        <f>IF('Data input'!H21&lt;&gt;"",T21/'Data input'!H21*100%,"")</f>
        <v>-0.90571299530207638</v>
      </c>
      <c r="AE21" s="114">
        <f>IF('Data input'!I21&lt;&gt;"",U21/'Data input'!I21*100%,"")</f>
        <v>-0.17147163207813654</v>
      </c>
      <c r="AF21" s="114" t="str">
        <f>IF('Data input'!J21&lt;&gt;"",V21/'Data input'!J21*100%,"")</f>
        <v/>
      </c>
      <c r="AG21" s="114" t="str">
        <f>IF('Data input'!K21&lt;&gt;"",W21/'Data input'!K21*100%,"")</f>
        <v/>
      </c>
      <c r="AH21" s="115" t="str">
        <f>IF('Data input'!L21&lt;&gt;"",X21/'Data input'!L21*100%,"")</f>
        <v/>
      </c>
      <c r="AI21" s="114">
        <f>IF('Data input'!C21&lt;&gt;"",'Run CRS'!AH21/'Run CRS'!C21,"")</f>
        <v>0.53633084770993134</v>
      </c>
      <c r="AJ21" s="114" t="str">
        <f>IF('Data input'!D21&lt;&gt;"",'Run CRS'!AI21/'Run CRS'!D21,"")</f>
        <v/>
      </c>
      <c r="AK21" s="114" t="str">
        <f>IF('Data input'!E21&lt;&gt;"",'Run CRS'!AJ21/'Run CRS'!E21,"")</f>
        <v/>
      </c>
      <c r="AL21" s="114" t="str">
        <f>IF('Data input'!F21&lt;&gt;"",'Run CRS'!AK21/'Run CRS'!F21,"")</f>
        <v/>
      </c>
      <c r="AM21" s="114" t="str">
        <f>IF('Data input'!G21&lt;&gt;"",'Run CRS'!AL21/'Run CRS'!G21,"")</f>
        <v/>
      </c>
      <c r="AN21" s="114">
        <f>IF('Data input'!H21&lt;&gt;"",'Run CRS'!AM21/'Run CRS'!H21,"")</f>
        <v>0.11539512961374473</v>
      </c>
      <c r="AO21" s="114">
        <f>IF('Data input'!I21&lt;&gt;"",'Run CRS'!AN21/'Run CRS'!I21,"")</f>
        <v>8.9966571473154733E-2</v>
      </c>
      <c r="AP21" s="114" t="str">
        <f>IF('Data input'!J21&lt;&gt;"",'Run CRS'!AO21/'Run CRS'!J21,"")</f>
        <v/>
      </c>
      <c r="AQ21" s="114" t="str">
        <f>IF('Data input'!K21&lt;&gt;"",'Run CRS'!AP21/'Run CRS'!K21,"")</f>
        <v/>
      </c>
      <c r="AR21" s="115" t="str">
        <f>IF('Data input'!L21&lt;&gt;"",'Run CRS'!AQ21/'Run CRS'!L21,"")</f>
        <v/>
      </c>
    </row>
    <row r="22" spans="1:44" x14ac:dyDescent="0.35">
      <c r="A22" s="102">
        <f>IF('Run CRS'!AF22&lt;&gt;"",'Run CRS'!AF22,"")</f>
        <v>20</v>
      </c>
      <c r="B22" s="103" t="str">
        <f>IF('Run CRS'!AG22&lt;&gt;"",'Run CRS'!AG22,"")</f>
        <v>Maine</v>
      </c>
      <c r="C22" s="104">
        <f>IF('Run CRS'!AR22&lt;&gt;"",'Run CRS'!AR22,"")</f>
        <v>0.37356173832796186</v>
      </c>
      <c r="D22" s="104" t="str">
        <f>IF(ROUND(C22,3)=100%,"Optimal frontier",'Run CRS'!BW22)</f>
        <v xml:space="preserve">Texas; </v>
      </c>
      <c r="E22" s="105">
        <f>IF('Run CRS'!BC22&lt;&gt;"",'Run CRS'!BC22,"")</f>
        <v>0.98801992050873233</v>
      </c>
      <c r="F22" s="106" t="str">
        <f>IF('Run CRS'!BD22&lt;&gt;"",'Run CRS'!BD22,"")</f>
        <v/>
      </c>
      <c r="G22" s="106" t="str">
        <f>IF('Run CRS'!BE22&lt;&gt;"",'Run CRS'!BE22,"")</f>
        <v/>
      </c>
      <c r="H22" s="106" t="str">
        <f>IF('Run CRS'!BF22&lt;&gt;"",'Run CRS'!BF22,"")</f>
        <v/>
      </c>
      <c r="I22" s="106" t="str">
        <f>IF('Run CRS'!BG22&lt;&gt;"",'Run CRS'!BG22,"")</f>
        <v/>
      </c>
      <c r="J22" s="106">
        <f>IF('Run CRS'!BH22&lt;&gt;"",'Run CRS'!BH22,"")</f>
        <v>0.29574268608718002</v>
      </c>
      <c r="K22" s="105">
        <f>IF('Run CRS'!BI22&lt;&gt;"",'Run CRS'!BI22,"")</f>
        <v>9.5908672368959381E-3</v>
      </c>
      <c r="L22" s="105" t="str">
        <f>IF('Run CRS'!BJ22&lt;&gt;"",'Run CRS'!BJ22,"")</f>
        <v/>
      </c>
      <c r="M22" s="105" t="str">
        <f>IF('Run CRS'!BK22&lt;&gt;"",'Run CRS'!BK22,"")</f>
        <v/>
      </c>
      <c r="N22" s="105" t="str">
        <f>IF('Run CRS'!BL22&lt;&gt;"",'Run CRS'!BL22,"")</f>
        <v/>
      </c>
      <c r="O22" s="105">
        <f>IF('Run CRS'!BM22&lt;&gt;"",'Run CRS'!BM22,"")</f>
        <v>6.4021458266620646E-2</v>
      </c>
      <c r="P22" s="106" t="str">
        <f>IF('Run CRS'!BN22&lt;&gt;"",'Run CRS'!BN22,"")</f>
        <v/>
      </c>
      <c r="Q22" s="106" t="str">
        <f>IF('Run CRS'!BO22&lt;&gt;"",'Run CRS'!BO22,"")</f>
        <v/>
      </c>
      <c r="R22" s="106" t="str">
        <f>IF('Run CRS'!BP22&lt;&gt;"",'Run CRS'!BP22,"")</f>
        <v/>
      </c>
      <c r="S22" s="106" t="str">
        <f>IF('Run CRS'!BQ22&lt;&gt;"",'Run CRS'!BQ22,"")</f>
        <v/>
      </c>
      <c r="T22" s="106">
        <f>IF('Run CRS'!BR22&lt;&gt;"",'Run CRS'!BR22,"")</f>
        <v>-72.271944368095006</v>
      </c>
      <c r="U22" s="105">
        <f>IF('Run CRS'!BS22&lt;&gt;"",'Run CRS'!BS22,"")</f>
        <v>-1.7986544031951789E-3</v>
      </c>
      <c r="V22" s="105" t="str">
        <f>IF('Run CRS'!BT22&lt;&gt;"",'Run CRS'!BT22,"")</f>
        <v/>
      </c>
      <c r="W22" s="105" t="str">
        <f>IF('Run CRS'!BU22&lt;&gt;"",'Run CRS'!BU22,"")</f>
        <v/>
      </c>
      <c r="X22" s="107" t="str">
        <f>IF('Run CRS'!BV22&lt;&gt;"",'Run CRS'!BV22,"")</f>
        <v/>
      </c>
      <c r="Y22" s="114">
        <f>IF('Data input'!C22&lt;&gt;"",O22/'Data input'!C22*100%,"")</f>
        <v>6.9287407807227877E-2</v>
      </c>
      <c r="Z22" s="114" t="str">
        <f>IF('Data input'!D22&lt;&gt;"",P22/'Data input'!D22*100%,"")</f>
        <v/>
      </c>
      <c r="AA22" s="114" t="str">
        <f>IF('Data input'!E22&lt;&gt;"",Q22/'Data input'!E22*100%,"")</f>
        <v/>
      </c>
      <c r="AB22" s="114" t="str">
        <f>IF('Data input'!F22&lt;&gt;"",R22/'Data input'!F22*100%,"")</f>
        <v/>
      </c>
      <c r="AC22" s="114" t="str">
        <f>IF('Data input'!G22&lt;&gt;"",S22/'Data input'!G22*100%,"")</f>
        <v/>
      </c>
      <c r="AD22" s="114">
        <f>IF('Data input'!H22&lt;&gt;"",T22/'Data input'!H22*100%,"")</f>
        <v>-0.99592459539372713</v>
      </c>
      <c r="AE22" s="114">
        <f>IF('Data input'!I22&lt;&gt;"",U22/'Data input'!I22*100%,"")</f>
        <v>-0.1579218566005367</v>
      </c>
      <c r="AF22" s="114" t="str">
        <f>IF('Data input'!J22&lt;&gt;"",V22/'Data input'!J22*100%,"")</f>
        <v/>
      </c>
      <c r="AG22" s="114" t="str">
        <f>IF('Data input'!K22&lt;&gt;"",W22/'Data input'!K22*100%,"")</f>
        <v/>
      </c>
      <c r="AH22" s="115" t="str">
        <f>IF('Data input'!L22&lt;&gt;"",X22/'Data input'!L22*100%,"")</f>
        <v/>
      </c>
      <c r="AI22" s="114">
        <f>IF('Data input'!C22&lt;&gt;"",'Run CRS'!AH22/'Run CRS'!C22,"")</f>
        <v>0.5860536925244979</v>
      </c>
      <c r="AJ22" s="114" t="str">
        <f>IF('Data input'!D22&lt;&gt;"",'Run CRS'!AI22/'Run CRS'!D22,"")</f>
        <v/>
      </c>
      <c r="AK22" s="114" t="str">
        <f>IF('Data input'!E22&lt;&gt;"",'Run CRS'!AJ22/'Run CRS'!E22,"")</f>
        <v/>
      </c>
      <c r="AL22" s="114" t="str">
        <f>IF('Data input'!F22&lt;&gt;"",'Run CRS'!AK22/'Run CRS'!F22,"")</f>
        <v/>
      </c>
      <c r="AM22" s="114" t="str">
        <f>IF('Data input'!G22&lt;&gt;"",'Run CRS'!AL22/'Run CRS'!G22,"")</f>
        <v/>
      </c>
      <c r="AN22" s="114">
        <f>IF('Data input'!H22&lt;&gt;"",'Run CRS'!AM22/'Run CRS'!H22,"")</f>
        <v>0.76844356325645935</v>
      </c>
      <c r="AO22" s="114">
        <f>IF('Data input'!I22&lt;&gt;"",'Run CRS'!AN22/'Run CRS'!I22,"")</f>
        <v>3.2526575906030961E-2</v>
      </c>
      <c r="AP22" s="114" t="str">
        <f>IF('Data input'!J22&lt;&gt;"",'Run CRS'!AO22/'Run CRS'!J22,"")</f>
        <v/>
      </c>
      <c r="AQ22" s="114" t="str">
        <f>IF('Data input'!K22&lt;&gt;"",'Run CRS'!AP22/'Run CRS'!K22,"")</f>
        <v/>
      </c>
      <c r="AR22" s="115" t="str">
        <f>IF('Data input'!L22&lt;&gt;"",'Run CRS'!AQ22/'Run CRS'!L22,"")</f>
        <v/>
      </c>
    </row>
    <row r="23" spans="1:44" x14ac:dyDescent="0.35">
      <c r="A23" s="102">
        <f>IF('Run CRS'!AF23&lt;&gt;"",'Run CRS'!AF23,"")</f>
        <v>21</v>
      </c>
      <c r="B23" s="103" t="str">
        <f>IF('Run CRS'!AG23&lt;&gt;"",'Run CRS'!AG23,"")</f>
        <v>Maryland</v>
      </c>
      <c r="C23" s="104">
        <f>IF('Run CRS'!AR23&lt;&gt;"",'Run CRS'!AR23,"")</f>
        <v>0.83797847921701973</v>
      </c>
      <c r="D23" s="104" t="str">
        <f>IF(ROUND(C23,3)=100%,"Optimal frontier",'Run CRS'!BW23)</f>
        <v xml:space="preserve">Texas; </v>
      </c>
      <c r="E23" s="105">
        <f>IF('Run CRS'!BC23&lt;&gt;"",'Run CRS'!BC23,"")</f>
        <v>0.9893320570902262</v>
      </c>
      <c r="F23" s="106" t="str">
        <f>IF('Run CRS'!BD23&lt;&gt;"",'Run CRS'!BD23,"")</f>
        <v/>
      </c>
      <c r="G23" s="106" t="str">
        <f>IF('Run CRS'!BE23&lt;&gt;"",'Run CRS'!BE23,"")</f>
        <v/>
      </c>
      <c r="H23" s="106" t="str">
        <f>IF('Run CRS'!BF23&lt;&gt;"",'Run CRS'!BF23,"")</f>
        <v/>
      </c>
      <c r="I23" s="106" t="str">
        <f>IF('Run CRS'!BG23&lt;&gt;"",'Run CRS'!BG23,"")</f>
        <v/>
      </c>
      <c r="J23" s="106">
        <f>IF('Run CRS'!BH23&lt;&gt;"",'Run CRS'!BH23,"")</f>
        <v>0.29574268608402715</v>
      </c>
      <c r="K23" s="105">
        <f>IF('Run CRS'!BI23&lt;&gt;"",'Run CRS'!BI23,"")</f>
        <v>2.269722521034687E-2</v>
      </c>
      <c r="L23" s="105" t="str">
        <f>IF('Run CRS'!BJ23&lt;&gt;"",'Run CRS'!BJ23,"")</f>
        <v/>
      </c>
      <c r="M23" s="105" t="str">
        <f>IF('Run CRS'!BK23&lt;&gt;"",'Run CRS'!BK23,"")</f>
        <v/>
      </c>
      <c r="N23" s="105" t="str">
        <f>IF('Run CRS'!BL23&lt;&gt;"",'Run CRS'!BL23,"")</f>
        <v/>
      </c>
      <c r="O23" s="105">
        <f>IF('Run CRS'!BM23&lt;&gt;"",'Run CRS'!BM23,"")</f>
        <v>1.2620470680671958E-2</v>
      </c>
      <c r="P23" s="106" t="str">
        <f>IF('Run CRS'!BN23&lt;&gt;"",'Run CRS'!BN23,"")</f>
        <v/>
      </c>
      <c r="Q23" s="106" t="str">
        <f>IF('Run CRS'!BO23&lt;&gt;"",'Run CRS'!BO23,"")</f>
        <v/>
      </c>
      <c r="R23" s="106" t="str">
        <f>IF('Run CRS'!BP23&lt;&gt;"",'Run CRS'!BP23,"")</f>
        <v/>
      </c>
      <c r="S23" s="106" t="str">
        <f>IF('Run CRS'!BQ23&lt;&gt;"",'Run CRS'!BQ23,"")</f>
        <v/>
      </c>
      <c r="T23" s="106">
        <f>IF('Run CRS'!BR23&lt;&gt;"",'Run CRS'!BR23,"")</f>
        <v>-2.3287419623486585</v>
      </c>
      <c r="U23" s="105">
        <f>IF('Run CRS'!BS23&lt;&gt;"",'Run CRS'!BS23,"")</f>
        <v>-4.5910067396247034E-3</v>
      </c>
      <c r="V23" s="105" t="str">
        <f>IF('Run CRS'!BT23&lt;&gt;"",'Run CRS'!BT23,"")</f>
        <v/>
      </c>
      <c r="W23" s="105" t="str">
        <f>IF('Run CRS'!BU23&lt;&gt;"",'Run CRS'!BU23,"")</f>
        <v/>
      </c>
      <c r="X23" s="107" t="str">
        <f>IF('Run CRS'!BV23&lt;&gt;"",'Run CRS'!BV23,"")</f>
        <v/>
      </c>
      <c r="Y23" s="114">
        <f>IF('Data input'!C23&lt;&gt;"",O23/'Data input'!C23*100%,"")</f>
        <v>1.292138933977993E-2</v>
      </c>
      <c r="Z23" s="114" t="str">
        <f>IF('Data input'!D23&lt;&gt;"",P23/'Data input'!D23*100%,"")</f>
        <v/>
      </c>
      <c r="AA23" s="114" t="str">
        <f>IF('Data input'!E23&lt;&gt;"",Q23/'Data input'!E23*100%,"")</f>
        <v/>
      </c>
      <c r="AB23" s="114" t="str">
        <f>IF('Data input'!F23&lt;&gt;"",R23/'Data input'!F23*100%,"")</f>
        <v/>
      </c>
      <c r="AC23" s="114" t="str">
        <f>IF('Data input'!G23&lt;&gt;"",S23/'Data input'!G23*100%,"")</f>
        <v/>
      </c>
      <c r="AD23" s="114">
        <f>IF('Data input'!H23&lt;&gt;"",T23/'Data input'!H23*100%,"")</f>
        <v>-0.88731399657428311</v>
      </c>
      <c r="AE23" s="114">
        <f>IF('Data input'!I23&lt;&gt;"",U23/'Data input'!I23*100%,"")</f>
        <v>-0.16824126781249696</v>
      </c>
      <c r="AF23" s="114" t="str">
        <f>IF('Data input'!J23&lt;&gt;"",V23/'Data input'!J23*100%,"")</f>
        <v/>
      </c>
      <c r="AG23" s="114" t="str">
        <f>IF('Data input'!K23&lt;&gt;"",W23/'Data input'!K23*100%,"")</f>
        <v/>
      </c>
      <c r="AH23" s="115" t="str">
        <f>IF('Data input'!L23&lt;&gt;"",X23/'Data input'!L23*100%,"")</f>
        <v/>
      </c>
      <c r="AI23" s="114">
        <f>IF('Data input'!C23&lt;&gt;"",'Run CRS'!AH23/'Run CRS'!C23,"")</f>
        <v>7.792590628774286E-2</v>
      </c>
      <c r="AJ23" s="114" t="str">
        <f>IF('Data input'!D23&lt;&gt;"",'Run CRS'!AI23/'Run CRS'!D23,"")</f>
        <v/>
      </c>
      <c r="AK23" s="114" t="str">
        <f>IF('Data input'!E23&lt;&gt;"",'Run CRS'!AJ23/'Run CRS'!E23,"")</f>
        <v/>
      </c>
      <c r="AL23" s="114" t="str">
        <f>IF('Data input'!F23&lt;&gt;"",'Run CRS'!AK23/'Run CRS'!F23,"")</f>
        <v/>
      </c>
      <c r="AM23" s="114" t="str">
        <f>IF('Data input'!G23&lt;&gt;"",'Run CRS'!AL23/'Run CRS'!G23,"")</f>
        <v/>
      </c>
      <c r="AN23" s="114">
        <f>IF('Data input'!H23&lt;&gt;"",'Run CRS'!AM23/'Run CRS'!H23,"")</f>
        <v>9.6601950990269886E-2</v>
      </c>
      <c r="AO23" s="114">
        <f>IF('Data input'!I23&lt;&gt;"",'Run CRS'!AN23/'Run CRS'!I23,"")</f>
        <v>6.4483416421988349E-2</v>
      </c>
      <c r="AP23" s="114" t="str">
        <f>IF('Data input'!J23&lt;&gt;"",'Run CRS'!AO23/'Run CRS'!J23,"")</f>
        <v/>
      </c>
      <c r="AQ23" s="114" t="str">
        <f>IF('Data input'!K23&lt;&gt;"",'Run CRS'!AP23/'Run CRS'!K23,"")</f>
        <v/>
      </c>
      <c r="AR23" s="115" t="str">
        <f>IF('Data input'!L23&lt;&gt;"",'Run CRS'!AQ23/'Run CRS'!L23,"")</f>
        <v/>
      </c>
    </row>
    <row r="24" spans="1:44" x14ac:dyDescent="0.35">
      <c r="A24" s="102">
        <f>IF('Run CRS'!AF24&lt;&gt;"",'Run CRS'!AF24,"")</f>
        <v>22</v>
      </c>
      <c r="B24" s="103" t="str">
        <f>IF('Run CRS'!AG24&lt;&gt;"",'Run CRS'!AG24,"")</f>
        <v>Massachusetts</v>
      </c>
      <c r="C24" s="104">
        <f>IF('Run CRS'!AR24&lt;&gt;"",'Run CRS'!AR24,"")</f>
        <v>0.25014754639052217</v>
      </c>
      <c r="D24" s="104" t="str">
        <f>IF(ROUND(C24,3)=100%,"Optimal frontier",'Run CRS'!BW24)</f>
        <v xml:space="preserve">Texas; </v>
      </c>
      <c r="E24" s="105">
        <f>IF('Run CRS'!BC24&lt;&gt;"",'Run CRS'!BC24,"")</f>
        <v>0.98703331270485006</v>
      </c>
      <c r="F24" s="106" t="str">
        <f>IF('Run CRS'!BD24&lt;&gt;"",'Run CRS'!BD24,"")</f>
        <v/>
      </c>
      <c r="G24" s="106" t="str">
        <f>IF('Run CRS'!BE24&lt;&gt;"",'Run CRS'!BE24,"")</f>
        <v/>
      </c>
      <c r="H24" s="106" t="str">
        <f>IF('Run CRS'!BF24&lt;&gt;"",'Run CRS'!BF24,"")</f>
        <v/>
      </c>
      <c r="I24" s="106" t="str">
        <f>IF('Run CRS'!BG24&lt;&gt;"",'Run CRS'!BG24,"")</f>
        <v/>
      </c>
      <c r="J24" s="106">
        <f>IF('Run CRS'!BH24&lt;&gt;"",'Run CRS'!BH24,"")</f>
        <v>0.29574268608404647</v>
      </c>
      <c r="K24" s="105">
        <f>IF('Run CRS'!BI24&lt;&gt;"",'Run CRS'!BI24,"")</f>
        <v>7.8905976348389972E-2</v>
      </c>
      <c r="L24" s="105" t="str">
        <f>IF('Run CRS'!BJ24&lt;&gt;"",'Run CRS'!BJ24,"")</f>
        <v/>
      </c>
      <c r="M24" s="105" t="str">
        <f>IF('Run CRS'!BK24&lt;&gt;"",'Run CRS'!BK24,"")</f>
        <v/>
      </c>
      <c r="N24" s="105" t="str">
        <f>IF('Run CRS'!BL24&lt;&gt;"",'Run CRS'!BL24,"")</f>
        <v/>
      </c>
      <c r="O24" s="105">
        <f>IF('Run CRS'!BM24&lt;&gt;"",'Run CRS'!BM24,"")</f>
        <v>0.10267034299002409</v>
      </c>
      <c r="P24" s="106" t="str">
        <f>IF('Run CRS'!BN24&lt;&gt;"",'Run CRS'!BN24,"")</f>
        <v/>
      </c>
      <c r="Q24" s="106" t="str">
        <f>IF('Run CRS'!BO24&lt;&gt;"",'Run CRS'!BO24,"")</f>
        <v/>
      </c>
      <c r="R24" s="106" t="str">
        <f>IF('Run CRS'!BP24&lt;&gt;"",'Run CRS'!BP24,"")</f>
        <v/>
      </c>
      <c r="S24" s="106" t="str">
        <f>IF('Run CRS'!BQ24&lt;&gt;"",'Run CRS'!BQ24,"")</f>
        <v/>
      </c>
      <c r="T24" s="106">
        <f>IF('Run CRS'!BR24&lt;&gt;"",'Run CRS'!BR24,"")</f>
        <v>-20.089594504764065</v>
      </c>
      <c r="U24" s="105">
        <f>IF('Run CRS'!BS24&lt;&gt;"",'Run CRS'!BS24,"")</f>
        <v>-1.6566464596491914E-2</v>
      </c>
      <c r="V24" s="105" t="str">
        <f>IF('Run CRS'!BT24&lt;&gt;"",'Run CRS'!BT24,"")</f>
        <v/>
      </c>
      <c r="W24" s="105" t="str">
        <f>IF('Run CRS'!BU24&lt;&gt;"",'Run CRS'!BU24,"")</f>
        <v/>
      </c>
      <c r="X24" s="107" t="str">
        <f>IF('Run CRS'!BV24&lt;&gt;"",'Run CRS'!BV24,"")</f>
        <v/>
      </c>
      <c r="Y24" s="114">
        <f>IF('Data input'!C24&lt;&gt;"",O24/'Data input'!C24*100%,"")</f>
        <v>0.11609525331338945</v>
      </c>
      <c r="Z24" s="114" t="str">
        <f>IF('Data input'!D24&lt;&gt;"",P24/'Data input'!D24*100%,"")</f>
        <v/>
      </c>
      <c r="AA24" s="114" t="str">
        <f>IF('Data input'!E24&lt;&gt;"",Q24/'Data input'!E24*100%,"")</f>
        <v/>
      </c>
      <c r="AB24" s="114" t="str">
        <f>IF('Data input'!F24&lt;&gt;"",R24/'Data input'!F24*100%,"")</f>
        <v/>
      </c>
      <c r="AC24" s="114" t="str">
        <f>IF('Data input'!G24&lt;&gt;"",S24/'Data input'!G24*100%,"")</f>
        <v/>
      </c>
      <c r="AD24" s="114">
        <f>IF('Data input'!H24&lt;&gt;"",T24/'Data input'!H24*100%,"")</f>
        <v>-0.98549238193534427</v>
      </c>
      <c r="AE24" s="114">
        <f>IF('Data input'!I24&lt;&gt;"",U24/'Data input'!I24*100%,"")</f>
        <v>-0.17352090752614213</v>
      </c>
      <c r="AF24" s="114" t="str">
        <f>IF('Data input'!J24&lt;&gt;"",V24/'Data input'!J24*100%,"")</f>
        <v/>
      </c>
      <c r="AG24" s="114" t="str">
        <f>IF('Data input'!K24&lt;&gt;"",W24/'Data input'!K24*100%,"")</f>
        <v/>
      </c>
      <c r="AH24" s="115" t="str">
        <f>IF('Data input'!L24&lt;&gt;"",X24/'Data input'!L24*100%,"")</f>
        <v/>
      </c>
      <c r="AI24" s="114">
        <f>IF('Data input'!C24&lt;&gt;"",'Run CRS'!AH24/'Run CRS'!C24,"")</f>
        <v>1.4750186217554129</v>
      </c>
      <c r="AJ24" s="114" t="str">
        <f>IF('Data input'!D24&lt;&gt;"",'Run CRS'!AI24/'Run CRS'!D24,"")</f>
        <v/>
      </c>
      <c r="AK24" s="114" t="str">
        <f>IF('Data input'!E24&lt;&gt;"",'Run CRS'!AJ24/'Run CRS'!E24,"")</f>
        <v/>
      </c>
      <c r="AL24" s="114" t="str">
        <f>IF('Data input'!F24&lt;&gt;"",'Run CRS'!AK24/'Run CRS'!F24,"")</f>
        <v/>
      </c>
      <c r="AM24" s="114" t="str">
        <f>IF('Data input'!G24&lt;&gt;"",'Run CRS'!AL24/'Run CRS'!G24,"")</f>
        <v/>
      </c>
      <c r="AN24" s="114">
        <f>IF('Data input'!H24&lt;&gt;"",'Run CRS'!AM24/'Run CRS'!H24,"")</f>
        <v>0.47983830745506439</v>
      </c>
      <c r="AO24" s="114">
        <f>IF('Data input'!I24&lt;&gt;"",'Run CRS'!AN24/'Run CRS'!I24,"")</f>
        <v>0.11885748334855065</v>
      </c>
      <c r="AP24" s="114" t="str">
        <f>IF('Data input'!J24&lt;&gt;"",'Run CRS'!AO24/'Run CRS'!J24,"")</f>
        <v/>
      </c>
      <c r="AQ24" s="114" t="str">
        <f>IF('Data input'!K24&lt;&gt;"",'Run CRS'!AP24/'Run CRS'!K24,"")</f>
        <v/>
      </c>
      <c r="AR24" s="115" t="str">
        <f>IF('Data input'!L24&lt;&gt;"",'Run CRS'!AQ24/'Run CRS'!L24,"")</f>
        <v/>
      </c>
    </row>
    <row r="25" spans="1:44" x14ac:dyDescent="0.35">
      <c r="A25" s="102">
        <f>IF('Run CRS'!AF25&lt;&gt;"",'Run CRS'!AF25,"")</f>
        <v>23</v>
      </c>
      <c r="B25" s="103" t="str">
        <f>IF('Run CRS'!AG25&lt;&gt;"",'Run CRS'!AG25,"")</f>
        <v>Michigan</v>
      </c>
      <c r="C25" s="104">
        <f>IF('Run CRS'!AR25&lt;&gt;"",'Run CRS'!AR25,"")</f>
        <v>0.52848407345129589</v>
      </c>
      <c r="D25" s="104" t="str">
        <f>IF(ROUND(C25,3)=100%,"Optimal frontier",'Run CRS'!BW25)</f>
        <v xml:space="preserve">Texas; </v>
      </c>
      <c r="E25" s="105">
        <f>IF('Run CRS'!BC25&lt;&gt;"",'Run CRS'!BC25,"")</f>
        <v>0.98813964511546115</v>
      </c>
      <c r="F25" s="106" t="str">
        <f>IF('Run CRS'!BD25&lt;&gt;"",'Run CRS'!BD25,"")</f>
        <v/>
      </c>
      <c r="G25" s="106" t="str">
        <f>IF('Run CRS'!BE25&lt;&gt;"",'Run CRS'!BE25,"")</f>
        <v/>
      </c>
      <c r="H25" s="106" t="str">
        <f>IF('Run CRS'!BF25&lt;&gt;"",'Run CRS'!BF25,"")</f>
        <v/>
      </c>
      <c r="I25" s="106" t="str">
        <f>IF('Run CRS'!BG25&lt;&gt;"",'Run CRS'!BG25,"")</f>
        <v/>
      </c>
      <c r="J25" s="106">
        <f>IF('Run CRS'!BH25&lt;&gt;"",'Run CRS'!BH25,"")</f>
        <v>0.29574268608413351</v>
      </c>
      <c r="K25" s="105">
        <f>IF('Run CRS'!BI25&lt;&gt;"",'Run CRS'!BI25,"")</f>
        <v>8.8178305120948913E-3</v>
      </c>
      <c r="L25" s="105" t="str">
        <f>IF('Run CRS'!BJ25&lt;&gt;"",'Run CRS'!BJ25,"")</f>
        <v/>
      </c>
      <c r="M25" s="105" t="str">
        <f>IF('Run CRS'!BK25&lt;&gt;"",'Run CRS'!BK25,"")</f>
        <v/>
      </c>
      <c r="N25" s="105" t="str">
        <f>IF('Run CRS'!BL25&lt;&gt;"",'Run CRS'!BL25,"")</f>
        <v/>
      </c>
      <c r="O25" s="105">
        <f>IF('Run CRS'!BM25&lt;&gt;"",'Run CRS'!BM25,"")</f>
        <v>5.9331425909500912E-2</v>
      </c>
      <c r="P25" s="106" t="str">
        <f>IF('Run CRS'!BN25&lt;&gt;"",'Run CRS'!BN25,"")</f>
        <v/>
      </c>
      <c r="Q25" s="106" t="str">
        <f>IF('Run CRS'!BO25&lt;&gt;"",'Run CRS'!BO25,"")</f>
        <v/>
      </c>
      <c r="R25" s="106" t="str">
        <f>IF('Run CRS'!BP25&lt;&gt;"",'Run CRS'!BP25,"")</f>
        <v/>
      </c>
      <c r="S25" s="106" t="str">
        <f>IF('Run CRS'!BQ25&lt;&gt;"",'Run CRS'!BQ25,"")</f>
        <v/>
      </c>
      <c r="T25" s="106">
        <f>IF('Run CRS'!BR25&lt;&gt;"",'Run CRS'!BR25,"")</f>
        <v>-11.622168263230716</v>
      </c>
      <c r="U25" s="105">
        <f>IF('Run CRS'!BS25&lt;&gt;"",'Run CRS'!BS25,"")</f>
        <v>-1.6339564063137402E-3</v>
      </c>
      <c r="V25" s="105" t="str">
        <f>IF('Run CRS'!BT25&lt;&gt;"",'Run CRS'!BT25,"")</f>
        <v/>
      </c>
      <c r="W25" s="105" t="str">
        <f>IF('Run CRS'!BU25&lt;&gt;"",'Run CRS'!BU25,"")</f>
        <v/>
      </c>
      <c r="X25" s="107" t="str">
        <f>IF('Run CRS'!BV25&lt;&gt;"",'Run CRS'!BV25,"")</f>
        <v/>
      </c>
      <c r="Y25" s="114">
        <f>IF('Data input'!C25&lt;&gt;"",O25/'Data input'!C25*100%,"")</f>
        <v>6.387909224169383E-2</v>
      </c>
      <c r="Z25" s="114" t="str">
        <f>IF('Data input'!D25&lt;&gt;"",P25/'Data input'!D25*100%,"")</f>
        <v/>
      </c>
      <c r="AA25" s="114" t="str">
        <f>IF('Data input'!E25&lt;&gt;"",Q25/'Data input'!E25*100%,"")</f>
        <v/>
      </c>
      <c r="AB25" s="114" t="str">
        <f>IF('Data input'!F25&lt;&gt;"",R25/'Data input'!F25*100%,"")</f>
        <v/>
      </c>
      <c r="AC25" s="114" t="str">
        <f>IF('Data input'!G25&lt;&gt;"",S25/'Data input'!G25*100%,"")</f>
        <v/>
      </c>
      <c r="AD25" s="114">
        <f>IF('Data input'!H25&lt;&gt;"",T25/'Data input'!H25*100%,"")</f>
        <v>-0.97518502300093657</v>
      </c>
      <c r="AE25" s="114">
        <f>IF('Data input'!I25&lt;&gt;"",U25/'Data input'!I25*100%,"")</f>
        <v>-0.15633273229440495</v>
      </c>
      <c r="AF25" s="114" t="str">
        <f>IF('Data input'!J25&lt;&gt;"",V25/'Data input'!J25*100%,"")</f>
        <v/>
      </c>
      <c r="AG25" s="114" t="str">
        <f>IF('Data input'!K25&lt;&gt;"",W25/'Data input'!K25*100%,"")</f>
        <v/>
      </c>
      <c r="AH25" s="115" t="str">
        <f>IF('Data input'!L25&lt;&gt;"",X25/'Data input'!L25*100%,"")</f>
        <v/>
      </c>
      <c r="AI25" s="114">
        <f>IF('Data input'!C25&lt;&gt;"",'Run CRS'!AH25/'Run CRS'!C25,"")</f>
        <v>0.52021662861567242</v>
      </c>
      <c r="AJ25" s="114" t="str">
        <f>IF('Data input'!D25&lt;&gt;"",'Run CRS'!AI25/'Run CRS'!D25,"")</f>
        <v/>
      </c>
      <c r="AK25" s="114" t="str">
        <f>IF('Data input'!E25&lt;&gt;"",'Run CRS'!AJ25/'Run CRS'!E25,"")</f>
        <v/>
      </c>
      <c r="AL25" s="114" t="str">
        <f>IF('Data input'!F25&lt;&gt;"",'Run CRS'!AK25/'Run CRS'!F25,"")</f>
        <v/>
      </c>
      <c r="AM25" s="114" t="str">
        <f>IF('Data input'!G25&lt;&gt;"",'Run CRS'!AL25/'Run CRS'!G25,"")</f>
        <v/>
      </c>
      <c r="AN25" s="114">
        <f>IF('Data input'!H25&lt;&gt;"",'Run CRS'!AM25/'Run CRS'!H25,"")</f>
        <v>0.34796911924110502</v>
      </c>
      <c r="AO25" s="114">
        <f>IF('Data input'!I25&lt;&gt;"",'Run CRS'!AN25/'Run CRS'!I25,"")</f>
        <v>3.0057921437449085E-2</v>
      </c>
      <c r="AP25" s="114" t="str">
        <f>IF('Data input'!J25&lt;&gt;"",'Run CRS'!AO25/'Run CRS'!J25,"")</f>
        <v/>
      </c>
      <c r="AQ25" s="114" t="str">
        <f>IF('Data input'!K25&lt;&gt;"",'Run CRS'!AP25/'Run CRS'!K25,"")</f>
        <v/>
      </c>
      <c r="AR25" s="115" t="str">
        <f>IF('Data input'!L25&lt;&gt;"",'Run CRS'!AQ25/'Run CRS'!L25,"")</f>
        <v/>
      </c>
    </row>
    <row r="26" spans="1:44" x14ac:dyDescent="0.35">
      <c r="A26" s="102">
        <f>IF('Run CRS'!AF26&lt;&gt;"",'Run CRS'!AF26,"")</f>
        <v>24</v>
      </c>
      <c r="B26" s="103" t="str">
        <f>IF('Run CRS'!AG26&lt;&gt;"",'Run CRS'!AG26,"")</f>
        <v>Minnesota</v>
      </c>
      <c r="C26" s="104">
        <f>IF('Run CRS'!AR26&lt;&gt;"",'Run CRS'!AR26,"")</f>
        <v>0.83606183454230232</v>
      </c>
      <c r="D26" s="104" t="str">
        <f>IF(ROUND(C26,3)=100%,"Optimal frontier",'Run CRS'!BW26)</f>
        <v xml:space="preserve">Texas; </v>
      </c>
      <c r="E26" s="105">
        <f>IF('Run CRS'!BC26&lt;&gt;"",'Run CRS'!BC26,"")</f>
        <v>0.98917149877501365</v>
      </c>
      <c r="F26" s="106" t="str">
        <f>IF('Run CRS'!BD26&lt;&gt;"",'Run CRS'!BD26,"")</f>
        <v/>
      </c>
      <c r="G26" s="106" t="str">
        <f>IF('Run CRS'!BE26&lt;&gt;"",'Run CRS'!BE26,"")</f>
        <v/>
      </c>
      <c r="H26" s="106" t="str">
        <f>IF('Run CRS'!BF26&lt;&gt;"",'Run CRS'!BF26,"")</f>
        <v/>
      </c>
      <c r="I26" s="106" t="str">
        <f>IF('Run CRS'!BG26&lt;&gt;"",'Run CRS'!BG26,"")</f>
        <v/>
      </c>
      <c r="J26" s="106">
        <f>IF('Run CRS'!BH26&lt;&gt;"",'Run CRS'!BH26,"")</f>
        <v>0.29574268608405618</v>
      </c>
      <c r="K26" s="105">
        <f>IF('Run CRS'!BI26&lt;&gt;"",'Run CRS'!BI26,"")</f>
        <v>1.618979913563163E-3</v>
      </c>
      <c r="L26" s="105" t="str">
        <f>IF('Run CRS'!BJ26&lt;&gt;"",'Run CRS'!BJ26,"")</f>
        <v/>
      </c>
      <c r="M26" s="105" t="str">
        <f>IF('Run CRS'!BK26&lt;&gt;"",'Run CRS'!BK26,"")</f>
        <v/>
      </c>
      <c r="N26" s="105" t="str">
        <f>IF('Run CRS'!BL26&lt;&gt;"",'Run CRS'!BL26,"")</f>
        <v/>
      </c>
      <c r="O26" s="105">
        <f>IF('Run CRS'!BM26&lt;&gt;"",'Run CRS'!BM26,"")</f>
        <v>1.8910102479312352E-2</v>
      </c>
      <c r="P26" s="106" t="str">
        <f>IF('Run CRS'!BN26&lt;&gt;"",'Run CRS'!BN26,"")</f>
        <v/>
      </c>
      <c r="Q26" s="106" t="str">
        <f>IF('Run CRS'!BO26&lt;&gt;"",'Run CRS'!BO26,"")</f>
        <v/>
      </c>
      <c r="R26" s="106" t="str">
        <f>IF('Run CRS'!BP26&lt;&gt;"",'Run CRS'!BP26,"")</f>
        <v/>
      </c>
      <c r="S26" s="106" t="str">
        <f>IF('Run CRS'!BQ26&lt;&gt;"",'Run CRS'!BQ26,"")</f>
        <v/>
      </c>
      <c r="T26" s="106">
        <f>IF('Run CRS'!BR26&lt;&gt;"",'Run CRS'!BR26,"")</f>
        <v>-2.9224369593936057</v>
      </c>
      <c r="U26" s="105">
        <f>IF('Run CRS'!BS26&lt;&gt;"",'Run CRS'!BS26,"")</f>
        <v>-1.0021779417322663E-4</v>
      </c>
      <c r="V26" s="105" t="str">
        <f>IF('Run CRS'!BT26&lt;&gt;"",'Run CRS'!BT26,"")</f>
        <v/>
      </c>
      <c r="W26" s="105" t="str">
        <f>IF('Run CRS'!BU26&lt;&gt;"",'Run CRS'!BU26,"")</f>
        <v/>
      </c>
      <c r="X26" s="107" t="str">
        <f>IF('Run CRS'!BV26&lt;&gt;"",'Run CRS'!BV26,"")</f>
        <v/>
      </c>
      <c r="Y26" s="114">
        <f>IF('Data input'!C26&lt;&gt;"",O26/'Data input'!C26*100%,"")</f>
        <v>1.9489698911559317E-2</v>
      </c>
      <c r="Z26" s="114" t="str">
        <f>IF('Data input'!D26&lt;&gt;"",P26/'Data input'!D26*100%,"")</f>
        <v/>
      </c>
      <c r="AA26" s="114" t="str">
        <f>IF('Data input'!E26&lt;&gt;"",Q26/'Data input'!E26*100%,"")</f>
        <v/>
      </c>
      <c r="AB26" s="114" t="str">
        <f>IF('Data input'!F26&lt;&gt;"",R26/'Data input'!F26*100%,"")</f>
        <v/>
      </c>
      <c r="AC26" s="114" t="str">
        <f>IF('Data input'!G26&lt;&gt;"",S26/'Data input'!G26*100%,"")</f>
        <v/>
      </c>
      <c r="AD26" s="114">
        <f>IF('Data input'!H26&lt;&gt;"",T26/'Data input'!H26*100%,"")</f>
        <v>-0.90810249312848401</v>
      </c>
      <c r="AE26" s="114">
        <f>IF('Data input'!I26&lt;&gt;"",U26/'Data input'!I26*100%,"")</f>
        <v>-5.8293350277426825E-2</v>
      </c>
      <c r="AF26" s="114" t="str">
        <f>IF('Data input'!J26&lt;&gt;"",V26/'Data input'!J26*100%,"")</f>
        <v/>
      </c>
      <c r="AG26" s="114" t="str">
        <f>IF('Data input'!K26&lt;&gt;"",W26/'Data input'!K26*100%,"")</f>
        <v/>
      </c>
      <c r="AH26" s="115" t="str">
        <f>IF('Data input'!L26&lt;&gt;"",X26/'Data input'!L26*100%,"")</f>
        <v/>
      </c>
      <c r="AI26" s="114">
        <f>IF('Data input'!C26&lt;&gt;"",'Run CRS'!AH26/'Run CRS'!C26,"")</f>
        <v>0.12160481003655363</v>
      </c>
      <c r="AJ26" s="114" t="str">
        <f>IF('Data input'!D26&lt;&gt;"",'Run CRS'!AI26/'Run CRS'!D26,"")</f>
        <v/>
      </c>
      <c r="AK26" s="114" t="str">
        <f>IF('Data input'!E26&lt;&gt;"",'Run CRS'!AJ26/'Run CRS'!E26,"")</f>
        <v/>
      </c>
      <c r="AL26" s="114" t="str">
        <f>IF('Data input'!F26&lt;&gt;"",'Run CRS'!AK26/'Run CRS'!F26,"")</f>
        <v/>
      </c>
      <c r="AM26" s="114" t="str">
        <f>IF('Data input'!G26&lt;&gt;"",'Run CRS'!AL26/'Run CRS'!G26,"")</f>
        <v/>
      </c>
      <c r="AN26" s="114">
        <f>IF('Data input'!H26&lt;&gt;"",'Run CRS'!AM26/'Run CRS'!H26,"")</f>
        <v>0.11831600311526644</v>
      </c>
      <c r="AO26" s="114">
        <f>IF('Data input'!I26&lt;&gt;"",'Run CRS'!AN26/'Run CRS'!I26,"")</f>
        <v>2.1964258477606517E-3</v>
      </c>
      <c r="AP26" s="114" t="str">
        <f>IF('Data input'!J26&lt;&gt;"",'Run CRS'!AO26/'Run CRS'!J26,"")</f>
        <v/>
      </c>
      <c r="AQ26" s="114" t="str">
        <f>IF('Data input'!K26&lt;&gt;"",'Run CRS'!AP26/'Run CRS'!K26,"")</f>
        <v/>
      </c>
      <c r="AR26" s="115" t="str">
        <f>IF('Data input'!L26&lt;&gt;"",'Run CRS'!AQ26/'Run CRS'!L26,"")</f>
        <v/>
      </c>
    </row>
    <row r="27" spans="1:44" x14ac:dyDescent="0.35">
      <c r="A27" s="102">
        <f>IF('Run CRS'!AF27&lt;&gt;"",'Run CRS'!AF27,"")</f>
        <v>25</v>
      </c>
      <c r="B27" s="103" t="str">
        <f>IF('Run CRS'!AG27&lt;&gt;"",'Run CRS'!AG27,"")</f>
        <v>Mississippi</v>
      </c>
      <c r="C27" s="104">
        <f>IF('Run CRS'!AR27&lt;&gt;"",'Run CRS'!AR27,"")</f>
        <v>0.81487490505671478</v>
      </c>
      <c r="D27" s="104" t="str">
        <f>IF(ROUND(C27,3)=100%,"Optimal frontier",'Run CRS'!BW27)</f>
        <v xml:space="preserve">Texas; </v>
      </c>
      <c r="E27" s="105">
        <f>IF('Run CRS'!BC27&lt;&gt;"",'Run CRS'!BC27,"")</f>
        <v>0.98933736981862752</v>
      </c>
      <c r="F27" s="106" t="str">
        <f>IF('Run CRS'!BD27&lt;&gt;"",'Run CRS'!BD27,"")</f>
        <v/>
      </c>
      <c r="G27" s="106" t="str">
        <f>IF('Run CRS'!BE27&lt;&gt;"",'Run CRS'!BE27,"")</f>
        <v/>
      </c>
      <c r="H27" s="106" t="str">
        <f>IF('Run CRS'!BF27&lt;&gt;"",'Run CRS'!BF27,"")</f>
        <v/>
      </c>
      <c r="I27" s="106" t="str">
        <f>IF('Run CRS'!BG27&lt;&gt;"",'Run CRS'!BG27,"")</f>
        <v/>
      </c>
      <c r="J27" s="106">
        <f>IF('Run CRS'!BH27&lt;&gt;"",'Run CRS'!BH27,"")</f>
        <v>0.29574268608402232</v>
      </c>
      <c r="K27" s="105">
        <f>IF('Run CRS'!BI27&lt;&gt;"",'Run CRS'!BI27,"")</f>
        <v>4.49850227705587E-2</v>
      </c>
      <c r="L27" s="105" t="str">
        <f>IF('Run CRS'!BJ27&lt;&gt;"",'Run CRS'!BJ27,"")</f>
        <v/>
      </c>
      <c r="M27" s="105" t="str">
        <f>IF('Run CRS'!BK27&lt;&gt;"",'Run CRS'!BK27,"")</f>
        <v/>
      </c>
      <c r="N27" s="105" t="str">
        <f>IF('Run CRS'!BL27&lt;&gt;"",'Run CRS'!BL27,"")</f>
        <v/>
      </c>
      <c r="O27" s="105">
        <f>IF('Run CRS'!BM27&lt;&gt;"",'Run CRS'!BM27,"")</f>
        <v>1.2412352493569867E-2</v>
      </c>
      <c r="P27" s="106" t="str">
        <f>IF('Run CRS'!BN27&lt;&gt;"",'Run CRS'!BN27,"")</f>
        <v/>
      </c>
      <c r="Q27" s="106" t="str">
        <f>IF('Run CRS'!BO27&lt;&gt;"",'Run CRS'!BO27,"")</f>
        <v/>
      </c>
      <c r="R27" s="106" t="str">
        <f>IF('Run CRS'!BP27&lt;&gt;"",'Run CRS'!BP27,"")</f>
        <v/>
      </c>
      <c r="S27" s="106" t="str">
        <f>IF('Run CRS'!BQ27&lt;&gt;"",'Run CRS'!BQ27,"")</f>
        <v/>
      </c>
      <c r="T27" s="106">
        <f>IF('Run CRS'!BR27&lt;&gt;"",'Run CRS'!BR27,"")</f>
        <v>-1.5969035424947213</v>
      </c>
      <c r="U27" s="105">
        <f>IF('Run CRS'!BS27&lt;&gt;"",'Run CRS'!BS27,"")</f>
        <v>-9.3394947419502342E-3</v>
      </c>
      <c r="V27" s="105" t="str">
        <f>IF('Run CRS'!BT27&lt;&gt;"",'Run CRS'!BT27,"")</f>
        <v/>
      </c>
      <c r="W27" s="105" t="str">
        <f>IF('Run CRS'!BU27&lt;&gt;"",'Run CRS'!BU27,"")</f>
        <v/>
      </c>
      <c r="X27" s="107" t="str">
        <f>IF('Run CRS'!BV27&lt;&gt;"",'Run CRS'!BV27,"")</f>
        <v/>
      </c>
      <c r="Y27" s="114">
        <f>IF('Data input'!C27&lt;&gt;"",O27/'Data input'!C27*100%,"")</f>
        <v>1.2705532434368847E-2</v>
      </c>
      <c r="Z27" s="114" t="str">
        <f>IF('Data input'!D27&lt;&gt;"",P27/'Data input'!D27*100%,"")</f>
        <v/>
      </c>
      <c r="AA27" s="114" t="str">
        <f>IF('Data input'!E27&lt;&gt;"",Q27/'Data input'!E27*100%,"")</f>
        <v/>
      </c>
      <c r="AB27" s="114" t="str">
        <f>IF('Data input'!F27&lt;&gt;"",R27/'Data input'!F27*100%,"")</f>
        <v/>
      </c>
      <c r="AC27" s="114" t="str">
        <f>IF('Data input'!G27&lt;&gt;"",S27/'Data input'!G27*100%,"")</f>
        <v/>
      </c>
      <c r="AD27" s="114">
        <f>IF('Data input'!H27&lt;&gt;"",T27/'Data input'!H27*100%,"")</f>
        <v>-0.84374116957604572</v>
      </c>
      <c r="AE27" s="114">
        <f>IF('Data input'!I27&lt;&gt;"",U27/'Data input'!I27*100%,"")</f>
        <v>-0.17192043610511024</v>
      </c>
      <c r="AF27" s="114" t="str">
        <f>IF('Data input'!J27&lt;&gt;"",V27/'Data input'!J27*100%,"")</f>
        <v/>
      </c>
      <c r="AG27" s="114" t="str">
        <f>IF('Data input'!K27&lt;&gt;"",W27/'Data input'!K27*100%,"")</f>
        <v/>
      </c>
      <c r="AH27" s="115" t="str">
        <f>IF('Data input'!L27&lt;&gt;"",X27/'Data input'!L27*100%,"")</f>
        <v/>
      </c>
      <c r="AI27" s="114">
        <f>IF('Data input'!C27&lt;&gt;"",'Run CRS'!AH27/'Run CRS'!C27,"")</f>
        <v>7.6539999489085145E-2</v>
      </c>
      <c r="AJ27" s="114" t="str">
        <f>IF('Data input'!D27&lt;&gt;"",'Run CRS'!AI27/'Run CRS'!D27,"")</f>
        <v/>
      </c>
      <c r="AK27" s="114" t="str">
        <f>IF('Data input'!E27&lt;&gt;"",'Run CRS'!AJ27/'Run CRS'!E27,"")</f>
        <v/>
      </c>
      <c r="AL27" s="114" t="str">
        <f>IF('Data input'!F27&lt;&gt;"",'Run CRS'!AK27/'Run CRS'!F27,"")</f>
        <v/>
      </c>
      <c r="AM27" s="114" t="str">
        <f>IF('Data input'!G27&lt;&gt;"",'Run CRS'!AL27/'Run CRS'!G27,"")</f>
        <v/>
      </c>
      <c r="AN27" s="114">
        <f>IF('Data input'!H27&lt;&gt;"",'Run CRS'!AM27/'Run CRS'!H27,"")</f>
        <v>6.831750546600561E-2</v>
      </c>
      <c r="AO27" s="114">
        <f>IF('Data input'!I27&lt;&gt;"",'Run CRS'!AN27/'Run CRS'!I27,"")</f>
        <v>9.5074930964351864E-2</v>
      </c>
      <c r="AP27" s="114" t="str">
        <f>IF('Data input'!J27&lt;&gt;"",'Run CRS'!AO27/'Run CRS'!J27,"")</f>
        <v/>
      </c>
      <c r="AQ27" s="114" t="str">
        <f>IF('Data input'!K27&lt;&gt;"",'Run CRS'!AP27/'Run CRS'!K27,"")</f>
        <v/>
      </c>
      <c r="AR27" s="115" t="str">
        <f>IF('Data input'!L27&lt;&gt;"",'Run CRS'!AQ27/'Run CRS'!L27,"")</f>
        <v/>
      </c>
    </row>
    <row r="28" spans="1:44" x14ac:dyDescent="0.35">
      <c r="A28" s="102">
        <f>IF('Run CRS'!AF28&lt;&gt;"",'Run CRS'!AF28,"")</f>
        <v>26</v>
      </c>
      <c r="B28" s="103" t="str">
        <f>IF('Run CRS'!AG28&lt;&gt;"",'Run CRS'!AG28,"")</f>
        <v>Missouri</v>
      </c>
      <c r="C28" s="104">
        <f>IF('Run CRS'!AR28&lt;&gt;"",'Run CRS'!AR28,"")</f>
        <v>0.5110338927473006</v>
      </c>
      <c r="D28" s="104" t="str">
        <f>IF(ROUND(C28,3)=100%,"Optimal frontier",'Run CRS'!BW28)</f>
        <v xml:space="preserve">Texas; </v>
      </c>
      <c r="E28" s="105">
        <f>IF('Run CRS'!BC28&lt;&gt;"",'Run CRS'!BC28,"")</f>
        <v>0.98808969012855963</v>
      </c>
      <c r="F28" s="106" t="str">
        <f>IF('Run CRS'!BD28&lt;&gt;"",'Run CRS'!BD28,"")</f>
        <v/>
      </c>
      <c r="G28" s="106" t="str">
        <f>IF('Run CRS'!BE28&lt;&gt;"",'Run CRS'!BE28,"")</f>
        <v/>
      </c>
      <c r="H28" s="106" t="str">
        <f>IF('Run CRS'!BF28&lt;&gt;"",'Run CRS'!BF28,"")</f>
        <v/>
      </c>
      <c r="I28" s="106" t="str">
        <f>IF('Run CRS'!BG28&lt;&gt;"",'Run CRS'!BG28,"")</f>
        <v/>
      </c>
      <c r="J28" s="106">
        <f>IF('Run CRS'!BH28&lt;&gt;"",'Run CRS'!BH28,"")</f>
        <v>0.29574268608404164</v>
      </c>
      <c r="K28" s="105">
        <f>IF('Run CRS'!BI28&lt;&gt;"",'Run CRS'!BI28,"")</f>
        <v>4.5212166207601504E-2</v>
      </c>
      <c r="L28" s="105" t="str">
        <f>IF('Run CRS'!BJ28&lt;&gt;"",'Run CRS'!BJ28,"")</f>
        <v/>
      </c>
      <c r="M28" s="105" t="str">
        <f>IF('Run CRS'!BK28&lt;&gt;"",'Run CRS'!BK28,"")</f>
        <v/>
      </c>
      <c r="N28" s="105" t="str">
        <f>IF('Run CRS'!BL28&lt;&gt;"",'Run CRS'!BL28,"")</f>
        <v/>
      </c>
      <c r="O28" s="105">
        <f>IF('Run CRS'!BM28&lt;&gt;"",'Run CRS'!BM28,"")</f>
        <v>6.1288337787275049E-2</v>
      </c>
      <c r="P28" s="106" t="str">
        <f>IF('Run CRS'!BN28&lt;&gt;"",'Run CRS'!BN28,"")</f>
        <v/>
      </c>
      <c r="Q28" s="106" t="str">
        <f>IF('Run CRS'!BO28&lt;&gt;"",'Run CRS'!BO28,"")</f>
        <v/>
      </c>
      <c r="R28" s="106" t="str">
        <f>IF('Run CRS'!BP28&lt;&gt;"",'Run CRS'!BP28,"")</f>
        <v/>
      </c>
      <c r="S28" s="106" t="str">
        <f>IF('Run CRS'!BQ28&lt;&gt;"",'Run CRS'!BQ28,"")</f>
        <v/>
      </c>
      <c r="T28" s="106">
        <f>IF('Run CRS'!BR28&lt;&gt;"",'Run CRS'!BR28,"")</f>
        <v>-6.6458021192907673</v>
      </c>
      <c r="U28" s="105">
        <f>IF('Run CRS'!BS28&lt;&gt;"",'Run CRS'!BS28,"")</f>
        <v>-9.3878883924530948E-3</v>
      </c>
      <c r="V28" s="105" t="str">
        <f>IF('Run CRS'!BT28&lt;&gt;"",'Run CRS'!BT28,"")</f>
        <v/>
      </c>
      <c r="W28" s="105" t="str">
        <f>IF('Run CRS'!BU28&lt;&gt;"",'Run CRS'!BU28,"")</f>
        <v/>
      </c>
      <c r="X28" s="107" t="str">
        <f>IF('Run CRS'!BV28&lt;&gt;"",'Run CRS'!BV28,"")</f>
        <v/>
      </c>
      <c r="Y28" s="114">
        <f>IF('Data input'!C28&lt;&gt;"",O28/'Data input'!C28*100%,"")</f>
        <v>6.6128882561995103E-2</v>
      </c>
      <c r="Z28" s="114" t="str">
        <f>IF('Data input'!D28&lt;&gt;"",P28/'Data input'!D28*100%,"")</f>
        <v/>
      </c>
      <c r="AA28" s="114" t="str">
        <f>IF('Data input'!E28&lt;&gt;"",Q28/'Data input'!E28*100%,"")</f>
        <v/>
      </c>
      <c r="AB28" s="114" t="str">
        <f>IF('Data input'!F28&lt;&gt;"",R28/'Data input'!F28*100%,"")</f>
        <v/>
      </c>
      <c r="AC28" s="114" t="str">
        <f>IF('Data input'!G28&lt;&gt;"",S28/'Data input'!G28*100%,"")</f>
        <v/>
      </c>
      <c r="AD28" s="114">
        <f>IF('Data input'!H28&lt;&gt;"",T28/'Data input'!H28*100%,"")</f>
        <v>-0.95739526368034833</v>
      </c>
      <c r="AE28" s="114">
        <f>IF('Data input'!I28&lt;&gt;"",U28/'Data input'!I28*100%,"")</f>
        <v>-0.17193917590777844</v>
      </c>
      <c r="AF28" s="114" t="str">
        <f>IF('Data input'!J28&lt;&gt;"",V28/'Data input'!J28*100%,"")</f>
        <v/>
      </c>
      <c r="AG28" s="114" t="str">
        <f>IF('Data input'!K28&lt;&gt;"",W28/'Data input'!K28*100%,"")</f>
        <v/>
      </c>
      <c r="AH28" s="115" t="str">
        <f>IF('Data input'!L28&lt;&gt;"",X28/'Data input'!L28*100%,"")</f>
        <v/>
      </c>
      <c r="AI28" s="114">
        <f>IF('Data input'!C28&lt;&gt;"",'Run CRS'!AH28/'Run CRS'!C28,"")</f>
        <v>0.54699988850161307</v>
      </c>
      <c r="AJ28" s="114" t="str">
        <f>IF('Data input'!D28&lt;&gt;"",'Run CRS'!AI28/'Run CRS'!D28,"")</f>
        <v/>
      </c>
      <c r="AK28" s="114" t="str">
        <f>IF('Data input'!E28&lt;&gt;"",'Run CRS'!AJ28/'Run CRS'!E28,"")</f>
        <v/>
      </c>
      <c r="AL28" s="114" t="str">
        <f>IF('Data input'!F28&lt;&gt;"",'Run CRS'!AK28/'Run CRS'!F28,"")</f>
        <v/>
      </c>
      <c r="AM28" s="114" t="str">
        <f>IF('Data input'!G28&lt;&gt;"",'Run CRS'!AL28/'Run CRS'!G28,"")</f>
        <v/>
      </c>
      <c r="AN28" s="114">
        <f>IF('Data input'!H28&lt;&gt;"",'Run CRS'!AM28/'Run CRS'!H28,"")</f>
        <v>0.23381255076590945</v>
      </c>
      <c r="AO28" s="114">
        <f>IF('Data input'!I28&lt;&gt;"",'Run CRS'!AN28/'Run CRS'!I28,"")</f>
        <v>9.530026151780055E-2</v>
      </c>
      <c r="AP28" s="114" t="str">
        <f>IF('Data input'!J28&lt;&gt;"",'Run CRS'!AO28/'Run CRS'!J28,"")</f>
        <v/>
      </c>
      <c r="AQ28" s="114" t="str">
        <f>IF('Data input'!K28&lt;&gt;"",'Run CRS'!AP28/'Run CRS'!K28,"")</f>
        <v/>
      </c>
      <c r="AR28" s="115" t="str">
        <f>IF('Data input'!L28&lt;&gt;"",'Run CRS'!AQ28/'Run CRS'!L28,"")</f>
        <v/>
      </c>
    </row>
    <row r="29" spans="1:44" x14ac:dyDescent="0.35">
      <c r="A29" s="102">
        <f>IF('Run CRS'!AF29&lt;&gt;"",'Run CRS'!AF29,"")</f>
        <v>27</v>
      </c>
      <c r="B29" s="103" t="str">
        <f>IF('Run CRS'!AG29&lt;&gt;"",'Run CRS'!AG29,"")</f>
        <v>Montana</v>
      </c>
      <c r="C29" s="104">
        <f>IF('Run CRS'!AR29&lt;&gt;"",'Run CRS'!AR29,"")</f>
        <v>0.42583225843907996</v>
      </c>
      <c r="D29" s="104" t="str">
        <f>IF(ROUND(C29,3)=100%,"Optimal frontier",'Run CRS'!BW29)</f>
        <v xml:space="preserve">Texas; </v>
      </c>
      <c r="E29" s="105">
        <f>IF('Run CRS'!BC29&lt;&gt;"",'Run CRS'!BC29,"")</f>
        <v>0.98847571581061044</v>
      </c>
      <c r="F29" s="106" t="str">
        <f>IF('Run CRS'!BD29&lt;&gt;"",'Run CRS'!BD29,"")</f>
        <v/>
      </c>
      <c r="G29" s="106" t="str">
        <f>IF('Run CRS'!BE29&lt;&gt;"",'Run CRS'!BE29,"")</f>
        <v/>
      </c>
      <c r="H29" s="106" t="str">
        <f>IF('Run CRS'!BF29&lt;&gt;"",'Run CRS'!BF29,"")</f>
        <v/>
      </c>
      <c r="I29" s="106" t="str">
        <f>IF('Run CRS'!BG29&lt;&gt;"",'Run CRS'!BG29,"")</f>
        <v/>
      </c>
      <c r="J29" s="106">
        <f>IF('Run CRS'!BH29&lt;&gt;"",'Run CRS'!BH29,"")</f>
        <v>0.29574268608413351</v>
      </c>
      <c r="K29" s="105">
        <f>IF('Run CRS'!BI29&lt;&gt;"",'Run CRS'!BI29,"")</f>
        <v>7.1435730759160224E-2</v>
      </c>
      <c r="L29" s="105" t="str">
        <f>IF('Run CRS'!BJ29&lt;&gt;"",'Run CRS'!BJ29,"")</f>
        <v/>
      </c>
      <c r="M29" s="105" t="str">
        <f>IF('Run CRS'!BK29&lt;&gt;"",'Run CRS'!BK29,"")</f>
        <v/>
      </c>
      <c r="N29" s="105" t="str">
        <f>IF('Run CRS'!BL29&lt;&gt;"",'Run CRS'!BL29,"")</f>
        <v/>
      </c>
      <c r="O29" s="105">
        <f>IF('Run CRS'!BM29&lt;&gt;"",'Run CRS'!BM29,"")</f>
        <v>4.616635919845069E-2</v>
      </c>
      <c r="P29" s="106" t="str">
        <f>IF('Run CRS'!BN29&lt;&gt;"",'Run CRS'!BN29,"")</f>
        <v/>
      </c>
      <c r="Q29" s="106" t="str">
        <f>IF('Run CRS'!BO29&lt;&gt;"",'Run CRS'!BO29,"")</f>
        <v/>
      </c>
      <c r="R29" s="106" t="str">
        <f>IF('Run CRS'!BP29&lt;&gt;"",'Run CRS'!BP29,"")</f>
        <v/>
      </c>
      <c r="S29" s="106" t="str">
        <f>IF('Run CRS'!BQ29&lt;&gt;"",'Run CRS'!BQ29,"")</f>
        <v/>
      </c>
      <c r="T29" s="106">
        <f>IF('Run CRS'!BR29&lt;&gt;"",'Run CRS'!BR29,"")</f>
        <v>-30.204009767722432</v>
      </c>
      <c r="U29" s="105">
        <f>IF('Run CRS'!BS29&lt;&gt;"",'Run CRS'!BS29,"")</f>
        <v>-1.4974904395935781E-2</v>
      </c>
      <c r="V29" s="105" t="str">
        <f>IF('Run CRS'!BT29&lt;&gt;"",'Run CRS'!BT29,"")</f>
        <v/>
      </c>
      <c r="W29" s="105" t="str">
        <f>IF('Run CRS'!BU29&lt;&gt;"",'Run CRS'!BU29,"")</f>
        <v/>
      </c>
      <c r="X29" s="107" t="str">
        <f>IF('Run CRS'!BV29&lt;&gt;"",'Run CRS'!BV29,"")</f>
        <v/>
      </c>
      <c r="Y29" s="114">
        <f>IF('Data input'!C29&lt;&gt;"",O29/'Data input'!C29*100%,"")</f>
        <v>4.8992784455022732E-2</v>
      </c>
      <c r="Z29" s="114" t="str">
        <f>IF('Data input'!D29&lt;&gt;"",P29/'Data input'!D29*100%,"")</f>
        <v/>
      </c>
      <c r="AA29" s="114" t="str">
        <f>IF('Data input'!E29&lt;&gt;"",Q29/'Data input'!E29*100%,"")</f>
        <v/>
      </c>
      <c r="AB29" s="114" t="str">
        <f>IF('Data input'!F29&lt;&gt;"",R29/'Data input'!F29*100%,"")</f>
        <v/>
      </c>
      <c r="AC29" s="114" t="str">
        <f>IF('Data input'!G29&lt;&gt;"",S29/'Data input'!G29*100%,"")</f>
        <v/>
      </c>
      <c r="AD29" s="114">
        <f>IF('Data input'!H29&lt;&gt;"",T29/'Data input'!H29*100%,"")</f>
        <v>-0.99030343978915736</v>
      </c>
      <c r="AE29" s="114">
        <f>IF('Data input'!I29&lt;&gt;"",U29/'Data input'!I29*100%,"")</f>
        <v>-0.17329932095809444</v>
      </c>
      <c r="AF29" s="114" t="str">
        <f>IF('Data input'!J29&lt;&gt;"",V29/'Data input'!J29*100%,"")</f>
        <v/>
      </c>
      <c r="AG29" s="114" t="str">
        <f>IF('Data input'!K29&lt;&gt;"",W29/'Data input'!K29*100%,"")</f>
        <v/>
      </c>
      <c r="AH29" s="115" t="str">
        <f>IF('Data input'!L29&lt;&gt;"",X29/'Data input'!L29*100%,"")</f>
        <v/>
      </c>
      <c r="AI29" s="114">
        <f>IF('Data input'!C29&lt;&gt;"",'Run CRS'!AH29/'Run CRS'!C29,"")</f>
        <v>0.36193999994547116</v>
      </c>
      <c r="AJ29" s="114" t="str">
        <f>IF('Data input'!D29&lt;&gt;"",'Run CRS'!AI29/'Run CRS'!D29,"")</f>
        <v/>
      </c>
      <c r="AK29" s="114" t="str">
        <f>IF('Data input'!E29&lt;&gt;"",'Run CRS'!AJ29/'Run CRS'!E29,"")</f>
        <v/>
      </c>
      <c r="AL29" s="114" t="str">
        <f>IF('Data input'!F29&lt;&gt;"",'Run CRS'!AK29/'Run CRS'!F29,"")</f>
        <v/>
      </c>
      <c r="AM29" s="114" t="str">
        <f>IF('Data input'!G29&lt;&gt;"",'Run CRS'!AL29/'Run CRS'!G29,"")</f>
        <v/>
      </c>
      <c r="AN29" s="114">
        <f>IF('Data input'!H29&lt;&gt;"",'Run CRS'!AM29/'Run CRS'!H29,"")</f>
        <v>0.58104925541149333</v>
      </c>
      <c r="AO29" s="114">
        <f>IF('Data input'!I29&lt;&gt;"",'Run CRS'!AN29/'Run CRS'!I29,"")</f>
        <v>0.11490950688427125</v>
      </c>
      <c r="AP29" s="114" t="str">
        <f>IF('Data input'!J29&lt;&gt;"",'Run CRS'!AO29/'Run CRS'!J29,"")</f>
        <v/>
      </c>
      <c r="AQ29" s="114" t="str">
        <f>IF('Data input'!K29&lt;&gt;"",'Run CRS'!AP29/'Run CRS'!K29,"")</f>
        <v/>
      </c>
      <c r="AR29" s="115" t="str">
        <f>IF('Data input'!L29&lt;&gt;"",'Run CRS'!AQ29/'Run CRS'!L29,"")</f>
        <v/>
      </c>
    </row>
    <row r="30" spans="1:44" x14ac:dyDescent="0.35">
      <c r="A30" s="102">
        <f>IF('Run CRS'!AF30&lt;&gt;"",'Run CRS'!AF30,"")</f>
        <v>28</v>
      </c>
      <c r="B30" s="103" t="str">
        <f>IF('Run CRS'!AG30&lt;&gt;"",'Run CRS'!AG30,"")</f>
        <v>Nebraska</v>
      </c>
      <c r="C30" s="104">
        <f>IF('Run CRS'!AR30&lt;&gt;"",'Run CRS'!AR30,"")</f>
        <v>0.60945937797746019</v>
      </c>
      <c r="D30" s="104" t="str">
        <f>IF(ROUND(C30,3)=100%,"Optimal frontier",'Run CRS'!BW30)</f>
        <v xml:space="preserve">Texas; </v>
      </c>
      <c r="E30" s="105">
        <f>IF('Run CRS'!BC30&lt;&gt;"",'Run CRS'!BC30,"")</f>
        <v>0.98944838028933091</v>
      </c>
      <c r="F30" s="106" t="str">
        <f>IF('Run CRS'!BD30&lt;&gt;"",'Run CRS'!BD30,"")</f>
        <v/>
      </c>
      <c r="G30" s="106" t="str">
        <f>IF('Run CRS'!BE30&lt;&gt;"",'Run CRS'!BE30,"")</f>
        <v/>
      </c>
      <c r="H30" s="106" t="str">
        <f>IF('Run CRS'!BF30&lt;&gt;"",'Run CRS'!BF30,"")</f>
        <v/>
      </c>
      <c r="I30" s="106" t="str">
        <f>IF('Run CRS'!BG30&lt;&gt;"",'Run CRS'!BG30,"")</f>
        <v/>
      </c>
      <c r="J30" s="106">
        <f>IF('Run CRS'!BH30&lt;&gt;"",'Run CRS'!BH30,"")</f>
        <v>0.29574268608402471</v>
      </c>
      <c r="K30" s="105">
        <f>IF('Run CRS'!BI30&lt;&gt;"",'Run CRS'!BI30,"")</f>
        <v>0.10213947638166485</v>
      </c>
      <c r="L30" s="105" t="str">
        <f>IF('Run CRS'!BJ30&lt;&gt;"",'Run CRS'!BJ30,"")</f>
        <v/>
      </c>
      <c r="M30" s="105" t="str">
        <f>IF('Run CRS'!BK30&lt;&gt;"",'Run CRS'!BK30,"")</f>
        <v/>
      </c>
      <c r="N30" s="105" t="str">
        <f>IF('Run CRS'!BL30&lt;&gt;"",'Run CRS'!BL30,"")</f>
        <v/>
      </c>
      <c r="O30" s="105">
        <f>IF('Run CRS'!BM30&lt;&gt;"",'Run CRS'!BM30,"")</f>
        <v>8.0636833786084106E-3</v>
      </c>
      <c r="P30" s="106" t="str">
        <f>IF('Run CRS'!BN30&lt;&gt;"",'Run CRS'!BN30,"")</f>
        <v/>
      </c>
      <c r="Q30" s="106" t="str">
        <f>IF('Run CRS'!BO30&lt;&gt;"",'Run CRS'!BO30,"")</f>
        <v/>
      </c>
      <c r="R30" s="106" t="str">
        <f>IF('Run CRS'!BP30&lt;&gt;"",'Run CRS'!BP30,"")</f>
        <v/>
      </c>
      <c r="S30" s="106" t="str">
        <f>IF('Run CRS'!BQ30&lt;&gt;"",'Run CRS'!BQ30,"")</f>
        <v/>
      </c>
      <c r="T30" s="106">
        <f>IF('Run CRS'!BR30&lt;&gt;"",'Run CRS'!BR30,"")</f>
        <v>-14.103594345626552</v>
      </c>
      <c r="U30" s="105">
        <f>IF('Run CRS'!BS30&lt;&gt;"",'Run CRS'!BS30,"")</f>
        <v>-2.1516437596829779E-2</v>
      </c>
      <c r="V30" s="105" t="str">
        <f>IF('Run CRS'!BT30&lt;&gt;"",'Run CRS'!BT30,"")</f>
        <v/>
      </c>
      <c r="W30" s="105" t="str">
        <f>IF('Run CRS'!BU30&lt;&gt;"",'Run CRS'!BU30,"")</f>
        <v/>
      </c>
      <c r="X30" s="107" t="str">
        <f>IF('Run CRS'!BV30&lt;&gt;"",'Run CRS'!BV30,"")</f>
        <v/>
      </c>
      <c r="Y30" s="114">
        <f>IF('Data input'!C30&lt;&gt;"",O30/'Data input'!C30*100%,"")</f>
        <v>8.216638596456504E-3</v>
      </c>
      <c r="Z30" s="114" t="str">
        <f>IF('Data input'!D30&lt;&gt;"",P30/'Data input'!D30*100%,"")</f>
        <v/>
      </c>
      <c r="AA30" s="114" t="str">
        <f>IF('Data input'!E30&lt;&gt;"",Q30/'Data input'!E30*100%,"")</f>
        <v/>
      </c>
      <c r="AB30" s="114" t="str">
        <f>IF('Data input'!F30&lt;&gt;"",R30/'Data input'!F30*100%,"")</f>
        <v/>
      </c>
      <c r="AC30" s="114" t="str">
        <f>IF('Data input'!G30&lt;&gt;"",S30/'Data input'!G30*100%,"")</f>
        <v/>
      </c>
      <c r="AD30" s="114">
        <f>IF('Data input'!H30&lt;&gt;"",T30/'Data input'!H30*100%,"")</f>
        <v>-0.97946136787876192</v>
      </c>
      <c r="AE30" s="114">
        <f>IF('Data input'!I30&lt;&gt;"",U30/'Data input'!I30*100%,"")</f>
        <v>-0.17400249534827561</v>
      </c>
      <c r="AF30" s="114" t="str">
        <f>IF('Data input'!J30&lt;&gt;"",V30/'Data input'!J30*100%,"")</f>
        <v/>
      </c>
      <c r="AG30" s="114" t="str">
        <f>IF('Data input'!K30&lt;&gt;"",W30/'Data input'!K30*100%,"")</f>
        <v/>
      </c>
      <c r="AH30" s="115" t="str">
        <f>IF('Data input'!L30&lt;&gt;"",X30/'Data input'!L30*100%,"")</f>
        <v/>
      </c>
      <c r="AI30" s="114">
        <f>IF('Data input'!C30&lt;&gt;"",'Run CRS'!AH30/'Run CRS'!C30,"")</f>
        <v>4.8393368003220194E-2</v>
      </c>
      <c r="AJ30" s="114" t="str">
        <f>IF('Data input'!D30&lt;&gt;"",'Run CRS'!AI30/'Run CRS'!D30,"")</f>
        <v/>
      </c>
      <c r="AK30" s="114" t="str">
        <f>IF('Data input'!E30&lt;&gt;"",'Run CRS'!AJ30/'Run CRS'!E30,"")</f>
        <v/>
      </c>
      <c r="AL30" s="114" t="str">
        <f>IF('Data input'!F30&lt;&gt;"",'Run CRS'!AK30/'Run CRS'!F30,"")</f>
        <v/>
      </c>
      <c r="AM30" s="114" t="str">
        <f>IF('Data input'!G30&lt;&gt;"",'Run CRS'!AL30/'Run CRS'!G30,"")</f>
        <v/>
      </c>
      <c r="AN30" s="114">
        <f>IF('Data input'!H30&lt;&gt;"",'Run CRS'!AM30/'Run CRS'!H30,"")</f>
        <v>0.39306115297800381</v>
      </c>
      <c r="AO30" s="114">
        <f>IF('Data input'!I30&lt;&gt;"",'Run CRS'!AN30/'Run CRS'!I30,"")</f>
        <v>0.12840698463197658</v>
      </c>
      <c r="AP30" s="114" t="str">
        <f>IF('Data input'!J30&lt;&gt;"",'Run CRS'!AO30/'Run CRS'!J30,"")</f>
        <v/>
      </c>
      <c r="AQ30" s="114" t="str">
        <f>IF('Data input'!K30&lt;&gt;"",'Run CRS'!AP30/'Run CRS'!K30,"")</f>
        <v/>
      </c>
      <c r="AR30" s="115" t="str">
        <f>IF('Data input'!L30&lt;&gt;"",'Run CRS'!AQ30/'Run CRS'!L30,"")</f>
        <v/>
      </c>
    </row>
    <row r="31" spans="1:44" x14ac:dyDescent="0.35">
      <c r="A31" s="102">
        <f>IF('Run CRS'!AF31&lt;&gt;"",'Run CRS'!AF31,"")</f>
        <v>29</v>
      </c>
      <c r="B31" s="103" t="str">
        <f>IF('Run CRS'!AG31&lt;&gt;"",'Run CRS'!AG31,"")</f>
        <v>Nevada</v>
      </c>
      <c r="C31" s="104">
        <f>IF('Run CRS'!AR31&lt;&gt;"",'Run CRS'!AR31,"")</f>
        <v>1</v>
      </c>
      <c r="D31" s="104" t="str">
        <f>IF(ROUND(C31,3)=100%,"Optimal frontier",'Run CRS'!BW31)</f>
        <v>Optimal frontier</v>
      </c>
      <c r="E31" s="105">
        <f>IF('Run CRS'!BC31&lt;&gt;"",'Run CRS'!BC31,"")</f>
        <v>0.99134198676277885</v>
      </c>
      <c r="F31" s="106" t="str">
        <f>IF('Run CRS'!BD31&lt;&gt;"",'Run CRS'!BD31,"")</f>
        <v/>
      </c>
      <c r="G31" s="106" t="str">
        <f>IF('Run CRS'!BE31&lt;&gt;"",'Run CRS'!BE31,"")</f>
        <v/>
      </c>
      <c r="H31" s="106" t="str">
        <f>IF('Run CRS'!BF31&lt;&gt;"",'Run CRS'!BF31,"")</f>
        <v/>
      </c>
      <c r="I31" s="106" t="str">
        <f>IF('Run CRS'!BG31&lt;&gt;"",'Run CRS'!BG31,"")</f>
        <v/>
      </c>
      <c r="J31" s="106">
        <f>IF('Run CRS'!BH31&lt;&gt;"",'Run CRS'!BH31,"")</f>
        <v>7.4032612885176032</v>
      </c>
      <c r="K31" s="105">
        <f>IF('Run CRS'!BI31&lt;&gt;"",'Run CRS'!BI31,"")</f>
        <v>2.0618556701030907E-3</v>
      </c>
      <c r="L31" s="105" t="str">
        <f>IF('Run CRS'!BJ31&lt;&gt;"",'Run CRS'!BJ31,"")</f>
        <v/>
      </c>
      <c r="M31" s="105" t="str">
        <f>IF('Run CRS'!BK31&lt;&gt;"",'Run CRS'!BK31,"")</f>
        <v/>
      </c>
      <c r="N31" s="105" t="str">
        <f>IF('Run CRS'!BL31&lt;&gt;"",'Run CRS'!BL31,"")</f>
        <v/>
      </c>
      <c r="O31" s="105">
        <f>IF('Run CRS'!BM31&lt;&gt;"",'Run CRS'!BM31,"")</f>
        <v>0</v>
      </c>
      <c r="P31" s="106" t="str">
        <f>IF('Run CRS'!BN31&lt;&gt;"",'Run CRS'!BN31,"")</f>
        <v/>
      </c>
      <c r="Q31" s="106" t="str">
        <f>IF('Run CRS'!BO31&lt;&gt;"",'Run CRS'!BO31,"")</f>
        <v/>
      </c>
      <c r="R31" s="106" t="str">
        <f>IF('Run CRS'!BP31&lt;&gt;"",'Run CRS'!BP31,"")</f>
        <v/>
      </c>
      <c r="S31" s="106" t="str">
        <f>IF('Run CRS'!BQ31&lt;&gt;"",'Run CRS'!BQ31,"")</f>
        <v/>
      </c>
      <c r="T31" s="106">
        <f>IF('Run CRS'!BR31&lt;&gt;"",'Run CRS'!BR31,"")</f>
        <v>-7.1054273576010019E-15</v>
      </c>
      <c r="U31" s="105">
        <f>IF('Run CRS'!BS31&lt;&gt;"",'Run CRS'!BS31,"")</f>
        <v>-2.1684043449710089E-18</v>
      </c>
      <c r="V31" s="105" t="str">
        <f>IF('Run CRS'!BT31&lt;&gt;"",'Run CRS'!BT31,"")</f>
        <v/>
      </c>
      <c r="W31" s="105" t="str">
        <f>IF('Run CRS'!BU31&lt;&gt;"",'Run CRS'!BU31,"")</f>
        <v/>
      </c>
      <c r="X31" s="107" t="str">
        <f>IF('Run CRS'!BV31&lt;&gt;"",'Run CRS'!BV31,"")</f>
        <v/>
      </c>
      <c r="Y31" s="114">
        <f>IF('Data input'!C31&lt;&gt;"",O31/'Data input'!C31*100%,"")</f>
        <v>0</v>
      </c>
      <c r="Z31" s="114" t="str">
        <f>IF('Data input'!D31&lt;&gt;"",P31/'Data input'!D31*100%,"")</f>
        <v/>
      </c>
      <c r="AA31" s="114" t="str">
        <f>IF('Data input'!E31&lt;&gt;"",Q31/'Data input'!E31*100%,"")</f>
        <v/>
      </c>
      <c r="AB31" s="114" t="str">
        <f>IF('Data input'!F31&lt;&gt;"",R31/'Data input'!F31*100%,"")</f>
        <v/>
      </c>
      <c r="AC31" s="114" t="str">
        <f>IF('Data input'!G31&lt;&gt;"",S31/'Data input'!G31*100%,"")</f>
        <v/>
      </c>
      <c r="AD31" s="114">
        <f>IF('Data input'!H31&lt;&gt;"",T31/'Data input'!H31*100%,"")</f>
        <v>-9.5976990149212393E-16</v>
      </c>
      <c r="AE31" s="114">
        <f>IF('Data input'!I31&lt;&gt;"",U31/'Data input'!I31*100%,"")</f>
        <v>-1.0516761073109393E-15</v>
      </c>
      <c r="AF31" s="114" t="str">
        <f>IF('Data input'!J31&lt;&gt;"",V31/'Data input'!J31*100%,"")</f>
        <v/>
      </c>
      <c r="AG31" s="114" t="str">
        <f>IF('Data input'!K31&lt;&gt;"",W31/'Data input'!K31*100%,"")</f>
        <v/>
      </c>
      <c r="AH31" s="115" t="str">
        <f>IF('Data input'!L31&lt;&gt;"",X31/'Data input'!L31*100%,"")</f>
        <v/>
      </c>
      <c r="AI31" s="114">
        <f>IF('Data input'!C31&lt;&gt;"",'Run CRS'!AH31/'Run CRS'!C31,"")</f>
        <v>0</v>
      </c>
      <c r="AJ31" s="114" t="str">
        <f>IF('Data input'!D31&lt;&gt;"",'Run CRS'!AI31/'Run CRS'!D31,"")</f>
        <v/>
      </c>
      <c r="AK31" s="114" t="str">
        <f>IF('Data input'!E31&lt;&gt;"",'Run CRS'!AJ31/'Run CRS'!E31,"")</f>
        <v/>
      </c>
      <c r="AL31" s="114" t="str">
        <f>IF('Data input'!F31&lt;&gt;"",'Run CRS'!AK31/'Run CRS'!F31,"")</f>
        <v/>
      </c>
      <c r="AM31" s="114" t="str">
        <f>IF('Data input'!G31&lt;&gt;"",'Run CRS'!AL31/'Run CRS'!G31,"")</f>
        <v/>
      </c>
      <c r="AN31" s="114">
        <f>IF('Data input'!H31&lt;&gt;"",'Run CRS'!AM31/'Run CRS'!H31,"")</f>
        <v>3.5574282868297332E-16</v>
      </c>
      <c r="AO31" s="114">
        <f>IF('Data input'!I31&lt;&gt;"",'Run CRS'!AN31/'Run CRS'!I31,"")</f>
        <v>0</v>
      </c>
      <c r="AP31" s="114" t="str">
        <f>IF('Data input'!J31&lt;&gt;"",'Run CRS'!AO31/'Run CRS'!J31,"")</f>
        <v/>
      </c>
      <c r="AQ31" s="114" t="str">
        <f>IF('Data input'!K31&lt;&gt;"",'Run CRS'!AP31/'Run CRS'!K31,"")</f>
        <v/>
      </c>
      <c r="AR31" s="115" t="str">
        <f>IF('Data input'!L31&lt;&gt;"",'Run CRS'!AQ31/'Run CRS'!L31,"")</f>
        <v/>
      </c>
    </row>
    <row r="32" spans="1:44" x14ac:dyDescent="0.35">
      <c r="A32" s="102">
        <f>IF('Run CRS'!AF32&lt;&gt;"",'Run CRS'!AF32,"")</f>
        <v>30</v>
      </c>
      <c r="B32" s="103" t="str">
        <f>IF('Run CRS'!AG32&lt;&gt;"",'Run CRS'!AG32,"")</f>
        <v>New Hampshire</v>
      </c>
      <c r="C32" s="104">
        <f>IF('Run CRS'!AR32&lt;&gt;"",'Run CRS'!AR32,"")</f>
        <v>0.51732079998159519</v>
      </c>
      <c r="D32" s="104" t="str">
        <f>IF(ROUND(C32,3)=100%,"Optimal frontier",'Run CRS'!BW32)</f>
        <v xml:space="preserve">Nevada; Texas; </v>
      </c>
      <c r="E32" s="105">
        <f>IF('Run CRS'!BC32&lt;&gt;"",'Run CRS'!BC32,"")</f>
        <v>0.98801222966115498</v>
      </c>
      <c r="F32" s="106" t="str">
        <f>IF('Run CRS'!BD32&lt;&gt;"",'Run CRS'!BD32,"")</f>
        <v/>
      </c>
      <c r="G32" s="106" t="str">
        <f>IF('Run CRS'!BE32&lt;&gt;"",'Run CRS'!BE32,"")</f>
        <v/>
      </c>
      <c r="H32" s="106" t="str">
        <f>IF('Run CRS'!BF32&lt;&gt;"",'Run CRS'!BF32,"")</f>
        <v/>
      </c>
      <c r="I32" s="106" t="str">
        <f>IF('Run CRS'!BG32&lt;&gt;"",'Run CRS'!BG32,"")</f>
        <v/>
      </c>
      <c r="J32" s="106">
        <f>IF('Run CRS'!BH32&lt;&gt;"",'Run CRS'!BH32,"")</f>
        <v>0.29574268608399812</v>
      </c>
      <c r="K32" s="105">
        <f>IF('Run CRS'!BI32&lt;&gt;"",'Run CRS'!BI32,"")</f>
        <v>0</v>
      </c>
      <c r="L32" s="105" t="str">
        <f>IF('Run CRS'!BJ32&lt;&gt;"",'Run CRS'!BJ32,"")</f>
        <v/>
      </c>
      <c r="M32" s="105" t="str">
        <f>IF('Run CRS'!BK32&lt;&gt;"",'Run CRS'!BK32,"")</f>
        <v/>
      </c>
      <c r="N32" s="105" t="str">
        <f>IF('Run CRS'!BL32&lt;&gt;"",'Run CRS'!BL32,"")</f>
        <v/>
      </c>
      <c r="O32" s="105">
        <f>IF('Run CRS'!BM32&lt;&gt;"",'Run CRS'!BM32,"")</f>
        <v>3.3405062702288935E-2</v>
      </c>
      <c r="P32" s="106" t="str">
        <f>IF('Run CRS'!BN32&lt;&gt;"",'Run CRS'!BN32,"")</f>
        <v/>
      </c>
      <c r="Q32" s="106" t="str">
        <f>IF('Run CRS'!BO32&lt;&gt;"",'Run CRS'!BO32,"")</f>
        <v/>
      </c>
      <c r="R32" s="106" t="str">
        <f>IF('Run CRS'!BP32&lt;&gt;"",'Run CRS'!BP32,"")</f>
        <v/>
      </c>
      <c r="S32" s="106" t="str">
        <f>IF('Run CRS'!BQ32&lt;&gt;"",'Run CRS'!BQ32,"")</f>
        <v/>
      </c>
      <c r="T32" s="106">
        <f>IF('Run CRS'!BR32&lt;&gt;"",'Run CRS'!BR32,"")</f>
        <v>-54.256948532254135</v>
      </c>
      <c r="U32" s="105">
        <f>IF('Run CRS'!BS32&lt;&gt;"",'Run CRS'!BS32,"")</f>
        <v>0</v>
      </c>
      <c r="V32" s="105" t="str">
        <f>IF('Run CRS'!BT32&lt;&gt;"",'Run CRS'!BT32,"")</f>
        <v/>
      </c>
      <c r="W32" s="105" t="str">
        <f>IF('Run CRS'!BU32&lt;&gt;"",'Run CRS'!BU32,"")</f>
        <v/>
      </c>
      <c r="X32" s="107" t="str">
        <f>IF('Run CRS'!BV32&lt;&gt;"",'Run CRS'!BV32,"")</f>
        <v/>
      </c>
      <c r="Y32" s="114">
        <f>IF('Data input'!C32&lt;&gt;"",O32/'Data input'!C32*100%,"")</f>
        <v>3.4993517604428752E-2</v>
      </c>
      <c r="Z32" s="114" t="str">
        <f>IF('Data input'!D32&lt;&gt;"",P32/'Data input'!D32*100%,"")</f>
        <v/>
      </c>
      <c r="AA32" s="114" t="str">
        <f>IF('Data input'!E32&lt;&gt;"",Q32/'Data input'!E32*100%,"")</f>
        <v/>
      </c>
      <c r="AB32" s="114" t="str">
        <f>IF('Data input'!F32&lt;&gt;"",R32/'Data input'!F32*100%,"")</f>
        <v/>
      </c>
      <c r="AC32" s="114" t="str">
        <f>IF('Data input'!G32&lt;&gt;"",S32/'Data input'!G32*100%,"")</f>
        <v/>
      </c>
      <c r="AD32" s="114">
        <f>IF('Data input'!H32&lt;&gt;"",T32/'Data input'!H32*100%,"")</f>
        <v>-0.9945787700023756</v>
      </c>
      <c r="AE32" s="114" t="e">
        <f>IF('Data input'!I32&lt;&gt;"",U32/'Data input'!I32*100%,"")</f>
        <v>#DIV/0!</v>
      </c>
      <c r="AF32" s="114" t="str">
        <f>IF('Data input'!J32&lt;&gt;"",V32/'Data input'!J32*100%,"")</f>
        <v/>
      </c>
      <c r="AG32" s="114" t="str">
        <f>IF('Data input'!K32&lt;&gt;"",W32/'Data input'!K32*100%,"")</f>
        <v/>
      </c>
      <c r="AH32" s="115" t="str">
        <f>IF('Data input'!L32&lt;&gt;"",X32/'Data input'!L32*100%,"")</f>
        <v/>
      </c>
      <c r="AI32" s="114">
        <f>IF('Data input'!C32&lt;&gt;"",'Run CRS'!AH32/'Run CRS'!C32,"")</f>
        <v>0.23886295114583841</v>
      </c>
      <c r="AJ32" s="114" t="str">
        <f>IF('Data input'!D32&lt;&gt;"",'Run CRS'!AI32/'Run CRS'!D32,"")</f>
        <v/>
      </c>
      <c r="AK32" s="114" t="str">
        <f>IF('Data input'!E32&lt;&gt;"",'Run CRS'!AJ32/'Run CRS'!E32,"")</f>
        <v/>
      </c>
      <c r="AL32" s="114" t="str">
        <f>IF('Data input'!F32&lt;&gt;"",'Run CRS'!AK32/'Run CRS'!F32,"")</f>
        <v/>
      </c>
      <c r="AM32" s="114" t="str">
        <f>IF('Data input'!G32&lt;&gt;"",'Run CRS'!AL32/'Run CRS'!G32,"")</f>
        <v/>
      </c>
      <c r="AN32" s="114">
        <f>IF('Data input'!H32&lt;&gt;"",'Run CRS'!AM32/'Run CRS'!H32,"")</f>
        <v>0.71358066657552988</v>
      </c>
      <c r="AO32" s="114">
        <f>IF('Data input'!I32&lt;&gt;"",'Run CRS'!AN32/'Run CRS'!I32,"")</f>
        <v>0</v>
      </c>
      <c r="AP32" s="114" t="str">
        <f>IF('Data input'!J32&lt;&gt;"",'Run CRS'!AO32/'Run CRS'!J32,"")</f>
        <v/>
      </c>
      <c r="AQ32" s="114" t="str">
        <f>IF('Data input'!K32&lt;&gt;"",'Run CRS'!AP32/'Run CRS'!K32,"")</f>
        <v/>
      </c>
      <c r="AR32" s="115" t="str">
        <f>IF('Data input'!L32&lt;&gt;"",'Run CRS'!AQ32/'Run CRS'!L32,"")</f>
        <v/>
      </c>
    </row>
    <row r="33" spans="1:44" x14ac:dyDescent="0.35">
      <c r="A33" s="102">
        <f>IF('Run CRS'!AF33&lt;&gt;"",'Run CRS'!AF33,"")</f>
        <v>31</v>
      </c>
      <c r="B33" s="103" t="str">
        <f>IF('Run CRS'!AG33&lt;&gt;"",'Run CRS'!AG33,"")</f>
        <v>New Jersey</v>
      </c>
      <c r="C33" s="104">
        <f>IF('Run CRS'!AR33&lt;&gt;"",'Run CRS'!AR33,"")</f>
        <v>0.44285776005199473</v>
      </c>
      <c r="D33" s="104" t="str">
        <f>IF(ROUND(C33,3)=100%,"Optimal frontier",'Run CRS'!BW33)</f>
        <v xml:space="preserve">Nevada; Texas; </v>
      </c>
      <c r="E33" s="105">
        <f>IF('Run CRS'!BC33&lt;&gt;"",'Run CRS'!BC33,"")</f>
        <v>0.98678075752632632</v>
      </c>
      <c r="F33" s="106" t="str">
        <f>IF('Run CRS'!BD33&lt;&gt;"",'Run CRS'!BD33,"")</f>
        <v/>
      </c>
      <c r="G33" s="106" t="str">
        <f>IF('Run CRS'!BE33&lt;&gt;"",'Run CRS'!BE33,"")</f>
        <v/>
      </c>
      <c r="H33" s="106" t="str">
        <f>IF('Run CRS'!BF33&lt;&gt;"",'Run CRS'!BF33,"")</f>
        <v/>
      </c>
      <c r="I33" s="106" t="str">
        <f>IF('Run CRS'!BG33&lt;&gt;"",'Run CRS'!BG33,"")</f>
        <v/>
      </c>
      <c r="J33" s="106">
        <f>IF('Run CRS'!BH33&lt;&gt;"",'Run CRS'!BH33,"")</f>
        <v>0.29574268608402715</v>
      </c>
      <c r="K33" s="105">
        <f>IF('Run CRS'!BI33&lt;&gt;"",'Run CRS'!BI33,"")</f>
        <v>0</v>
      </c>
      <c r="L33" s="105" t="str">
        <f>IF('Run CRS'!BJ33&lt;&gt;"",'Run CRS'!BJ33,"")</f>
        <v/>
      </c>
      <c r="M33" s="105" t="str">
        <f>IF('Run CRS'!BK33&lt;&gt;"",'Run CRS'!BK33,"")</f>
        <v/>
      </c>
      <c r="N33" s="105" t="str">
        <f>IF('Run CRS'!BL33&lt;&gt;"",'Run CRS'!BL33,"")</f>
        <v/>
      </c>
      <c r="O33" s="105">
        <f>IF('Run CRS'!BM33&lt;&gt;"",'Run CRS'!BM33,"")</f>
        <v>8.1646141266438543E-2</v>
      </c>
      <c r="P33" s="106" t="str">
        <f>IF('Run CRS'!BN33&lt;&gt;"",'Run CRS'!BN33,"")</f>
        <v/>
      </c>
      <c r="Q33" s="106" t="str">
        <f>IF('Run CRS'!BO33&lt;&gt;"",'Run CRS'!BO33,"")</f>
        <v/>
      </c>
      <c r="R33" s="106" t="str">
        <f>IF('Run CRS'!BP33&lt;&gt;"",'Run CRS'!BP33,"")</f>
        <v/>
      </c>
      <c r="S33" s="106" t="str">
        <f>IF('Run CRS'!BQ33&lt;&gt;"",'Run CRS'!BQ33,"")</f>
        <v/>
      </c>
      <c r="T33" s="106">
        <f>IF('Run CRS'!BR33&lt;&gt;"",'Run CRS'!BR33,"")</f>
        <v>-9.4244769961776402</v>
      </c>
      <c r="U33" s="105">
        <f>IF('Run CRS'!BS33&lt;&gt;"",'Run CRS'!BS33,"")</f>
        <v>0</v>
      </c>
      <c r="V33" s="105" t="str">
        <f>IF('Run CRS'!BT33&lt;&gt;"",'Run CRS'!BT33,"")</f>
        <v/>
      </c>
      <c r="W33" s="105" t="str">
        <f>IF('Run CRS'!BU33&lt;&gt;"",'Run CRS'!BU33,"")</f>
        <v/>
      </c>
      <c r="X33" s="107" t="str">
        <f>IF('Run CRS'!BV33&lt;&gt;"",'Run CRS'!BV33,"")</f>
        <v/>
      </c>
      <c r="Y33" s="114">
        <f>IF('Data input'!C33&lt;&gt;"",O33/'Data input'!C33*100%,"")</f>
        <v>9.0203313186505957E-2</v>
      </c>
      <c r="Z33" s="114" t="str">
        <f>IF('Data input'!D33&lt;&gt;"",P33/'Data input'!D33*100%,"")</f>
        <v/>
      </c>
      <c r="AA33" s="114" t="str">
        <f>IF('Data input'!E33&lt;&gt;"",Q33/'Data input'!E33*100%,"")</f>
        <v/>
      </c>
      <c r="AB33" s="114" t="str">
        <f>IF('Data input'!F33&lt;&gt;"",R33/'Data input'!F33*100%,"")</f>
        <v/>
      </c>
      <c r="AC33" s="114" t="str">
        <f>IF('Data input'!G33&lt;&gt;"",S33/'Data input'!G33*100%,"")</f>
        <v/>
      </c>
      <c r="AD33" s="114">
        <f>IF('Data input'!H33&lt;&gt;"",T33/'Data input'!H33*100%,"")</f>
        <v>-0.96957448537673219</v>
      </c>
      <c r="AE33" s="114" t="e">
        <f>IF('Data input'!I33&lt;&gt;"",U33/'Data input'!I33*100%,"")</f>
        <v>#DIV/0!</v>
      </c>
      <c r="AF33" s="114" t="str">
        <f>IF('Data input'!J33&lt;&gt;"",V33/'Data input'!J33*100%,"")</f>
        <v/>
      </c>
      <c r="AG33" s="114" t="str">
        <f>IF('Data input'!K33&lt;&gt;"",W33/'Data input'!K33*100%,"")</f>
        <v/>
      </c>
      <c r="AH33" s="115" t="str">
        <f>IF('Data input'!L33&lt;&gt;"",X33/'Data input'!L33*100%,"")</f>
        <v/>
      </c>
      <c r="AI33" s="114">
        <f>IF('Data input'!C33&lt;&gt;"",'Run CRS'!AH33/'Run CRS'!C33,"")</f>
        <v>0.90338732920451181</v>
      </c>
      <c r="AJ33" s="114" t="str">
        <f>IF('Data input'!D33&lt;&gt;"",'Run CRS'!AI33/'Run CRS'!D33,"")</f>
        <v/>
      </c>
      <c r="AK33" s="114" t="str">
        <f>IF('Data input'!E33&lt;&gt;"",'Run CRS'!AJ33/'Run CRS'!E33,"")</f>
        <v/>
      </c>
      <c r="AL33" s="114" t="str">
        <f>IF('Data input'!F33&lt;&gt;"",'Run CRS'!AK33/'Run CRS'!F33,"")</f>
        <v/>
      </c>
      <c r="AM33" s="114" t="str">
        <f>IF('Data input'!G33&lt;&gt;"",'Run CRS'!AL33/'Run CRS'!G33,"")</f>
        <v/>
      </c>
      <c r="AN33" s="114">
        <f>IF('Data input'!H33&lt;&gt;"",'Run CRS'!AM33/'Run CRS'!H33,"")</f>
        <v>0.30204422865322011</v>
      </c>
      <c r="AO33" s="114">
        <f>IF('Data input'!I33&lt;&gt;"",'Run CRS'!AN33/'Run CRS'!I33,"")</f>
        <v>0</v>
      </c>
      <c r="AP33" s="114" t="str">
        <f>IF('Data input'!J33&lt;&gt;"",'Run CRS'!AO33/'Run CRS'!J33,"")</f>
        <v/>
      </c>
      <c r="AQ33" s="114" t="str">
        <f>IF('Data input'!K33&lt;&gt;"",'Run CRS'!AP33/'Run CRS'!K33,"")</f>
        <v/>
      </c>
      <c r="AR33" s="115" t="str">
        <f>IF('Data input'!L33&lt;&gt;"",'Run CRS'!AQ33/'Run CRS'!L33,"")</f>
        <v/>
      </c>
    </row>
    <row r="34" spans="1:44" x14ac:dyDescent="0.35">
      <c r="A34" s="102">
        <f>IF('Run CRS'!AF34&lt;&gt;"",'Run CRS'!AF34,"")</f>
        <v>32</v>
      </c>
      <c r="B34" s="103" t="str">
        <f>IF('Run CRS'!AG34&lt;&gt;"",'Run CRS'!AG34,"")</f>
        <v>New Mexico</v>
      </c>
      <c r="C34" s="104">
        <f>IF('Run CRS'!AR34&lt;&gt;"",'Run CRS'!AR34,"")</f>
        <v>0.5973842349484878</v>
      </c>
      <c r="D34" s="104" t="str">
        <f>IF(ROUND(C34,3)=100%,"Optimal frontier",'Run CRS'!BW34)</f>
        <v xml:space="preserve">Texas; </v>
      </c>
      <c r="E34" s="105">
        <f>IF('Run CRS'!BC34&lt;&gt;"",'Run CRS'!BC34,"")</f>
        <v>0.98919365643114809</v>
      </c>
      <c r="F34" s="106" t="str">
        <f>IF('Run CRS'!BD34&lt;&gt;"",'Run CRS'!BD34,"")</f>
        <v/>
      </c>
      <c r="G34" s="106" t="str">
        <f>IF('Run CRS'!BE34&lt;&gt;"",'Run CRS'!BE34,"")</f>
        <v/>
      </c>
      <c r="H34" s="106" t="str">
        <f>IF('Run CRS'!BF34&lt;&gt;"",'Run CRS'!BF34,"")</f>
        <v/>
      </c>
      <c r="I34" s="106" t="str">
        <f>IF('Run CRS'!BG34&lt;&gt;"",'Run CRS'!BG34,"")</f>
        <v/>
      </c>
      <c r="J34" s="106">
        <f>IF('Run CRS'!BH34&lt;&gt;"",'Run CRS'!BH34,"")</f>
        <v>0.29574268608402715</v>
      </c>
      <c r="K34" s="105">
        <f>IF('Run CRS'!BI34&lt;&gt;"",'Run CRS'!BI34,"")</f>
        <v>0.14498835821808981</v>
      </c>
      <c r="L34" s="105" t="str">
        <f>IF('Run CRS'!BJ34&lt;&gt;"",'Run CRS'!BJ34,"")</f>
        <v/>
      </c>
      <c r="M34" s="105" t="str">
        <f>IF('Run CRS'!BK34&lt;&gt;"",'Run CRS'!BK34,"")</f>
        <v/>
      </c>
      <c r="N34" s="105" t="str">
        <f>IF('Run CRS'!BL34&lt;&gt;"",'Run CRS'!BL34,"")</f>
        <v/>
      </c>
      <c r="O34" s="105">
        <f>IF('Run CRS'!BM34&lt;&gt;"",'Run CRS'!BM34,"")</f>
        <v>1.8042109448713095E-2</v>
      </c>
      <c r="P34" s="106" t="str">
        <f>IF('Run CRS'!BN34&lt;&gt;"",'Run CRS'!BN34,"")</f>
        <v/>
      </c>
      <c r="Q34" s="106" t="str">
        <f>IF('Run CRS'!BO34&lt;&gt;"",'Run CRS'!BO34,"")</f>
        <v/>
      </c>
      <c r="R34" s="106" t="str">
        <f>IF('Run CRS'!BP34&lt;&gt;"",'Run CRS'!BP34,"")</f>
        <v/>
      </c>
      <c r="S34" s="106" t="str">
        <f>IF('Run CRS'!BQ34&lt;&gt;"",'Run CRS'!BQ34,"")</f>
        <v/>
      </c>
      <c r="T34" s="106">
        <f>IF('Run CRS'!BR34&lt;&gt;"",'Run CRS'!BR34,"")</f>
        <v>-7.4452094008154228</v>
      </c>
      <c r="U34" s="105">
        <f>IF('Run CRS'!BS34&lt;&gt;"",'Run CRS'!BS34,"")</f>
        <v>-3.0645531701514406E-2</v>
      </c>
      <c r="V34" s="105" t="str">
        <f>IF('Run CRS'!BT34&lt;&gt;"",'Run CRS'!BT34,"")</f>
        <v/>
      </c>
      <c r="W34" s="105" t="str">
        <f>IF('Run CRS'!BU34&lt;&gt;"",'Run CRS'!BU34,"")</f>
        <v/>
      </c>
      <c r="X34" s="107" t="str">
        <f>IF('Run CRS'!BV34&lt;&gt;"",'Run CRS'!BV34,"")</f>
        <v/>
      </c>
      <c r="Y34" s="114">
        <f>IF('Data input'!C34&lt;&gt;"",O34/'Data input'!C34*100%,"")</f>
        <v>1.8578057672639859E-2</v>
      </c>
      <c r="Z34" s="114" t="str">
        <f>IF('Data input'!D34&lt;&gt;"",P34/'Data input'!D34*100%,"")</f>
        <v/>
      </c>
      <c r="AA34" s="114" t="str">
        <f>IF('Data input'!E34&lt;&gt;"",Q34/'Data input'!E34*100%,"")</f>
        <v/>
      </c>
      <c r="AB34" s="114" t="str">
        <f>IF('Data input'!F34&lt;&gt;"",R34/'Data input'!F34*100%,"")</f>
        <v/>
      </c>
      <c r="AC34" s="114" t="str">
        <f>IF('Data input'!G34&lt;&gt;"",S34/'Data input'!G34*100%,"")</f>
        <v/>
      </c>
      <c r="AD34" s="114">
        <f>IF('Data input'!H34&lt;&gt;"",T34/'Data input'!H34*100%,"")</f>
        <v>-0.96179505017418554</v>
      </c>
      <c r="AE34" s="114">
        <f>IF('Data input'!I34&lt;&gt;"",U34/'Data input'!I34*100%,"")</f>
        <v>-0.17448529845545349</v>
      </c>
      <c r="AF34" s="114" t="str">
        <f>IF('Data input'!J34&lt;&gt;"",V34/'Data input'!J34*100%,"")</f>
        <v/>
      </c>
      <c r="AG34" s="114" t="str">
        <f>IF('Data input'!K34&lt;&gt;"",W34/'Data input'!K34*100%,"")</f>
        <v/>
      </c>
      <c r="AH34" s="115" t="str">
        <f>IF('Data input'!L34&lt;&gt;"",X34/'Data input'!L34*100%,"")</f>
        <v/>
      </c>
      <c r="AI34" s="114">
        <f>IF('Data input'!C34&lt;&gt;"",'Run CRS'!AH34/'Run CRS'!C34,"")</f>
        <v>0.11536265752742468</v>
      </c>
      <c r="AJ34" s="114" t="str">
        <f>IF('Data input'!D34&lt;&gt;"",'Run CRS'!AI34/'Run CRS'!D34,"")</f>
        <v/>
      </c>
      <c r="AK34" s="114" t="str">
        <f>IF('Data input'!E34&lt;&gt;"",'Run CRS'!AJ34/'Run CRS'!E34,"")</f>
        <v/>
      </c>
      <c r="AL34" s="114" t="str">
        <f>IF('Data input'!F34&lt;&gt;"",'Run CRS'!AK34/'Run CRS'!F34,"")</f>
        <v/>
      </c>
      <c r="AM34" s="114" t="str">
        <f>IF('Data input'!G34&lt;&gt;"",'Run CRS'!AL34/'Run CRS'!G34,"")</f>
        <v/>
      </c>
      <c r="AN34" s="114">
        <f>IF('Data input'!H34&lt;&gt;"",'Run CRS'!AM34/'Run CRS'!H34,"")</f>
        <v>0.2547718972722065</v>
      </c>
      <c r="AO34" s="114">
        <f>IF('Data input'!I34&lt;&gt;"",'Run CRS'!AN34/'Run CRS'!I34,"")</f>
        <v>0.13958823876436269</v>
      </c>
      <c r="AP34" s="114" t="str">
        <f>IF('Data input'!J34&lt;&gt;"",'Run CRS'!AO34/'Run CRS'!J34,"")</f>
        <v/>
      </c>
      <c r="AQ34" s="114" t="str">
        <f>IF('Data input'!K34&lt;&gt;"",'Run CRS'!AP34/'Run CRS'!K34,"")</f>
        <v/>
      </c>
      <c r="AR34" s="115" t="str">
        <f>IF('Data input'!L34&lt;&gt;"",'Run CRS'!AQ34/'Run CRS'!L34,"")</f>
        <v/>
      </c>
    </row>
    <row r="35" spans="1:44" x14ac:dyDescent="0.35">
      <c r="A35" s="102">
        <f>IF('Run CRS'!AF35&lt;&gt;"",'Run CRS'!AF35,"")</f>
        <v>33</v>
      </c>
      <c r="B35" s="103" t="str">
        <f>IF('Run CRS'!AG35&lt;&gt;"",'Run CRS'!AG35,"")</f>
        <v>New York</v>
      </c>
      <c r="C35" s="104">
        <f>IF('Run CRS'!AR35&lt;&gt;"",'Run CRS'!AR35,"")</f>
        <v>0.35834349303998159</v>
      </c>
      <c r="D35" s="104" t="str">
        <f>IF(ROUND(C35,3)=100%,"Optimal frontier",'Run CRS'!BW35)</f>
        <v xml:space="preserve">Nevada; Texas; </v>
      </c>
      <c r="E35" s="105">
        <f>IF('Run CRS'!BC35&lt;&gt;"",'Run CRS'!BC35,"")</f>
        <v>0.98692745314322838</v>
      </c>
      <c r="F35" s="106" t="str">
        <f>IF('Run CRS'!BD35&lt;&gt;"",'Run CRS'!BD35,"")</f>
        <v/>
      </c>
      <c r="G35" s="106" t="str">
        <f>IF('Run CRS'!BE35&lt;&gt;"",'Run CRS'!BE35,"")</f>
        <v/>
      </c>
      <c r="H35" s="106" t="str">
        <f>IF('Run CRS'!BF35&lt;&gt;"",'Run CRS'!BF35,"")</f>
        <v/>
      </c>
      <c r="I35" s="106" t="str">
        <f>IF('Run CRS'!BG35&lt;&gt;"",'Run CRS'!BG35,"")</f>
        <v/>
      </c>
      <c r="J35" s="106">
        <f>IF('Run CRS'!BH35&lt;&gt;"",'Run CRS'!BH35,"")</f>
        <v>0.29574268608402715</v>
      </c>
      <c r="K35" s="105">
        <f>IF('Run CRS'!BI35&lt;&gt;"",'Run CRS'!BI35,"")</f>
        <v>9.9443118536197061E-4</v>
      </c>
      <c r="L35" s="105" t="str">
        <f>IF('Run CRS'!BJ35&lt;&gt;"",'Run CRS'!BJ35,"")</f>
        <v/>
      </c>
      <c r="M35" s="105" t="str">
        <f>IF('Run CRS'!BK35&lt;&gt;"",'Run CRS'!BK35,"")</f>
        <v/>
      </c>
      <c r="N35" s="105" t="str">
        <f>IF('Run CRS'!BL35&lt;&gt;"",'Run CRS'!BL35,"")</f>
        <v/>
      </c>
      <c r="O35" s="105">
        <f>IF('Run CRS'!BM35&lt;&gt;"",'Run CRS'!BM35,"")</f>
        <v>0.10266756159806845</v>
      </c>
      <c r="P35" s="106" t="str">
        <f>IF('Run CRS'!BN35&lt;&gt;"",'Run CRS'!BN35,"")</f>
        <v/>
      </c>
      <c r="Q35" s="106" t="str">
        <f>IF('Run CRS'!BO35&lt;&gt;"",'Run CRS'!BO35,"")</f>
        <v/>
      </c>
      <c r="R35" s="106" t="str">
        <f>IF('Run CRS'!BP35&lt;&gt;"",'Run CRS'!BP35,"")</f>
        <v/>
      </c>
      <c r="S35" s="106" t="str">
        <f>IF('Run CRS'!BQ35&lt;&gt;"",'Run CRS'!BQ35,"")</f>
        <v/>
      </c>
      <c r="T35" s="106">
        <f>IF('Run CRS'!BR35&lt;&gt;"",'Run CRS'!BR35,"")</f>
        <v>-5.8558355081642075</v>
      </c>
      <c r="U35" s="105">
        <f>IF('Run CRS'!BS35&lt;&gt;"",'Run CRS'!BS35,"")</f>
        <v>-2.3852447794681098E-18</v>
      </c>
      <c r="V35" s="105" t="str">
        <f>IF('Run CRS'!BT35&lt;&gt;"",'Run CRS'!BT35,"")</f>
        <v/>
      </c>
      <c r="W35" s="105" t="str">
        <f>IF('Run CRS'!BU35&lt;&gt;"",'Run CRS'!BU35,"")</f>
        <v/>
      </c>
      <c r="X35" s="107" t="str">
        <f>IF('Run CRS'!BV35&lt;&gt;"",'Run CRS'!BV35,"")</f>
        <v/>
      </c>
      <c r="Y35" s="114">
        <f>IF('Data input'!C35&lt;&gt;"",O35/'Data input'!C35*100%,"")</f>
        <v>0.11610564109004951</v>
      </c>
      <c r="Z35" s="114" t="str">
        <f>IF('Data input'!D35&lt;&gt;"",P35/'Data input'!D35*100%,"")</f>
        <v/>
      </c>
      <c r="AA35" s="114" t="str">
        <f>IF('Data input'!E35&lt;&gt;"",Q35/'Data input'!E35*100%,"")</f>
        <v/>
      </c>
      <c r="AB35" s="114" t="str">
        <f>IF('Data input'!F35&lt;&gt;"",R35/'Data input'!F35*100%,"")</f>
        <v/>
      </c>
      <c r="AC35" s="114" t="str">
        <f>IF('Data input'!G35&lt;&gt;"",S35/'Data input'!G35*100%,"")</f>
        <v/>
      </c>
      <c r="AD35" s="114">
        <f>IF('Data input'!H35&lt;&gt;"",T35/'Data input'!H35*100%,"")</f>
        <v>-0.95192409545235901</v>
      </c>
      <c r="AE35" s="114">
        <f>IF('Data input'!I35&lt;&gt;"",U35/'Data input'!I35*100%,"")</f>
        <v>-2.3986021502331312E-15</v>
      </c>
      <c r="AF35" s="114" t="str">
        <f>IF('Data input'!J35&lt;&gt;"",V35/'Data input'!J35*100%,"")</f>
        <v/>
      </c>
      <c r="AG35" s="114" t="str">
        <f>IF('Data input'!K35&lt;&gt;"",W35/'Data input'!K35*100%,"")</f>
        <v/>
      </c>
      <c r="AH35" s="115" t="str">
        <f>IF('Data input'!L35&lt;&gt;"",X35/'Data input'!L35*100%,"")</f>
        <v/>
      </c>
      <c r="AI35" s="114">
        <f>IF('Data input'!C35&lt;&gt;"",'Run CRS'!AH35/'Run CRS'!C35,"")</f>
        <v>1.4771661651583623</v>
      </c>
      <c r="AJ35" s="114" t="str">
        <f>IF('Data input'!D35&lt;&gt;"",'Run CRS'!AI35/'Run CRS'!D35,"")</f>
        <v/>
      </c>
      <c r="AK35" s="114" t="str">
        <f>IF('Data input'!E35&lt;&gt;"",'Run CRS'!AJ35/'Run CRS'!E35,"")</f>
        <v/>
      </c>
      <c r="AL35" s="114" t="str">
        <f>IF('Data input'!F35&lt;&gt;"",'Run CRS'!AK35/'Run CRS'!F35,"")</f>
        <v/>
      </c>
      <c r="AM35" s="114" t="str">
        <f>IF('Data input'!G35&lt;&gt;"",'Run CRS'!AL35/'Run CRS'!G35,"")</f>
        <v/>
      </c>
      <c r="AN35" s="114">
        <f>IF('Data input'!H35&lt;&gt;"",'Run CRS'!AM35/'Run CRS'!H35,"")</f>
        <v>0.21190946720119316</v>
      </c>
      <c r="AO35" s="114">
        <f>IF('Data input'!I35&lt;&gt;"",'Run CRS'!AN35/'Run CRS'!I35,"")</f>
        <v>0</v>
      </c>
      <c r="AP35" s="114" t="str">
        <f>IF('Data input'!J35&lt;&gt;"",'Run CRS'!AO35/'Run CRS'!J35,"")</f>
        <v/>
      </c>
      <c r="AQ35" s="114" t="str">
        <f>IF('Data input'!K35&lt;&gt;"",'Run CRS'!AP35/'Run CRS'!K35,"")</f>
        <v/>
      </c>
      <c r="AR35" s="115" t="str">
        <f>IF('Data input'!L35&lt;&gt;"",'Run CRS'!AQ35/'Run CRS'!L35,"")</f>
        <v/>
      </c>
    </row>
    <row r="36" spans="1:44" x14ac:dyDescent="0.35">
      <c r="A36" s="102">
        <f>IF('Run CRS'!AF36&lt;&gt;"",'Run CRS'!AF36,"")</f>
        <v>34</v>
      </c>
      <c r="B36" s="103" t="str">
        <f>IF('Run CRS'!AG36&lt;&gt;"",'Run CRS'!AG36,"")</f>
        <v>North Carolina</v>
      </c>
      <c r="C36" s="104">
        <f>IF('Run CRS'!AR36&lt;&gt;"",'Run CRS'!AR36,"")</f>
        <v>0.66103291591560265</v>
      </c>
      <c r="D36" s="104" t="str">
        <f>IF(ROUND(C36,3)=100%,"Optimal frontier",'Run CRS'!BW36)</f>
        <v xml:space="preserve">Texas; </v>
      </c>
      <c r="E36" s="105">
        <f>IF('Run CRS'!BC36&lt;&gt;"",'Run CRS'!BC36,"")</f>
        <v>0.98918261264425444</v>
      </c>
      <c r="F36" s="106" t="str">
        <f>IF('Run CRS'!BD36&lt;&gt;"",'Run CRS'!BD36,"")</f>
        <v/>
      </c>
      <c r="G36" s="106" t="str">
        <f>IF('Run CRS'!BE36&lt;&gt;"",'Run CRS'!BE36,"")</f>
        <v/>
      </c>
      <c r="H36" s="106" t="str">
        <f>IF('Run CRS'!BF36&lt;&gt;"",'Run CRS'!BF36,"")</f>
        <v/>
      </c>
      <c r="I36" s="106" t="str">
        <f>IF('Run CRS'!BG36&lt;&gt;"",'Run CRS'!BG36,"")</f>
        <v/>
      </c>
      <c r="J36" s="106">
        <f>IF('Run CRS'!BH36&lt;&gt;"",'Run CRS'!BH36,"")</f>
        <v>0.29574268608402715</v>
      </c>
      <c r="K36" s="105">
        <f>IF('Run CRS'!BI36&lt;&gt;"",'Run CRS'!BI36,"")</f>
        <v>7.4603799732885112E-2</v>
      </c>
      <c r="L36" s="105" t="str">
        <f>IF('Run CRS'!BJ36&lt;&gt;"",'Run CRS'!BJ36,"")</f>
        <v/>
      </c>
      <c r="M36" s="105" t="str">
        <f>IF('Run CRS'!BK36&lt;&gt;"",'Run CRS'!BK36,"")</f>
        <v/>
      </c>
      <c r="N36" s="105" t="str">
        <f>IF('Run CRS'!BL36&lt;&gt;"",'Run CRS'!BL36,"")</f>
        <v/>
      </c>
      <c r="O36" s="105">
        <f>IF('Run CRS'!BM36&lt;&gt;"",'Run CRS'!BM36,"")</f>
        <v>1.8474733278478928E-2</v>
      </c>
      <c r="P36" s="106" t="str">
        <f>IF('Run CRS'!BN36&lt;&gt;"",'Run CRS'!BN36,"")</f>
        <v/>
      </c>
      <c r="Q36" s="106" t="str">
        <f>IF('Run CRS'!BO36&lt;&gt;"",'Run CRS'!BO36,"")</f>
        <v/>
      </c>
      <c r="R36" s="106" t="str">
        <f>IF('Run CRS'!BP36&lt;&gt;"",'Run CRS'!BP36,"")</f>
        <v/>
      </c>
      <c r="S36" s="106" t="str">
        <f>IF('Run CRS'!BQ36&lt;&gt;"",'Run CRS'!BQ36,"")</f>
        <v/>
      </c>
      <c r="T36" s="106">
        <f>IF('Run CRS'!BR36&lt;&gt;"",'Run CRS'!BR36,"")</f>
        <v>-7.5087267899744941</v>
      </c>
      <c r="U36" s="105">
        <f>IF('Run CRS'!BS36&lt;&gt;"",'Run CRS'!BS36,"")</f>
        <v>-1.5649871829197665E-2</v>
      </c>
      <c r="V36" s="105" t="str">
        <f>IF('Run CRS'!BT36&lt;&gt;"",'Run CRS'!BT36,"")</f>
        <v/>
      </c>
      <c r="W36" s="105" t="str">
        <f>IF('Run CRS'!BU36&lt;&gt;"",'Run CRS'!BU36,"")</f>
        <v/>
      </c>
      <c r="X36" s="107" t="str">
        <f>IF('Run CRS'!BV36&lt;&gt;"",'Run CRS'!BV36,"")</f>
        <v/>
      </c>
      <c r="Y36" s="114">
        <f>IF('Data input'!C36&lt;&gt;"",O36/'Data input'!C36*100%,"")</f>
        <v>1.9032227584831838E-2</v>
      </c>
      <c r="Z36" s="114" t="str">
        <f>IF('Data input'!D36&lt;&gt;"",P36/'Data input'!D36*100%,"")</f>
        <v/>
      </c>
      <c r="AA36" s="114" t="str">
        <f>IF('Data input'!E36&lt;&gt;"",Q36/'Data input'!E36*100%,"")</f>
        <v/>
      </c>
      <c r="AB36" s="114" t="str">
        <f>IF('Data input'!F36&lt;&gt;"",R36/'Data input'!F36*100%,"")</f>
        <v/>
      </c>
      <c r="AC36" s="114" t="str">
        <f>IF('Data input'!G36&lt;&gt;"",S36/'Data input'!G36*100%,"")</f>
        <v/>
      </c>
      <c r="AD36" s="114">
        <f>IF('Data input'!H36&lt;&gt;"",T36/'Data input'!H36*100%,"")</f>
        <v>-0.96210598465516894</v>
      </c>
      <c r="AE36" s="114">
        <f>IF('Data input'!I36&lt;&gt;"",U36/'Data input'!I36*100%,"")</f>
        <v>-0.17339872781167234</v>
      </c>
      <c r="AF36" s="114" t="str">
        <f>IF('Data input'!J36&lt;&gt;"",V36/'Data input'!J36*100%,"")</f>
        <v/>
      </c>
      <c r="AG36" s="114" t="str">
        <f>IF('Data input'!K36&lt;&gt;"",W36/'Data input'!K36*100%,"")</f>
        <v/>
      </c>
      <c r="AH36" s="115" t="str">
        <f>IF('Data input'!L36&lt;&gt;"",X36/'Data input'!L36*100%,"")</f>
        <v/>
      </c>
      <c r="AI36" s="114">
        <f>IF('Data input'!C36&lt;&gt;"",'Run CRS'!AH36/'Run CRS'!C36,"")</f>
        <v>0.11846495486087313</v>
      </c>
      <c r="AJ36" s="114" t="str">
        <f>IF('Data input'!D36&lt;&gt;"",'Run CRS'!AI36/'Run CRS'!D36,"")</f>
        <v/>
      </c>
      <c r="AK36" s="114" t="str">
        <f>IF('Data input'!E36&lt;&gt;"",'Run CRS'!AJ36/'Run CRS'!E36,"")</f>
        <v/>
      </c>
      <c r="AL36" s="114" t="str">
        <f>IF('Data input'!F36&lt;&gt;"",'Run CRS'!AK36/'Run CRS'!F36,"")</f>
        <v/>
      </c>
      <c r="AM36" s="114" t="str">
        <f>IF('Data input'!G36&lt;&gt;"",'Run CRS'!AL36/'Run CRS'!G36,"")</f>
        <v/>
      </c>
      <c r="AN36" s="114">
        <f>IF('Data input'!H36&lt;&gt;"",'Run CRS'!AM36/'Run CRS'!H36,"")</f>
        <v>0.25638816587043339</v>
      </c>
      <c r="AO36" s="114">
        <f>IF('Data input'!I36&lt;&gt;"",'Run CRS'!AN36/'Run CRS'!I36,"")</f>
        <v>0.11664893954214317</v>
      </c>
      <c r="AP36" s="114" t="str">
        <f>IF('Data input'!J36&lt;&gt;"",'Run CRS'!AO36/'Run CRS'!J36,"")</f>
        <v/>
      </c>
      <c r="AQ36" s="114" t="str">
        <f>IF('Data input'!K36&lt;&gt;"",'Run CRS'!AP36/'Run CRS'!K36,"")</f>
        <v/>
      </c>
      <c r="AR36" s="115" t="str">
        <f>IF('Data input'!L36&lt;&gt;"",'Run CRS'!AQ36/'Run CRS'!L36,"")</f>
        <v/>
      </c>
    </row>
    <row r="37" spans="1:44" x14ac:dyDescent="0.35">
      <c r="A37" s="102">
        <f>IF('Run CRS'!AF37&lt;&gt;"",'Run CRS'!AF37,"")</f>
        <v>35</v>
      </c>
      <c r="B37" s="103" t="str">
        <f>IF('Run CRS'!AG37&lt;&gt;"",'Run CRS'!AG37,"")</f>
        <v>North Dakota</v>
      </c>
      <c r="C37" s="104">
        <f>IF('Run CRS'!AR37&lt;&gt;"",'Run CRS'!AR37,"")</f>
        <v>0.68817161115258974</v>
      </c>
      <c r="D37" s="104" t="str">
        <f>IF(ROUND(C37,3)=100%,"Optimal frontier",'Run CRS'!BW37)</f>
        <v xml:space="preserve">Nevada; Texas; </v>
      </c>
      <c r="E37" s="105">
        <f>IF('Run CRS'!BC37&lt;&gt;"",'Run CRS'!BC37,"")</f>
        <v>0.98930735020681126</v>
      </c>
      <c r="F37" s="106" t="str">
        <f>IF('Run CRS'!BD37&lt;&gt;"",'Run CRS'!BD37,"")</f>
        <v/>
      </c>
      <c r="G37" s="106" t="str">
        <f>IF('Run CRS'!BE37&lt;&gt;"",'Run CRS'!BE37,"")</f>
        <v/>
      </c>
      <c r="H37" s="106" t="str">
        <f>IF('Run CRS'!BF37&lt;&gt;"",'Run CRS'!BF37,"")</f>
        <v/>
      </c>
      <c r="I37" s="106" t="str">
        <f>IF('Run CRS'!BG37&lt;&gt;"",'Run CRS'!BG37,"")</f>
        <v/>
      </c>
      <c r="J37" s="106">
        <f>IF('Run CRS'!BH37&lt;&gt;"",'Run CRS'!BH37,"")</f>
        <v>3.2613496405287634</v>
      </c>
      <c r="K37" s="105">
        <f>IF('Run CRS'!BI37&lt;&gt;"",'Run CRS'!BI37,"")</f>
        <v>0</v>
      </c>
      <c r="L37" s="105" t="str">
        <f>IF('Run CRS'!BJ37&lt;&gt;"",'Run CRS'!BJ37,"")</f>
        <v/>
      </c>
      <c r="M37" s="105" t="str">
        <f>IF('Run CRS'!BK37&lt;&gt;"",'Run CRS'!BK37,"")</f>
        <v/>
      </c>
      <c r="N37" s="105" t="str">
        <f>IF('Run CRS'!BL37&lt;&gt;"",'Run CRS'!BL37,"")</f>
        <v/>
      </c>
      <c r="O37" s="105">
        <f>IF('Run CRS'!BM37&lt;&gt;"",'Run CRS'!BM37,"")</f>
        <v>0</v>
      </c>
      <c r="P37" s="106" t="str">
        <f>IF('Run CRS'!BN37&lt;&gt;"",'Run CRS'!BN37,"")</f>
        <v/>
      </c>
      <c r="Q37" s="106" t="str">
        <f>IF('Run CRS'!BO37&lt;&gt;"",'Run CRS'!BO37,"")</f>
        <v/>
      </c>
      <c r="R37" s="106" t="str">
        <f>IF('Run CRS'!BP37&lt;&gt;"",'Run CRS'!BP37,"")</f>
        <v/>
      </c>
      <c r="S37" s="106" t="str">
        <f>IF('Run CRS'!BQ37&lt;&gt;"",'Run CRS'!BQ37,"")</f>
        <v/>
      </c>
      <c r="T37" s="106">
        <f>IF('Run CRS'!BR37&lt;&gt;"",'Run CRS'!BR37,"")</f>
        <v>-41.003562057630404</v>
      </c>
      <c r="U37" s="105">
        <f>IF('Run CRS'!BS37&lt;&gt;"",'Run CRS'!BS37,"")</f>
        <v>0</v>
      </c>
      <c r="V37" s="105" t="str">
        <f>IF('Run CRS'!BT37&lt;&gt;"",'Run CRS'!BT37,"")</f>
        <v/>
      </c>
      <c r="W37" s="105" t="str">
        <f>IF('Run CRS'!BU37&lt;&gt;"",'Run CRS'!BU37,"")</f>
        <v/>
      </c>
      <c r="X37" s="107" t="str">
        <f>IF('Run CRS'!BV37&lt;&gt;"",'Run CRS'!BV37,"")</f>
        <v/>
      </c>
      <c r="Y37" s="114">
        <f>IF('Data input'!C37&lt;&gt;"",O37/'Data input'!C37*100%,"")</f>
        <v>0</v>
      </c>
      <c r="Z37" s="114" t="str">
        <f>IF('Data input'!D37&lt;&gt;"",P37/'Data input'!D37*100%,"")</f>
        <v/>
      </c>
      <c r="AA37" s="114" t="str">
        <f>IF('Data input'!E37&lt;&gt;"",Q37/'Data input'!E37*100%,"")</f>
        <v/>
      </c>
      <c r="AB37" s="114" t="str">
        <f>IF('Data input'!F37&lt;&gt;"",R37/'Data input'!F37*100%,"")</f>
        <v/>
      </c>
      <c r="AC37" s="114" t="str">
        <f>IF('Data input'!G37&lt;&gt;"",S37/'Data input'!G37*100%,"")</f>
        <v/>
      </c>
      <c r="AD37" s="114">
        <f>IF('Data input'!H37&lt;&gt;"",T37/'Data input'!H37*100%,"")</f>
        <v>-0.92632201182806395</v>
      </c>
      <c r="AE37" s="114" t="e">
        <f>IF('Data input'!I37&lt;&gt;"",U37/'Data input'!I37*100%,"")</f>
        <v>#DIV/0!</v>
      </c>
      <c r="AF37" s="114" t="str">
        <f>IF('Data input'!J37&lt;&gt;"",V37/'Data input'!J37*100%,"")</f>
        <v/>
      </c>
      <c r="AG37" s="114" t="str">
        <f>IF('Data input'!K37&lt;&gt;"",W37/'Data input'!K37*100%,"")</f>
        <v/>
      </c>
      <c r="AH37" s="115" t="str">
        <f>IF('Data input'!L37&lt;&gt;"",X37/'Data input'!L37*100%,"")</f>
        <v/>
      </c>
      <c r="AI37" s="114">
        <f>IF('Data input'!C37&lt;&gt;"",'Run CRS'!AH37/'Run CRS'!C37,"")</f>
        <v>0</v>
      </c>
      <c r="AJ37" s="114" t="str">
        <f>IF('Data input'!D37&lt;&gt;"",'Run CRS'!AI37/'Run CRS'!D37,"")</f>
        <v/>
      </c>
      <c r="AK37" s="114" t="str">
        <f>IF('Data input'!E37&lt;&gt;"",'Run CRS'!AJ37/'Run CRS'!E37,"")</f>
        <v/>
      </c>
      <c r="AL37" s="114" t="str">
        <f>IF('Data input'!F37&lt;&gt;"",'Run CRS'!AK37/'Run CRS'!F37,"")</f>
        <v/>
      </c>
      <c r="AM37" s="114" t="str">
        <f>IF('Data input'!G37&lt;&gt;"",'Run CRS'!AL37/'Run CRS'!G37,"")</f>
        <v/>
      </c>
      <c r="AN37" s="114">
        <f>IF('Data input'!H37&lt;&gt;"",'Run CRS'!AM37/'Run CRS'!H37,"")</f>
        <v>0.62365677769482053</v>
      </c>
      <c r="AO37" s="114">
        <f>IF('Data input'!I37&lt;&gt;"",'Run CRS'!AN37/'Run CRS'!I37,"")</f>
        <v>0</v>
      </c>
      <c r="AP37" s="114" t="str">
        <f>IF('Data input'!J37&lt;&gt;"",'Run CRS'!AO37/'Run CRS'!J37,"")</f>
        <v/>
      </c>
      <c r="AQ37" s="114" t="str">
        <f>IF('Data input'!K37&lt;&gt;"",'Run CRS'!AP37/'Run CRS'!K37,"")</f>
        <v/>
      </c>
      <c r="AR37" s="115" t="str">
        <f>IF('Data input'!L37&lt;&gt;"",'Run CRS'!AQ37/'Run CRS'!L37,"")</f>
        <v/>
      </c>
    </row>
    <row r="38" spans="1:44" x14ac:dyDescent="0.35">
      <c r="A38" s="102">
        <f>IF('Run CRS'!AF38&lt;&gt;"",'Run CRS'!AF38,"")</f>
        <v>36</v>
      </c>
      <c r="B38" s="103" t="str">
        <f>IF('Run CRS'!AG38&lt;&gt;"",'Run CRS'!AG38,"")</f>
        <v>Ohio</v>
      </c>
      <c r="C38" s="104">
        <f>IF('Run CRS'!AR38&lt;&gt;"",'Run CRS'!AR38,"")</f>
        <v>0.87464988122486864</v>
      </c>
      <c r="D38" s="104" t="str">
        <f>IF(ROUND(C38,3)=100%,"Optimal frontier",'Run CRS'!BW38)</f>
        <v xml:space="preserve">Texas; </v>
      </c>
      <c r="E38" s="105">
        <f>IF('Run CRS'!BC38&lt;&gt;"",'Run CRS'!BC38,"")</f>
        <v>0.98939990410095324</v>
      </c>
      <c r="F38" s="106" t="str">
        <f>IF('Run CRS'!BD38&lt;&gt;"",'Run CRS'!BD38,"")</f>
        <v/>
      </c>
      <c r="G38" s="106" t="str">
        <f>IF('Run CRS'!BE38&lt;&gt;"",'Run CRS'!BE38,"")</f>
        <v/>
      </c>
      <c r="H38" s="106" t="str">
        <f>IF('Run CRS'!BF38&lt;&gt;"",'Run CRS'!BF38,"")</f>
        <v/>
      </c>
      <c r="I38" s="106" t="str">
        <f>IF('Run CRS'!BG38&lt;&gt;"",'Run CRS'!BG38,"")</f>
        <v/>
      </c>
      <c r="J38" s="106">
        <f>IF('Run CRS'!BH38&lt;&gt;"",'Run CRS'!BH38,"")</f>
        <v>0.29574268608402715</v>
      </c>
      <c r="K38" s="105">
        <f>IF('Run CRS'!BI38&lt;&gt;"",'Run CRS'!BI38,"")</f>
        <v>2.4197201570134139E-2</v>
      </c>
      <c r="L38" s="105" t="str">
        <f>IF('Run CRS'!BJ38&lt;&gt;"",'Run CRS'!BJ38,"")</f>
        <v/>
      </c>
      <c r="M38" s="105" t="str">
        <f>IF('Run CRS'!BK38&lt;&gt;"",'Run CRS'!BK38,"")</f>
        <v/>
      </c>
      <c r="N38" s="105" t="str">
        <f>IF('Run CRS'!BL38&lt;&gt;"",'Run CRS'!BL38,"")</f>
        <v/>
      </c>
      <c r="O38" s="105">
        <f>IF('Run CRS'!BM38&lt;&gt;"",'Run CRS'!BM38,"")</f>
        <v>9.9626655365839811E-3</v>
      </c>
      <c r="P38" s="106" t="str">
        <f>IF('Run CRS'!BN38&lt;&gt;"",'Run CRS'!BN38,"")</f>
        <v/>
      </c>
      <c r="Q38" s="106" t="str">
        <f>IF('Run CRS'!BO38&lt;&gt;"",'Run CRS'!BO38,"")</f>
        <v/>
      </c>
      <c r="R38" s="106" t="str">
        <f>IF('Run CRS'!BP38&lt;&gt;"",'Run CRS'!BP38,"")</f>
        <v/>
      </c>
      <c r="S38" s="106" t="str">
        <f>IF('Run CRS'!BQ38&lt;&gt;"",'Run CRS'!BQ38,"")</f>
        <v/>
      </c>
      <c r="T38" s="106">
        <f>IF('Run CRS'!BR38&lt;&gt;"",'Run CRS'!BR38,"")</f>
        <v>-0.96914222982507425</v>
      </c>
      <c r="U38" s="105">
        <f>IF('Run CRS'!BS38&lt;&gt;"",'Run CRS'!BS38,"")</f>
        <v>-4.9105815979738551E-3</v>
      </c>
      <c r="V38" s="105" t="str">
        <f>IF('Run CRS'!BT38&lt;&gt;"",'Run CRS'!BT38,"")</f>
        <v/>
      </c>
      <c r="W38" s="105" t="str">
        <f>IF('Run CRS'!BU38&lt;&gt;"",'Run CRS'!BU38,"")</f>
        <v/>
      </c>
      <c r="X38" s="107" t="str">
        <f>IF('Run CRS'!BV38&lt;&gt;"",'Run CRS'!BV38,"")</f>
        <v/>
      </c>
      <c r="Y38" s="114">
        <f>IF('Data input'!C38&lt;&gt;"",O38/'Data input'!C38*100%,"")</f>
        <v>1.0171826375712413E-2</v>
      </c>
      <c r="Z38" s="114" t="str">
        <f>IF('Data input'!D38&lt;&gt;"",P38/'Data input'!D38*100%,"")</f>
        <v/>
      </c>
      <c r="AA38" s="114" t="str">
        <f>IF('Data input'!E38&lt;&gt;"",Q38/'Data input'!E38*100%,"")</f>
        <v/>
      </c>
      <c r="AB38" s="114" t="str">
        <f>IF('Data input'!F38&lt;&gt;"",R38/'Data input'!F38*100%,"")</f>
        <v/>
      </c>
      <c r="AC38" s="114" t="str">
        <f>IF('Data input'!G38&lt;&gt;"",S38/'Data input'!G38*100%,"")</f>
        <v/>
      </c>
      <c r="AD38" s="114">
        <f>IF('Data input'!H38&lt;&gt;"",T38/'Data input'!H38*100%,"")</f>
        <v>-0.76619004435556093</v>
      </c>
      <c r="AE38" s="114">
        <f>IF('Data input'!I38&lt;&gt;"",U38/'Data input'!I38*100%,"")</f>
        <v>-0.16870338663763801</v>
      </c>
      <c r="AF38" s="114" t="str">
        <f>IF('Data input'!J38&lt;&gt;"",V38/'Data input'!J38*100%,"")</f>
        <v/>
      </c>
      <c r="AG38" s="114" t="str">
        <f>IF('Data input'!K38&lt;&gt;"",W38/'Data input'!K38*100%,"")</f>
        <v/>
      </c>
      <c r="AH38" s="115" t="str">
        <f>IF('Data input'!L38&lt;&gt;"",X38/'Data input'!L38*100%,"")</f>
        <v/>
      </c>
      <c r="AI38" s="114">
        <f>IF('Data input'!C38&lt;&gt;"",'Run CRS'!AH38/'Run CRS'!C38,"")</f>
        <v>6.0496971096687516E-2</v>
      </c>
      <c r="AJ38" s="114" t="str">
        <f>IF('Data input'!D38&lt;&gt;"",'Run CRS'!AI38/'Run CRS'!D38,"")</f>
        <v/>
      </c>
      <c r="AK38" s="114" t="str">
        <f>IF('Data input'!E38&lt;&gt;"",'Run CRS'!AJ38/'Run CRS'!E38,"")</f>
        <v/>
      </c>
      <c r="AL38" s="114" t="str">
        <f>IF('Data input'!F38&lt;&gt;"",'Run CRS'!AK38/'Run CRS'!F38,"")</f>
        <v/>
      </c>
      <c r="AM38" s="114" t="str">
        <f>IF('Data input'!G38&lt;&gt;"",'Run CRS'!AL38/'Run CRS'!G38,"")</f>
        <v/>
      </c>
      <c r="AN38" s="114">
        <f>IF('Data input'!H38&lt;&gt;"",'Run CRS'!AM38/'Run CRS'!H38,"")</f>
        <v>4.2605327212242819E-2</v>
      </c>
      <c r="AO38" s="114">
        <f>IF('Data input'!I38&lt;&gt;"",'Run CRS'!AN38/'Run CRS'!I38,"")</f>
        <v>6.725326510368311E-2</v>
      </c>
      <c r="AP38" s="114" t="str">
        <f>IF('Data input'!J38&lt;&gt;"",'Run CRS'!AO38/'Run CRS'!J38,"")</f>
        <v/>
      </c>
      <c r="AQ38" s="114" t="str">
        <f>IF('Data input'!K38&lt;&gt;"",'Run CRS'!AP38/'Run CRS'!K38,"")</f>
        <v/>
      </c>
      <c r="AR38" s="115" t="str">
        <f>IF('Data input'!L38&lt;&gt;"",'Run CRS'!AQ38/'Run CRS'!L38,"")</f>
        <v/>
      </c>
    </row>
    <row r="39" spans="1:44" x14ac:dyDescent="0.35">
      <c r="A39" s="102">
        <f>IF('Run CRS'!AF39&lt;&gt;"",'Run CRS'!AF39,"")</f>
        <v>37</v>
      </c>
      <c r="B39" s="103" t="str">
        <f>IF('Run CRS'!AG39&lt;&gt;"",'Run CRS'!AG39,"")</f>
        <v>Oklahoma</v>
      </c>
      <c r="C39" s="104">
        <f>IF('Run CRS'!AR39&lt;&gt;"",'Run CRS'!AR39,"")</f>
        <v>0.81440262259818663</v>
      </c>
      <c r="D39" s="104" t="str">
        <f>IF(ROUND(C39,3)=100%,"Optimal frontier",'Run CRS'!BW39)</f>
        <v xml:space="preserve">Texas; </v>
      </c>
      <c r="E39" s="105">
        <f>IF('Run CRS'!BC39&lt;&gt;"",'Run CRS'!BC39,"")</f>
        <v>0.98954400260545716</v>
      </c>
      <c r="F39" s="106" t="str">
        <f>IF('Run CRS'!BD39&lt;&gt;"",'Run CRS'!BD39,"")</f>
        <v/>
      </c>
      <c r="G39" s="106" t="str">
        <f>IF('Run CRS'!BE39&lt;&gt;"",'Run CRS'!BE39,"")</f>
        <v/>
      </c>
      <c r="H39" s="106" t="str">
        <f>IF('Run CRS'!BF39&lt;&gt;"",'Run CRS'!BF39,"")</f>
        <v/>
      </c>
      <c r="I39" s="106" t="str">
        <f>IF('Run CRS'!BG39&lt;&gt;"",'Run CRS'!BG39,"")</f>
        <v/>
      </c>
      <c r="J39" s="106">
        <f>IF('Run CRS'!BH39&lt;&gt;"",'Run CRS'!BH39,"")</f>
        <v>0.29574268608402715</v>
      </c>
      <c r="K39" s="105">
        <f>IF('Run CRS'!BI39&lt;&gt;"",'Run CRS'!BI39,"")</f>
        <v>5.2092706001734788E-3</v>
      </c>
      <c r="L39" s="105" t="str">
        <f>IF('Run CRS'!BJ39&lt;&gt;"",'Run CRS'!BJ39,"")</f>
        <v/>
      </c>
      <c r="M39" s="105" t="str">
        <f>IF('Run CRS'!BK39&lt;&gt;"",'Run CRS'!BK39,"")</f>
        <v/>
      </c>
      <c r="N39" s="105" t="str">
        <f>IF('Run CRS'!BL39&lt;&gt;"",'Run CRS'!BL39,"")</f>
        <v/>
      </c>
      <c r="O39" s="105">
        <f>IF('Run CRS'!BM39&lt;&gt;"",'Run CRS'!BM39,"")</f>
        <v>4.3178221981122755E-3</v>
      </c>
      <c r="P39" s="106" t="str">
        <f>IF('Run CRS'!BN39&lt;&gt;"",'Run CRS'!BN39,"")</f>
        <v/>
      </c>
      <c r="Q39" s="106" t="str">
        <f>IF('Run CRS'!BO39&lt;&gt;"",'Run CRS'!BO39,"")</f>
        <v/>
      </c>
      <c r="R39" s="106" t="str">
        <f>IF('Run CRS'!BP39&lt;&gt;"",'Run CRS'!BP39,"")</f>
        <v/>
      </c>
      <c r="S39" s="106" t="str">
        <f>IF('Run CRS'!BQ39&lt;&gt;"",'Run CRS'!BQ39,"")</f>
        <v/>
      </c>
      <c r="T39" s="106">
        <f>IF('Run CRS'!BR39&lt;&gt;"",'Run CRS'!BR39,"")</f>
        <v>-9.7786833805064433</v>
      </c>
      <c r="U39" s="105">
        <f>IF('Run CRS'!BS39&lt;&gt;"",'Run CRS'!BS39,"")</f>
        <v>-8.6514094120845007E-4</v>
      </c>
      <c r="V39" s="105" t="str">
        <f>IF('Run CRS'!BT39&lt;&gt;"",'Run CRS'!BT39,"")</f>
        <v/>
      </c>
      <c r="W39" s="105" t="str">
        <f>IF('Run CRS'!BU39&lt;&gt;"",'Run CRS'!BU39,"")</f>
        <v/>
      </c>
      <c r="X39" s="107" t="str">
        <f>IF('Run CRS'!BV39&lt;&gt;"",'Run CRS'!BV39,"")</f>
        <v/>
      </c>
      <c r="Y39" s="114">
        <f>IF('Data input'!C39&lt;&gt;"",O39/'Data input'!C39*100%,"")</f>
        <v>4.3825694890964615E-3</v>
      </c>
      <c r="Z39" s="114" t="str">
        <f>IF('Data input'!D39&lt;&gt;"",P39/'Data input'!D39*100%,"")</f>
        <v/>
      </c>
      <c r="AA39" s="114" t="str">
        <f>IF('Data input'!E39&lt;&gt;"",Q39/'Data input'!E39*100%,"")</f>
        <v/>
      </c>
      <c r="AB39" s="114" t="str">
        <f>IF('Data input'!F39&lt;&gt;"",R39/'Data input'!F39*100%,"")</f>
        <v/>
      </c>
      <c r="AC39" s="114" t="str">
        <f>IF('Data input'!G39&lt;&gt;"",S39/'Data input'!G39*100%,"")</f>
        <v/>
      </c>
      <c r="AD39" s="114">
        <f>IF('Data input'!H39&lt;&gt;"",T39/'Data input'!H39*100%,"")</f>
        <v>-0.97064421495287057</v>
      </c>
      <c r="AE39" s="114">
        <f>IF('Data input'!I39&lt;&gt;"",U39/'Data input'!I39*100%,"")</f>
        <v>-0.14242382744644108</v>
      </c>
      <c r="AF39" s="114" t="str">
        <f>IF('Data input'!J39&lt;&gt;"",V39/'Data input'!J39*100%,"")</f>
        <v/>
      </c>
      <c r="AG39" s="114" t="str">
        <f>IF('Data input'!K39&lt;&gt;"",W39/'Data input'!K39*100%,"")</f>
        <v/>
      </c>
      <c r="AH39" s="115" t="str">
        <f>IF('Data input'!L39&lt;&gt;"",X39/'Data input'!L39*100%,"")</f>
        <v/>
      </c>
      <c r="AI39" s="114">
        <f>IF('Data input'!C39&lt;&gt;"",'Run CRS'!AH39/'Run CRS'!C39,"")</f>
        <v>2.5329024526192002E-2</v>
      </c>
      <c r="AJ39" s="114" t="str">
        <f>IF('Data input'!D39&lt;&gt;"",'Run CRS'!AI39/'Run CRS'!D39,"")</f>
        <v/>
      </c>
      <c r="AK39" s="114" t="str">
        <f>IF('Data input'!E39&lt;&gt;"",'Run CRS'!AJ39/'Run CRS'!E39,"")</f>
        <v/>
      </c>
      <c r="AL39" s="114" t="str">
        <f>IF('Data input'!F39&lt;&gt;"",'Run CRS'!AK39/'Run CRS'!F39,"")</f>
        <v/>
      </c>
      <c r="AM39" s="114" t="str">
        <f>IF('Data input'!G39&lt;&gt;"",'Run CRS'!AL39/'Run CRS'!G39,"")</f>
        <v/>
      </c>
      <c r="AN39" s="114">
        <f>IF('Data input'!H39&lt;&gt;"",'Run CRS'!AM39/'Run CRS'!H39,"")</f>
        <v>0.3098784396382705</v>
      </c>
      <c r="AO39" s="114">
        <f>IF('Data input'!I39&lt;&gt;"",'Run CRS'!AN39/'Run CRS'!I39,"")</f>
        <v>1.7308743946028958E-2</v>
      </c>
      <c r="AP39" s="114" t="str">
        <f>IF('Data input'!J39&lt;&gt;"",'Run CRS'!AO39/'Run CRS'!J39,"")</f>
        <v/>
      </c>
      <c r="AQ39" s="114" t="str">
        <f>IF('Data input'!K39&lt;&gt;"",'Run CRS'!AP39/'Run CRS'!K39,"")</f>
        <v/>
      </c>
      <c r="AR39" s="115" t="str">
        <f>IF('Data input'!L39&lt;&gt;"",'Run CRS'!AQ39/'Run CRS'!L39,"")</f>
        <v/>
      </c>
    </row>
    <row r="40" spans="1:44" x14ac:dyDescent="0.35">
      <c r="A40" s="102">
        <f>IF('Run CRS'!AF40&lt;&gt;"",'Run CRS'!AF40,"")</f>
        <v>38</v>
      </c>
      <c r="B40" s="103" t="str">
        <f>IF('Run CRS'!AG40&lt;&gt;"",'Run CRS'!AG40,"")</f>
        <v>Oregon</v>
      </c>
      <c r="C40" s="104">
        <f>IF('Run CRS'!AR40&lt;&gt;"",'Run CRS'!AR40,"")</f>
        <v>0.8150379857620077</v>
      </c>
      <c r="D40" s="104" t="str">
        <f>IF(ROUND(C40,3)=100%,"Optimal frontier",'Run CRS'!BW40)</f>
        <v xml:space="preserve">Texas; </v>
      </c>
      <c r="E40" s="105">
        <f>IF('Run CRS'!BC40&lt;&gt;"",'Run CRS'!BC40,"")</f>
        <v>0.98955622704669355</v>
      </c>
      <c r="F40" s="106" t="str">
        <f>IF('Run CRS'!BD40&lt;&gt;"",'Run CRS'!BD40,"")</f>
        <v/>
      </c>
      <c r="G40" s="106" t="str">
        <f>IF('Run CRS'!BE40&lt;&gt;"",'Run CRS'!BE40,"")</f>
        <v/>
      </c>
      <c r="H40" s="106" t="str">
        <f>IF('Run CRS'!BF40&lt;&gt;"",'Run CRS'!BF40,"")</f>
        <v/>
      </c>
      <c r="I40" s="106" t="str">
        <f>IF('Run CRS'!BG40&lt;&gt;"",'Run CRS'!BG40,"")</f>
        <v/>
      </c>
      <c r="J40" s="106">
        <f>IF('Run CRS'!BH40&lt;&gt;"",'Run CRS'!BH40,"")</f>
        <v>0.29574268608402715</v>
      </c>
      <c r="K40" s="105">
        <f>IF('Run CRS'!BI40&lt;&gt;"",'Run CRS'!BI40,"")</f>
        <v>6.0423281836156861E-2</v>
      </c>
      <c r="L40" s="105" t="str">
        <f>IF('Run CRS'!BJ40&lt;&gt;"",'Run CRS'!BJ40,"")</f>
        <v/>
      </c>
      <c r="M40" s="105" t="str">
        <f>IF('Run CRS'!BK40&lt;&gt;"",'Run CRS'!BK40,"")</f>
        <v/>
      </c>
      <c r="N40" s="105" t="str">
        <f>IF('Run CRS'!BL40&lt;&gt;"",'Run CRS'!BL40,"")</f>
        <v/>
      </c>
      <c r="O40" s="105">
        <f>IF('Run CRS'!BM40&lt;&gt;"",'Run CRS'!BM40,"")</f>
        <v>3.8389480007825494E-3</v>
      </c>
      <c r="P40" s="106" t="str">
        <f>IF('Run CRS'!BN40&lt;&gt;"",'Run CRS'!BN40,"")</f>
        <v/>
      </c>
      <c r="Q40" s="106" t="str">
        <f>IF('Run CRS'!BO40&lt;&gt;"",'Run CRS'!BO40,"")</f>
        <v/>
      </c>
      <c r="R40" s="106" t="str">
        <f>IF('Run CRS'!BP40&lt;&gt;"",'Run CRS'!BP40,"")</f>
        <v/>
      </c>
      <c r="S40" s="106" t="str">
        <f>IF('Run CRS'!BQ40&lt;&gt;"",'Run CRS'!BQ40,"")</f>
        <v/>
      </c>
      <c r="T40" s="106">
        <f>IF('Run CRS'!BR40&lt;&gt;"",'Run CRS'!BR40,"")</f>
        <v>-2.6920041101381575</v>
      </c>
      <c r="U40" s="105">
        <f>IF('Run CRS'!BS40&lt;&gt;"",'Run CRS'!BS40,"")</f>
        <v>-1.2628666215791243E-2</v>
      </c>
      <c r="V40" s="105" t="str">
        <f>IF('Run CRS'!BT40&lt;&gt;"",'Run CRS'!BT40,"")</f>
        <v/>
      </c>
      <c r="W40" s="105" t="str">
        <f>IF('Run CRS'!BU40&lt;&gt;"",'Run CRS'!BU40,"")</f>
        <v/>
      </c>
      <c r="X40" s="107" t="str">
        <f>IF('Run CRS'!BV40&lt;&gt;"",'Run CRS'!BV40,"")</f>
        <v/>
      </c>
      <c r="Y40" s="114">
        <f>IF('Data input'!C40&lt;&gt;"",O40/'Data input'!C40*100%,"")</f>
        <v>3.8945731016284089E-3</v>
      </c>
      <c r="Z40" s="114" t="str">
        <f>IF('Data input'!D40&lt;&gt;"",P40/'Data input'!D40*100%,"")</f>
        <v/>
      </c>
      <c r="AA40" s="114" t="str">
        <f>IF('Data input'!E40&lt;&gt;"",Q40/'Data input'!E40*100%,"")</f>
        <v/>
      </c>
      <c r="AB40" s="114" t="str">
        <f>IF('Data input'!F40&lt;&gt;"",R40/'Data input'!F40*100%,"")</f>
        <v/>
      </c>
      <c r="AC40" s="114" t="str">
        <f>IF('Data input'!G40&lt;&gt;"",S40/'Data input'!G40*100%,"")</f>
        <v/>
      </c>
      <c r="AD40" s="114">
        <f>IF('Data input'!H40&lt;&gt;"",T40/'Data input'!H40*100%,"")</f>
        <v>-0.90101480940152801</v>
      </c>
      <c r="AE40" s="114">
        <f>IF('Data input'!I40&lt;&gt;"",U40/'Data input'!I40*100%,"")</f>
        <v>-0.1728724086428311</v>
      </c>
      <c r="AF40" s="114" t="str">
        <f>IF('Data input'!J40&lt;&gt;"",V40/'Data input'!J40*100%,"")</f>
        <v/>
      </c>
      <c r="AG40" s="114" t="str">
        <f>IF('Data input'!K40&lt;&gt;"",W40/'Data input'!K40*100%,"")</f>
        <v/>
      </c>
      <c r="AH40" s="115" t="str">
        <f>IF('Data input'!L40&lt;&gt;"",X40/'Data input'!L40*100%,"")</f>
        <v/>
      </c>
      <c r="AI40" s="114">
        <f>IF('Data input'!C40&lt;&gt;"",'Run CRS'!AH40/'Run CRS'!C40,"")</f>
        <v>2.2455182841701695E-2</v>
      </c>
      <c r="AJ40" s="114" t="str">
        <f>IF('Data input'!D40&lt;&gt;"",'Run CRS'!AI40/'Run CRS'!D40,"")</f>
        <v/>
      </c>
      <c r="AK40" s="114" t="str">
        <f>IF('Data input'!E40&lt;&gt;"",'Run CRS'!AJ40/'Run CRS'!E40,"")</f>
        <v/>
      </c>
      <c r="AL40" s="114" t="str">
        <f>IF('Data input'!F40&lt;&gt;"",'Run CRS'!AK40/'Run CRS'!F40,"")</f>
        <v/>
      </c>
      <c r="AM40" s="114" t="str">
        <f>IF('Data input'!G40&lt;&gt;"",'Run CRS'!AL40/'Run CRS'!G40,"")</f>
        <v/>
      </c>
      <c r="AN40" s="114">
        <f>IF('Data input'!H40&lt;&gt;"",'Run CRS'!AM40/'Run CRS'!H40,"")</f>
        <v>0.11001317000932083</v>
      </c>
      <c r="AO40" s="114">
        <f>IF('Data input'!I40&lt;&gt;"",'Run CRS'!AN40/'Run CRS'!I40,"")</f>
        <v>0.10797384412919728</v>
      </c>
      <c r="AP40" s="114" t="str">
        <f>IF('Data input'!J40&lt;&gt;"",'Run CRS'!AO40/'Run CRS'!J40,"")</f>
        <v/>
      </c>
      <c r="AQ40" s="114" t="str">
        <f>IF('Data input'!K40&lt;&gt;"",'Run CRS'!AP40/'Run CRS'!K40,"")</f>
        <v/>
      </c>
      <c r="AR40" s="115" t="str">
        <f>IF('Data input'!L40&lt;&gt;"",'Run CRS'!AQ40/'Run CRS'!L40,"")</f>
        <v/>
      </c>
    </row>
    <row r="41" spans="1:44" x14ac:dyDescent="0.35">
      <c r="A41" s="102">
        <f>IF('Run CRS'!AF41&lt;&gt;"",'Run CRS'!AF41,"")</f>
        <v>39</v>
      </c>
      <c r="B41" s="103" t="str">
        <f>IF('Run CRS'!AG41&lt;&gt;"",'Run CRS'!AG41,"")</f>
        <v>Pennsylvania</v>
      </c>
      <c r="C41" s="104">
        <f>IF('Run CRS'!AR41&lt;&gt;"",'Run CRS'!AR41,"")</f>
        <v>0.68228657173816165</v>
      </c>
      <c r="D41" s="104" t="str">
        <f>IF(ROUND(C41,3)=100%,"Optimal frontier",'Run CRS'!BW41)</f>
        <v xml:space="preserve">Nevada; Texas; </v>
      </c>
      <c r="E41" s="105">
        <f>IF('Run CRS'!BC41&lt;&gt;"",'Run CRS'!BC41,"")</f>
        <v>0.98777579330935861</v>
      </c>
      <c r="F41" s="106" t="str">
        <f>IF('Run CRS'!BD41&lt;&gt;"",'Run CRS'!BD41,"")</f>
        <v/>
      </c>
      <c r="G41" s="106" t="str">
        <f>IF('Run CRS'!BE41&lt;&gt;"",'Run CRS'!BE41,"")</f>
        <v/>
      </c>
      <c r="H41" s="106" t="str">
        <f>IF('Run CRS'!BF41&lt;&gt;"",'Run CRS'!BF41,"")</f>
        <v/>
      </c>
      <c r="I41" s="106" t="str">
        <f>IF('Run CRS'!BG41&lt;&gt;"",'Run CRS'!BG41,"")</f>
        <v/>
      </c>
      <c r="J41" s="106">
        <f>IF('Run CRS'!BH41&lt;&gt;"",'Run CRS'!BH41,"")</f>
        <v>0.29574268608404164</v>
      </c>
      <c r="K41" s="105">
        <f>IF('Run CRS'!BI41&lt;&gt;"",'Run CRS'!BI41,"")</f>
        <v>0</v>
      </c>
      <c r="L41" s="105" t="str">
        <f>IF('Run CRS'!BJ41&lt;&gt;"",'Run CRS'!BJ41,"")</f>
        <v/>
      </c>
      <c r="M41" s="105" t="str">
        <f>IF('Run CRS'!BK41&lt;&gt;"",'Run CRS'!BK41,"")</f>
        <v/>
      </c>
      <c r="N41" s="105" t="str">
        <f>IF('Run CRS'!BL41&lt;&gt;"",'Run CRS'!BL41,"")</f>
        <v/>
      </c>
      <c r="O41" s="105">
        <f>IF('Run CRS'!BM41&lt;&gt;"",'Run CRS'!BM41,"")</f>
        <v>4.266710306834165E-2</v>
      </c>
      <c r="P41" s="106" t="str">
        <f>IF('Run CRS'!BN41&lt;&gt;"",'Run CRS'!BN41,"")</f>
        <v/>
      </c>
      <c r="Q41" s="106" t="str">
        <f>IF('Run CRS'!BO41&lt;&gt;"",'Run CRS'!BO41,"")</f>
        <v/>
      </c>
      <c r="R41" s="106" t="str">
        <f>IF('Run CRS'!BP41&lt;&gt;"",'Run CRS'!BP41,"")</f>
        <v/>
      </c>
      <c r="S41" s="106" t="str">
        <f>IF('Run CRS'!BQ41&lt;&gt;"",'Run CRS'!BQ41,"")</f>
        <v/>
      </c>
      <c r="T41" s="106">
        <f>IF('Run CRS'!BR41&lt;&gt;"",'Run CRS'!BR41,"")</f>
        <v>-4.8000500307824057</v>
      </c>
      <c r="U41" s="105">
        <f>IF('Run CRS'!BS41&lt;&gt;"",'Run CRS'!BS41,"")</f>
        <v>0</v>
      </c>
      <c r="V41" s="105" t="str">
        <f>IF('Run CRS'!BT41&lt;&gt;"",'Run CRS'!BT41,"")</f>
        <v/>
      </c>
      <c r="W41" s="105" t="str">
        <f>IF('Run CRS'!BU41&lt;&gt;"",'Run CRS'!BU41,"")</f>
        <v/>
      </c>
      <c r="X41" s="107" t="str">
        <f>IF('Run CRS'!BV41&lt;&gt;"",'Run CRS'!BV41,"")</f>
        <v/>
      </c>
      <c r="Y41" s="114">
        <f>IF('Data input'!C41&lt;&gt;"",O41/'Data input'!C41*100%,"")</f>
        <v>4.5145181193351314E-2</v>
      </c>
      <c r="Z41" s="114" t="str">
        <f>IF('Data input'!D41&lt;&gt;"",P41/'Data input'!D41*100%,"")</f>
        <v/>
      </c>
      <c r="AA41" s="114" t="str">
        <f>IF('Data input'!E41&lt;&gt;"",Q41/'Data input'!E41*100%,"")</f>
        <v/>
      </c>
      <c r="AB41" s="114" t="str">
        <f>IF('Data input'!F41&lt;&gt;"",R41/'Data input'!F41*100%,"")</f>
        <v/>
      </c>
      <c r="AC41" s="114" t="str">
        <f>IF('Data input'!G41&lt;&gt;"",S41/'Data input'!G41*100%,"")</f>
        <v/>
      </c>
      <c r="AD41" s="114">
        <f>IF('Data input'!H41&lt;&gt;"",T41/'Data input'!H41*100%,"")</f>
        <v>-0.94196336026283611</v>
      </c>
      <c r="AE41" s="114" t="e">
        <f>IF('Data input'!I41&lt;&gt;"",U41/'Data input'!I41*100%,"")</f>
        <v>#DIV/0!</v>
      </c>
      <c r="AF41" s="114" t="str">
        <f>IF('Data input'!J41&lt;&gt;"",V41/'Data input'!J41*100%,"")</f>
        <v/>
      </c>
      <c r="AG41" s="114" t="str">
        <f>IF('Data input'!K41&lt;&gt;"",W41/'Data input'!K41*100%,"")</f>
        <v/>
      </c>
      <c r="AH41" s="115" t="str">
        <f>IF('Data input'!L41&lt;&gt;"",X41/'Data input'!L41*100%,"")</f>
        <v/>
      </c>
      <c r="AI41" s="114">
        <f>IF('Data input'!C41&lt;&gt;"",'Run CRS'!AH41/'Run CRS'!C41,"")</f>
        <v>0.32732256408391236</v>
      </c>
      <c r="AJ41" s="114" t="str">
        <f>IF('Data input'!D41&lt;&gt;"",'Run CRS'!AI41/'Run CRS'!D41,"")</f>
        <v/>
      </c>
      <c r="AK41" s="114" t="str">
        <f>IF('Data input'!E41&lt;&gt;"",'Run CRS'!AJ41/'Run CRS'!E41,"")</f>
        <v/>
      </c>
      <c r="AL41" s="114" t="str">
        <f>IF('Data input'!F41&lt;&gt;"",'Run CRS'!AK41/'Run CRS'!F41,"")</f>
        <v/>
      </c>
      <c r="AM41" s="114" t="str">
        <f>IF('Data input'!G41&lt;&gt;"",'Run CRS'!AL41/'Run CRS'!G41,"")</f>
        <v/>
      </c>
      <c r="AN41" s="114">
        <f>IF('Data input'!H41&lt;&gt;"",'Run CRS'!AM41/'Run CRS'!H41,"")</f>
        <v>0.18060318871722233</v>
      </c>
      <c r="AO41" s="114">
        <f>IF('Data input'!I41&lt;&gt;"",'Run CRS'!AN41/'Run CRS'!I41,"")</f>
        <v>0</v>
      </c>
      <c r="AP41" s="114" t="str">
        <f>IF('Data input'!J41&lt;&gt;"",'Run CRS'!AO41/'Run CRS'!J41,"")</f>
        <v/>
      </c>
      <c r="AQ41" s="114" t="str">
        <f>IF('Data input'!K41&lt;&gt;"",'Run CRS'!AP41/'Run CRS'!K41,"")</f>
        <v/>
      </c>
      <c r="AR41" s="115" t="str">
        <f>IF('Data input'!L41&lt;&gt;"",'Run CRS'!AQ41/'Run CRS'!L41,"")</f>
        <v/>
      </c>
    </row>
    <row r="42" spans="1:44" x14ac:dyDescent="0.35">
      <c r="A42" s="102">
        <f>IF('Run CRS'!AF42&lt;&gt;"",'Run CRS'!AF42,"")</f>
        <v>40</v>
      </c>
      <c r="B42" s="103" t="str">
        <f>IF('Run CRS'!AG42&lt;&gt;"",'Run CRS'!AG42,"")</f>
        <v>South Carolina</v>
      </c>
      <c r="C42" s="104">
        <f>IF('Run CRS'!AR42&lt;&gt;"",'Run CRS'!AR42,"")</f>
        <v>0.75266631961749497</v>
      </c>
      <c r="D42" s="104" t="str">
        <f>IF(ROUND(C42,3)=100%,"Optimal frontier",'Run CRS'!BW42)</f>
        <v xml:space="preserve">Texas; </v>
      </c>
      <c r="E42" s="105">
        <f>IF('Run CRS'!BC42&lt;&gt;"",'Run CRS'!BC42,"")</f>
        <v>0.98906823309558212</v>
      </c>
      <c r="F42" s="106" t="str">
        <f>IF('Run CRS'!BD42&lt;&gt;"",'Run CRS'!BD42,"")</f>
        <v/>
      </c>
      <c r="G42" s="106" t="str">
        <f>IF('Run CRS'!BE42&lt;&gt;"",'Run CRS'!BE42,"")</f>
        <v/>
      </c>
      <c r="H42" s="106" t="str">
        <f>IF('Run CRS'!BF42&lt;&gt;"",'Run CRS'!BF42,"")</f>
        <v/>
      </c>
      <c r="I42" s="106" t="str">
        <f>IF('Run CRS'!BG42&lt;&gt;"",'Run CRS'!BG42,"")</f>
        <v/>
      </c>
      <c r="J42" s="106">
        <f>IF('Run CRS'!BH42&lt;&gt;"",'Run CRS'!BH42,"")</f>
        <v>0.29574268608402715</v>
      </c>
      <c r="K42" s="105">
        <f>IF('Run CRS'!BI42&lt;&gt;"",'Run CRS'!BI42,"")</f>
        <v>4.4607987456310285E-3</v>
      </c>
      <c r="L42" s="105" t="str">
        <f>IF('Run CRS'!BJ42&lt;&gt;"",'Run CRS'!BJ42,"")</f>
        <v/>
      </c>
      <c r="M42" s="105" t="str">
        <f>IF('Run CRS'!BK42&lt;&gt;"",'Run CRS'!BK42,"")</f>
        <v/>
      </c>
      <c r="N42" s="105" t="str">
        <f>IF('Run CRS'!BL42&lt;&gt;"",'Run CRS'!BL42,"")</f>
        <v/>
      </c>
      <c r="O42" s="105">
        <f>IF('Run CRS'!BM42&lt;&gt;"",'Run CRS'!BM42,"")</f>
        <v>2.2955380982583318E-2</v>
      </c>
      <c r="P42" s="106" t="str">
        <f>IF('Run CRS'!BN42&lt;&gt;"",'Run CRS'!BN42,"")</f>
        <v/>
      </c>
      <c r="Q42" s="106" t="str">
        <f>IF('Run CRS'!BO42&lt;&gt;"",'Run CRS'!BO42,"")</f>
        <v/>
      </c>
      <c r="R42" s="106" t="str">
        <f>IF('Run CRS'!BP42&lt;&gt;"",'Run CRS'!BP42,"")</f>
        <v/>
      </c>
      <c r="S42" s="106" t="str">
        <f>IF('Run CRS'!BQ42&lt;&gt;"",'Run CRS'!BQ42,"")</f>
        <v/>
      </c>
      <c r="T42" s="106">
        <f>IF('Run CRS'!BR42&lt;&gt;"",'Run CRS'!BR42,"")</f>
        <v>-7.1133637995458212</v>
      </c>
      <c r="U42" s="105">
        <f>IF('Run CRS'!BS42&lt;&gt;"",'Run CRS'!BS42,"")</f>
        <v>-7.0567657009801884E-4</v>
      </c>
      <c r="V42" s="105" t="str">
        <f>IF('Run CRS'!BT42&lt;&gt;"",'Run CRS'!BT42,"")</f>
        <v/>
      </c>
      <c r="W42" s="105" t="str">
        <f>IF('Run CRS'!BU42&lt;&gt;"",'Run CRS'!BU42,"")</f>
        <v/>
      </c>
      <c r="X42" s="107" t="str">
        <f>IF('Run CRS'!BV42&lt;&gt;"",'Run CRS'!BV42,"")</f>
        <v/>
      </c>
      <c r="Y42" s="114">
        <f>IF('Data input'!C42&lt;&gt;"",O42/'Data input'!C42*100%,"")</f>
        <v>2.376055854383604E-2</v>
      </c>
      <c r="Z42" s="114" t="str">
        <f>IF('Data input'!D42&lt;&gt;"",P42/'Data input'!D42*100%,"")</f>
        <v/>
      </c>
      <c r="AA42" s="114" t="str">
        <f>IF('Data input'!E42&lt;&gt;"",Q42/'Data input'!E42*100%,"")</f>
        <v/>
      </c>
      <c r="AB42" s="114" t="str">
        <f>IF('Data input'!F42&lt;&gt;"",R42/'Data input'!F42*100%,"")</f>
        <v/>
      </c>
      <c r="AC42" s="114" t="str">
        <f>IF('Data input'!G42&lt;&gt;"",S42/'Data input'!G42*100%,"")</f>
        <v/>
      </c>
      <c r="AD42" s="114">
        <f>IF('Data input'!H42&lt;&gt;"",T42/'Data input'!H42*100%,"")</f>
        <v>-0.96008389315801734</v>
      </c>
      <c r="AE42" s="114">
        <f>IF('Data input'!I42&lt;&gt;"",U42/'Data input'!I42*100%,"")</f>
        <v>-0.13658762056786097</v>
      </c>
      <c r="AF42" s="114" t="str">
        <f>IF('Data input'!J42&lt;&gt;"",V42/'Data input'!J42*100%,"")</f>
        <v/>
      </c>
      <c r="AG42" s="114" t="str">
        <f>IF('Data input'!K42&lt;&gt;"",W42/'Data input'!K42*100%,"")</f>
        <v/>
      </c>
      <c r="AH42" s="115" t="str">
        <f>IF('Data input'!L42&lt;&gt;"",X42/'Data input'!L42*100%,"")</f>
        <v/>
      </c>
      <c r="AI42" s="114">
        <f>IF('Data input'!C42&lt;&gt;"",'Run CRS'!AH42/'Run CRS'!C42,"")</f>
        <v>0.15166480736006366</v>
      </c>
      <c r="AJ42" s="114" t="str">
        <f>IF('Data input'!D42&lt;&gt;"",'Run CRS'!AI42/'Run CRS'!D42,"")</f>
        <v/>
      </c>
      <c r="AK42" s="114" t="str">
        <f>IF('Data input'!E42&lt;&gt;"",'Run CRS'!AJ42/'Run CRS'!E42,"")</f>
        <v/>
      </c>
      <c r="AL42" s="114" t="str">
        <f>IF('Data input'!F42&lt;&gt;"",'Run CRS'!AK42/'Run CRS'!F42,"")</f>
        <v/>
      </c>
      <c r="AM42" s="114" t="str">
        <f>IF('Data input'!G42&lt;&gt;"",'Run CRS'!AL42/'Run CRS'!G42,"")</f>
        <v/>
      </c>
      <c r="AN42" s="114">
        <f>IF('Data input'!H42&lt;&gt;"",'Run CRS'!AM42/'Run CRS'!H42,"")</f>
        <v>0.24621217272292784</v>
      </c>
      <c r="AO42" s="114">
        <f>IF('Data input'!I42&lt;&gt;"",'Run CRS'!AN42/'Run CRS'!I42,"")</f>
        <v>1.4379568431468577E-2</v>
      </c>
      <c r="AP42" s="114" t="str">
        <f>IF('Data input'!J42&lt;&gt;"",'Run CRS'!AO42/'Run CRS'!J42,"")</f>
        <v/>
      </c>
      <c r="AQ42" s="114" t="str">
        <f>IF('Data input'!K42&lt;&gt;"",'Run CRS'!AP42/'Run CRS'!K42,"")</f>
        <v/>
      </c>
      <c r="AR42" s="115" t="str">
        <f>IF('Data input'!L42&lt;&gt;"",'Run CRS'!AQ42/'Run CRS'!L42,"")</f>
        <v/>
      </c>
    </row>
    <row r="43" spans="1:44" x14ac:dyDescent="0.35">
      <c r="A43" s="102">
        <f>IF('Run CRS'!AF43&lt;&gt;"",'Run CRS'!AF43,"")</f>
        <v>41</v>
      </c>
      <c r="B43" s="103" t="str">
        <f>IF('Run CRS'!AG43&lt;&gt;"",'Run CRS'!AG43,"")</f>
        <v>South Dakota</v>
      </c>
      <c r="C43" s="104">
        <f>IF('Run CRS'!AR43&lt;&gt;"",'Run CRS'!AR43,"")</f>
        <v>0.49171691004173873</v>
      </c>
      <c r="D43" s="104" t="str">
        <f>IF(ROUND(C43,3)=100%,"Optimal frontier",'Run CRS'!BW43)</f>
        <v xml:space="preserve">Texas; </v>
      </c>
      <c r="E43" s="105">
        <f>IF('Run CRS'!BC43&lt;&gt;"",'Run CRS'!BC43,"")</f>
        <v>0.98923220366553433</v>
      </c>
      <c r="F43" s="106" t="str">
        <f>IF('Run CRS'!BD43&lt;&gt;"",'Run CRS'!BD43,"")</f>
        <v/>
      </c>
      <c r="G43" s="106" t="str">
        <f>IF('Run CRS'!BE43&lt;&gt;"",'Run CRS'!BE43,"")</f>
        <v/>
      </c>
      <c r="H43" s="106" t="str">
        <f>IF('Run CRS'!BF43&lt;&gt;"",'Run CRS'!BF43,"")</f>
        <v/>
      </c>
      <c r="I43" s="106" t="str">
        <f>IF('Run CRS'!BG43&lt;&gt;"",'Run CRS'!BG43,"")</f>
        <v/>
      </c>
      <c r="J43" s="106">
        <f>IF('Run CRS'!BH43&lt;&gt;"",'Run CRS'!BH43,"")</f>
        <v>0.29574268608402715</v>
      </c>
      <c r="K43" s="105">
        <f>IF('Run CRS'!BI43&lt;&gt;"",'Run CRS'!BI43,"")</f>
        <v>5.6389452212806106E-2</v>
      </c>
      <c r="L43" s="105" t="str">
        <f>IF('Run CRS'!BJ43&lt;&gt;"",'Run CRS'!BJ43,"")</f>
        <v/>
      </c>
      <c r="M43" s="105" t="str">
        <f>IF('Run CRS'!BK43&lt;&gt;"",'Run CRS'!BK43,"")</f>
        <v/>
      </c>
      <c r="N43" s="105" t="str">
        <f>IF('Run CRS'!BL43&lt;&gt;"",'Run CRS'!BL43,"")</f>
        <v/>
      </c>
      <c r="O43" s="105">
        <f>IF('Run CRS'!BM43&lt;&gt;"",'Run CRS'!BM43,"")</f>
        <v>1.6532079209362394E-2</v>
      </c>
      <c r="P43" s="106" t="str">
        <f>IF('Run CRS'!BN43&lt;&gt;"",'Run CRS'!BN43,"")</f>
        <v/>
      </c>
      <c r="Q43" s="106" t="str">
        <f>IF('Run CRS'!BO43&lt;&gt;"",'Run CRS'!BO43,"")</f>
        <v/>
      </c>
      <c r="R43" s="106" t="str">
        <f>IF('Run CRS'!BP43&lt;&gt;"",'Run CRS'!BP43,"")</f>
        <v/>
      </c>
      <c r="S43" s="106" t="str">
        <f>IF('Run CRS'!BQ43&lt;&gt;"",'Run CRS'!BQ43,"")</f>
        <v/>
      </c>
      <c r="T43" s="106">
        <f>IF('Run CRS'!BR43&lt;&gt;"",'Run CRS'!BR43,"")</f>
        <v>-51.057439254076137</v>
      </c>
      <c r="U43" s="105">
        <f>IF('Run CRS'!BS43&lt;&gt;"",'Run CRS'!BS43,"")</f>
        <v>-1.1769245650876496E-2</v>
      </c>
      <c r="V43" s="105" t="str">
        <f>IF('Run CRS'!BT43&lt;&gt;"",'Run CRS'!BT43,"")</f>
        <v/>
      </c>
      <c r="W43" s="105" t="str">
        <f>IF('Run CRS'!BU43&lt;&gt;"",'Run CRS'!BU43,"")</f>
        <v/>
      </c>
      <c r="X43" s="107" t="str">
        <f>IF('Run CRS'!BV43&lt;&gt;"",'Run CRS'!BV43,"")</f>
        <v/>
      </c>
      <c r="Y43" s="114">
        <f>IF('Data input'!C43&lt;&gt;"",O43/'Data input'!C43*100%,"")</f>
        <v>1.6996069799626409E-2</v>
      </c>
      <c r="Z43" s="114" t="str">
        <f>IF('Data input'!D43&lt;&gt;"",P43/'Data input'!D43*100%,"")</f>
        <v/>
      </c>
      <c r="AA43" s="114" t="str">
        <f>IF('Data input'!E43&lt;&gt;"",Q43/'Data input'!E43*100%,"")</f>
        <v/>
      </c>
      <c r="AB43" s="114" t="str">
        <f>IF('Data input'!F43&lt;&gt;"",R43/'Data input'!F43*100%,"")</f>
        <v/>
      </c>
      <c r="AC43" s="114" t="str">
        <f>IF('Data input'!G43&lt;&gt;"",S43/'Data input'!G43*100%,"")</f>
        <v/>
      </c>
      <c r="AD43" s="114">
        <f>IF('Data input'!H43&lt;&gt;"",T43/'Data input'!H43*100%,"")</f>
        <v>-0.99424100562203443</v>
      </c>
      <c r="AE43" s="114">
        <f>IF('Data input'!I43&lt;&gt;"",U43/'Data input'!I43*100%,"")</f>
        <v>-0.17267415634047159</v>
      </c>
      <c r="AF43" s="114" t="str">
        <f>IF('Data input'!J43&lt;&gt;"",V43/'Data input'!J43*100%,"")</f>
        <v/>
      </c>
      <c r="AG43" s="114" t="str">
        <f>IF('Data input'!K43&lt;&gt;"",W43/'Data input'!K43*100%,"")</f>
        <v/>
      </c>
      <c r="AH43" s="115" t="str">
        <f>IF('Data input'!L43&lt;&gt;"",X43/'Data input'!L43*100%,"")</f>
        <v/>
      </c>
      <c r="AI43" s="114">
        <f>IF('Data input'!C43&lt;&gt;"",'Run CRS'!AH43/'Run CRS'!C43,"")</f>
        <v>0.10467098286549577</v>
      </c>
      <c r="AJ43" s="114" t="str">
        <f>IF('Data input'!D43&lt;&gt;"",'Run CRS'!AI43/'Run CRS'!D43,"")</f>
        <v/>
      </c>
      <c r="AK43" s="114" t="str">
        <f>IF('Data input'!E43&lt;&gt;"",'Run CRS'!AJ43/'Run CRS'!E43,"")</f>
        <v/>
      </c>
      <c r="AL43" s="114" t="str">
        <f>IF('Data input'!F43&lt;&gt;"",'Run CRS'!AK43/'Run CRS'!F43,"")</f>
        <v/>
      </c>
      <c r="AM43" s="114" t="str">
        <f>IF('Data input'!G43&lt;&gt;"",'Run CRS'!AL43/'Run CRS'!G43,"")</f>
        <v/>
      </c>
      <c r="AN43" s="114">
        <f>IF('Data input'!H43&lt;&gt;"",'Run CRS'!AM43/'Run CRS'!H43,"")</f>
        <v>0.70099883206288016</v>
      </c>
      <c r="AO43" s="114">
        <f>IF('Data input'!I43&lt;&gt;"",'Run CRS'!AN43/'Run CRS'!I43,"")</f>
        <v>0.10501956652241236</v>
      </c>
      <c r="AP43" s="114" t="str">
        <f>IF('Data input'!J43&lt;&gt;"",'Run CRS'!AO43/'Run CRS'!J43,"")</f>
        <v/>
      </c>
      <c r="AQ43" s="114" t="str">
        <f>IF('Data input'!K43&lt;&gt;"",'Run CRS'!AP43/'Run CRS'!K43,"")</f>
        <v/>
      </c>
      <c r="AR43" s="115" t="str">
        <f>IF('Data input'!L43&lt;&gt;"",'Run CRS'!AQ43/'Run CRS'!L43,"")</f>
        <v/>
      </c>
    </row>
    <row r="44" spans="1:44" x14ac:dyDescent="0.35">
      <c r="A44" s="102">
        <f>IF('Run CRS'!AF44&lt;&gt;"",'Run CRS'!AF44,"")</f>
        <v>42</v>
      </c>
      <c r="B44" s="103" t="str">
        <f>IF('Run CRS'!AG44&lt;&gt;"",'Run CRS'!AG44,"")</f>
        <v>Tennessee</v>
      </c>
      <c r="C44" s="104">
        <f>IF('Run CRS'!AR44&lt;&gt;"",'Run CRS'!AR44,"")</f>
        <v>0.67863095777459681</v>
      </c>
      <c r="D44" s="104" t="str">
        <f>IF(ROUND(C44,3)=100%,"Optimal frontier",'Run CRS'!BW44)</f>
        <v xml:space="preserve">Texas; </v>
      </c>
      <c r="E44" s="105">
        <f>IF('Run CRS'!BC44&lt;&gt;"",'Run CRS'!BC44,"")</f>
        <v>0.98876573443129978</v>
      </c>
      <c r="F44" s="106" t="str">
        <f>IF('Run CRS'!BD44&lt;&gt;"",'Run CRS'!BD44,"")</f>
        <v/>
      </c>
      <c r="G44" s="106" t="str">
        <f>IF('Run CRS'!BE44&lt;&gt;"",'Run CRS'!BE44,"")</f>
        <v/>
      </c>
      <c r="H44" s="106" t="str">
        <f>IF('Run CRS'!BF44&lt;&gt;"",'Run CRS'!BF44,"")</f>
        <v/>
      </c>
      <c r="I44" s="106" t="str">
        <f>IF('Run CRS'!BG44&lt;&gt;"",'Run CRS'!BG44,"")</f>
        <v/>
      </c>
      <c r="J44" s="106">
        <f>IF('Run CRS'!BH44&lt;&gt;"",'Run CRS'!BH44,"")</f>
        <v>0.29574268608402715</v>
      </c>
      <c r="K44" s="105">
        <f>IF('Run CRS'!BI44&lt;&gt;"",'Run CRS'!BI44,"")</f>
        <v>6.7349101750057941E-2</v>
      </c>
      <c r="L44" s="105" t="str">
        <f>IF('Run CRS'!BJ44&lt;&gt;"",'Run CRS'!BJ44,"")</f>
        <v/>
      </c>
      <c r="M44" s="105" t="str">
        <f>IF('Run CRS'!BK44&lt;&gt;"",'Run CRS'!BK44,"")</f>
        <v/>
      </c>
      <c r="N44" s="105" t="str">
        <f>IF('Run CRS'!BL44&lt;&gt;"",'Run CRS'!BL44,"")</f>
        <v/>
      </c>
      <c r="O44" s="105">
        <f>IF('Run CRS'!BM44&lt;&gt;"",'Run CRS'!BM44,"")</f>
        <v>3.4805313609102106E-2</v>
      </c>
      <c r="P44" s="106" t="str">
        <f>IF('Run CRS'!BN44&lt;&gt;"",'Run CRS'!BN44,"")</f>
        <v/>
      </c>
      <c r="Q44" s="106" t="str">
        <f>IF('Run CRS'!BO44&lt;&gt;"",'Run CRS'!BO44,"")</f>
        <v/>
      </c>
      <c r="R44" s="106" t="str">
        <f>IF('Run CRS'!BP44&lt;&gt;"",'Run CRS'!BP44,"")</f>
        <v/>
      </c>
      <c r="S44" s="106" t="str">
        <f>IF('Run CRS'!BQ44&lt;&gt;"",'Run CRS'!BQ44,"")</f>
        <v/>
      </c>
      <c r="T44" s="106">
        <f>IF('Run CRS'!BR44&lt;&gt;"",'Run CRS'!BR44,"")</f>
        <v>-1.2610981965087276</v>
      </c>
      <c r="U44" s="105">
        <f>IF('Run CRS'!BS44&lt;&gt;"",'Run CRS'!BS44,"")</f>
        <v>-1.4104234749585845E-2</v>
      </c>
      <c r="V44" s="105" t="str">
        <f>IF('Run CRS'!BT44&lt;&gt;"",'Run CRS'!BT44,"")</f>
        <v/>
      </c>
      <c r="W44" s="105" t="str">
        <f>IF('Run CRS'!BU44&lt;&gt;"",'Run CRS'!BU44,"")</f>
        <v/>
      </c>
      <c r="X44" s="107" t="str">
        <f>IF('Run CRS'!BV44&lt;&gt;"",'Run CRS'!BV44,"")</f>
        <v/>
      </c>
      <c r="Y44" s="114">
        <f>IF('Data input'!C44&lt;&gt;"",O44/'Data input'!C44*100%,"")</f>
        <v>3.6485070920556813E-2</v>
      </c>
      <c r="Z44" s="114" t="str">
        <f>IF('Data input'!D44&lt;&gt;"",P44/'Data input'!D44*100%,"")</f>
        <v/>
      </c>
      <c r="AA44" s="114" t="str">
        <f>IF('Data input'!E44&lt;&gt;"",Q44/'Data input'!E44*100%,"")</f>
        <v/>
      </c>
      <c r="AB44" s="114" t="str">
        <f>IF('Data input'!F44&lt;&gt;"",R44/'Data input'!F44*100%,"")</f>
        <v/>
      </c>
      <c r="AC44" s="114" t="str">
        <f>IF('Data input'!G44&lt;&gt;"",S44/'Data input'!G44*100%,"")</f>
        <v/>
      </c>
      <c r="AD44" s="114">
        <f>IF('Data input'!H44&lt;&gt;"",T44/'Data input'!H44*100%,"")</f>
        <v>-0.8100366650241746</v>
      </c>
      <c r="AE44" s="114">
        <f>IF('Data input'!I44&lt;&gt;"",U44/'Data input'!I44*100%,"")</f>
        <v>-0.17315723769826821</v>
      </c>
      <c r="AF44" s="114" t="str">
        <f>IF('Data input'!J44&lt;&gt;"",V44/'Data input'!J44*100%,"")</f>
        <v/>
      </c>
      <c r="AG44" s="114" t="str">
        <f>IF('Data input'!K44&lt;&gt;"",W44/'Data input'!K44*100%,"")</f>
        <v/>
      </c>
      <c r="AH44" s="115" t="str">
        <f>IF('Data input'!L44&lt;&gt;"",X44/'Data input'!L44*100%,"")</f>
        <v/>
      </c>
      <c r="AI44" s="114">
        <f>IF('Data input'!C44&lt;&gt;"",'Run CRS'!AH44/'Run CRS'!C44,"")</f>
        <v>0.25003173392456235</v>
      </c>
      <c r="AJ44" s="114" t="str">
        <f>IF('Data input'!D44&lt;&gt;"",'Run CRS'!AI44/'Run CRS'!D44,"")</f>
        <v/>
      </c>
      <c r="AK44" s="114" t="str">
        <f>IF('Data input'!E44&lt;&gt;"",'Run CRS'!AJ44/'Run CRS'!E44,"")</f>
        <v/>
      </c>
      <c r="AL44" s="114" t="str">
        <f>IF('Data input'!F44&lt;&gt;"",'Run CRS'!AK44/'Run CRS'!F44,"")</f>
        <v/>
      </c>
      <c r="AM44" s="114" t="str">
        <f>IF('Data input'!G44&lt;&gt;"",'Run CRS'!AL44/'Run CRS'!G44,"")</f>
        <v/>
      </c>
      <c r="AN44" s="114">
        <f>IF('Data input'!H44&lt;&gt;"",'Run CRS'!AM44/'Run CRS'!H44,"")</f>
        <v>5.4737709190836641E-2</v>
      </c>
      <c r="AO44" s="114">
        <f>IF('Data input'!I44&lt;&gt;"",'Run CRS'!AN44/'Run CRS'!I44,"")</f>
        <v>0.11250822610486751</v>
      </c>
      <c r="AP44" s="114" t="str">
        <f>IF('Data input'!J44&lt;&gt;"",'Run CRS'!AO44/'Run CRS'!J44,"")</f>
        <v/>
      </c>
      <c r="AQ44" s="114" t="str">
        <f>IF('Data input'!K44&lt;&gt;"",'Run CRS'!AP44/'Run CRS'!K44,"")</f>
        <v/>
      </c>
      <c r="AR44" s="115" t="str">
        <f>IF('Data input'!L44&lt;&gt;"",'Run CRS'!AQ44/'Run CRS'!L44,"")</f>
        <v/>
      </c>
    </row>
    <row r="45" spans="1:44" x14ac:dyDescent="0.35">
      <c r="A45" s="102">
        <f>IF('Run CRS'!AF45&lt;&gt;"",'Run CRS'!AF45,"")</f>
        <v>43</v>
      </c>
      <c r="B45" s="103" t="str">
        <f>IF('Run CRS'!AG45&lt;&gt;"",'Run CRS'!AG45,"")</f>
        <v>Texas</v>
      </c>
      <c r="C45" s="104">
        <f>IF('Run CRS'!AR45&lt;&gt;"",'Run CRS'!AR45,"")</f>
        <v>1</v>
      </c>
      <c r="D45" s="104" t="str">
        <f>IF(ROUND(C45,3)=100%,"Optimal frontier",'Run CRS'!BW45)</f>
        <v>Optimal frontier</v>
      </c>
      <c r="E45" s="105">
        <f>IF('Run CRS'!BC45&lt;&gt;"",'Run CRS'!BC45,"")</f>
        <v>0.98965422563276984</v>
      </c>
      <c r="F45" s="106" t="str">
        <f>IF('Run CRS'!BD45&lt;&gt;"",'Run CRS'!BD45,"")</f>
        <v/>
      </c>
      <c r="G45" s="106" t="str">
        <f>IF('Run CRS'!BE45&lt;&gt;"",'Run CRS'!BE45,"")</f>
        <v/>
      </c>
      <c r="H45" s="106" t="str">
        <f>IF('Run CRS'!BF45&lt;&gt;"",'Run CRS'!BF45,"")</f>
        <v/>
      </c>
      <c r="I45" s="106" t="str">
        <f>IF('Run CRS'!BG45&lt;&gt;"",'Run CRS'!BG45,"")</f>
        <v/>
      </c>
      <c r="J45" s="106">
        <f>IF('Run CRS'!BH45&lt;&gt;"",'Run CRS'!BH45,"")</f>
        <v>0.29574268608402715</v>
      </c>
      <c r="K45" s="105">
        <f>IF('Run CRS'!BI45&lt;&gt;"",'Run CRS'!BI45,"")</f>
        <v>1.1485914641518515E-3</v>
      </c>
      <c r="L45" s="105" t="str">
        <f>IF('Run CRS'!BJ45&lt;&gt;"",'Run CRS'!BJ45,"")</f>
        <v/>
      </c>
      <c r="M45" s="105" t="str">
        <f>IF('Run CRS'!BK45&lt;&gt;"",'Run CRS'!BK45,"")</f>
        <v/>
      </c>
      <c r="N45" s="105" t="str">
        <f>IF('Run CRS'!BL45&lt;&gt;"",'Run CRS'!BL45,"")</f>
        <v/>
      </c>
      <c r="O45" s="105">
        <f>IF('Run CRS'!BM45&lt;&gt;"",'Run CRS'!BM45,"")</f>
        <v>0</v>
      </c>
      <c r="P45" s="106" t="str">
        <f>IF('Run CRS'!BN45&lt;&gt;"",'Run CRS'!BN45,"")</f>
        <v/>
      </c>
      <c r="Q45" s="106" t="str">
        <f>IF('Run CRS'!BO45&lt;&gt;"",'Run CRS'!BO45,"")</f>
        <v/>
      </c>
      <c r="R45" s="106" t="str">
        <f>IF('Run CRS'!BP45&lt;&gt;"",'Run CRS'!BP45,"")</f>
        <v/>
      </c>
      <c r="S45" s="106" t="str">
        <f>IF('Run CRS'!BQ45&lt;&gt;"",'Run CRS'!BQ45,"")</f>
        <v/>
      </c>
      <c r="T45" s="106">
        <f>IF('Run CRS'!BR45&lt;&gt;"",'Run CRS'!BR45,"")</f>
        <v>0</v>
      </c>
      <c r="U45" s="105">
        <f>IF('Run CRS'!BS45&lt;&gt;"",'Run CRS'!BS45,"")</f>
        <v>-4.3368086899420177E-18</v>
      </c>
      <c r="V45" s="105" t="str">
        <f>IF('Run CRS'!BT45&lt;&gt;"",'Run CRS'!BT45,"")</f>
        <v/>
      </c>
      <c r="W45" s="105" t="str">
        <f>IF('Run CRS'!BU45&lt;&gt;"",'Run CRS'!BU45,"")</f>
        <v/>
      </c>
      <c r="X45" s="107" t="str">
        <f>IF('Run CRS'!BV45&lt;&gt;"",'Run CRS'!BV45,"")</f>
        <v/>
      </c>
      <c r="Y45" s="114">
        <f>IF('Data input'!C45&lt;&gt;"",O45/'Data input'!C45*100%,"")</f>
        <v>0</v>
      </c>
      <c r="Z45" s="114" t="str">
        <f>IF('Data input'!D45&lt;&gt;"",P45/'Data input'!D45*100%,"")</f>
        <v/>
      </c>
      <c r="AA45" s="114" t="str">
        <f>IF('Data input'!E45&lt;&gt;"",Q45/'Data input'!E45*100%,"")</f>
        <v/>
      </c>
      <c r="AB45" s="114" t="str">
        <f>IF('Data input'!F45&lt;&gt;"",R45/'Data input'!F45*100%,"")</f>
        <v/>
      </c>
      <c r="AC45" s="114" t="str">
        <f>IF('Data input'!G45&lt;&gt;"",S45/'Data input'!G45*100%,"")</f>
        <v/>
      </c>
      <c r="AD45" s="114">
        <f>IF('Data input'!H45&lt;&gt;"",T45/'Data input'!H45*100%,"")</f>
        <v>0</v>
      </c>
      <c r="AE45" s="114">
        <f>IF('Data input'!I45&lt;&gt;"",U45/'Data input'!I45*100%,"")</f>
        <v>-3.7757625973168876E-15</v>
      </c>
      <c r="AF45" s="114" t="str">
        <f>IF('Data input'!J45&lt;&gt;"",V45/'Data input'!J45*100%,"")</f>
        <v/>
      </c>
      <c r="AG45" s="114" t="str">
        <f>IF('Data input'!K45&lt;&gt;"",W45/'Data input'!K45*100%,"")</f>
        <v/>
      </c>
      <c r="AH45" s="115" t="str">
        <f>IF('Data input'!L45&lt;&gt;"",X45/'Data input'!L45*100%,"")</f>
        <v/>
      </c>
      <c r="AI45" s="114">
        <f>IF('Data input'!C45&lt;&gt;"",'Run CRS'!AH45/'Run CRS'!C45,"")</f>
        <v>0</v>
      </c>
      <c r="AJ45" s="114" t="str">
        <f>IF('Data input'!D45&lt;&gt;"",'Run CRS'!AI45/'Run CRS'!D45,"")</f>
        <v/>
      </c>
      <c r="AK45" s="114" t="str">
        <f>IF('Data input'!E45&lt;&gt;"",'Run CRS'!AJ45/'Run CRS'!E45,"")</f>
        <v/>
      </c>
      <c r="AL45" s="114" t="str">
        <f>IF('Data input'!F45&lt;&gt;"",'Run CRS'!AK45/'Run CRS'!F45,"")</f>
        <v/>
      </c>
      <c r="AM45" s="114" t="str">
        <f>IF('Data input'!G45&lt;&gt;"",'Run CRS'!AL45/'Run CRS'!G45,"")</f>
        <v/>
      </c>
      <c r="AN45" s="114">
        <f>IF('Data input'!H45&lt;&gt;"",'Run CRS'!AM45/'Run CRS'!H45,"")</f>
        <v>0</v>
      </c>
      <c r="AO45" s="114">
        <f>IF('Data input'!I45&lt;&gt;"",'Run CRS'!AN45/'Run CRS'!I45,"")</f>
        <v>2.7048032459370049E-17</v>
      </c>
      <c r="AP45" s="114" t="str">
        <f>IF('Data input'!J45&lt;&gt;"",'Run CRS'!AO45/'Run CRS'!J45,"")</f>
        <v/>
      </c>
      <c r="AQ45" s="114" t="str">
        <f>IF('Data input'!K45&lt;&gt;"",'Run CRS'!AP45/'Run CRS'!K45,"")</f>
        <v/>
      </c>
      <c r="AR45" s="115" t="str">
        <f>IF('Data input'!L45&lt;&gt;"",'Run CRS'!AQ45/'Run CRS'!L45,"")</f>
        <v/>
      </c>
    </row>
    <row r="46" spans="1:44" x14ac:dyDescent="0.35">
      <c r="A46" s="102">
        <f>IF('Run CRS'!AF46&lt;&gt;"",'Run CRS'!AF46,"")</f>
        <v>44</v>
      </c>
      <c r="B46" s="103" t="str">
        <f>IF('Run CRS'!AG46&lt;&gt;"",'Run CRS'!AG46,"")</f>
        <v>Utah</v>
      </c>
      <c r="C46" s="104">
        <f>IF('Run CRS'!AR46&lt;&gt;"",'Run CRS'!AR46,"")</f>
        <v>1</v>
      </c>
      <c r="D46" s="104" t="str">
        <f>IF(ROUND(C46,3)=100%,"Optimal frontier",'Run CRS'!BW46)</f>
        <v>Optimal frontier</v>
      </c>
      <c r="E46" s="105">
        <f>IF('Run CRS'!BC46&lt;&gt;"",'Run CRS'!BC46,"")</f>
        <v>0.99629268099502244</v>
      </c>
      <c r="F46" s="106" t="str">
        <f>IF('Run CRS'!BD46&lt;&gt;"",'Run CRS'!BD46,"")</f>
        <v/>
      </c>
      <c r="G46" s="106" t="str">
        <f>IF('Run CRS'!BE46&lt;&gt;"",'Run CRS'!BE46,"")</f>
        <v/>
      </c>
      <c r="H46" s="106" t="str">
        <f>IF('Run CRS'!BF46&lt;&gt;"",'Run CRS'!BF46,"")</f>
        <v/>
      </c>
      <c r="I46" s="106" t="str">
        <f>IF('Run CRS'!BG46&lt;&gt;"",'Run CRS'!BG46,"")</f>
        <v/>
      </c>
      <c r="J46" s="106">
        <f>IF('Run CRS'!BH46&lt;&gt;"",'Run CRS'!BH46,"")</f>
        <v>1.8883174631545339</v>
      </c>
      <c r="K46" s="105">
        <f>IF('Run CRS'!BI46&lt;&gt;"",'Run CRS'!BI46,"")</f>
        <v>3.9502560351133871E-2</v>
      </c>
      <c r="L46" s="105" t="str">
        <f>IF('Run CRS'!BJ46&lt;&gt;"",'Run CRS'!BJ46,"")</f>
        <v/>
      </c>
      <c r="M46" s="105" t="str">
        <f>IF('Run CRS'!BK46&lt;&gt;"",'Run CRS'!BK46,"")</f>
        <v/>
      </c>
      <c r="N46" s="105" t="str">
        <f>IF('Run CRS'!BL46&lt;&gt;"",'Run CRS'!BL46,"")</f>
        <v/>
      </c>
      <c r="O46" s="105">
        <f>IF('Run CRS'!BM46&lt;&gt;"",'Run CRS'!BM46,"")</f>
        <v>0</v>
      </c>
      <c r="P46" s="106" t="str">
        <f>IF('Run CRS'!BN46&lt;&gt;"",'Run CRS'!BN46,"")</f>
        <v/>
      </c>
      <c r="Q46" s="106" t="str">
        <f>IF('Run CRS'!BO46&lt;&gt;"",'Run CRS'!BO46,"")</f>
        <v/>
      </c>
      <c r="R46" s="106" t="str">
        <f>IF('Run CRS'!BP46&lt;&gt;"",'Run CRS'!BP46,"")</f>
        <v/>
      </c>
      <c r="S46" s="106" t="str">
        <f>IF('Run CRS'!BQ46&lt;&gt;"",'Run CRS'!BQ46,"")</f>
        <v/>
      </c>
      <c r="T46" s="106">
        <f>IF('Run CRS'!BR46&lt;&gt;"",'Run CRS'!BR46,"")</f>
        <v>1.7763568394002505E-15</v>
      </c>
      <c r="U46" s="105">
        <f>IF('Run CRS'!BS46&lt;&gt;"",'Run CRS'!BS46,"")</f>
        <v>0</v>
      </c>
      <c r="V46" s="105" t="str">
        <f>IF('Run CRS'!BT46&lt;&gt;"",'Run CRS'!BT46,"")</f>
        <v/>
      </c>
      <c r="W46" s="105" t="str">
        <f>IF('Run CRS'!BU46&lt;&gt;"",'Run CRS'!BU46,"")</f>
        <v/>
      </c>
      <c r="X46" s="107" t="str">
        <f>IF('Run CRS'!BV46&lt;&gt;"",'Run CRS'!BV46,"")</f>
        <v/>
      </c>
      <c r="Y46" s="114">
        <f>IF('Data input'!C46&lt;&gt;"",O46/'Data input'!C46*100%,"")</f>
        <v>0</v>
      </c>
      <c r="Z46" s="114" t="str">
        <f>IF('Data input'!D46&lt;&gt;"",P46/'Data input'!D46*100%,"")</f>
        <v/>
      </c>
      <c r="AA46" s="114" t="str">
        <f>IF('Data input'!E46&lt;&gt;"",Q46/'Data input'!E46*100%,"")</f>
        <v/>
      </c>
      <c r="AB46" s="114" t="str">
        <f>IF('Data input'!F46&lt;&gt;"",R46/'Data input'!F46*100%,"")</f>
        <v/>
      </c>
      <c r="AC46" s="114" t="str">
        <f>IF('Data input'!G46&lt;&gt;"",S46/'Data input'!G46*100%,"")</f>
        <v/>
      </c>
      <c r="AD46" s="114">
        <f>IF('Data input'!H46&lt;&gt;"",T46/'Data input'!H46*100%,"")</f>
        <v>9.4070879185365064E-16</v>
      </c>
      <c r="AE46" s="114">
        <f>IF('Data input'!I46&lt;&gt;"",U46/'Data input'!I46*100%,"")</f>
        <v>0</v>
      </c>
      <c r="AF46" s="114" t="str">
        <f>IF('Data input'!J46&lt;&gt;"",V46/'Data input'!J46*100%,"")</f>
        <v/>
      </c>
      <c r="AG46" s="114" t="str">
        <f>IF('Data input'!K46&lt;&gt;"",W46/'Data input'!K46*100%,"")</f>
        <v/>
      </c>
      <c r="AH46" s="115" t="str">
        <f>IF('Data input'!L46&lt;&gt;"",X46/'Data input'!L46*100%,"")</f>
        <v/>
      </c>
      <c r="AI46" s="114">
        <f>IF('Data input'!C46&lt;&gt;"",'Run CRS'!AH46/'Run CRS'!C46,"")</f>
        <v>0</v>
      </c>
      <c r="AJ46" s="114" t="str">
        <f>IF('Data input'!D46&lt;&gt;"",'Run CRS'!AI46/'Run CRS'!D46,"")</f>
        <v/>
      </c>
      <c r="AK46" s="114" t="str">
        <f>IF('Data input'!E46&lt;&gt;"",'Run CRS'!AJ46/'Run CRS'!E46,"")</f>
        <v/>
      </c>
      <c r="AL46" s="114" t="str">
        <f>IF('Data input'!F46&lt;&gt;"",'Run CRS'!AK46/'Run CRS'!F46,"")</f>
        <v/>
      </c>
      <c r="AM46" s="114" t="str">
        <f>IF('Data input'!G46&lt;&gt;"",'Run CRS'!AL46/'Run CRS'!G46,"")</f>
        <v/>
      </c>
      <c r="AN46" s="114">
        <f>IF('Data input'!H46&lt;&gt;"",'Run CRS'!AM46/'Run CRS'!H46,"")</f>
        <v>0</v>
      </c>
      <c r="AO46" s="114">
        <f>IF('Data input'!I46&lt;&gt;"",'Run CRS'!AN46/'Run CRS'!I46,"")</f>
        <v>0</v>
      </c>
      <c r="AP46" s="114" t="str">
        <f>IF('Data input'!J46&lt;&gt;"",'Run CRS'!AO46/'Run CRS'!J46,"")</f>
        <v/>
      </c>
      <c r="AQ46" s="114" t="str">
        <f>IF('Data input'!K46&lt;&gt;"",'Run CRS'!AP46/'Run CRS'!K46,"")</f>
        <v/>
      </c>
      <c r="AR46" s="115" t="str">
        <f>IF('Data input'!L46&lt;&gt;"",'Run CRS'!AQ46/'Run CRS'!L46,"")</f>
        <v/>
      </c>
    </row>
    <row r="47" spans="1:44" x14ac:dyDescent="0.35">
      <c r="A47" s="102">
        <f>IF('Run CRS'!AF47&lt;&gt;"",'Run CRS'!AF47,"")</f>
        <v>45</v>
      </c>
      <c r="B47" s="103" t="str">
        <f>IF('Run CRS'!AG47&lt;&gt;"",'Run CRS'!AG47,"")</f>
        <v>Vermont</v>
      </c>
      <c r="C47" s="104">
        <f>IF('Run CRS'!AR47&lt;&gt;"",'Run CRS'!AR47,"")</f>
        <v>0.66286176498196958</v>
      </c>
      <c r="D47" s="104" t="str">
        <f>IF(ROUND(C47,3)=100%,"Optimal frontier",'Run CRS'!BW47)</f>
        <v xml:space="preserve">Nevada; Texas; </v>
      </c>
      <c r="E47" s="105">
        <f>IF('Run CRS'!BC47&lt;&gt;"",'Run CRS'!BC47,"")</f>
        <v>0.98829839103225781</v>
      </c>
      <c r="F47" s="106" t="str">
        <f>IF('Run CRS'!BD47&lt;&gt;"",'Run CRS'!BD47,"")</f>
        <v/>
      </c>
      <c r="G47" s="106" t="str">
        <f>IF('Run CRS'!BE47&lt;&gt;"",'Run CRS'!BE47,"")</f>
        <v/>
      </c>
      <c r="H47" s="106" t="str">
        <f>IF('Run CRS'!BF47&lt;&gt;"",'Run CRS'!BF47,"")</f>
        <v/>
      </c>
      <c r="I47" s="106" t="str">
        <f>IF('Run CRS'!BG47&lt;&gt;"",'Run CRS'!BG47,"")</f>
        <v/>
      </c>
      <c r="J47" s="106">
        <f>IF('Run CRS'!BH47&lt;&gt;"",'Run CRS'!BH47,"")</f>
        <v>0.29574268608402232</v>
      </c>
      <c r="K47" s="105">
        <f>IF('Run CRS'!BI47&lt;&gt;"",'Run CRS'!BI47,"")</f>
        <v>0</v>
      </c>
      <c r="L47" s="105" t="str">
        <f>IF('Run CRS'!BJ47&lt;&gt;"",'Run CRS'!BJ47,"")</f>
        <v/>
      </c>
      <c r="M47" s="105" t="str">
        <f>IF('Run CRS'!BK47&lt;&gt;"",'Run CRS'!BK47,"")</f>
        <v/>
      </c>
      <c r="N47" s="105" t="str">
        <f>IF('Run CRS'!BL47&lt;&gt;"",'Run CRS'!BL47,"")</f>
        <v/>
      </c>
      <c r="O47" s="105">
        <f>IF('Run CRS'!BM47&lt;&gt;"",'Run CRS'!BM47,"")</f>
        <v>2.2195119095002491E-2</v>
      </c>
      <c r="P47" s="106" t="str">
        <f>IF('Run CRS'!BN47&lt;&gt;"",'Run CRS'!BN47,"")</f>
        <v/>
      </c>
      <c r="Q47" s="106" t="str">
        <f>IF('Run CRS'!BO47&lt;&gt;"",'Run CRS'!BO47,"")</f>
        <v/>
      </c>
      <c r="R47" s="106" t="str">
        <f>IF('Run CRS'!BP47&lt;&gt;"",'Run CRS'!BP47,"")</f>
        <v/>
      </c>
      <c r="S47" s="106" t="str">
        <f>IF('Run CRS'!BQ47&lt;&gt;"",'Run CRS'!BQ47,"")</f>
        <v/>
      </c>
      <c r="T47" s="106">
        <f>IF('Run CRS'!BR47&lt;&gt;"",'Run CRS'!BR47,"")</f>
        <v>-19.791500119269134</v>
      </c>
      <c r="U47" s="105">
        <f>IF('Run CRS'!BS47&lt;&gt;"",'Run CRS'!BS47,"")</f>
        <v>0</v>
      </c>
      <c r="V47" s="105" t="str">
        <f>IF('Run CRS'!BT47&lt;&gt;"",'Run CRS'!BT47,"")</f>
        <v/>
      </c>
      <c r="W47" s="105" t="str">
        <f>IF('Run CRS'!BU47&lt;&gt;"",'Run CRS'!BU47,"")</f>
        <v/>
      </c>
      <c r="X47" s="107" t="str">
        <f>IF('Run CRS'!BV47&lt;&gt;"",'Run CRS'!BV47,"")</f>
        <v/>
      </c>
      <c r="Y47" s="114">
        <f>IF('Data input'!C47&lt;&gt;"",O47/'Data input'!C47*100%,"")</f>
        <v>2.2973857702082164E-2</v>
      </c>
      <c r="Z47" s="114" t="str">
        <f>IF('Data input'!D47&lt;&gt;"",P47/'Data input'!D47*100%,"")</f>
        <v/>
      </c>
      <c r="AA47" s="114" t="str">
        <f>IF('Data input'!E47&lt;&gt;"",Q47/'Data input'!E47*100%,"")</f>
        <v/>
      </c>
      <c r="AB47" s="114" t="str">
        <f>IF('Data input'!F47&lt;&gt;"",R47/'Data input'!F47*100%,"")</f>
        <v/>
      </c>
      <c r="AC47" s="114" t="str">
        <f>IF('Data input'!G47&lt;&gt;"",S47/'Data input'!G47*100%,"")</f>
        <v/>
      </c>
      <c r="AD47" s="114">
        <f>IF('Data input'!H47&lt;&gt;"",T47/'Data input'!H47*100%,"")</f>
        <v>-0.98527708909830036</v>
      </c>
      <c r="AE47" s="114" t="e">
        <f>IF('Data input'!I47&lt;&gt;"",U47/'Data input'!I47*100%,"")</f>
        <v>#DIV/0!</v>
      </c>
      <c r="AF47" s="114" t="str">
        <f>IF('Data input'!J47&lt;&gt;"",V47/'Data input'!J47*100%,"")</f>
        <v/>
      </c>
      <c r="AG47" s="114" t="str">
        <f>IF('Data input'!K47&lt;&gt;"",W47/'Data input'!K47*100%,"")</f>
        <v/>
      </c>
      <c r="AH47" s="115" t="str">
        <f>IF('Data input'!L47&lt;&gt;"",X47/'Data input'!L47*100%,"")</f>
        <v/>
      </c>
      <c r="AI47" s="114">
        <f>IF('Data input'!C47&lt;&gt;"",'Run CRS'!AH47/'Run CRS'!C47,"")</f>
        <v>0.14665108563726875</v>
      </c>
      <c r="AJ47" s="114" t="str">
        <f>IF('Data input'!D47&lt;&gt;"",'Run CRS'!AI47/'Run CRS'!D47,"")</f>
        <v/>
      </c>
      <c r="AK47" s="114" t="str">
        <f>IF('Data input'!E47&lt;&gt;"",'Run CRS'!AJ47/'Run CRS'!E47,"")</f>
        <v/>
      </c>
      <c r="AL47" s="114" t="str">
        <f>IF('Data input'!F47&lt;&gt;"",'Run CRS'!AK47/'Run CRS'!F47,"")</f>
        <v/>
      </c>
      <c r="AM47" s="114" t="str">
        <f>IF('Data input'!G47&lt;&gt;"",'Run CRS'!AL47/'Run CRS'!G47,"")</f>
        <v/>
      </c>
      <c r="AN47" s="114">
        <f>IF('Data input'!H47&lt;&gt;"",'Run CRS'!AM47/'Run CRS'!H47,"")</f>
        <v>0.47610821903174688</v>
      </c>
      <c r="AO47" s="114">
        <f>IF('Data input'!I47&lt;&gt;"",'Run CRS'!AN47/'Run CRS'!I47,"")</f>
        <v>0</v>
      </c>
      <c r="AP47" s="114" t="str">
        <f>IF('Data input'!J47&lt;&gt;"",'Run CRS'!AO47/'Run CRS'!J47,"")</f>
        <v/>
      </c>
      <c r="AQ47" s="114" t="str">
        <f>IF('Data input'!K47&lt;&gt;"",'Run CRS'!AP47/'Run CRS'!K47,"")</f>
        <v/>
      </c>
      <c r="AR47" s="115" t="str">
        <f>IF('Data input'!L47&lt;&gt;"",'Run CRS'!AQ47/'Run CRS'!L47,"")</f>
        <v/>
      </c>
    </row>
    <row r="48" spans="1:44" x14ac:dyDescent="0.35">
      <c r="A48" s="102">
        <f>IF('Run CRS'!AF48&lt;&gt;"",'Run CRS'!AF48,"")</f>
        <v>46</v>
      </c>
      <c r="B48" s="103" t="str">
        <f>IF('Run CRS'!AG48&lt;&gt;"",'Run CRS'!AG48,"")</f>
        <v>Virginia</v>
      </c>
      <c r="C48" s="104">
        <f>IF('Run CRS'!AR48&lt;&gt;"",'Run CRS'!AR48,"")</f>
        <v>0.77826342526866943</v>
      </c>
      <c r="D48" s="104" t="str">
        <f>IF(ROUND(C48,3)=100%,"Optimal frontier",'Run CRS'!BW48)</f>
        <v xml:space="preserve">Texas; </v>
      </c>
      <c r="E48" s="105">
        <f>IF('Run CRS'!BC48&lt;&gt;"",'Run CRS'!BC48,"")</f>
        <v>0.98929484119816757</v>
      </c>
      <c r="F48" s="106" t="str">
        <f>IF('Run CRS'!BD48&lt;&gt;"",'Run CRS'!BD48,"")</f>
        <v/>
      </c>
      <c r="G48" s="106" t="str">
        <f>IF('Run CRS'!BE48&lt;&gt;"",'Run CRS'!BE48,"")</f>
        <v/>
      </c>
      <c r="H48" s="106" t="str">
        <f>IF('Run CRS'!BF48&lt;&gt;"",'Run CRS'!BF48,"")</f>
        <v/>
      </c>
      <c r="I48" s="106" t="str">
        <f>IF('Run CRS'!BG48&lt;&gt;"",'Run CRS'!BG48,"")</f>
        <v/>
      </c>
      <c r="J48" s="106">
        <f>IF('Run CRS'!BH48&lt;&gt;"",'Run CRS'!BH48,"")</f>
        <v>0.29574268608402715</v>
      </c>
      <c r="K48" s="105">
        <f>IF('Run CRS'!BI48&lt;&gt;"",'Run CRS'!BI48,"")</f>
        <v>7.1105294674802477E-2</v>
      </c>
      <c r="L48" s="105" t="str">
        <f>IF('Run CRS'!BJ48&lt;&gt;"",'Run CRS'!BJ48,"")</f>
        <v/>
      </c>
      <c r="M48" s="105" t="str">
        <f>IF('Run CRS'!BK48&lt;&gt;"",'Run CRS'!BK48,"")</f>
        <v/>
      </c>
      <c r="N48" s="105" t="str">
        <f>IF('Run CRS'!BL48&lt;&gt;"",'Run CRS'!BL48,"")</f>
        <v/>
      </c>
      <c r="O48" s="105">
        <f>IF('Run CRS'!BM48&lt;&gt;"",'Run CRS'!BM48,"")</f>
        <v>1.4078347576071515E-2</v>
      </c>
      <c r="P48" s="106" t="str">
        <f>IF('Run CRS'!BN48&lt;&gt;"",'Run CRS'!BN48,"")</f>
        <v/>
      </c>
      <c r="Q48" s="106" t="str">
        <f>IF('Run CRS'!BO48&lt;&gt;"",'Run CRS'!BO48,"")</f>
        <v/>
      </c>
      <c r="R48" s="106" t="str">
        <f>IF('Run CRS'!BP48&lt;&gt;"",'Run CRS'!BP48,"")</f>
        <v/>
      </c>
      <c r="S48" s="106" t="str">
        <f>IF('Run CRS'!BQ48&lt;&gt;"",'Run CRS'!BQ48,"")</f>
        <v/>
      </c>
      <c r="T48" s="106">
        <f>IF('Run CRS'!BR48&lt;&gt;"",'Run CRS'!BR48,"")</f>
        <v>-1.18656025299904</v>
      </c>
      <c r="U48" s="105">
        <f>IF('Run CRS'!BS48&lt;&gt;"",'Run CRS'!BS48,"")</f>
        <v>-1.4904503909846406E-2</v>
      </c>
      <c r="V48" s="105" t="str">
        <f>IF('Run CRS'!BT48&lt;&gt;"",'Run CRS'!BT48,"")</f>
        <v/>
      </c>
      <c r="W48" s="105" t="str">
        <f>IF('Run CRS'!BU48&lt;&gt;"",'Run CRS'!BU48,"")</f>
        <v/>
      </c>
      <c r="X48" s="107" t="str">
        <f>IF('Run CRS'!BV48&lt;&gt;"",'Run CRS'!BV48,"")</f>
        <v/>
      </c>
      <c r="Y48" s="114">
        <f>IF('Data input'!C48&lt;&gt;"",O48/'Data input'!C48*100%,"")</f>
        <v>1.443612538153706E-2</v>
      </c>
      <c r="Z48" s="114" t="str">
        <f>IF('Data input'!D48&lt;&gt;"",P48/'Data input'!D48*100%,"")</f>
        <v/>
      </c>
      <c r="AA48" s="114" t="str">
        <f>IF('Data input'!E48&lt;&gt;"",Q48/'Data input'!E48*100%,"")</f>
        <v/>
      </c>
      <c r="AB48" s="114" t="str">
        <f>IF('Data input'!F48&lt;&gt;"",R48/'Data input'!F48*100%,"")</f>
        <v/>
      </c>
      <c r="AC48" s="114" t="str">
        <f>IF('Data input'!G48&lt;&gt;"",S48/'Data input'!G48*100%,"")</f>
        <v/>
      </c>
      <c r="AD48" s="114">
        <f>IF('Data input'!H48&lt;&gt;"",T48/'Data input'!H48*100%,"")</f>
        <v>-0.80048431512456586</v>
      </c>
      <c r="AE48" s="114">
        <f>IF('Data input'!I48&lt;&gt;"",U48/'Data input'!I48*100%,"")</f>
        <v>-0.17328844102777119</v>
      </c>
      <c r="AF48" s="114" t="str">
        <f>IF('Data input'!J48&lt;&gt;"",V48/'Data input'!J48*100%,"")</f>
        <v/>
      </c>
      <c r="AG48" s="114" t="str">
        <f>IF('Data input'!K48&lt;&gt;"",W48/'Data input'!K48*100%,"")</f>
        <v/>
      </c>
      <c r="AH48" s="115" t="str">
        <f>IF('Data input'!L48&lt;&gt;"",X48/'Data input'!L48*100%,"")</f>
        <v/>
      </c>
      <c r="AI48" s="114">
        <f>IF('Data input'!C48&lt;&gt;"",'Run CRS'!AH48/'Run CRS'!C48,"")</f>
        <v>8.7737614613830478E-2</v>
      </c>
      <c r="AJ48" s="114" t="str">
        <f>IF('Data input'!D48&lt;&gt;"",'Run CRS'!AI48/'Run CRS'!D48,"")</f>
        <v/>
      </c>
      <c r="AK48" s="114" t="str">
        <f>IF('Data input'!E48&lt;&gt;"",'Run CRS'!AJ48/'Run CRS'!E48,"")</f>
        <v/>
      </c>
      <c r="AL48" s="114" t="str">
        <f>IF('Data input'!F48&lt;&gt;"",'Run CRS'!AK48/'Run CRS'!F48,"")</f>
        <v/>
      </c>
      <c r="AM48" s="114" t="str">
        <f>IF('Data input'!G48&lt;&gt;"",'Run CRS'!AL48/'Run CRS'!G48,"")</f>
        <v/>
      </c>
      <c r="AN48" s="114">
        <f>IF('Data input'!H48&lt;&gt;"",'Run CRS'!AM48/'Run CRS'!H48,"")</f>
        <v>5.1669571785674939E-2</v>
      </c>
      <c r="AO48" s="114">
        <f>IF('Data input'!I48&lt;&gt;"",'Run CRS'!AN48/'Run CRS'!I48,"")</f>
        <v>0.11472215407208658</v>
      </c>
      <c r="AP48" s="114" t="str">
        <f>IF('Data input'!J48&lt;&gt;"",'Run CRS'!AO48/'Run CRS'!J48,"")</f>
        <v/>
      </c>
      <c r="AQ48" s="114" t="str">
        <f>IF('Data input'!K48&lt;&gt;"",'Run CRS'!AP48/'Run CRS'!K48,"")</f>
        <v/>
      </c>
      <c r="AR48" s="115" t="str">
        <f>IF('Data input'!L48&lt;&gt;"",'Run CRS'!AQ48/'Run CRS'!L48,"")</f>
        <v/>
      </c>
    </row>
    <row r="49" spans="1:44" x14ac:dyDescent="0.35">
      <c r="A49" s="102">
        <f>IF('Run CRS'!AF49&lt;&gt;"",'Run CRS'!AF49,"")</f>
        <v>47</v>
      </c>
      <c r="B49" s="103" t="str">
        <f>IF('Run CRS'!AG49&lt;&gt;"",'Run CRS'!AG49,"")</f>
        <v>Washington</v>
      </c>
      <c r="C49" s="104">
        <f>IF('Run CRS'!AR49&lt;&gt;"",'Run CRS'!AR49,"")</f>
        <v>0.60783484288761547</v>
      </c>
      <c r="D49" s="104" t="str">
        <f>IF(ROUND(C49,3)=100%,"Optimal frontier",'Run CRS'!BW49)</f>
        <v xml:space="preserve">Texas; </v>
      </c>
      <c r="E49" s="105">
        <f>IF('Run CRS'!BC49&lt;&gt;"",'Run CRS'!BC49,"")</f>
        <v>0.98833351344873344</v>
      </c>
      <c r="F49" s="106" t="str">
        <f>IF('Run CRS'!BD49&lt;&gt;"",'Run CRS'!BD49,"")</f>
        <v/>
      </c>
      <c r="G49" s="106" t="str">
        <f>IF('Run CRS'!BE49&lt;&gt;"",'Run CRS'!BE49,"")</f>
        <v/>
      </c>
      <c r="H49" s="106" t="str">
        <f>IF('Run CRS'!BF49&lt;&gt;"",'Run CRS'!BF49,"")</f>
        <v/>
      </c>
      <c r="I49" s="106" t="str">
        <f>IF('Run CRS'!BG49&lt;&gt;"",'Run CRS'!BG49,"")</f>
        <v/>
      </c>
      <c r="J49" s="106">
        <f>IF('Run CRS'!BH49&lt;&gt;"",'Run CRS'!BH49,"")</f>
        <v>0.29574268608414322</v>
      </c>
      <c r="K49" s="105">
        <f>IF('Run CRS'!BI49&lt;&gt;"",'Run CRS'!BI49,"")</f>
        <v>8.0187156412734138E-3</v>
      </c>
      <c r="L49" s="105" t="str">
        <f>IF('Run CRS'!BJ49&lt;&gt;"",'Run CRS'!BJ49,"")</f>
        <v/>
      </c>
      <c r="M49" s="105" t="str">
        <f>IF('Run CRS'!BK49&lt;&gt;"",'Run CRS'!BK49,"")</f>
        <v/>
      </c>
      <c r="N49" s="105" t="str">
        <f>IF('Run CRS'!BL49&lt;&gt;"",'Run CRS'!BL49,"")</f>
        <v/>
      </c>
      <c r="O49" s="105">
        <f>IF('Run CRS'!BM49&lt;&gt;"",'Run CRS'!BM49,"")</f>
        <v>5.173692398616847E-2</v>
      </c>
      <c r="P49" s="106" t="str">
        <f>IF('Run CRS'!BN49&lt;&gt;"",'Run CRS'!BN49,"")</f>
        <v/>
      </c>
      <c r="Q49" s="106" t="str">
        <f>IF('Run CRS'!BO49&lt;&gt;"",'Run CRS'!BO49,"")</f>
        <v/>
      </c>
      <c r="R49" s="106" t="str">
        <f>IF('Run CRS'!BP49&lt;&gt;"",'Run CRS'!BP49,"")</f>
        <v/>
      </c>
      <c r="S49" s="106" t="str">
        <f>IF('Run CRS'!BQ49&lt;&gt;"",'Run CRS'!BQ49,"")</f>
        <v/>
      </c>
      <c r="T49" s="106">
        <f>IF('Run CRS'!BR49&lt;&gt;"",'Run CRS'!BR49,"")</f>
        <v>-6.3887918888433797</v>
      </c>
      <c r="U49" s="105">
        <f>IF('Run CRS'!BS49&lt;&gt;"",'Run CRS'!BS49,"")</f>
        <v>-1.4637023753208186E-3</v>
      </c>
      <c r="V49" s="105" t="str">
        <f>IF('Run CRS'!BT49&lt;&gt;"",'Run CRS'!BT49,"")</f>
        <v/>
      </c>
      <c r="W49" s="105" t="str">
        <f>IF('Run CRS'!BU49&lt;&gt;"",'Run CRS'!BU49,"")</f>
        <v/>
      </c>
      <c r="X49" s="107" t="str">
        <f>IF('Run CRS'!BV49&lt;&gt;"",'Run CRS'!BV49,"")</f>
        <v/>
      </c>
      <c r="Y49" s="114">
        <f>IF('Data input'!C49&lt;&gt;"",O49/'Data input'!C49*100%,"")</f>
        <v>5.5239282918866914E-2</v>
      </c>
      <c r="Z49" s="114" t="str">
        <f>IF('Data input'!D49&lt;&gt;"",P49/'Data input'!D49*100%,"")</f>
        <v/>
      </c>
      <c r="AA49" s="114" t="str">
        <f>IF('Data input'!E49&lt;&gt;"",Q49/'Data input'!E49*100%,"")</f>
        <v/>
      </c>
      <c r="AB49" s="114" t="str">
        <f>IF('Data input'!F49&lt;&gt;"",R49/'Data input'!F49*100%,"")</f>
        <v/>
      </c>
      <c r="AC49" s="114" t="str">
        <f>IF('Data input'!G49&lt;&gt;"",S49/'Data input'!G49*100%,"")</f>
        <v/>
      </c>
      <c r="AD49" s="114">
        <f>IF('Data input'!H49&lt;&gt;"",T49/'Data input'!H49*100%,"")</f>
        <v>-0.9557571760951884</v>
      </c>
      <c r="AE49" s="114">
        <f>IF('Data input'!I49&lt;&gt;"",U49/'Data input'!I49*100%,"")</f>
        <v>-0.15435961299737463</v>
      </c>
      <c r="AF49" s="114" t="str">
        <f>IF('Data input'!J49&lt;&gt;"",V49/'Data input'!J49*100%,"")</f>
        <v/>
      </c>
      <c r="AG49" s="114" t="str">
        <f>IF('Data input'!K49&lt;&gt;"",W49/'Data input'!K49*100%,"")</f>
        <v/>
      </c>
      <c r="AH49" s="115" t="str">
        <f>IF('Data input'!L49&lt;&gt;"",X49/'Data input'!L49*100%,"")</f>
        <v/>
      </c>
      <c r="AI49" s="114">
        <f>IF('Data input'!C49&lt;&gt;"",'Run CRS'!AH49/'Run CRS'!C49,"")</f>
        <v>0.42463089951346239</v>
      </c>
      <c r="AJ49" s="114" t="str">
        <f>IF('Data input'!D49&lt;&gt;"",'Run CRS'!AI49/'Run CRS'!D49,"")</f>
        <v/>
      </c>
      <c r="AK49" s="114" t="str">
        <f>IF('Data input'!E49&lt;&gt;"",'Run CRS'!AJ49/'Run CRS'!E49,"")</f>
        <v/>
      </c>
      <c r="AL49" s="114" t="str">
        <f>IF('Data input'!F49&lt;&gt;"",'Run CRS'!AK49/'Run CRS'!F49,"")</f>
        <v/>
      </c>
      <c r="AM49" s="114" t="str">
        <f>IF('Data input'!G49&lt;&gt;"",'Run CRS'!AL49/'Run CRS'!G49,"")</f>
        <v/>
      </c>
      <c r="AN49" s="114">
        <f>IF('Data input'!H49&lt;&gt;"",'Run CRS'!AM49/'Run CRS'!H49,"")</f>
        <v>0.22682136779955117</v>
      </c>
      <c r="AO49" s="114">
        <f>IF('Data input'!I49&lt;&gt;"",'Run CRS'!AN49/'Run CRS'!I49,"")</f>
        <v>2.7414833536385842E-2</v>
      </c>
      <c r="AP49" s="114" t="str">
        <f>IF('Data input'!J49&lt;&gt;"",'Run CRS'!AO49/'Run CRS'!J49,"")</f>
        <v/>
      </c>
      <c r="AQ49" s="114" t="str">
        <f>IF('Data input'!K49&lt;&gt;"",'Run CRS'!AP49/'Run CRS'!K49,"")</f>
        <v/>
      </c>
      <c r="AR49" s="115" t="str">
        <f>IF('Data input'!L49&lt;&gt;"",'Run CRS'!AQ49/'Run CRS'!L49,"")</f>
        <v/>
      </c>
    </row>
    <row r="50" spans="1:44" x14ac:dyDescent="0.35">
      <c r="A50" s="102">
        <f>IF('Run CRS'!AF50&lt;&gt;"",'Run CRS'!AF50,"")</f>
        <v>48</v>
      </c>
      <c r="B50" s="103" t="str">
        <f>IF('Run CRS'!AG50&lt;&gt;"",'Run CRS'!AG50,"")</f>
        <v>West Virginia</v>
      </c>
      <c r="C50" s="104">
        <f>IF('Run CRS'!AR50&lt;&gt;"",'Run CRS'!AR50,"")</f>
        <v>0.18193268522677225</v>
      </c>
      <c r="D50" s="104" t="str">
        <f>IF(ROUND(C50,3)=100%,"Optimal frontier",'Run CRS'!BW50)</f>
        <v xml:space="preserve">Texas; </v>
      </c>
      <c r="E50" s="105">
        <f>IF('Run CRS'!BC50&lt;&gt;"",'Run CRS'!BC50,"")</f>
        <v>0.98636323402298709</v>
      </c>
      <c r="F50" s="106" t="str">
        <f>IF('Run CRS'!BD50&lt;&gt;"",'Run CRS'!BD50,"")</f>
        <v/>
      </c>
      <c r="G50" s="106" t="str">
        <f>IF('Run CRS'!BE50&lt;&gt;"",'Run CRS'!BE50,"")</f>
        <v/>
      </c>
      <c r="H50" s="106" t="str">
        <f>IF('Run CRS'!BF50&lt;&gt;"",'Run CRS'!BF50,"")</f>
        <v/>
      </c>
      <c r="I50" s="106" t="str">
        <f>IF('Run CRS'!BG50&lt;&gt;"",'Run CRS'!BG50,"")</f>
        <v/>
      </c>
      <c r="J50" s="106">
        <f>IF('Run CRS'!BH50&lt;&gt;"",'Run CRS'!BH50,"")</f>
        <v>0.29574268608403681</v>
      </c>
      <c r="K50" s="105">
        <f>IF('Run CRS'!BI50&lt;&gt;"",'Run CRS'!BI50,"")</f>
        <v>4.3442748535145069E-3</v>
      </c>
      <c r="L50" s="105" t="str">
        <f>IF('Run CRS'!BJ50&lt;&gt;"",'Run CRS'!BJ50,"")</f>
        <v/>
      </c>
      <c r="M50" s="105" t="str">
        <f>IF('Run CRS'!BK50&lt;&gt;"",'Run CRS'!BK50,"")</f>
        <v/>
      </c>
      <c r="N50" s="105" t="str">
        <f>IF('Run CRS'!BL50&lt;&gt;"",'Run CRS'!BL50,"")</f>
        <v/>
      </c>
      <c r="O50" s="105">
        <f>IF('Run CRS'!BM50&lt;&gt;"",'Run CRS'!BM50,"")</f>
        <v>0.12891967289505968</v>
      </c>
      <c r="P50" s="106" t="str">
        <f>IF('Run CRS'!BN50&lt;&gt;"",'Run CRS'!BN50,"")</f>
        <v/>
      </c>
      <c r="Q50" s="106" t="str">
        <f>IF('Run CRS'!BO50&lt;&gt;"",'Run CRS'!BO50,"")</f>
        <v/>
      </c>
      <c r="R50" s="106" t="str">
        <f>IF('Run CRS'!BP50&lt;&gt;"",'Run CRS'!BP50,"")</f>
        <v/>
      </c>
      <c r="S50" s="106" t="str">
        <f>IF('Run CRS'!BQ50&lt;&gt;"",'Run CRS'!BQ50,"")</f>
        <v/>
      </c>
      <c r="T50" s="106">
        <f>IF('Run CRS'!BR50&lt;&gt;"",'Run CRS'!BR50,"")</f>
        <v>-23.395776324510202</v>
      </c>
      <c r="U50" s="105">
        <f>IF('Run CRS'!BS50&lt;&gt;"",'Run CRS'!BS50,"")</f>
        <v>-6.8085077462619673E-4</v>
      </c>
      <c r="V50" s="105" t="str">
        <f>IF('Run CRS'!BT50&lt;&gt;"",'Run CRS'!BT50,"")</f>
        <v/>
      </c>
      <c r="W50" s="105" t="str">
        <f>IF('Run CRS'!BU50&lt;&gt;"",'Run CRS'!BU50,"")</f>
        <v/>
      </c>
      <c r="X50" s="107" t="str">
        <f>IF('Run CRS'!BV50&lt;&gt;"",'Run CRS'!BV50,"")</f>
        <v/>
      </c>
      <c r="Y50" s="114">
        <f>IF('Data input'!C50&lt;&gt;"",O50/'Data input'!C50*100%,"")</f>
        <v>0.15035353781824637</v>
      </c>
      <c r="Z50" s="114" t="str">
        <f>IF('Data input'!D50&lt;&gt;"",P50/'Data input'!D50*100%,"")</f>
        <v/>
      </c>
      <c r="AA50" s="114" t="str">
        <f>IF('Data input'!E50&lt;&gt;"",Q50/'Data input'!E50*100%,"")</f>
        <v/>
      </c>
      <c r="AB50" s="114" t="str">
        <f>IF('Data input'!F50&lt;&gt;"",R50/'Data input'!F50*100%,"")</f>
        <v/>
      </c>
      <c r="AC50" s="114" t="str">
        <f>IF('Data input'!G50&lt;&gt;"",S50/'Data input'!G50*100%,"")</f>
        <v/>
      </c>
      <c r="AD50" s="114">
        <f>IF('Data input'!H50&lt;&gt;"",T50/'Data input'!H50*100%,"")</f>
        <v>-0.98751693861622858</v>
      </c>
      <c r="AE50" s="114">
        <f>IF('Data input'!I50&lt;&gt;"",U50/'Data input'!I50*100%,"")</f>
        <v>-0.13548930415061314</v>
      </c>
      <c r="AF50" s="114" t="str">
        <f>IF('Data input'!J50&lt;&gt;"",V50/'Data input'!J50*100%,"")</f>
        <v/>
      </c>
      <c r="AG50" s="114" t="str">
        <f>IF('Data input'!K50&lt;&gt;"",W50/'Data input'!K50*100%,"")</f>
        <v/>
      </c>
      <c r="AH50" s="115" t="str">
        <f>IF('Data input'!L50&lt;&gt;"",X50/'Data input'!L50*100%,"")</f>
        <v/>
      </c>
      <c r="AI50" s="114">
        <f>IF('Data input'!C50&lt;&gt;"",'Run CRS'!AH50/'Run CRS'!C50,"")</f>
        <v>3.0201350275644727</v>
      </c>
      <c r="AJ50" s="114" t="str">
        <f>IF('Data input'!D50&lt;&gt;"",'Run CRS'!AI50/'Run CRS'!D50,"")</f>
        <v/>
      </c>
      <c r="AK50" s="114" t="str">
        <f>IF('Data input'!E50&lt;&gt;"",'Run CRS'!AJ50/'Run CRS'!E50,"")</f>
        <v/>
      </c>
      <c r="AL50" s="114" t="str">
        <f>IF('Data input'!F50&lt;&gt;"",'Run CRS'!AK50/'Run CRS'!F50,"")</f>
        <v/>
      </c>
      <c r="AM50" s="114" t="str">
        <f>IF('Data input'!G50&lt;&gt;"",'Run CRS'!AL50/'Run CRS'!G50,"")</f>
        <v/>
      </c>
      <c r="AN50" s="114">
        <f>IF('Data input'!H50&lt;&gt;"",'Run CRS'!AM50/'Run CRS'!H50,"")</f>
        <v>0.51790808403421518</v>
      </c>
      <c r="AO50" s="114">
        <f>IF('Data input'!I50&lt;&gt;"",'Run CRS'!AN50/'Run CRS'!I50,"")</f>
        <v>1.391376888171845E-2</v>
      </c>
      <c r="AP50" s="114" t="str">
        <f>IF('Data input'!J50&lt;&gt;"",'Run CRS'!AO50/'Run CRS'!J50,"")</f>
        <v/>
      </c>
      <c r="AQ50" s="114" t="str">
        <f>IF('Data input'!K50&lt;&gt;"",'Run CRS'!AP50/'Run CRS'!K50,"")</f>
        <v/>
      </c>
      <c r="AR50" s="115" t="str">
        <f>IF('Data input'!L50&lt;&gt;"",'Run CRS'!AQ50/'Run CRS'!L50,"")</f>
        <v/>
      </c>
    </row>
    <row r="51" spans="1:44" x14ac:dyDescent="0.35">
      <c r="A51" s="102">
        <f>IF('Run CRS'!AF51&lt;&gt;"",'Run CRS'!AF51,"")</f>
        <v>49</v>
      </c>
      <c r="B51" s="103" t="str">
        <f>IF('Run CRS'!AG51&lt;&gt;"",'Run CRS'!AG51,"")</f>
        <v>Wisconsin</v>
      </c>
      <c r="C51" s="104">
        <f>IF('Run CRS'!AR51&lt;&gt;"",'Run CRS'!AR51,"")</f>
        <v>0.89809418002726604</v>
      </c>
      <c r="D51" s="104" t="str">
        <f>IF(ROUND(C51,3)=100%,"Optimal frontier",'Run CRS'!BW51)</f>
        <v xml:space="preserve">Texas; </v>
      </c>
      <c r="E51" s="105">
        <f>IF('Run CRS'!BC51&lt;&gt;"",'Run CRS'!BC51,"")</f>
        <v>0.9895727221394709</v>
      </c>
      <c r="F51" s="106" t="str">
        <f>IF('Run CRS'!BD51&lt;&gt;"",'Run CRS'!BD51,"")</f>
        <v/>
      </c>
      <c r="G51" s="106" t="str">
        <f>IF('Run CRS'!BE51&lt;&gt;"",'Run CRS'!BE51,"")</f>
        <v/>
      </c>
      <c r="H51" s="106" t="str">
        <f>IF('Run CRS'!BF51&lt;&gt;"",'Run CRS'!BF51,"")</f>
        <v/>
      </c>
      <c r="I51" s="106" t="str">
        <f>IF('Run CRS'!BG51&lt;&gt;"",'Run CRS'!BG51,"")</f>
        <v/>
      </c>
      <c r="J51" s="106">
        <f>IF('Run CRS'!BH51&lt;&gt;"",'Run CRS'!BH51,"")</f>
        <v>0.29574268608402715</v>
      </c>
      <c r="K51" s="105">
        <f>IF('Run CRS'!BI51&lt;&gt;"",'Run CRS'!BI51,"")</f>
        <v>2.2023870237173334E-2</v>
      </c>
      <c r="L51" s="105" t="str">
        <f>IF('Run CRS'!BJ51&lt;&gt;"",'Run CRS'!BJ51,"")</f>
        <v/>
      </c>
      <c r="M51" s="105" t="str">
        <f>IF('Run CRS'!BK51&lt;&gt;"",'Run CRS'!BK51,"")</f>
        <v/>
      </c>
      <c r="N51" s="105" t="str">
        <f>IF('Run CRS'!BL51&lt;&gt;"",'Run CRS'!BL51,"")</f>
        <v/>
      </c>
      <c r="O51" s="105">
        <f>IF('Run CRS'!BM51&lt;&gt;"",'Run CRS'!BM51,"")</f>
        <v>3.1927774183581059E-3</v>
      </c>
      <c r="P51" s="106" t="str">
        <f>IF('Run CRS'!BN51&lt;&gt;"",'Run CRS'!BN51,"")</f>
        <v/>
      </c>
      <c r="Q51" s="106" t="str">
        <f>IF('Run CRS'!BO51&lt;&gt;"",'Run CRS'!BO51,"")</f>
        <v/>
      </c>
      <c r="R51" s="106" t="str">
        <f>IF('Run CRS'!BP51&lt;&gt;"",'Run CRS'!BP51,"")</f>
        <v/>
      </c>
      <c r="S51" s="106" t="str">
        <f>IF('Run CRS'!BQ51&lt;&gt;"",'Run CRS'!BQ51,"")</f>
        <v/>
      </c>
      <c r="T51" s="106">
        <f>IF('Run CRS'!BR51&lt;&gt;"",'Run CRS'!BR51,"")</f>
        <v>-1.8458229718360704</v>
      </c>
      <c r="U51" s="105">
        <f>IF('Run CRS'!BS51&lt;&gt;"",'Run CRS'!BS51,"")</f>
        <v>-4.4475462652203562E-3</v>
      </c>
      <c r="V51" s="105" t="str">
        <f>IF('Run CRS'!BT51&lt;&gt;"",'Run CRS'!BT51,"")</f>
        <v/>
      </c>
      <c r="W51" s="105" t="str">
        <f>IF('Run CRS'!BU51&lt;&gt;"",'Run CRS'!BU51,"")</f>
        <v/>
      </c>
      <c r="X51" s="107" t="str">
        <f>IF('Run CRS'!BV51&lt;&gt;"",'Run CRS'!BV51,"")</f>
        <v/>
      </c>
      <c r="Y51" s="114">
        <f>IF('Data input'!C51&lt;&gt;"",O51/'Data input'!C51*100%,"")</f>
        <v>3.2368636806183503E-3</v>
      </c>
      <c r="Z51" s="114" t="str">
        <f>IF('Data input'!D51&lt;&gt;"",P51/'Data input'!D51*100%,"")</f>
        <v/>
      </c>
      <c r="AA51" s="114" t="str">
        <f>IF('Data input'!E51&lt;&gt;"",Q51/'Data input'!E51*100%,"")</f>
        <v/>
      </c>
      <c r="AB51" s="114" t="str">
        <f>IF('Data input'!F51&lt;&gt;"",R51/'Data input'!F51*100%,"")</f>
        <v/>
      </c>
      <c r="AC51" s="114" t="str">
        <f>IF('Data input'!G51&lt;&gt;"",S51/'Data input'!G51*100%,"")</f>
        <v/>
      </c>
      <c r="AD51" s="114">
        <f>IF('Data input'!H51&lt;&gt;"",T51/'Data input'!H51*100%,"")</f>
        <v>-0.86190351671437693</v>
      </c>
      <c r="AE51" s="114">
        <f>IF('Data input'!I51&lt;&gt;"",U51/'Data input'!I51*100%,"")</f>
        <v>-0.16801315731699454</v>
      </c>
      <c r="AF51" s="114" t="str">
        <f>IF('Data input'!J51&lt;&gt;"",V51/'Data input'!J51*100%,"")</f>
        <v/>
      </c>
      <c r="AG51" s="114" t="str">
        <f>IF('Data input'!K51&lt;&gt;"",W51/'Data input'!K51*100%,"")</f>
        <v/>
      </c>
      <c r="AH51" s="115" t="str">
        <f>IF('Data input'!L51&lt;&gt;"",X51/'Data input'!L51*100%,"")</f>
        <v/>
      </c>
      <c r="AI51" s="114">
        <f>IF('Data input'!C51&lt;&gt;"",'Run CRS'!AH51/'Run CRS'!C51,"")</f>
        <v>1.8603423790330906E-2</v>
      </c>
      <c r="AJ51" s="114" t="str">
        <f>IF('Data input'!D51&lt;&gt;"",'Run CRS'!AI51/'Run CRS'!D51,"")</f>
        <v/>
      </c>
      <c r="AK51" s="114" t="str">
        <f>IF('Data input'!E51&lt;&gt;"",'Run CRS'!AJ51/'Run CRS'!E51,"")</f>
        <v/>
      </c>
      <c r="AL51" s="114" t="str">
        <f>IF('Data input'!F51&lt;&gt;"",'Run CRS'!AK51/'Run CRS'!F51,"")</f>
        <v/>
      </c>
      <c r="AM51" s="114" t="str">
        <f>IF('Data input'!G51&lt;&gt;"",'Run CRS'!AL51/'Run CRS'!G51,"")</f>
        <v/>
      </c>
      <c r="AN51" s="114">
        <f>IF('Data input'!H51&lt;&gt;"",'Run CRS'!AM51/'Run CRS'!H51,"")</f>
        <v>7.8134525175233532E-2</v>
      </c>
      <c r="AO51" s="114">
        <f>IF('Data input'!I51&lt;&gt;"",'Run CRS'!AN51/'Run CRS'!I51,"")</f>
        <v>6.3193425416445459E-2</v>
      </c>
      <c r="AP51" s="114" t="str">
        <f>IF('Data input'!J51&lt;&gt;"",'Run CRS'!AO51/'Run CRS'!J51,"")</f>
        <v/>
      </c>
      <c r="AQ51" s="114" t="str">
        <f>IF('Data input'!K51&lt;&gt;"",'Run CRS'!AP51/'Run CRS'!K51,"")</f>
        <v/>
      </c>
      <c r="AR51" s="115" t="str">
        <f>IF('Data input'!L51&lt;&gt;"",'Run CRS'!AQ51/'Run CRS'!L51,"")</f>
        <v/>
      </c>
    </row>
    <row r="52" spans="1:44" x14ac:dyDescent="0.35">
      <c r="A52" s="102">
        <f>IF('Run CRS'!AF52&lt;&gt;"",'Run CRS'!AF52,"")</f>
        <v>50</v>
      </c>
      <c r="B52" s="103" t="str">
        <f>IF('Run CRS'!AG52&lt;&gt;"",'Run CRS'!AG52,"")</f>
        <v>Wyoming</v>
      </c>
      <c r="C52" s="104">
        <f>IF('Run CRS'!AR52&lt;&gt;"",'Run CRS'!AR52,"")</f>
        <v>0.36564794130570627</v>
      </c>
      <c r="D52" s="104" t="str">
        <f>IF(ROUND(C52,3)=100%,"Optimal frontier",'Run CRS'!BW52)</f>
        <v xml:space="preserve">Texas; </v>
      </c>
      <c r="E52" s="105">
        <f>IF('Run CRS'!BC52&lt;&gt;"",'Run CRS'!BC52,"")</f>
        <v>0.98812272119936595</v>
      </c>
      <c r="F52" s="106" t="str">
        <f>IF('Run CRS'!BD52&lt;&gt;"",'Run CRS'!BD52,"")</f>
        <v/>
      </c>
      <c r="G52" s="106" t="str">
        <f>IF('Run CRS'!BE52&lt;&gt;"",'Run CRS'!BE52,"")</f>
        <v/>
      </c>
      <c r="H52" s="106" t="str">
        <f>IF('Run CRS'!BF52&lt;&gt;"",'Run CRS'!BF52,"")</f>
        <v/>
      </c>
      <c r="I52" s="106" t="str">
        <f>IF('Run CRS'!BG52&lt;&gt;"",'Run CRS'!BG52,"")</f>
        <v/>
      </c>
      <c r="J52" s="106">
        <f>IF('Run CRS'!BH52&lt;&gt;"",'Run CRS'!BH52,"")</f>
        <v>0.29574268608399812</v>
      </c>
      <c r="K52" s="105">
        <f>IF('Run CRS'!BI52&lt;&gt;"",'Run CRS'!BI52,"")</f>
        <v>4.5828576871705662E-2</v>
      </c>
      <c r="L52" s="105" t="str">
        <f>IF('Run CRS'!BJ52&lt;&gt;"",'Run CRS'!BJ52,"")</f>
        <v/>
      </c>
      <c r="M52" s="105" t="str">
        <f>IF('Run CRS'!BK52&lt;&gt;"",'Run CRS'!BK52,"")</f>
        <v/>
      </c>
      <c r="N52" s="105" t="str">
        <f>IF('Run CRS'!BL52&lt;&gt;"",'Run CRS'!BL52,"")</f>
        <v/>
      </c>
      <c r="O52" s="105">
        <f>IF('Run CRS'!BM52&lt;&gt;"",'Run CRS'!BM52,"")</f>
        <v>5.9994395003860723E-2</v>
      </c>
      <c r="P52" s="106" t="str">
        <f>IF('Run CRS'!BN52&lt;&gt;"",'Run CRS'!BN52,"")</f>
        <v/>
      </c>
      <c r="Q52" s="106" t="str">
        <f>IF('Run CRS'!BO52&lt;&gt;"",'Run CRS'!BO52,"")</f>
        <v/>
      </c>
      <c r="R52" s="106" t="str">
        <f>IF('Run CRS'!BP52&lt;&gt;"",'Run CRS'!BP52,"")</f>
        <v/>
      </c>
      <c r="S52" s="106" t="str">
        <f>IF('Run CRS'!BQ52&lt;&gt;"",'Run CRS'!BQ52,"")</f>
        <v/>
      </c>
      <c r="T52" s="106">
        <f>IF('Run CRS'!BR52&lt;&gt;"",'Run CRS'!BR52,"")</f>
        <v>-50.227689182227103</v>
      </c>
      <c r="U52" s="105">
        <f>IF('Run CRS'!BS52&lt;&gt;"",'Run CRS'!BS52,"")</f>
        <v>-9.5192166959831917E-3</v>
      </c>
      <c r="V52" s="105" t="str">
        <f>IF('Run CRS'!BT52&lt;&gt;"",'Run CRS'!BT52,"")</f>
        <v/>
      </c>
      <c r="W52" s="105" t="str">
        <f>IF('Run CRS'!BU52&lt;&gt;"",'Run CRS'!BU52,"")</f>
        <v/>
      </c>
      <c r="X52" s="107" t="str">
        <f>IF('Run CRS'!BV52&lt;&gt;"",'Run CRS'!BV52,"")</f>
        <v/>
      </c>
      <c r="Y52" s="114">
        <f>IF('Data input'!C52&lt;&gt;"",O52/'Data input'!C52*100%,"")</f>
        <v>6.4640193937172463E-2</v>
      </c>
      <c r="Z52" s="114" t="str">
        <f>IF('Data input'!D52&lt;&gt;"",P52/'Data input'!D52*100%,"")</f>
        <v/>
      </c>
      <c r="AA52" s="114" t="str">
        <f>IF('Data input'!E52&lt;&gt;"",Q52/'Data input'!E52*100%,"")</f>
        <v/>
      </c>
      <c r="AB52" s="114" t="str">
        <f>IF('Data input'!F52&lt;&gt;"",R52/'Data input'!F52*100%,"")</f>
        <v/>
      </c>
      <c r="AC52" s="114" t="str">
        <f>IF('Data input'!G52&lt;&gt;"",S52/'Data input'!G52*100%,"")</f>
        <v/>
      </c>
      <c r="AD52" s="114">
        <f>IF('Data input'!H52&lt;&gt;"",T52/'Data input'!H52*100%,"")</f>
        <v>-0.9941464252298845</v>
      </c>
      <c r="AE52" s="114">
        <f>IF('Data input'!I52&lt;&gt;"",U52/'Data input'!I52*100%,"")</f>
        <v>-0.17198909084499361</v>
      </c>
      <c r="AF52" s="114" t="str">
        <f>IF('Data input'!J52&lt;&gt;"",V52/'Data input'!J52*100%,"")</f>
        <v/>
      </c>
      <c r="AG52" s="114" t="str">
        <f>IF('Data input'!K52&lt;&gt;"",W52/'Data input'!K52*100%,"")</f>
        <v/>
      </c>
      <c r="AH52" s="115" t="str">
        <f>IF('Data input'!L52&lt;&gt;"",X52/'Data input'!L52*100%,"")</f>
        <v/>
      </c>
      <c r="AI52" s="114">
        <f>IF('Data input'!C52&lt;&gt;"",'Run CRS'!AH52/'Run CRS'!C52,"")</f>
        <v>0.52918414544839165</v>
      </c>
      <c r="AJ52" s="114" t="str">
        <f>IF('Data input'!D52&lt;&gt;"",'Run CRS'!AI52/'Run CRS'!D52,"")</f>
        <v/>
      </c>
      <c r="AK52" s="114" t="str">
        <f>IF('Data input'!E52&lt;&gt;"",'Run CRS'!AJ52/'Run CRS'!E52,"")</f>
        <v/>
      </c>
      <c r="AL52" s="114" t="str">
        <f>IF('Data input'!F52&lt;&gt;"",'Run CRS'!AK52/'Run CRS'!F52,"")</f>
        <v/>
      </c>
      <c r="AM52" s="114" t="str">
        <f>IF('Data input'!G52&lt;&gt;"",'Run CRS'!AL52/'Run CRS'!G52,"")</f>
        <v/>
      </c>
      <c r="AN52" s="114">
        <f>IF('Data input'!H52&lt;&gt;"",'Run CRS'!AM52/'Run CRS'!H52,"")</f>
        <v>0.6975533151000809</v>
      </c>
      <c r="AO52" s="114">
        <f>IF('Data input'!I52&lt;&gt;"",'Run CRS'!AN52/'Run CRS'!I52,"")</f>
        <v>9.5905448341357738E-2</v>
      </c>
      <c r="AP52" s="114" t="str">
        <f>IF('Data input'!J52&lt;&gt;"",'Run CRS'!AO52/'Run CRS'!J52,"")</f>
        <v/>
      </c>
      <c r="AQ52" s="114" t="str">
        <f>IF('Data input'!K52&lt;&gt;"",'Run CRS'!AP52/'Run CRS'!K52,"")</f>
        <v/>
      </c>
      <c r="AR52" s="115" t="str">
        <f>IF('Data input'!L52&lt;&gt;"",'Run CRS'!AQ52/'Run CRS'!L52,"")</f>
        <v/>
      </c>
    </row>
    <row r="53" spans="1:44" x14ac:dyDescent="0.35">
      <c r="A53" s="102" t="str">
        <f>IF('Run CRS'!AF53&lt;&gt;"",'Run CRS'!AF53,"")</f>
        <v/>
      </c>
      <c r="B53" s="103" t="str">
        <f>IF('Run CRS'!AG53&lt;&gt;"",'Run CRS'!AG53,"")</f>
        <v/>
      </c>
      <c r="C53" s="104" t="str">
        <f>IF('Run CRS'!AR53&lt;&gt;"",'Run CRS'!AR53,"")</f>
        <v/>
      </c>
      <c r="D53" s="104" t="e">
        <f>IF(ROUND(C53,3)=100%,"Optimal frontier",'Run CRS'!BW53)</f>
        <v>#VALUE!</v>
      </c>
      <c r="E53" s="105" t="str">
        <f>IF('Run CRS'!BC53&lt;&gt;"",'Run CRS'!BC53,"")</f>
        <v/>
      </c>
      <c r="F53" s="106" t="str">
        <f>IF('Run CRS'!BD53&lt;&gt;"",'Run CRS'!BD53,"")</f>
        <v/>
      </c>
      <c r="G53" s="106" t="str">
        <f>IF('Run CRS'!BE53&lt;&gt;"",'Run CRS'!BE53,"")</f>
        <v/>
      </c>
      <c r="H53" s="106" t="str">
        <f>IF('Run CRS'!BF53&lt;&gt;"",'Run CRS'!BF53,"")</f>
        <v/>
      </c>
      <c r="I53" s="106" t="str">
        <f>IF('Run CRS'!BG53&lt;&gt;"",'Run CRS'!BG53,"")</f>
        <v/>
      </c>
      <c r="J53" s="106" t="str">
        <f>IF('Run CRS'!BH53&lt;&gt;"",'Run CRS'!BH53,"")</f>
        <v/>
      </c>
      <c r="K53" s="105" t="str">
        <f>IF('Run CRS'!BI53&lt;&gt;"",'Run CRS'!BI53,"")</f>
        <v/>
      </c>
      <c r="L53" s="105" t="str">
        <f>IF('Run CRS'!BJ53&lt;&gt;"",'Run CRS'!BJ53,"")</f>
        <v/>
      </c>
      <c r="M53" s="105" t="str">
        <f>IF('Run CRS'!BK53&lt;&gt;"",'Run CRS'!BK53,"")</f>
        <v/>
      </c>
      <c r="N53" s="105" t="str">
        <f>IF('Run CRS'!BL53&lt;&gt;"",'Run CRS'!BL53,"")</f>
        <v/>
      </c>
      <c r="O53" s="105" t="str">
        <f>IF('Run CRS'!BM53&lt;&gt;"",'Run CRS'!BM53,"")</f>
        <v/>
      </c>
      <c r="P53" s="106" t="str">
        <f>IF('Run CRS'!BN53&lt;&gt;"",'Run CRS'!BN53,"")</f>
        <v/>
      </c>
      <c r="Q53" s="106" t="str">
        <f>IF('Run CRS'!BO53&lt;&gt;"",'Run CRS'!BO53,"")</f>
        <v/>
      </c>
      <c r="R53" s="106" t="str">
        <f>IF('Run CRS'!BP53&lt;&gt;"",'Run CRS'!BP53,"")</f>
        <v/>
      </c>
      <c r="S53" s="106" t="str">
        <f>IF('Run CRS'!BQ53&lt;&gt;"",'Run CRS'!BQ53,"")</f>
        <v/>
      </c>
      <c r="T53" s="106" t="str">
        <f>IF('Run CRS'!BR53&lt;&gt;"",'Run CRS'!BR53,"")</f>
        <v/>
      </c>
      <c r="U53" s="105" t="str">
        <f>IF('Run CRS'!BS53&lt;&gt;"",'Run CRS'!BS53,"")</f>
        <v/>
      </c>
      <c r="V53" s="105" t="str">
        <f>IF('Run CRS'!BT53&lt;&gt;"",'Run CRS'!BT53,"")</f>
        <v/>
      </c>
      <c r="W53" s="105" t="str">
        <f>IF('Run CRS'!BU53&lt;&gt;"",'Run CRS'!BU53,"")</f>
        <v/>
      </c>
      <c r="X53" s="107" t="str">
        <f>IF('Run CRS'!BV53&lt;&gt;"",'Run CRS'!BV53,"")</f>
        <v/>
      </c>
      <c r="Y53" s="114" t="str">
        <f>IF('Data input'!C53&lt;&gt;"",O53/'Data input'!C53*100%,"")</f>
        <v/>
      </c>
      <c r="Z53" s="114" t="str">
        <f>IF('Data input'!D53&lt;&gt;"",P53/'Data input'!D53*100%,"")</f>
        <v/>
      </c>
      <c r="AA53" s="114" t="str">
        <f>IF('Data input'!E53&lt;&gt;"",Q53/'Data input'!E53*100%,"")</f>
        <v/>
      </c>
      <c r="AB53" s="114" t="str">
        <f>IF('Data input'!F53&lt;&gt;"",R53/'Data input'!F53*100%,"")</f>
        <v/>
      </c>
      <c r="AC53" s="114" t="str">
        <f>IF('Data input'!G53&lt;&gt;"",S53/'Data input'!G53*100%,"")</f>
        <v/>
      </c>
      <c r="AD53" s="114" t="str">
        <f>IF('Data input'!H53&lt;&gt;"",T53/'Data input'!H53*100%,"")</f>
        <v/>
      </c>
      <c r="AE53" s="114" t="str">
        <f>IF('Data input'!I53&lt;&gt;"",U53/'Data input'!I53*100%,"")</f>
        <v/>
      </c>
      <c r="AF53" s="114" t="str">
        <f>IF('Data input'!J53&lt;&gt;"",V53/'Data input'!J53*100%,"")</f>
        <v/>
      </c>
      <c r="AG53" s="114" t="str">
        <f>IF('Data input'!K53&lt;&gt;"",W53/'Data input'!K53*100%,"")</f>
        <v/>
      </c>
      <c r="AH53" s="115" t="str">
        <f>IF('Data input'!L53&lt;&gt;"",X53/'Data input'!L53*100%,"")</f>
        <v/>
      </c>
      <c r="AI53" s="114" t="str">
        <f>IF('Data input'!C53&lt;&gt;"",'Run CRS'!AH53/'Run CRS'!C53,"")</f>
        <v/>
      </c>
      <c r="AJ53" s="114" t="str">
        <f>IF('Data input'!D53&lt;&gt;"",'Run CRS'!AI53/'Run CRS'!D53,"")</f>
        <v/>
      </c>
      <c r="AK53" s="114" t="str">
        <f>IF('Data input'!E53&lt;&gt;"",'Run CRS'!AJ53/'Run CRS'!E53,"")</f>
        <v/>
      </c>
      <c r="AL53" s="114" t="str">
        <f>IF('Data input'!F53&lt;&gt;"",'Run CRS'!AK53/'Run CRS'!F53,"")</f>
        <v/>
      </c>
      <c r="AM53" s="114" t="str">
        <f>IF('Data input'!G53&lt;&gt;"",'Run CRS'!AL53/'Run CRS'!G53,"")</f>
        <v/>
      </c>
      <c r="AN53" s="114" t="str">
        <f>IF('Data input'!H53&lt;&gt;"",'Run CRS'!AM53/'Run CRS'!H53,"")</f>
        <v/>
      </c>
      <c r="AO53" s="114" t="str">
        <f>IF('Data input'!I53&lt;&gt;"",'Run CRS'!AN53/'Run CRS'!I53,"")</f>
        <v/>
      </c>
      <c r="AP53" s="114" t="str">
        <f>IF('Data input'!J53&lt;&gt;"",'Run CRS'!AO53/'Run CRS'!J53,"")</f>
        <v/>
      </c>
      <c r="AQ53" s="114" t="str">
        <f>IF('Data input'!K53&lt;&gt;"",'Run CRS'!AP53/'Run CRS'!K53,"")</f>
        <v/>
      </c>
      <c r="AR53" s="115" t="str">
        <f>IF('Data input'!L53&lt;&gt;"",'Run CRS'!AQ53/'Run CRS'!L53,"")</f>
        <v/>
      </c>
    </row>
    <row r="54" spans="1:44" x14ac:dyDescent="0.35">
      <c r="A54" s="102" t="str">
        <f>IF('Run CRS'!AF54&lt;&gt;"",'Run CRS'!AF54,"")</f>
        <v/>
      </c>
      <c r="B54" s="103" t="str">
        <f>IF('Run CRS'!AG54&lt;&gt;"",'Run CRS'!AG54,"")</f>
        <v/>
      </c>
      <c r="C54" s="104" t="str">
        <f>IF('Run CRS'!AR54&lt;&gt;"",'Run CRS'!AR54,"")</f>
        <v/>
      </c>
      <c r="D54" s="104" t="e">
        <f>IF(ROUND(C54,3)=100%,"Optimal frontier",'Run CRS'!BW54)</f>
        <v>#VALUE!</v>
      </c>
      <c r="E54" s="105" t="str">
        <f>IF('Run CRS'!BC54&lt;&gt;"",'Run CRS'!BC54,"")</f>
        <v/>
      </c>
      <c r="F54" s="106" t="str">
        <f>IF('Run CRS'!BD54&lt;&gt;"",'Run CRS'!BD54,"")</f>
        <v/>
      </c>
      <c r="G54" s="106" t="str">
        <f>IF('Run CRS'!BE54&lt;&gt;"",'Run CRS'!BE54,"")</f>
        <v/>
      </c>
      <c r="H54" s="106" t="str">
        <f>IF('Run CRS'!BF54&lt;&gt;"",'Run CRS'!BF54,"")</f>
        <v/>
      </c>
      <c r="I54" s="106" t="str">
        <f>IF('Run CRS'!BG54&lt;&gt;"",'Run CRS'!BG54,"")</f>
        <v/>
      </c>
      <c r="J54" s="106" t="str">
        <f>IF('Run CRS'!BH54&lt;&gt;"",'Run CRS'!BH54,"")</f>
        <v/>
      </c>
      <c r="K54" s="105" t="str">
        <f>IF('Run CRS'!BI54&lt;&gt;"",'Run CRS'!BI54,"")</f>
        <v/>
      </c>
      <c r="L54" s="105" t="str">
        <f>IF('Run CRS'!BJ54&lt;&gt;"",'Run CRS'!BJ54,"")</f>
        <v/>
      </c>
      <c r="M54" s="105" t="str">
        <f>IF('Run CRS'!BK54&lt;&gt;"",'Run CRS'!BK54,"")</f>
        <v/>
      </c>
      <c r="N54" s="105" t="str">
        <f>IF('Run CRS'!BL54&lt;&gt;"",'Run CRS'!BL54,"")</f>
        <v/>
      </c>
      <c r="O54" s="105" t="str">
        <f>IF('Run CRS'!BM54&lt;&gt;"",'Run CRS'!BM54,"")</f>
        <v/>
      </c>
      <c r="P54" s="106" t="str">
        <f>IF('Run CRS'!BN54&lt;&gt;"",'Run CRS'!BN54,"")</f>
        <v/>
      </c>
      <c r="Q54" s="106" t="str">
        <f>IF('Run CRS'!BO54&lt;&gt;"",'Run CRS'!BO54,"")</f>
        <v/>
      </c>
      <c r="R54" s="106" t="str">
        <f>IF('Run CRS'!BP54&lt;&gt;"",'Run CRS'!BP54,"")</f>
        <v/>
      </c>
      <c r="S54" s="106" t="str">
        <f>IF('Run CRS'!BQ54&lt;&gt;"",'Run CRS'!BQ54,"")</f>
        <v/>
      </c>
      <c r="T54" s="106" t="str">
        <f>IF('Run CRS'!BR54&lt;&gt;"",'Run CRS'!BR54,"")</f>
        <v/>
      </c>
      <c r="U54" s="105" t="str">
        <f>IF('Run CRS'!BS54&lt;&gt;"",'Run CRS'!BS54,"")</f>
        <v/>
      </c>
      <c r="V54" s="105" t="str">
        <f>IF('Run CRS'!BT54&lt;&gt;"",'Run CRS'!BT54,"")</f>
        <v/>
      </c>
      <c r="W54" s="105" t="str">
        <f>IF('Run CRS'!BU54&lt;&gt;"",'Run CRS'!BU54,"")</f>
        <v/>
      </c>
      <c r="X54" s="107" t="str">
        <f>IF('Run CRS'!BV54&lt;&gt;"",'Run CRS'!BV54,"")</f>
        <v/>
      </c>
      <c r="Y54" s="114" t="str">
        <f>IF('Data input'!C54&lt;&gt;"",O54/'Data input'!C54*100%,"")</f>
        <v/>
      </c>
      <c r="Z54" s="114" t="str">
        <f>IF('Data input'!D54&lt;&gt;"",P54/'Data input'!D54*100%,"")</f>
        <v/>
      </c>
      <c r="AA54" s="114" t="str">
        <f>IF('Data input'!E54&lt;&gt;"",Q54/'Data input'!E54*100%,"")</f>
        <v/>
      </c>
      <c r="AB54" s="114" t="str">
        <f>IF('Data input'!F54&lt;&gt;"",R54/'Data input'!F54*100%,"")</f>
        <v/>
      </c>
      <c r="AC54" s="114" t="str">
        <f>IF('Data input'!G54&lt;&gt;"",S54/'Data input'!G54*100%,"")</f>
        <v/>
      </c>
      <c r="AD54" s="114" t="str">
        <f>IF('Data input'!H54&lt;&gt;"",T54/'Data input'!H54*100%,"")</f>
        <v/>
      </c>
      <c r="AE54" s="114" t="str">
        <f>IF('Data input'!I54&lt;&gt;"",U54/'Data input'!I54*100%,"")</f>
        <v/>
      </c>
      <c r="AF54" s="114" t="str">
        <f>IF('Data input'!J54&lt;&gt;"",V54/'Data input'!J54*100%,"")</f>
        <v/>
      </c>
      <c r="AG54" s="114" t="str">
        <f>IF('Data input'!K54&lt;&gt;"",W54/'Data input'!K54*100%,"")</f>
        <v/>
      </c>
      <c r="AH54" s="115" t="str">
        <f>IF('Data input'!L54&lt;&gt;"",X54/'Data input'!L54*100%,"")</f>
        <v/>
      </c>
      <c r="AI54" s="114" t="str">
        <f>IF('Data input'!C54&lt;&gt;"",'Run CRS'!AH54/'Run CRS'!C54,"")</f>
        <v/>
      </c>
      <c r="AJ54" s="114" t="str">
        <f>IF('Data input'!D54&lt;&gt;"",'Run CRS'!AI54/'Run CRS'!D54,"")</f>
        <v/>
      </c>
      <c r="AK54" s="114" t="str">
        <f>IF('Data input'!E54&lt;&gt;"",'Run CRS'!AJ54/'Run CRS'!E54,"")</f>
        <v/>
      </c>
      <c r="AL54" s="114" t="str">
        <f>IF('Data input'!F54&lt;&gt;"",'Run CRS'!AK54/'Run CRS'!F54,"")</f>
        <v/>
      </c>
      <c r="AM54" s="114" t="str">
        <f>IF('Data input'!G54&lt;&gt;"",'Run CRS'!AL54/'Run CRS'!G54,"")</f>
        <v/>
      </c>
      <c r="AN54" s="114" t="str">
        <f>IF('Data input'!H54&lt;&gt;"",'Run CRS'!AM54/'Run CRS'!H54,"")</f>
        <v/>
      </c>
      <c r="AO54" s="114" t="str">
        <f>IF('Data input'!I54&lt;&gt;"",'Run CRS'!AN54/'Run CRS'!I54,"")</f>
        <v/>
      </c>
      <c r="AP54" s="114" t="str">
        <f>IF('Data input'!J54&lt;&gt;"",'Run CRS'!AO54/'Run CRS'!J54,"")</f>
        <v/>
      </c>
      <c r="AQ54" s="114" t="str">
        <f>IF('Data input'!K54&lt;&gt;"",'Run CRS'!AP54/'Run CRS'!K54,"")</f>
        <v/>
      </c>
      <c r="AR54" s="115" t="str">
        <f>IF('Data input'!L54&lt;&gt;"",'Run CRS'!AQ54/'Run CRS'!L54,"")</f>
        <v/>
      </c>
    </row>
    <row r="55" spans="1:44" x14ac:dyDescent="0.35">
      <c r="A55" s="102" t="str">
        <f>IF('Run CRS'!AF55&lt;&gt;"",'Run CRS'!AF55,"")</f>
        <v/>
      </c>
      <c r="B55" s="103" t="str">
        <f>IF('Run CRS'!AG55&lt;&gt;"",'Run CRS'!AG55,"")</f>
        <v/>
      </c>
      <c r="C55" s="104" t="str">
        <f>IF('Run CRS'!AR55&lt;&gt;"",'Run CRS'!AR55,"")</f>
        <v/>
      </c>
      <c r="D55" s="104" t="e">
        <f>IF(ROUND(C55,3)=100%,"Optimal frontier",'Run CRS'!BW55)</f>
        <v>#VALUE!</v>
      </c>
      <c r="E55" s="105" t="str">
        <f>IF('Run CRS'!BC55&lt;&gt;"",'Run CRS'!BC55,"")</f>
        <v/>
      </c>
      <c r="F55" s="106" t="str">
        <f>IF('Run CRS'!BD55&lt;&gt;"",'Run CRS'!BD55,"")</f>
        <v/>
      </c>
      <c r="G55" s="106" t="str">
        <f>IF('Run CRS'!BE55&lt;&gt;"",'Run CRS'!BE55,"")</f>
        <v/>
      </c>
      <c r="H55" s="106" t="str">
        <f>IF('Run CRS'!BF55&lt;&gt;"",'Run CRS'!BF55,"")</f>
        <v/>
      </c>
      <c r="I55" s="106" t="str">
        <f>IF('Run CRS'!BG55&lt;&gt;"",'Run CRS'!BG55,"")</f>
        <v/>
      </c>
      <c r="J55" s="106" t="str">
        <f>IF('Run CRS'!BH55&lt;&gt;"",'Run CRS'!BH55,"")</f>
        <v/>
      </c>
      <c r="K55" s="105" t="str">
        <f>IF('Run CRS'!BI55&lt;&gt;"",'Run CRS'!BI55,"")</f>
        <v/>
      </c>
      <c r="L55" s="105" t="str">
        <f>IF('Run CRS'!BJ55&lt;&gt;"",'Run CRS'!BJ55,"")</f>
        <v/>
      </c>
      <c r="M55" s="105" t="str">
        <f>IF('Run CRS'!BK55&lt;&gt;"",'Run CRS'!BK55,"")</f>
        <v/>
      </c>
      <c r="N55" s="105" t="str">
        <f>IF('Run CRS'!BL55&lt;&gt;"",'Run CRS'!BL55,"")</f>
        <v/>
      </c>
      <c r="O55" s="105" t="str">
        <f>IF('Run CRS'!BM55&lt;&gt;"",'Run CRS'!BM55,"")</f>
        <v/>
      </c>
      <c r="P55" s="106" t="str">
        <f>IF('Run CRS'!BN55&lt;&gt;"",'Run CRS'!BN55,"")</f>
        <v/>
      </c>
      <c r="Q55" s="106" t="str">
        <f>IF('Run CRS'!BO55&lt;&gt;"",'Run CRS'!BO55,"")</f>
        <v/>
      </c>
      <c r="R55" s="106" t="str">
        <f>IF('Run CRS'!BP55&lt;&gt;"",'Run CRS'!BP55,"")</f>
        <v/>
      </c>
      <c r="S55" s="106" t="str">
        <f>IF('Run CRS'!BQ55&lt;&gt;"",'Run CRS'!BQ55,"")</f>
        <v/>
      </c>
      <c r="T55" s="106" t="str">
        <f>IF('Run CRS'!BR55&lt;&gt;"",'Run CRS'!BR55,"")</f>
        <v/>
      </c>
      <c r="U55" s="105" t="str">
        <f>IF('Run CRS'!BS55&lt;&gt;"",'Run CRS'!BS55,"")</f>
        <v/>
      </c>
      <c r="V55" s="105" t="str">
        <f>IF('Run CRS'!BT55&lt;&gt;"",'Run CRS'!BT55,"")</f>
        <v/>
      </c>
      <c r="W55" s="105" t="str">
        <f>IF('Run CRS'!BU55&lt;&gt;"",'Run CRS'!BU55,"")</f>
        <v/>
      </c>
      <c r="X55" s="107" t="str">
        <f>IF('Run CRS'!BV55&lt;&gt;"",'Run CRS'!BV55,"")</f>
        <v/>
      </c>
      <c r="Y55" s="114" t="str">
        <f>IF('Data input'!C55&lt;&gt;"",O55/'Data input'!C55*100%,"")</f>
        <v/>
      </c>
      <c r="Z55" s="114" t="str">
        <f>IF('Data input'!D55&lt;&gt;"",P55/'Data input'!D55*100%,"")</f>
        <v/>
      </c>
      <c r="AA55" s="114" t="str">
        <f>IF('Data input'!E55&lt;&gt;"",Q55/'Data input'!E55*100%,"")</f>
        <v/>
      </c>
      <c r="AB55" s="114" t="str">
        <f>IF('Data input'!F55&lt;&gt;"",R55/'Data input'!F55*100%,"")</f>
        <v/>
      </c>
      <c r="AC55" s="114" t="str">
        <f>IF('Data input'!G55&lt;&gt;"",S55/'Data input'!G55*100%,"")</f>
        <v/>
      </c>
      <c r="AD55" s="114" t="str">
        <f>IF('Data input'!H55&lt;&gt;"",T55/'Data input'!H55*100%,"")</f>
        <v/>
      </c>
      <c r="AE55" s="114" t="str">
        <f>IF('Data input'!I55&lt;&gt;"",U55/'Data input'!I55*100%,"")</f>
        <v/>
      </c>
      <c r="AF55" s="114" t="str">
        <f>IF('Data input'!J55&lt;&gt;"",V55/'Data input'!J55*100%,"")</f>
        <v/>
      </c>
      <c r="AG55" s="114" t="str">
        <f>IF('Data input'!K55&lt;&gt;"",W55/'Data input'!K55*100%,"")</f>
        <v/>
      </c>
      <c r="AH55" s="115" t="str">
        <f>IF('Data input'!L55&lt;&gt;"",X55/'Data input'!L55*100%,"")</f>
        <v/>
      </c>
      <c r="AI55" s="114" t="str">
        <f>IF('Data input'!C55&lt;&gt;"",'Run CRS'!AH55/'Run CRS'!C55,"")</f>
        <v/>
      </c>
      <c r="AJ55" s="114" t="str">
        <f>IF('Data input'!D55&lt;&gt;"",'Run CRS'!AI55/'Run CRS'!D55,"")</f>
        <v/>
      </c>
      <c r="AK55" s="114" t="str">
        <f>IF('Data input'!E55&lt;&gt;"",'Run CRS'!AJ55/'Run CRS'!E55,"")</f>
        <v/>
      </c>
      <c r="AL55" s="114" t="str">
        <f>IF('Data input'!F55&lt;&gt;"",'Run CRS'!AK55/'Run CRS'!F55,"")</f>
        <v/>
      </c>
      <c r="AM55" s="114" t="str">
        <f>IF('Data input'!G55&lt;&gt;"",'Run CRS'!AL55/'Run CRS'!G55,"")</f>
        <v/>
      </c>
      <c r="AN55" s="114" t="str">
        <f>IF('Data input'!H55&lt;&gt;"",'Run CRS'!AM55/'Run CRS'!H55,"")</f>
        <v/>
      </c>
      <c r="AO55" s="114" t="str">
        <f>IF('Data input'!I55&lt;&gt;"",'Run CRS'!AN55/'Run CRS'!I55,"")</f>
        <v/>
      </c>
      <c r="AP55" s="114" t="str">
        <f>IF('Data input'!J55&lt;&gt;"",'Run CRS'!AO55/'Run CRS'!J55,"")</f>
        <v/>
      </c>
      <c r="AQ55" s="114" t="str">
        <f>IF('Data input'!K55&lt;&gt;"",'Run CRS'!AP55/'Run CRS'!K55,"")</f>
        <v/>
      </c>
      <c r="AR55" s="115" t="str">
        <f>IF('Data input'!L55&lt;&gt;"",'Run CRS'!AQ55/'Run CRS'!L55,"")</f>
        <v/>
      </c>
    </row>
    <row r="56" spans="1:44" x14ac:dyDescent="0.35">
      <c r="A56" s="102" t="str">
        <f>IF('Run CRS'!AF56&lt;&gt;"",'Run CRS'!AF56,"")</f>
        <v/>
      </c>
      <c r="B56" s="103" t="str">
        <f>IF('Run CRS'!AG56&lt;&gt;"",'Run CRS'!AG56,"")</f>
        <v/>
      </c>
      <c r="C56" s="104" t="str">
        <f>IF('Run CRS'!AR56&lt;&gt;"",'Run CRS'!AR56,"")</f>
        <v/>
      </c>
      <c r="D56" s="104" t="e">
        <f>IF(ROUND(C56,3)=100%,"Optimal frontier",'Run CRS'!BW56)</f>
        <v>#VALUE!</v>
      </c>
      <c r="E56" s="105" t="str">
        <f>IF('Run CRS'!BC56&lt;&gt;"",'Run CRS'!BC56,"")</f>
        <v/>
      </c>
      <c r="F56" s="106" t="str">
        <f>IF('Run CRS'!BD56&lt;&gt;"",'Run CRS'!BD56,"")</f>
        <v/>
      </c>
      <c r="G56" s="106" t="str">
        <f>IF('Run CRS'!BE56&lt;&gt;"",'Run CRS'!BE56,"")</f>
        <v/>
      </c>
      <c r="H56" s="106" t="str">
        <f>IF('Run CRS'!BF56&lt;&gt;"",'Run CRS'!BF56,"")</f>
        <v/>
      </c>
      <c r="I56" s="106" t="str">
        <f>IF('Run CRS'!BG56&lt;&gt;"",'Run CRS'!BG56,"")</f>
        <v/>
      </c>
      <c r="J56" s="106" t="str">
        <f>IF('Run CRS'!BH56&lt;&gt;"",'Run CRS'!BH56,"")</f>
        <v/>
      </c>
      <c r="K56" s="105" t="str">
        <f>IF('Run CRS'!BI56&lt;&gt;"",'Run CRS'!BI56,"")</f>
        <v/>
      </c>
      <c r="L56" s="105" t="str">
        <f>IF('Run CRS'!BJ56&lt;&gt;"",'Run CRS'!BJ56,"")</f>
        <v/>
      </c>
      <c r="M56" s="105" t="str">
        <f>IF('Run CRS'!BK56&lt;&gt;"",'Run CRS'!BK56,"")</f>
        <v/>
      </c>
      <c r="N56" s="105" t="str">
        <f>IF('Run CRS'!BL56&lt;&gt;"",'Run CRS'!BL56,"")</f>
        <v/>
      </c>
      <c r="O56" s="105" t="str">
        <f>IF('Run CRS'!BM56&lt;&gt;"",'Run CRS'!BM56,"")</f>
        <v/>
      </c>
      <c r="P56" s="106" t="str">
        <f>IF('Run CRS'!BN56&lt;&gt;"",'Run CRS'!BN56,"")</f>
        <v/>
      </c>
      <c r="Q56" s="106" t="str">
        <f>IF('Run CRS'!BO56&lt;&gt;"",'Run CRS'!BO56,"")</f>
        <v/>
      </c>
      <c r="R56" s="106" t="str">
        <f>IF('Run CRS'!BP56&lt;&gt;"",'Run CRS'!BP56,"")</f>
        <v/>
      </c>
      <c r="S56" s="106" t="str">
        <f>IF('Run CRS'!BQ56&lt;&gt;"",'Run CRS'!BQ56,"")</f>
        <v/>
      </c>
      <c r="T56" s="106" t="str">
        <f>IF('Run CRS'!BR56&lt;&gt;"",'Run CRS'!BR56,"")</f>
        <v/>
      </c>
      <c r="U56" s="105" t="str">
        <f>IF('Run CRS'!BS56&lt;&gt;"",'Run CRS'!BS56,"")</f>
        <v/>
      </c>
      <c r="V56" s="105" t="str">
        <f>IF('Run CRS'!BT56&lt;&gt;"",'Run CRS'!BT56,"")</f>
        <v/>
      </c>
      <c r="W56" s="105" t="str">
        <f>IF('Run CRS'!BU56&lt;&gt;"",'Run CRS'!BU56,"")</f>
        <v/>
      </c>
      <c r="X56" s="107" t="str">
        <f>IF('Run CRS'!BV56&lt;&gt;"",'Run CRS'!BV56,"")</f>
        <v/>
      </c>
      <c r="Y56" s="114" t="str">
        <f>IF('Data input'!C56&lt;&gt;"",O56/'Data input'!C56*100%,"")</f>
        <v/>
      </c>
      <c r="Z56" s="114" t="str">
        <f>IF('Data input'!D56&lt;&gt;"",P56/'Data input'!D56*100%,"")</f>
        <v/>
      </c>
      <c r="AA56" s="114" t="str">
        <f>IF('Data input'!E56&lt;&gt;"",Q56/'Data input'!E56*100%,"")</f>
        <v/>
      </c>
      <c r="AB56" s="114" t="str">
        <f>IF('Data input'!F56&lt;&gt;"",R56/'Data input'!F56*100%,"")</f>
        <v/>
      </c>
      <c r="AC56" s="114" t="str">
        <f>IF('Data input'!G56&lt;&gt;"",S56/'Data input'!G56*100%,"")</f>
        <v/>
      </c>
      <c r="AD56" s="114" t="str">
        <f>IF('Data input'!H56&lt;&gt;"",T56/'Data input'!H56*100%,"")</f>
        <v/>
      </c>
      <c r="AE56" s="114" t="str">
        <f>IF('Data input'!I56&lt;&gt;"",U56/'Data input'!I56*100%,"")</f>
        <v/>
      </c>
      <c r="AF56" s="114" t="str">
        <f>IF('Data input'!J56&lt;&gt;"",V56/'Data input'!J56*100%,"")</f>
        <v/>
      </c>
      <c r="AG56" s="114" t="str">
        <f>IF('Data input'!K56&lt;&gt;"",W56/'Data input'!K56*100%,"")</f>
        <v/>
      </c>
      <c r="AH56" s="115" t="str">
        <f>IF('Data input'!L56&lt;&gt;"",X56/'Data input'!L56*100%,"")</f>
        <v/>
      </c>
      <c r="AI56" s="114" t="str">
        <f>IF('Data input'!C56&lt;&gt;"",'Run CRS'!AH56/'Run CRS'!C56,"")</f>
        <v/>
      </c>
      <c r="AJ56" s="114" t="str">
        <f>IF('Data input'!D56&lt;&gt;"",'Run CRS'!AI56/'Run CRS'!D56,"")</f>
        <v/>
      </c>
      <c r="AK56" s="114" t="str">
        <f>IF('Data input'!E56&lt;&gt;"",'Run CRS'!AJ56/'Run CRS'!E56,"")</f>
        <v/>
      </c>
      <c r="AL56" s="114" t="str">
        <f>IF('Data input'!F56&lt;&gt;"",'Run CRS'!AK56/'Run CRS'!F56,"")</f>
        <v/>
      </c>
      <c r="AM56" s="114" t="str">
        <f>IF('Data input'!G56&lt;&gt;"",'Run CRS'!AL56/'Run CRS'!G56,"")</f>
        <v/>
      </c>
      <c r="AN56" s="114" t="str">
        <f>IF('Data input'!H56&lt;&gt;"",'Run CRS'!AM56/'Run CRS'!H56,"")</f>
        <v/>
      </c>
      <c r="AO56" s="114" t="str">
        <f>IF('Data input'!I56&lt;&gt;"",'Run CRS'!AN56/'Run CRS'!I56,"")</f>
        <v/>
      </c>
      <c r="AP56" s="114" t="str">
        <f>IF('Data input'!J56&lt;&gt;"",'Run CRS'!AO56/'Run CRS'!J56,"")</f>
        <v/>
      </c>
      <c r="AQ56" s="114" t="str">
        <f>IF('Data input'!K56&lt;&gt;"",'Run CRS'!AP56/'Run CRS'!K56,"")</f>
        <v/>
      </c>
      <c r="AR56" s="115" t="str">
        <f>IF('Data input'!L56&lt;&gt;"",'Run CRS'!AQ56/'Run CRS'!L56,"")</f>
        <v/>
      </c>
    </row>
    <row r="57" spans="1:44" x14ac:dyDescent="0.35">
      <c r="A57" s="102" t="str">
        <f>IF('Run CRS'!AF57&lt;&gt;"",'Run CRS'!AF57,"")</f>
        <v/>
      </c>
      <c r="B57" s="103" t="str">
        <f>IF('Run CRS'!AG57&lt;&gt;"",'Run CRS'!AG57,"")</f>
        <v/>
      </c>
      <c r="C57" s="104" t="str">
        <f>IF('Run CRS'!AR57&lt;&gt;"",'Run CRS'!AR57,"")</f>
        <v/>
      </c>
      <c r="D57" s="104" t="e">
        <f>IF(ROUND(C57,3)=100%,"Optimal frontier",'Run CRS'!BW57)</f>
        <v>#VALUE!</v>
      </c>
      <c r="E57" s="105" t="str">
        <f>IF('Run CRS'!BC57&lt;&gt;"",'Run CRS'!BC57,"")</f>
        <v/>
      </c>
      <c r="F57" s="106" t="str">
        <f>IF('Run CRS'!BD57&lt;&gt;"",'Run CRS'!BD57,"")</f>
        <v/>
      </c>
      <c r="G57" s="106" t="str">
        <f>IF('Run CRS'!BE57&lt;&gt;"",'Run CRS'!BE57,"")</f>
        <v/>
      </c>
      <c r="H57" s="106" t="str">
        <f>IF('Run CRS'!BF57&lt;&gt;"",'Run CRS'!BF57,"")</f>
        <v/>
      </c>
      <c r="I57" s="106" t="str">
        <f>IF('Run CRS'!BG57&lt;&gt;"",'Run CRS'!BG57,"")</f>
        <v/>
      </c>
      <c r="J57" s="106" t="str">
        <f>IF('Run CRS'!BH57&lt;&gt;"",'Run CRS'!BH57,"")</f>
        <v/>
      </c>
      <c r="K57" s="105" t="str">
        <f>IF('Run CRS'!BI57&lt;&gt;"",'Run CRS'!BI57,"")</f>
        <v/>
      </c>
      <c r="L57" s="105" t="str">
        <f>IF('Run CRS'!BJ57&lt;&gt;"",'Run CRS'!BJ57,"")</f>
        <v/>
      </c>
      <c r="M57" s="105" t="str">
        <f>IF('Run CRS'!BK57&lt;&gt;"",'Run CRS'!BK57,"")</f>
        <v/>
      </c>
      <c r="N57" s="105" t="str">
        <f>IF('Run CRS'!BL57&lt;&gt;"",'Run CRS'!BL57,"")</f>
        <v/>
      </c>
      <c r="O57" s="105" t="str">
        <f>IF('Run CRS'!BM57&lt;&gt;"",'Run CRS'!BM57,"")</f>
        <v/>
      </c>
      <c r="P57" s="106" t="str">
        <f>IF('Run CRS'!BN57&lt;&gt;"",'Run CRS'!BN57,"")</f>
        <v/>
      </c>
      <c r="Q57" s="106" t="str">
        <f>IF('Run CRS'!BO57&lt;&gt;"",'Run CRS'!BO57,"")</f>
        <v/>
      </c>
      <c r="R57" s="106" t="str">
        <f>IF('Run CRS'!BP57&lt;&gt;"",'Run CRS'!BP57,"")</f>
        <v/>
      </c>
      <c r="S57" s="106" t="str">
        <f>IF('Run CRS'!BQ57&lt;&gt;"",'Run CRS'!BQ57,"")</f>
        <v/>
      </c>
      <c r="T57" s="106" t="str">
        <f>IF('Run CRS'!BR57&lt;&gt;"",'Run CRS'!BR57,"")</f>
        <v/>
      </c>
      <c r="U57" s="105" t="str">
        <f>IF('Run CRS'!BS57&lt;&gt;"",'Run CRS'!BS57,"")</f>
        <v/>
      </c>
      <c r="V57" s="105" t="str">
        <f>IF('Run CRS'!BT57&lt;&gt;"",'Run CRS'!BT57,"")</f>
        <v/>
      </c>
      <c r="W57" s="105" t="str">
        <f>IF('Run CRS'!BU57&lt;&gt;"",'Run CRS'!BU57,"")</f>
        <v/>
      </c>
      <c r="X57" s="107" t="str">
        <f>IF('Run CRS'!BV57&lt;&gt;"",'Run CRS'!BV57,"")</f>
        <v/>
      </c>
      <c r="Y57" s="114" t="str">
        <f>IF('Data input'!C57&lt;&gt;"",O57/'Data input'!C57*100%,"")</f>
        <v/>
      </c>
      <c r="Z57" s="114" t="str">
        <f>IF('Data input'!D57&lt;&gt;"",P57/'Data input'!D57*100%,"")</f>
        <v/>
      </c>
      <c r="AA57" s="114" t="str">
        <f>IF('Data input'!E57&lt;&gt;"",Q57/'Data input'!E57*100%,"")</f>
        <v/>
      </c>
      <c r="AB57" s="114" t="str">
        <f>IF('Data input'!F57&lt;&gt;"",R57/'Data input'!F57*100%,"")</f>
        <v/>
      </c>
      <c r="AC57" s="114" t="str">
        <f>IF('Data input'!G57&lt;&gt;"",S57/'Data input'!G57*100%,"")</f>
        <v/>
      </c>
      <c r="AD57" s="114" t="str">
        <f>IF('Data input'!H57&lt;&gt;"",T57/'Data input'!H57*100%,"")</f>
        <v/>
      </c>
      <c r="AE57" s="114" t="str">
        <f>IF('Data input'!I57&lt;&gt;"",U57/'Data input'!I57*100%,"")</f>
        <v/>
      </c>
      <c r="AF57" s="114" t="str">
        <f>IF('Data input'!J57&lt;&gt;"",V57/'Data input'!J57*100%,"")</f>
        <v/>
      </c>
      <c r="AG57" s="114" t="str">
        <f>IF('Data input'!K57&lt;&gt;"",W57/'Data input'!K57*100%,"")</f>
        <v/>
      </c>
      <c r="AH57" s="115" t="str">
        <f>IF('Data input'!L57&lt;&gt;"",X57/'Data input'!L57*100%,"")</f>
        <v/>
      </c>
      <c r="AI57" s="114" t="str">
        <f>IF('Data input'!C57&lt;&gt;"",'Run CRS'!AH57/'Run CRS'!C57,"")</f>
        <v/>
      </c>
      <c r="AJ57" s="114" t="str">
        <f>IF('Data input'!D57&lt;&gt;"",'Run CRS'!AI57/'Run CRS'!D57,"")</f>
        <v/>
      </c>
      <c r="AK57" s="114" t="str">
        <f>IF('Data input'!E57&lt;&gt;"",'Run CRS'!AJ57/'Run CRS'!E57,"")</f>
        <v/>
      </c>
      <c r="AL57" s="114" t="str">
        <f>IF('Data input'!F57&lt;&gt;"",'Run CRS'!AK57/'Run CRS'!F57,"")</f>
        <v/>
      </c>
      <c r="AM57" s="114" t="str">
        <f>IF('Data input'!G57&lt;&gt;"",'Run CRS'!AL57/'Run CRS'!G57,"")</f>
        <v/>
      </c>
      <c r="AN57" s="114" t="str">
        <f>IF('Data input'!H57&lt;&gt;"",'Run CRS'!AM57/'Run CRS'!H57,"")</f>
        <v/>
      </c>
      <c r="AO57" s="114" t="str">
        <f>IF('Data input'!I57&lt;&gt;"",'Run CRS'!AN57/'Run CRS'!I57,"")</f>
        <v/>
      </c>
      <c r="AP57" s="114" t="str">
        <f>IF('Data input'!J57&lt;&gt;"",'Run CRS'!AO57/'Run CRS'!J57,"")</f>
        <v/>
      </c>
      <c r="AQ57" s="114" t="str">
        <f>IF('Data input'!K57&lt;&gt;"",'Run CRS'!AP57/'Run CRS'!K57,"")</f>
        <v/>
      </c>
      <c r="AR57" s="115" t="str">
        <f>IF('Data input'!L57&lt;&gt;"",'Run CRS'!AQ57/'Run CRS'!L57,"")</f>
        <v/>
      </c>
    </row>
    <row r="58" spans="1:44" x14ac:dyDescent="0.35">
      <c r="A58" s="102" t="str">
        <f>IF('Run CRS'!AF58&lt;&gt;"",'Run CRS'!AF58,"")</f>
        <v/>
      </c>
      <c r="B58" s="103" t="str">
        <f>IF('Run CRS'!AG58&lt;&gt;"",'Run CRS'!AG58,"")</f>
        <v/>
      </c>
      <c r="C58" s="104" t="str">
        <f>IF('Run CRS'!AR58&lt;&gt;"",'Run CRS'!AR58,"")</f>
        <v/>
      </c>
      <c r="D58" s="104" t="e">
        <f>IF(ROUND(C58,3)=100%,"Optimal frontier",'Run CRS'!BW58)</f>
        <v>#VALUE!</v>
      </c>
      <c r="E58" s="105" t="str">
        <f>IF('Run CRS'!BC58&lt;&gt;"",'Run CRS'!BC58,"")</f>
        <v/>
      </c>
      <c r="F58" s="106" t="str">
        <f>IF('Run CRS'!BD58&lt;&gt;"",'Run CRS'!BD58,"")</f>
        <v/>
      </c>
      <c r="G58" s="106" t="str">
        <f>IF('Run CRS'!BE58&lt;&gt;"",'Run CRS'!BE58,"")</f>
        <v/>
      </c>
      <c r="H58" s="106" t="str">
        <f>IF('Run CRS'!BF58&lt;&gt;"",'Run CRS'!BF58,"")</f>
        <v/>
      </c>
      <c r="I58" s="106" t="str">
        <f>IF('Run CRS'!BG58&lt;&gt;"",'Run CRS'!BG58,"")</f>
        <v/>
      </c>
      <c r="J58" s="106" t="str">
        <f>IF('Run CRS'!BH58&lt;&gt;"",'Run CRS'!BH58,"")</f>
        <v/>
      </c>
      <c r="K58" s="105" t="str">
        <f>IF('Run CRS'!BI58&lt;&gt;"",'Run CRS'!BI58,"")</f>
        <v/>
      </c>
      <c r="L58" s="105" t="str">
        <f>IF('Run CRS'!BJ58&lt;&gt;"",'Run CRS'!BJ58,"")</f>
        <v/>
      </c>
      <c r="M58" s="105" t="str">
        <f>IF('Run CRS'!BK58&lt;&gt;"",'Run CRS'!BK58,"")</f>
        <v/>
      </c>
      <c r="N58" s="105" t="str">
        <f>IF('Run CRS'!BL58&lt;&gt;"",'Run CRS'!BL58,"")</f>
        <v/>
      </c>
      <c r="O58" s="105" t="str">
        <f>IF('Run CRS'!BM58&lt;&gt;"",'Run CRS'!BM58,"")</f>
        <v/>
      </c>
      <c r="P58" s="106" t="str">
        <f>IF('Run CRS'!BN58&lt;&gt;"",'Run CRS'!BN58,"")</f>
        <v/>
      </c>
      <c r="Q58" s="106" t="str">
        <f>IF('Run CRS'!BO58&lt;&gt;"",'Run CRS'!BO58,"")</f>
        <v/>
      </c>
      <c r="R58" s="106" t="str">
        <f>IF('Run CRS'!BP58&lt;&gt;"",'Run CRS'!BP58,"")</f>
        <v/>
      </c>
      <c r="S58" s="106" t="str">
        <f>IF('Run CRS'!BQ58&lt;&gt;"",'Run CRS'!BQ58,"")</f>
        <v/>
      </c>
      <c r="T58" s="106" t="str">
        <f>IF('Run CRS'!BR58&lt;&gt;"",'Run CRS'!BR58,"")</f>
        <v/>
      </c>
      <c r="U58" s="105" t="str">
        <f>IF('Run CRS'!BS58&lt;&gt;"",'Run CRS'!BS58,"")</f>
        <v/>
      </c>
      <c r="V58" s="105" t="str">
        <f>IF('Run CRS'!BT58&lt;&gt;"",'Run CRS'!BT58,"")</f>
        <v/>
      </c>
      <c r="W58" s="105" t="str">
        <f>IF('Run CRS'!BU58&lt;&gt;"",'Run CRS'!BU58,"")</f>
        <v/>
      </c>
      <c r="X58" s="107" t="str">
        <f>IF('Run CRS'!BV58&lt;&gt;"",'Run CRS'!BV58,"")</f>
        <v/>
      </c>
      <c r="Y58" s="114" t="str">
        <f>IF('Data input'!C58&lt;&gt;"",O58/'Data input'!C58*100%,"")</f>
        <v/>
      </c>
      <c r="Z58" s="114" t="str">
        <f>IF('Data input'!D58&lt;&gt;"",P58/'Data input'!D58*100%,"")</f>
        <v/>
      </c>
      <c r="AA58" s="114" t="str">
        <f>IF('Data input'!E58&lt;&gt;"",Q58/'Data input'!E58*100%,"")</f>
        <v/>
      </c>
      <c r="AB58" s="114" t="str">
        <f>IF('Data input'!F58&lt;&gt;"",R58/'Data input'!F58*100%,"")</f>
        <v/>
      </c>
      <c r="AC58" s="114" t="str">
        <f>IF('Data input'!G58&lt;&gt;"",S58/'Data input'!G58*100%,"")</f>
        <v/>
      </c>
      <c r="AD58" s="114" t="str">
        <f>IF('Data input'!H58&lt;&gt;"",T58/'Data input'!H58*100%,"")</f>
        <v/>
      </c>
      <c r="AE58" s="114" t="str">
        <f>IF('Data input'!I58&lt;&gt;"",U58/'Data input'!I58*100%,"")</f>
        <v/>
      </c>
      <c r="AF58" s="114" t="str">
        <f>IF('Data input'!J58&lt;&gt;"",V58/'Data input'!J58*100%,"")</f>
        <v/>
      </c>
      <c r="AG58" s="114" t="str">
        <f>IF('Data input'!K58&lt;&gt;"",W58/'Data input'!K58*100%,"")</f>
        <v/>
      </c>
      <c r="AH58" s="115" t="str">
        <f>IF('Data input'!L58&lt;&gt;"",X58/'Data input'!L58*100%,"")</f>
        <v/>
      </c>
      <c r="AI58" s="114" t="str">
        <f>IF('Data input'!C58&lt;&gt;"",'Run CRS'!AH58/'Run CRS'!C58,"")</f>
        <v/>
      </c>
      <c r="AJ58" s="114" t="str">
        <f>IF('Data input'!D58&lt;&gt;"",'Run CRS'!AI58/'Run CRS'!D58,"")</f>
        <v/>
      </c>
      <c r="AK58" s="114" t="str">
        <f>IF('Data input'!E58&lt;&gt;"",'Run CRS'!AJ58/'Run CRS'!E58,"")</f>
        <v/>
      </c>
      <c r="AL58" s="114" t="str">
        <f>IF('Data input'!F58&lt;&gt;"",'Run CRS'!AK58/'Run CRS'!F58,"")</f>
        <v/>
      </c>
      <c r="AM58" s="114" t="str">
        <f>IF('Data input'!G58&lt;&gt;"",'Run CRS'!AL58/'Run CRS'!G58,"")</f>
        <v/>
      </c>
      <c r="AN58" s="114" t="str">
        <f>IF('Data input'!H58&lt;&gt;"",'Run CRS'!AM58/'Run CRS'!H58,"")</f>
        <v/>
      </c>
      <c r="AO58" s="114" t="str">
        <f>IF('Data input'!I58&lt;&gt;"",'Run CRS'!AN58/'Run CRS'!I58,"")</f>
        <v/>
      </c>
      <c r="AP58" s="114" t="str">
        <f>IF('Data input'!J58&lt;&gt;"",'Run CRS'!AO58/'Run CRS'!J58,"")</f>
        <v/>
      </c>
      <c r="AQ58" s="114" t="str">
        <f>IF('Data input'!K58&lt;&gt;"",'Run CRS'!AP58/'Run CRS'!K58,"")</f>
        <v/>
      </c>
      <c r="AR58" s="115" t="str">
        <f>IF('Data input'!L58&lt;&gt;"",'Run CRS'!AQ58/'Run CRS'!L58,"")</f>
        <v/>
      </c>
    </row>
    <row r="59" spans="1:44" x14ac:dyDescent="0.35">
      <c r="A59" s="102" t="str">
        <f>IF('Run CRS'!AF59&lt;&gt;"",'Run CRS'!AF59,"")</f>
        <v/>
      </c>
      <c r="B59" s="103" t="str">
        <f>IF('Run CRS'!AG59&lt;&gt;"",'Run CRS'!AG59,"")</f>
        <v/>
      </c>
      <c r="C59" s="104" t="str">
        <f>IF('Run CRS'!AR59&lt;&gt;"",'Run CRS'!AR59,"")</f>
        <v/>
      </c>
      <c r="D59" s="104" t="e">
        <f>IF(ROUND(C59,3)=100%,"Optimal frontier",'Run CRS'!BW59)</f>
        <v>#VALUE!</v>
      </c>
      <c r="E59" s="105" t="str">
        <f>IF('Run CRS'!BC59&lt;&gt;"",'Run CRS'!BC59,"")</f>
        <v/>
      </c>
      <c r="F59" s="106" t="str">
        <f>IF('Run CRS'!BD59&lt;&gt;"",'Run CRS'!BD59,"")</f>
        <v/>
      </c>
      <c r="G59" s="106" t="str">
        <f>IF('Run CRS'!BE59&lt;&gt;"",'Run CRS'!BE59,"")</f>
        <v/>
      </c>
      <c r="H59" s="106" t="str">
        <f>IF('Run CRS'!BF59&lt;&gt;"",'Run CRS'!BF59,"")</f>
        <v/>
      </c>
      <c r="I59" s="106" t="str">
        <f>IF('Run CRS'!BG59&lt;&gt;"",'Run CRS'!BG59,"")</f>
        <v/>
      </c>
      <c r="J59" s="106" t="str">
        <f>IF('Run CRS'!BH59&lt;&gt;"",'Run CRS'!BH59,"")</f>
        <v/>
      </c>
      <c r="K59" s="105" t="str">
        <f>IF('Run CRS'!BI59&lt;&gt;"",'Run CRS'!BI59,"")</f>
        <v/>
      </c>
      <c r="L59" s="105" t="str">
        <f>IF('Run CRS'!BJ59&lt;&gt;"",'Run CRS'!BJ59,"")</f>
        <v/>
      </c>
      <c r="M59" s="105" t="str">
        <f>IF('Run CRS'!BK59&lt;&gt;"",'Run CRS'!BK59,"")</f>
        <v/>
      </c>
      <c r="N59" s="105" t="str">
        <f>IF('Run CRS'!BL59&lt;&gt;"",'Run CRS'!BL59,"")</f>
        <v/>
      </c>
      <c r="O59" s="105" t="str">
        <f>IF('Run CRS'!BM59&lt;&gt;"",'Run CRS'!BM59,"")</f>
        <v/>
      </c>
      <c r="P59" s="106" t="str">
        <f>IF('Run CRS'!BN59&lt;&gt;"",'Run CRS'!BN59,"")</f>
        <v/>
      </c>
      <c r="Q59" s="106" t="str">
        <f>IF('Run CRS'!BO59&lt;&gt;"",'Run CRS'!BO59,"")</f>
        <v/>
      </c>
      <c r="R59" s="106" t="str">
        <f>IF('Run CRS'!BP59&lt;&gt;"",'Run CRS'!BP59,"")</f>
        <v/>
      </c>
      <c r="S59" s="106" t="str">
        <f>IF('Run CRS'!BQ59&lt;&gt;"",'Run CRS'!BQ59,"")</f>
        <v/>
      </c>
      <c r="T59" s="106" t="str">
        <f>IF('Run CRS'!BR59&lt;&gt;"",'Run CRS'!BR59,"")</f>
        <v/>
      </c>
      <c r="U59" s="105" t="str">
        <f>IF('Run CRS'!BS59&lt;&gt;"",'Run CRS'!BS59,"")</f>
        <v/>
      </c>
      <c r="V59" s="105" t="str">
        <f>IF('Run CRS'!BT59&lt;&gt;"",'Run CRS'!BT59,"")</f>
        <v/>
      </c>
      <c r="W59" s="105" t="str">
        <f>IF('Run CRS'!BU59&lt;&gt;"",'Run CRS'!BU59,"")</f>
        <v/>
      </c>
      <c r="X59" s="107" t="str">
        <f>IF('Run CRS'!BV59&lt;&gt;"",'Run CRS'!BV59,"")</f>
        <v/>
      </c>
      <c r="Y59" s="114" t="str">
        <f>IF('Data input'!C59&lt;&gt;"",O59/'Data input'!C59*100%,"")</f>
        <v/>
      </c>
      <c r="Z59" s="114" t="str">
        <f>IF('Data input'!D59&lt;&gt;"",P59/'Data input'!D59*100%,"")</f>
        <v/>
      </c>
      <c r="AA59" s="114" t="str">
        <f>IF('Data input'!E59&lt;&gt;"",Q59/'Data input'!E59*100%,"")</f>
        <v/>
      </c>
      <c r="AB59" s="114" t="str">
        <f>IF('Data input'!F59&lt;&gt;"",R59/'Data input'!F59*100%,"")</f>
        <v/>
      </c>
      <c r="AC59" s="114" t="str">
        <f>IF('Data input'!G59&lt;&gt;"",S59/'Data input'!G59*100%,"")</f>
        <v/>
      </c>
      <c r="AD59" s="114" t="str">
        <f>IF('Data input'!H59&lt;&gt;"",T59/'Data input'!H59*100%,"")</f>
        <v/>
      </c>
      <c r="AE59" s="114" t="str">
        <f>IF('Data input'!I59&lt;&gt;"",U59/'Data input'!I59*100%,"")</f>
        <v/>
      </c>
      <c r="AF59" s="114" t="str">
        <f>IF('Data input'!J59&lt;&gt;"",V59/'Data input'!J59*100%,"")</f>
        <v/>
      </c>
      <c r="AG59" s="114" t="str">
        <f>IF('Data input'!K59&lt;&gt;"",W59/'Data input'!K59*100%,"")</f>
        <v/>
      </c>
      <c r="AH59" s="115" t="str">
        <f>IF('Data input'!L59&lt;&gt;"",X59/'Data input'!L59*100%,"")</f>
        <v/>
      </c>
      <c r="AI59" s="114" t="str">
        <f>IF('Data input'!C59&lt;&gt;"",'Run CRS'!AH59/'Run CRS'!C59,"")</f>
        <v/>
      </c>
      <c r="AJ59" s="114" t="str">
        <f>IF('Data input'!D59&lt;&gt;"",'Run CRS'!AI59/'Run CRS'!D59,"")</f>
        <v/>
      </c>
      <c r="AK59" s="114" t="str">
        <f>IF('Data input'!E59&lt;&gt;"",'Run CRS'!AJ59/'Run CRS'!E59,"")</f>
        <v/>
      </c>
      <c r="AL59" s="114" t="str">
        <f>IF('Data input'!F59&lt;&gt;"",'Run CRS'!AK59/'Run CRS'!F59,"")</f>
        <v/>
      </c>
      <c r="AM59" s="114" t="str">
        <f>IF('Data input'!G59&lt;&gt;"",'Run CRS'!AL59/'Run CRS'!G59,"")</f>
        <v/>
      </c>
      <c r="AN59" s="114" t="str">
        <f>IF('Data input'!H59&lt;&gt;"",'Run CRS'!AM59/'Run CRS'!H59,"")</f>
        <v/>
      </c>
      <c r="AO59" s="114" t="str">
        <f>IF('Data input'!I59&lt;&gt;"",'Run CRS'!AN59/'Run CRS'!I59,"")</f>
        <v/>
      </c>
      <c r="AP59" s="114" t="str">
        <f>IF('Data input'!J59&lt;&gt;"",'Run CRS'!AO59/'Run CRS'!J59,"")</f>
        <v/>
      </c>
      <c r="AQ59" s="114" t="str">
        <f>IF('Data input'!K59&lt;&gt;"",'Run CRS'!AP59/'Run CRS'!K59,"")</f>
        <v/>
      </c>
      <c r="AR59" s="115" t="str">
        <f>IF('Data input'!L59&lt;&gt;"",'Run CRS'!AQ59/'Run CRS'!L59,"")</f>
        <v/>
      </c>
    </row>
    <row r="60" spans="1:44" x14ac:dyDescent="0.35">
      <c r="A60" s="102" t="str">
        <f>IF('Run CRS'!AF60&lt;&gt;"",'Run CRS'!AF60,"")</f>
        <v/>
      </c>
      <c r="B60" s="103" t="str">
        <f>IF('Run CRS'!AG60&lt;&gt;"",'Run CRS'!AG60,"")</f>
        <v/>
      </c>
      <c r="C60" s="104" t="str">
        <f>IF('Run CRS'!AR60&lt;&gt;"",'Run CRS'!AR60,"")</f>
        <v/>
      </c>
      <c r="D60" s="104" t="e">
        <f>IF(ROUND(C60,3)=100%,"Optimal frontier",'Run CRS'!BW60)</f>
        <v>#VALUE!</v>
      </c>
      <c r="E60" s="105" t="str">
        <f>IF('Run CRS'!BC60&lt;&gt;"",'Run CRS'!BC60,"")</f>
        <v/>
      </c>
      <c r="F60" s="106" t="str">
        <f>IF('Run CRS'!BD60&lt;&gt;"",'Run CRS'!BD60,"")</f>
        <v/>
      </c>
      <c r="G60" s="106" t="str">
        <f>IF('Run CRS'!BE60&lt;&gt;"",'Run CRS'!BE60,"")</f>
        <v/>
      </c>
      <c r="H60" s="106" t="str">
        <f>IF('Run CRS'!BF60&lt;&gt;"",'Run CRS'!BF60,"")</f>
        <v/>
      </c>
      <c r="I60" s="106" t="str">
        <f>IF('Run CRS'!BG60&lt;&gt;"",'Run CRS'!BG60,"")</f>
        <v/>
      </c>
      <c r="J60" s="106" t="str">
        <f>IF('Run CRS'!BH60&lt;&gt;"",'Run CRS'!BH60,"")</f>
        <v/>
      </c>
      <c r="K60" s="105" t="str">
        <f>IF('Run CRS'!BI60&lt;&gt;"",'Run CRS'!BI60,"")</f>
        <v/>
      </c>
      <c r="L60" s="105" t="str">
        <f>IF('Run CRS'!BJ60&lt;&gt;"",'Run CRS'!BJ60,"")</f>
        <v/>
      </c>
      <c r="M60" s="105" t="str">
        <f>IF('Run CRS'!BK60&lt;&gt;"",'Run CRS'!BK60,"")</f>
        <v/>
      </c>
      <c r="N60" s="105" t="str">
        <f>IF('Run CRS'!BL60&lt;&gt;"",'Run CRS'!BL60,"")</f>
        <v/>
      </c>
      <c r="O60" s="105" t="str">
        <f>IF('Run CRS'!BM60&lt;&gt;"",'Run CRS'!BM60,"")</f>
        <v/>
      </c>
      <c r="P60" s="106" t="str">
        <f>IF('Run CRS'!BN60&lt;&gt;"",'Run CRS'!BN60,"")</f>
        <v/>
      </c>
      <c r="Q60" s="106" t="str">
        <f>IF('Run CRS'!BO60&lt;&gt;"",'Run CRS'!BO60,"")</f>
        <v/>
      </c>
      <c r="R60" s="106" t="str">
        <f>IF('Run CRS'!BP60&lt;&gt;"",'Run CRS'!BP60,"")</f>
        <v/>
      </c>
      <c r="S60" s="106" t="str">
        <f>IF('Run CRS'!BQ60&lt;&gt;"",'Run CRS'!BQ60,"")</f>
        <v/>
      </c>
      <c r="T60" s="106" t="str">
        <f>IF('Run CRS'!BR60&lt;&gt;"",'Run CRS'!BR60,"")</f>
        <v/>
      </c>
      <c r="U60" s="105" t="str">
        <f>IF('Run CRS'!BS60&lt;&gt;"",'Run CRS'!BS60,"")</f>
        <v/>
      </c>
      <c r="V60" s="105" t="str">
        <f>IF('Run CRS'!BT60&lt;&gt;"",'Run CRS'!BT60,"")</f>
        <v/>
      </c>
      <c r="W60" s="105" t="str">
        <f>IF('Run CRS'!BU60&lt;&gt;"",'Run CRS'!BU60,"")</f>
        <v/>
      </c>
      <c r="X60" s="107" t="str">
        <f>IF('Run CRS'!BV60&lt;&gt;"",'Run CRS'!BV60,"")</f>
        <v/>
      </c>
      <c r="Y60" s="114" t="str">
        <f>IF('Data input'!C60&lt;&gt;"",O60/'Data input'!C60*100%,"")</f>
        <v/>
      </c>
      <c r="Z60" s="114" t="str">
        <f>IF('Data input'!D60&lt;&gt;"",P60/'Data input'!D60*100%,"")</f>
        <v/>
      </c>
      <c r="AA60" s="114" t="str">
        <f>IF('Data input'!E60&lt;&gt;"",Q60/'Data input'!E60*100%,"")</f>
        <v/>
      </c>
      <c r="AB60" s="114" t="str">
        <f>IF('Data input'!F60&lt;&gt;"",R60/'Data input'!F60*100%,"")</f>
        <v/>
      </c>
      <c r="AC60" s="114" t="str">
        <f>IF('Data input'!G60&lt;&gt;"",S60/'Data input'!G60*100%,"")</f>
        <v/>
      </c>
      <c r="AD60" s="114" t="str">
        <f>IF('Data input'!H60&lt;&gt;"",T60/'Data input'!H60*100%,"")</f>
        <v/>
      </c>
      <c r="AE60" s="114" t="str">
        <f>IF('Data input'!I60&lt;&gt;"",U60/'Data input'!I60*100%,"")</f>
        <v/>
      </c>
      <c r="AF60" s="114" t="str">
        <f>IF('Data input'!J60&lt;&gt;"",V60/'Data input'!J60*100%,"")</f>
        <v/>
      </c>
      <c r="AG60" s="114" t="str">
        <f>IF('Data input'!K60&lt;&gt;"",W60/'Data input'!K60*100%,"")</f>
        <v/>
      </c>
      <c r="AH60" s="115" t="str">
        <f>IF('Data input'!L60&lt;&gt;"",X60/'Data input'!L60*100%,"")</f>
        <v/>
      </c>
      <c r="AI60" s="114" t="str">
        <f>IF('Data input'!C60&lt;&gt;"",'Run CRS'!AH60/'Run CRS'!C60,"")</f>
        <v/>
      </c>
      <c r="AJ60" s="114" t="str">
        <f>IF('Data input'!D60&lt;&gt;"",'Run CRS'!AI60/'Run CRS'!D60,"")</f>
        <v/>
      </c>
      <c r="AK60" s="114" t="str">
        <f>IF('Data input'!E60&lt;&gt;"",'Run CRS'!AJ60/'Run CRS'!E60,"")</f>
        <v/>
      </c>
      <c r="AL60" s="114" t="str">
        <f>IF('Data input'!F60&lt;&gt;"",'Run CRS'!AK60/'Run CRS'!F60,"")</f>
        <v/>
      </c>
      <c r="AM60" s="114" t="str">
        <f>IF('Data input'!G60&lt;&gt;"",'Run CRS'!AL60/'Run CRS'!G60,"")</f>
        <v/>
      </c>
      <c r="AN60" s="114" t="str">
        <f>IF('Data input'!H60&lt;&gt;"",'Run CRS'!AM60/'Run CRS'!H60,"")</f>
        <v/>
      </c>
      <c r="AO60" s="114" t="str">
        <f>IF('Data input'!I60&lt;&gt;"",'Run CRS'!AN60/'Run CRS'!I60,"")</f>
        <v/>
      </c>
      <c r="AP60" s="114" t="str">
        <f>IF('Data input'!J60&lt;&gt;"",'Run CRS'!AO60/'Run CRS'!J60,"")</f>
        <v/>
      </c>
      <c r="AQ60" s="114" t="str">
        <f>IF('Data input'!K60&lt;&gt;"",'Run CRS'!AP60/'Run CRS'!K60,"")</f>
        <v/>
      </c>
      <c r="AR60" s="115" t="str">
        <f>IF('Data input'!L60&lt;&gt;"",'Run CRS'!AQ60/'Run CRS'!L60,"")</f>
        <v/>
      </c>
    </row>
    <row r="61" spans="1:44" x14ac:dyDescent="0.35">
      <c r="A61" s="102" t="str">
        <f>IF('Run CRS'!AF61&lt;&gt;"",'Run CRS'!AF61,"")</f>
        <v/>
      </c>
      <c r="B61" s="103" t="str">
        <f>IF('Run CRS'!AG61&lt;&gt;"",'Run CRS'!AG61,"")</f>
        <v/>
      </c>
      <c r="C61" s="104" t="str">
        <f>IF('Run CRS'!AR61&lt;&gt;"",'Run CRS'!AR61,"")</f>
        <v/>
      </c>
      <c r="D61" s="104" t="e">
        <f>IF(ROUND(C61,3)=100%,"Optimal frontier",'Run CRS'!BW61)</f>
        <v>#VALUE!</v>
      </c>
      <c r="E61" s="105" t="str">
        <f>IF('Run CRS'!BC61&lt;&gt;"",'Run CRS'!BC61,"")</f>
        <v/>
      </c>
      <c r="F61" s="106" t="str">
        <f>IF('Run CRS'!BD61&lt;&gt;"",'Run CRS'!BD61,"")</f>
        <v/>
      </c>
      <c r="G61" s="106" t="str">
        <f>IF('Run CRS'!BE61&lt;&gt;"",'Run CRS'!BE61,"")</f>
        <v/>
      </c>
      <c r="H61" s="106" t="str">
        <f>IF('Run CRS'!BF61&lt;&gt;"",'Run CRS'!BF61,"")</f>
        <v/>
      </c>
      <c r="I61" s="106" t="str">
        <f>IF('Run CRS'!BG61&lt;&gt;"",'Run CRS'!BG61,"")</f>
        <v/>
      </c>
      <c r="J61" s="106" t="str">
        <f>IF('Run CRS'!BH61&lt;&gt;"",'Run CRS'!BH61,"")</f>
        <v/>
      </c>
      <c r="K61" s="105" t="str">
        <f>IF('Run CRS'!BI61&lt;&gt;"",'Run CRS'!BI61,"")</f>
        <v/>
      </c>
      <c r="L61" s="105" t="str">
        <f>IF('Run CRS'!BJ61&lt;&gt;"",'Run CRS'!BJ61,"")</f>
        <v/>
      </c>
      <c r="M61" s="105" t="str">
        <f>IF('Run CRS'!BK61&lt;&gt;"",'Run CRS'!BK61,"")</f>
        <v/>
      </c>
      <c r="N61" s="105" t="str">
        <f>IF('Run CRS'!BL61&lt;&gt;"",'Run CRS'!BL61,"")</f>
        <v/>
      </c>
      <c r="O61" s="105" t="str">
        <f>IF('Run CRS'!BM61&lt;&gt;"",'Run CRS'!BM61,"")</f>
        <v/>
      </c>
      <c r="P61" s="106" t="str">
        <f>IF('Run CRS'!BN61&lt;&gt;"",'Run CRS'!BN61,"")</f>
        <v/>
      </c>
      <c r="Q61" s="106" t="str">
        <f>IF('Run CRS'!BO61&lt;&gt;"",'Run CRS'!BO61,"")</f>
        <v/>
      </c>
      <c r="R61" s="106" t="str">
        <f>IF('Run CRS'!BP61&lt;&gt;"",'Run CRS'!BP61,"")</f>
        <v/>
      </c>
      <c r="S61" s="106" t="str">
        <f>IF('Run CRS'!BQ61&lt;&gt;"",'Run CRS'!BQ61,"")</f>
        <v/>
      </c>
      <c r="T61" s="106" t="str">
        <f>IF('Run CRS'!BR61&lt;&gt;"",'Run CRS'!BR61,"")</f>
        <v/>
      </c>
      <c r="U61" s="105" t="str">
        <f>IF('Run CRS'!BS61&lt;&gt;"",'Run CRS'!BS61,"")</f>
        <v/>
      </c>
      <c r="V61" s="105" t="str">
        <f>IF('Run CRS'!BT61&lt;&gt;"",'Run CRS'!BT61,"")</f>
        <v/>
      </c>
      <c r="W61" s="105" t="str">
        <f>IF('Run CRS'!BU61&lt;&gt;"",'Run CRS'!BU61,"")</f>
        <v/>
      </c>
      <c r="X61" s="107" t="str">
        <f>IF('Run CRS'!BV61&lt;&gt;"",'Run CRS'!BV61,"")</f>
        <v/>
      </c>
      <c r="Y61" s="114" t="str">
        <f>IF('Data input'!C61&lt;&gt;"",O61/'Data input'!C61*100%,"")</f>
        <v/>
      </c>
      <c r="Z61" s="114" t="str">
        <f>IF('Data input'!D61&lt;&gt;"",P61/'Data input'!D61*100%,"")</f>
        <v/>
      </c>
      <c r="AA61" s="114" t="str">
        <f>IF('Data input'!E61&lt;&gt;"",Q61/'Data input'!E61*100%,"")</f>
        <v/>
      </c>
      <c r="AB61" s="114" t="str">
        <f>IF('Data input'!F61&lt;&gt;"",R61/'Data input'!F61*100%,"")</f>
        <v/>
      </c>
      <c r="AC61" s="114" t="str">
        <f>IF('Data input'!G61&lt;&gt;"",S61/'Data input'!G61*100%,"")</f>
        <v/>
      </c>
      <c r="AD61" s="114" t="str">
        <f>IF('Data input'!H61&lt;&gt;"",T61/'Data input'!H61*100%,"")</f>
        <v/>
      </c>
      <c r="AE61" s="114" t="str">
        <f>IF('Data input'!I61&lt;&gt;"",U61/'Data input'!I61*100%,"")</f>
        <v/>
      </c>
      <c r="AF61" s="114" t="str">
        <f>IF('Data input'!J61&lt;&gt;"",V61/'Data input'!J61*100%,"")</f>
        <v/>
      </c>
      <c r="AG61" s="114" t="str">
        <f>IF('Data input'!K61&lt;&gt;"",W61/'Data input'!K61*100%,"")</f>
        <v/>
      </c>
      <c r="AH61" s="115" t="str">
        <f>IF('Data input'!L61&lt;&gt;"",X61/'Data input'!L61*100%,"")</f>
        <v/>
      </c>
      <c r="AI61" s="114" t="str">
        <f>IF('Data input'!C61&lt;&gt;"",'Run CRS'!AH61/'Run CRS'!C61,"")</f>
        <v/>
      </c>
      <c r="AJ61" s="114" t="str">
        <f>IF('Data input'!D61&lt;&gt;"",'Run CRS'!AI61/'Run CRS'!D61,"")</f>
        <v/>
      </c>
      <c r="AK61" s="114" t="str">
        <f>IF('Data input'!E61&lt;&gt;"",'Run CRS'!AJ61/'Run CRS'!E61,"")</f>
        <v/>
      </c>
      <c r="AL61" s="114" t="str">
        <f>IF('Data input'!F61&lt;&gt;"",'Run CRS'!AK61/'Run CRS'!F61,"")</f>
        <v/>
      </c>
      <c r="AM61" s="114" t="str">
        <f>IF('Data input'!G61&lt;&gt;"",'Run CRS'!AL61/'Run CRS'!G61,"")</f>
        <v/>
      </c>
      <c r="AN61" s="114" t="str">
        <f>IF('Data input'!H61&lt;&gt;"",'Run CRS'!AM61/'Run CRS'!H61,"")</f>
        <v/>
      </c>
      <c r="AO61" s="114" t="str">
        <f>IF('Data input'!I61&lt;&gt;"",'Run CRS'!AN61/'Run CRS'!I61,"")</f>
        <v/>
      </c>
      <c r="AP61" s="114" t="str">
        <f>IF('Data input'!J61&lt;&gt;"",'Run CRS'!AO61/'Run CRS'!J61,"")</f>
        <v/>
      </c>
      <c r="AQ61" s="114" t="str">
        <f>IF('Data input'!K61&lt;&gt;"",'Run CRS'!AP61/'Run CRS'!K61,"")</f>
        <v/>
      </c>
      <c r="AR61" s="115" t="str">
        <f>IF('Data input'!L61&lt;&gt;"",'Run CRS'!AQ61/'Run CRS'!L61,"")</f>
        <v/>
      </c>
    </row>
    <row r="62" spans="1:44" x14ac:dyDescent="0.35">
      <c r="A62" s="102" t="str">
        <f>IF('Run CRS'!AF62&lt;&gt;"",'Run CRS'!AF62,"")</f>
        <v/>
      </c>
      <c r="B62" s="103" t="str">
        <f>IF('Run CRS'!AG62&lt;&gt;"",'Run CRS'!AG62,"")</f>
        <v/>
      </c>
      <c r="C62" s="104" t="str">
        <f>IF('Run CRS'!AR62&lt;&gt;"",'Run CRS'!AR62,"")</f>
        <v/>
      </c>
      <c r="D62" s="104" t="e">
        <f>IF(ROUND(C62,3)=100%,"Optimal frontier",'Run CRS'!BW62)</f>
        <v>#VALUE!</v>
      </c>
      <c r="E62" s="105" t="str">
        <f>IF('Run CRS'!BC62&lt;&gt;"",'Run CRS'!BC62,"")</f>
        <v/>
      </c>
      <c r="F62" s="106" t="str">
        <f>IF('Run CRS'!BD62&lt;&gt;"",'Run CRS'!BD62,"")</f>
        <v/>
      </c>
      <c r="G62" s="106" t="str">
        <f>IF('Run CRS'!BE62&lt;&gt;"",'Run CRS'!BE62,"")</f>
        <v/>
      </c>
      <c r="H62" s="106" t="str">
        <f>IF('Run CRS'!BF62&lt;&gt;"",'Run CRS'!BF62,"")</f>
        <v/>
      </c>
      <c r="I62" s="106" t="str">
        <f>IF('Run CRS'!BG62&lt;&gt;"",'Run CRS'!BG62,"")</f>
        <v/>
      </c>
      <c r="J62" s="106" t="str">
        <f>IF('Run CRS'!BH62&lt;&gt;"",'Run CRS'!BH62,"")</f>
        <v/>
      </c>
      <c r="K62" s="105" t="str">
        <f>IF('Run CRS'!BI62&lt;&gt;"",'Run CRS'!BI62,"")</f>
        <v/>
      </c>
      <c r="L62" s="105" t="str">
        <f>IF('Run CRS'!BJ62&lt;&gt;"",'Run CRS'!BJ62,"")</f>
        <v/>
      </c>
      <c r="M62" s="105" t="str">
        <f>IF('Run CRS'!BK62&lt;&gt;"",'Run CRS'!BK62,"")</f>
        <v/>
      </c>
      <c r="N62" s="105" t="str">
        <f>IF('Run CRS'!BL62&lt;&gt;"",'Run CRS'!BL62,"")</f>
        <v/>
      </c>
      <c r="O62" s="105" t="str">
        <f>IF('Run CRS'!BM62&lt;&gt;"",'Run CRS'!BM62,"")</f>
        <v/>
      </c>
      <c r="P62" s="106" t="str">
        <f>IF('Run CRS'!BN62&lt;&gt;"",'Run CRS'!BN62,"")</f>
        <v/>
      </c>
      <c r="Q62" s="106" t="str">
        <f>IF('Run CRS'!BO62&lt;&gt;"",'Run CRS'!BO62,"")</f>
        <v/>
      </c>
      <c r="R62" s="106" t="str">
        <f>IF('Run CRS'!BP62&lt;&gt;"",'Run CRS'!BP62,"")</f>
        <v/>
      </c>
      <c r="S62" s="106" t="str">
        <f>IF('Run CRS'!BQ62&lt;&gt;"",'Run CRS'!BQ62,"")</f>
        <v/>
      </c>
      <c r="T62" s="106" t="str">
        <f>IF('Run CRS'!BR62&lt;&gt;"",'Run CRS'!BR62,"")</f>
        <v/>
      </c>
      <c r="U62" s="105" t="str">
        <f>IF('Run CRS'!BS62&lt;&gt;"",'Run CRS'!BS62,"")</f>
        <v/>
      </c>
      <c r="V62" s="105" t="str">
        <f>IF('Run CRS'!BT62&lt;&gt;"",'Run CRS'!BT62,"")</f>
        <v/>
      </c>
      <c r="W62" s="105" t="str">
        <f>IF('Run CRS'!BU62&lt;&gt;"",'Run CRS'!BU62,"")</f>
        <v/>
      </c>
      <c r="X62" s="107" t="str">
        <f>IF('Run CRS'!BV62&lt;&gt;"",'Run CRS'!BV62,"")</f>
        <v/>
      </c>
      <c r="Y62" s="114" t="str">
        <f>IF('Data input'!C62&lt;&gt;"",O62/'Data input'!C62*100%,"")</f>
        <v/>
      </c>
      <c r="Z62" s="114" t="str">
        <f>IF('Data input'!D62&lt;&gt;"",P62/'Data input'!D62*100%,"")</f>
        <v/>
      </c>
      <c r="AA62" s="114" t="str">
        <f>IF('Data input'!E62&lt;&gt;"",Q62/'Data input'!E62*100%,"")</f>
        <v/>
      </c>
      <c r="AB62" s="114" t="str">
        <f>IF('Data input'!F62&lt;&gt;"",R62/'Data input'!F62*100%,"")</f>
        <v/>
      </c>
      <c r="AC62" s="114" t="str">
        <f>IF('Data input'!G62&lt;&gt;"",S62/'Data input'!G62*100%,"")</f>
        <v/>
      </c>
      <c r="AD62" s="114" t="str">
        <f>IF('Data input'!H62&lt;&gt;"",T62/'Data input'!H62*100%,"")</f>
        <v/>
      </c>
      <c r="AE62" s="114" t="str">
        <f>IF('Data input'!I62&lt;&gt;"",U62/'Data input'!I62*100%,"")</f>
        <v/>
      </c>
      <c r="AF62" s="114" t="str">
        <f>IF('Data input'!J62&lt;&gt;"",V62/'Data input'!J62*100%,"")</f>
        <v/>
      </c>
      <c r="AG62" s="114" t="str">
        <f>IF('Data input'!K62&lt;&gt;"",W62/'Data input'!K62*100%,"")</f>
        <v/>
      </c>
      <c r="AH62" s="115" t="str">
        <f>IF('Data input'!L62&lt;&gt;"",X62/'Data input'!L62*100%,"")</f>
        <v/>
      </c>
      <c r="AI62" s="114" t="str">
        <f>IF('Data input'!C62&lt;&gt;"",'Run CRS'!AH62/'Run CRS'!C62,"")</f>
        <v/>
      </c>
      <c r="AJ62" s="114" t="str">
        <f>IF('Data input'!D62&lt;&gt;"",'Run CRS'!AI62/'Run CRS'!D62,"")</f>
        <v/>
      </c>
      <c r="AK62" s="114" t="str">
        <f>IF('Data input'!E62&lt;&gt;"",'Run CRS'!AJ62/'Run CRS'!E62,"")</f>
        <v/>
      </c>
      <c r="AL62" s="114" t="str">
        <f>IF('Data input'!F62&lt;&gt;"",'Run CRS'!AK62/'Run CRS'!F62,"")</f>
        <v/>
      </c>
      <c r="AM62" s="114" t="str">
        <f>IF('Data input'!G62&lt;&gt;"",'Run CRS'!AL62/'Run CRS'!G62,"")</f>
        <v/>
      </c>
      <c r="AN62" s="114" t="str">
        <f>IF('Data input'!H62&lt;&gt;"",'Run CRS'!AM62/'Run CRS'!H62,"")</f>
        <v/>
      </c>
      <c r="AO62" s="114" t="str">
        <f>IF('Data input'!I62&lt;&gt;"",'Run CRS'!AN62/'Run CRS'!I62,"")</f>
        <v/>
      </c>
      <c r="AP62" s="114" t="str">
        <f>IF('Data input'!J62&lt;&gt;"",'Run CRS'!AO62/'Run CRS'!J62,"")</f>
        <v/>
      </c>
      <c r="AQ62" s="114" t="str">
        <f>IF('Data input'!K62&lt;&gt;"",'Run CRS'!AP62/'Run CRS'!K62,"")</f>
        <v/>
      </c>
      <c r="AR62" s="115" t="str">
        <f>IF('Data input'!L62&lt;&gt;"",'Run CRS'!AQ62/'Run CRS'!L62,"")</f>
        <v/>
      </c>
    </row>
    <row r="63" spans="1:44" x14ac:dyDescent="0.35">
      <c r="A63" s="102" t="str">
        <f>IF('Run CRS'!AF63&lt;&gt;"",'Run CRS'!AF63,"")</f>
        <v/>
      </c>
      <c r="B63" s="103" t="str">
        <f>IF('Run CRS'!AG63&lt;&gt;"",'Run CRS'!AG63,"")</f>
        <v/>
      </c>
      <c r="C63" s="104" t="str">
        <f>IF('Run CRS'!AR63&lt;&gt;"",'Run CRS'!AR63,"")</f>
        <v/>
      </c>
      <c r="D63" s="104" t="e">
        <f>IF(ROUND(C63,3)=100%,"Optimal frontier",'Run CRS'!BW63)</f>
        <v>#VALUE!</v>
      </c>
      <c r="E63" s="105" t="str">
        <f>IF('Run CRS'!BC63&lt;&gt;"",'Run CRS'!BC63,"")</f>
        <v/>
      </c>
      <c r="F63" s="106" t="str">
        <f>IF('Run CRS'!BD63&lt;&gt;"",'Run CRS'!BD63,"")</f>
        <v/>
      </c>
      <c r="G63" s="106" t="str">
        <f>IF('Run CRS'!BE63&lt;&gt;"",'Run CRS'!BE63,"")</f>
        <v/>
      </c>
      <c r="H63" s="106" t="str">
        <f>IF('Run CRS'!BF63&lt;&gt;"",'Run CRS'!BF63,"")</f>
        <v/>
      </c>
      <c r="I63" s="106" t="str">
        <f>IF('Run CRS'!BG63&lt;&gt;"",'Run CRS'!BG63,"")</f>
        <v/>
      </c>
      <c r="J63" s="106" t="str">
        <f>IF('Run CRS'!BH63&lt;&gt;"",'Run CRS'!BH63,"")</f>
        <v/>
      </c>
      <c r="K63" s="105" t="str">
        <f>IF('Run CRS'!BI63&lt;&gt;"",'Run CRS'!BI63,"")</f>
        <v/>
      </c>
      <c r="L63" s="105" t="str">
        <f>IF('Run CRS'!BJ63&lt;&gt;"",'Run CRS'!BJ63,"")</f>
        <v/>
      </c>
      <c r="M63" s="105" t="str">
        <f>IF('Run CRS'!BK63&lt;&gt;"",'Run CRS'!BK63,"")</f>
        <v/>
      </c>
      <c r="N63" s="105" t="str">
        <f>IF('Run CRS'!BL63&lt;&gt;"",'Run CRS'!BL63,"")</f>
        <v/>
      </c>
      <c r="O63" s="105" t="str">
        <f>IF('Run CRS'!BM63&lt;&gt;"",'Run CRS'!BM63,"")</f>
        <v/>
      </c>
      <c r="P63" s="106" t="str">
        <f>IF('Run CRS'!BN63&lt;&gt;"",'Run CRS'!BN63,"")</f>
        <v/>
      </c>
      <c r="Q63" s="106" t="str">
        <f>IF('Run CRS'!BO63&lt;&gt;"",'Run CRS'!BO63,"")</f>
        <v/>
      </c>
      <c r="R63" s="106" t="str">
        <f>IF('Run CRS'!BP63&lt;&gt;"",'Run CRS'!BP63,"")</f>
        <v/>
      </c>
      <c r="S63" s="106" t="str">
        <f>IF('Run CRS'!BQ63&lt;&gt;"",'Run CRS'!BQ63,"")</f>
        <v/>
      </c>
      <c r="T63" s="106" t="str">
        <f>IF('Run CRS'!BR63&lt;&gt;"",'Run CRS'!BR63,"")</f>
        <v/>
      </c>
      <c r="U63" s="105" t="str">
        <f>IF('Run CRS'!BS63&lt;&gt;"",'Run CRS'!BS63,"")</f>
        <v/>
      </c>
      <c r="V63" s="105" t="str">
        <f>IF('Run CRS'!BT63&lt;&gt;"",'Run CRS'!BT63,"")</f>
        <v/>
      </c>
      <c r="W63" s="105" t="str">
        <f>IF('Run CRS'!BU63&lt;&gt;"",'Run CRS'!BU63,"")</f>
        <v/>
      </c>
      <c r="X63" s="107" t="str">
        <f>IF('Run CRS'!BV63&lt;&gt;"",'Run CRS'!BV63,"")</f>
        <v/>
      </c>
      <c r="Y63" s="114" t="str">
        <f>IF('Data input'!C63&lt;&gt;"",O63/'Data input'!C63*100%,"")</f>
        <v/>
      </c>
      <c r="Z63" s="114" t="str">
        <f>IF('Data input'!D63&lt;&gt;"",P63/'Data input'!D63*100%,"")</f>
        <v/>
      </c>
      <c r="AA63" s="114" t="str">
        <f>IF('Data input'!E63&lt;&gt;"",Q63/'Data input'!E63*100%,"")</f>
        <v/>
      </c>
      <c r="AB63" s="114" t="str">
        <f>IF('Data input'!F63&lt;&gt;"",R63/'Data input'!F63*100%,"")</f>
        <v/>
      </c>
      <c r="AC63" s="114" t="str">
        <f>IF('Data input'!G63&lt;&gt;"",S63/'Data input'!G63*100%,"")</f>
        <v/>
      </c>
      <c r="AD63" s="114" t="str">
        <f>IF('Data input'!H63&lt;&gt;"",T63/'Data input'!H63*100%,"")</f>
        <v/>
      </c>
      <c r="AE63" s="114" t="str">
        <f>IF('Data input'!I63&lt;&gt;"",U63/'Data input'!I63*100%,"")</f>
        <v/>
      </c>
      <c r="AF63" s="114" t="str">
        <f>IF('Data input'!J63&lt;&gt;"",V63/'Data input'!J63*100%,"")</f>
        <v/>
      </c>
      <c r="AG63" s="114" t="str">
        <f>IF('Data input'!K63&lt;&gt;"",W63/'Data input'!K63*100%,"")</f>
        <v/>
      </c>
      <c r="AH63" s="115" t="str">
        <f>IF('Data input'!L63&lt;&gt;"",X63/'Data input'!L63*100%,"")</f>
        <v/>
      </c>
      <c r="AI63" s="114" t="str">
        <f>IF('Data input'!C63&lt;&gt;"",'Run CRS'!AH63/'Run CRS'!C63,"")</f>
        <v/>
      </c>
      <c r="AJ63" s="114" t="str">
        <f>IF('Data input'!D63&lt;&gt;"",'Run CRS'!AI63/'Run CRS'!D63,"")</f>
        <v/>
      </c>
      <c r="AK63" s="114" t="str">
        <f>IF('Data input'!E63&lt;&gt;"",'Run CRS'!AJ63/'Run CRS'!E63,"")</f>
        <v/>
      </c>
      <c r="AL63" s="114" t="str">
        <f>IF('Data input'!F63&lt;&gt;"",'Run CRS'!AK63/'Run CRS'!F63,"")</f>
        <v/>
      </c>
      <c r="AM63" s="114" t="str">
        <f>IF('Data input'!G63&lt;&gt;"",'Run CRS'!AL63/'Run CRS'!G63,"")</f>
        <v/>
      </c>
      <c r="AN63" s="114" t="str">
        <f>IF('Data input'!H63&lt;&gt;"",'Run CRS'!AM63/'Run CRS'!H63,"")</f>
        <v/>
      </c>
      <c r="AO63" s="114" t="str">
        <f>IF('Data input'!I63&lt;&gt;"",'Run CRS'!AN63/'Run CRS'!I63,"")</f>
        <v/>
      </c>
      <c r="AP63" s="114" t="str">
        <f>IF('Data input'!J63&lt;&gt;"",'Run CRS'!AO63/'Run CRS'!J63,"")</f>
        <v/>
      </c>
      <c r="AQ63" s="114" t="str">
        <f>IF('Data input'!K63&lt;&gt;"",'Run CRS'!AP63/'Run CRS'!K63,"")</f>
        <v/>
      </c>
      <c r="AR63" s="115" t="str">
        <f>IF('Data input'!L63&lt;&gt;"",'Run CRS'!AQ63/'Run CRS'!L63,"")</f>
        <v/>
      </c>
    </row>
    <row r="64" spans="1:44" x14ac:dyDescent="0.35">
      <c r="A64" s="102" t="str">
        <f>IF('Run CRS'!AF64&lt;&gt;"",'Run CRS'!AF64,"")</f>
        <v/>
      </c>
      <c r="B64" s="103" t="str">
        <f>IF('Run CRS'!AG64&lt;&gt;"",'Run CRS'!AG64,"")</f>
        <v/>
      </c>
      <c r="C64" s="104" t="str">
        <f>IF('Run CRS'!AR64&lt;&gt;"",'Run CRS'!AR64,"")</f>
        <v/>
      </c>
      <c r="D64" s="104" t="e">
        <f>IF(ROUND(C64,3)=100%,"Optimal frontier",'Run CRS'!BW64)</f>
        <v>#VALUE!</v>
      </c>
      <c r="E64" s="105" t="str">
        <f>IF('Run CRS'!BC64&lt;&gt;"",'Run CRS'!BC64,"")</f>
        <v/>
      </c>
      <c r="F64" s="106" t="str">
        <f>IF('Run CRS'!BD64&lt;&gt;"",'Run CRS'!BD64,"")</f>
        <v/>
      </c>
      <c r="G64" s="106" t="str">
        <f>IF('Run CRS'!BE64&lt;&gt;"",'Run CRS'!BE64,"")</f>
        <v/>
      </c>
      <c r="H64" s="106" t="str">
        <f>IF('Run CRS'!BF64&lt;&gt;"",'Run CRS'!BF64,"")</f>
        <v/>
      </c>
      <c r="I64" s="106" t="str">
        <f>IF('Run CRS'!BG64&lt;&gt;"",'Run CRS'!BG64,"")</f>
        <v/>
      </c>
      <c r="J64" s="106" t="str">
        <f>IF('Run CRS'!BH64&lt;&gt;"",'Run CRS'!BH64,"")</f>
        <v/>
      </c>
      <c r="K64" s="105" t="str">
        <f>IF('Run CRS'!BI64&lt;&gt;"",'Run CRS'!BI64,"")</f>
        <v/>
      </c>
      <c r="L64" s="105" t="str">
        <f>IF('Run CRS'!BJ64&lt;&gt;"",'Run CRS'!BJ64,"")</f>
        <v/>
      </c>
      <c r="M64" s="105" t="str">
        <f>IF('Run CRS'!BK64&lt;&gt;"",'Run CRS'!BK64,"")</f>
        <v/>
      </c>
      <c r="N64" s="105" t="str">
        <f>IF('Run CRS'!BL64&lt;&gt;"",'Run CRS'!BL64,"")</f>
        <v/>
      </c>
      <c r="O64" s="105" t="str">
        <f>IF('Run CRS'!BM64&lt;&gt;"",'Run CRS'!BM64,"")</f>
        <v/>
      </c>
      <c r="P64" s="106" t="str">
        <f>IF('Run CRS'!BN64&lt;&gt;"",'Run CRS'!BN64,"")</f>
        <v/>
      </c>
      <c r="Q64" s="106" t="str">
        <f>IF('Run CRS'!BO64&lt;&gt;"",'Run CRS'!BO64,"")</f>
        <v/>
      </c>
      <c r="R64" s="106" t="str">
        <f>IF('Run CRS'!BP64&lt;&gt;"",'Run CRS'!BP64,"")</f>
        <v/>
      </c>
      <c r="S64" s="106" t="str">
        <f>IF('Run CRS'!BQ64&lt;&gt;"",'Run CRS'!BQ64,"")</f>
        <v/>
      </c>
      <c r="T64" s="106" t="str">
        <f>IF('Run CRS'!BR64&lt;&gt;"",'Run CRS'!BR64,"")</f>
        <v/>
      </c>
      <c r="U64" s="105" t="str">
        <f>IF('Run CRS'!BS64&lt;&gt;"",'Run CRS'!BS64,"")</f>
        <v/>
      </c>
      <c r="V64" s="105" t="str">
        <f>IF('Run CRS'!BT64&lt;&gt;"",'Run CRS'!BT64,"")</f>
        <v/>
      </c>
      <c r="W64" s="105" t="str">
        <f>IF('Run CRS'!BU64&lt;&gt;"",'Run CRS'!BU64,"")</f>
        <v/>
      </c>
      <c r="X64" s="107" t="str">
        <f>IF('Run CRS'!BV64&lt;&gt;"",'Run CRS'!BV64,"")</f>
        <v/>
      </c>
      <c r="Y64" s="114" t="str">
        <f>IF('Data input'!C64&lt;&gt;"",O64/'Data input'!C64*100%,"")</f>
        <v/>
      </c>
      <c r="Z64" s="114" t="str">
        <f>IF('Data input'!D64&lt;&gt;"",P64/'Data input'!D64*100%,"")</f>
        <v/>
      </c>
      <c r="AA64" s="114" t="str">
        <f>IF('Data input'!E64&lt;&gt;"",Q64/'Data input'!E64*100%,"")</f>
        <v/>
      </c>
      <c r="AB64" s="114" t="str">
        <f>IF('Data input'!F64&lt;&gt;"",R64/'Data input'!F64*100%,"")</f>
        <v/>
      </c>
      <c r="AC64" s="114" t="str">
        <f>IF('Data input'!G64&lt;&gt;"",S64/'Data input'!G64*100%,"")</f>
        <v/>
      </c>
      <c r="AD64" s="114" t="str">
        <f>IF('Data input'!H64&lt;&gt;"",T64/'Data input'!H64*100%,"")</f>
        <v/>
      </c>
      <c r="AE64" s="114" t="str">
        <f>IF('Data input'!I64&lt;&gt;"",U64/'Data input'!I64*100%,"")</f>
        <v/>
      </c>
      <c r="AF64" s="114" t="str">
        <f>IF('Data input'!J64&lt;&gt;"",V64/'Data input'!J64*100%,"")</f>
        <v/>
      </c>
      <c r="AG64" s="114" t="str">
        <f>IF('Data input'!K64&lt;&gt;"",W64/'Data input'!K64*100%,"")</f>
        <v/>
      </c>
      <c r="AH64" s="115" t="str">
        <f>IF('Data input'!L64&lt;&gt;"",X64/'Data input'!L64*100%,"")</f>
        <v/>
      </c>
      <c r="AI64" s="114" t="str">
        <f>IF('Data input'!C64&lt;&gt;"",'Run CRS'!AH64/'Run CRS'!C64,"")</f>
        <v/>
      </c>
      <c r="AJ64" s="114" t="str">
        <f>IF('Data input'!D64&lt;&gt;"",'Run CRS'!AI64/'Run CRS'!D64,"")</f>
        <v/>
      </c>
      <c r="AK64" s="114" t="str">
        <f>IF('Data input'!E64&lt;&gt;"",'Run CRS'!AJ64/'Run CRS'!E64,"")</f>
        <v/>
      </c>
      <c r="AL64" s="114" t="str">
        <f>IF('Data input'!F64&lt;&gt;"",'Run CRS'!AK64/'Run CRS'!F64,"")</f>
        <v/>
      </c>
      <c r="AM64" s="114" t="str">
        <f>IF('Data input'!G64&lt;&gt;"",'Run CRS'!AL64/'Run CRS'!G64,"")</f>
        <v/>
      </c>
      <c r="AN64" s="114" t="str">
        <f>IF('Data input'!H64&lt;&gt;"",'Run CRS'!AM64/'Run CRS'!H64,"")</f>
        <v/>
      </c>
      <c r="AO64" s="114" t="str">
        <f>IF('Data input'!I64&lt;&gt;"",'Run CRS'!AN64/'Run CRS'!I64,"")</f>
        <v/>
      </c>
      <c r="AP64" s="114" t="str">
        <f>IF('Data input'!J64&lt;&gt;"",'Run CRS'!AO64/'Run CRS'!J64,"")</f>
        <v/>
      </c>
      <c r="AQ64" s="114" t="str">
        <f>IF('Data input'!K64&lt;&gt;"",'Run CRS'!AP64/'Run CRS'!K64,"")</f>
        <v/>
      </c>
      <c r="AR64" s="115" t="str">
        <f>IF('Data input'!L64&lt;&gt;"",'Run CRS'!AQ64/'Run CRS'!L64,"")</f>
        <v/>
      </c>
    </row>
    <row r="65" spans="1:44" x14ac:dyDescent="0.35">
      <c r="A65" s="102" t="str">
        <f>IF('Run CRS'!AF65&lt;&gt;"",'Run CRS'!AF65,"")</f>
        <v/>
      </c>
      <c r="B65" s="103" t="str">
        <f>IF('Run CRS'!AG65&lt;&gt;"",'Run CRS'!AG65,"")</f>
        <v/>
      </c>
      <c r="C65" s="104" t="str">
        <f>IF('Run CRS'!AR65&lt;&gt;"",'Run CRS'!AR65,"")</f>
        <v/>
      </c>
      <c r="D65" s="104" t="e">
        <f>IF(ROUND(C65,3)=100%,"Optimal frontier",'Run CRS'!BW65)</f>
        <v>#VALUE!</v>
      </c>
      <c r="E65" s="105" t="str">
        <f>IF('Run CRS'!BC65&lt;&gt;"",'Run CRS'!BC65,"")</f>
        <v/>
      </c>
      <c r="F65" s="106" t="str">
        <f>IF('Run CRS'!BD65&lt;&gt;"",'Run CRS'!BD65,"")</f>
        <v/>
      </c>
      <c r="G65" s="106" t="str">
        <f>IF('Run CRS'!BE65&lt;&gt;"",'Run CRS'!BE65,"")</f>
        <v/>
      </c>
      <c r="H65" s="106" t="str">
        <f>IF('Run CRS'!BF65&lt;&gt;"",'Run CRS'!BF65,"")</f>
        <v/>
      </c>
      <c r="I65" s="106" t="str">
        <f>IF('Run CRS'!BG65&lt;&gt;"",'Run CRS'!BG65,"")</f>
        <v/>
      </c>
      <c r="J65" s="106" t="str">
        <f>IF('Run CRS'!BH65&lt;&gt;"",'Run CRS'!BH65,"")</f>
        <v/>
      </c>
      <c r="K65" s="105" t="str">
        <f>IF('Run CRS'!BI65&lt;&gt;"",'Run CRS'!BI65,"")</f>
        <v/>
      </c>
      <c r="L65" s="105" t="str">
        <f>IF('Run CRS'!BJ65&lt;&gt;"",'Run CRS'!BJ65,"")</f>
        <v/>
      </c>
      <c r="M65" s="105" t="str">
        <f>IF('Run CRS'!BK65&lt;&gt;"",'Run CRS'!BK65,"")</f>
        <v/>
      </c>
      <c r="N65" s="105" t="str">
        <f>IF('Run CRS'!BL65&lt;&gt;"",'Run CRS'!BL65,"")</f>
        <v/>
      </c>
      <c r="O65" s="105" t="str">
        <f>IF('Run CRS'!BM65&lt;&gt;"",'Run CRS'!BM65,"")</f>
        <v/>
      </c>
      <c r="P65" s="106" t="str">
        <f>IF('Run CRS'!BN65&lt;&gt;"",'Run CRS'!BN65,"")</f>
        <v/>
      </c>
      <c r="Q65" s="106" t="str">
        <f>IF('Run CRS'!BO65&lt;&gt;"",'Run CRS'!BO65,"")</f>
        <v/>
      </c>
      <c r="R65" s="106" t="str">
        <f>IF('Run CRS'!BP65&lt;&gt;"",'Run CRS'!BP65,"")</f>
        <v/>
      </c>
      <c r="S65" s="106" t="str">
        <f>IF('Run CRS'!BQ65&lt;&gt;"",'Run CRS'!BQ65,"")</f>
        <v/>
      </c>
      <c r="T65" s="106" t="str">
        <f>IF('Run CRS'!BR65&lt;&gt;"",'Run CRS'!BR65,"")</f>
        <v/>
      </c>
      <c r="U65" s="105" t="str">
        <f>IF('Run CRS'!BS65&lt;&gt;"",'Run CRS'!BS65,"")</f>
        <v/>
      </c>
      <c r="V65" s="105" t="str">
        <f>IF('Run CRS'!BT65&lt;&gt;"",'Run CRS'!BT65,"")</f>
        <v/>
      </c>
      <c r="W65" s="105" t="str">
        <f>IF('Run CRS'!BU65&lt;&gt;"",'Run CRS'!BU65,"")</f>
        <v/>
      </c>
      <c r="X65" s="107" t="str">
        <f>IF('Run CRS'!BV65&lt;&gt;"",'Run CRS'!BV65,"")</f>
        <v/>
      </c>
      <c r="Y65" s="114" t="str">
        <f>IF('Data input'!C65&lt;&gt;"",O65/'Data input'!C65*100%,"")</f>
        <v/>
      </c>
      <c r="Z65" s="114" t="str">
        <f>IF('Data input'!D65&lt;&gt;"",P65/'Data input'!D65*100%,"")</f>
        <v/>
      </c>
      <c r="AA65" s="114" t="str">
        <f>IF('Data input'!E65&lt;&gt;"",Q65/'Data input'!E65*100%,"")</f>
        <v/>
      </c>
      <c r="AB65" s="114" t="str">
        <f>IF('Data input'!F65&lt;&gt;"",R65/'Data input'!F65*100%,"")</f>
        <v/>
      </c>
      <c r="AC65" s="114" t="str">
        <f>IF('Data input'!G65&lt;&gt;"",S65/'Data input'!G65*100%,"")</f>
        <v/>
      </c>
      <c r="AD65" s="114" t="str">
        <f>IF('Data input'!H65&lt;&gt;"",T65/'Data input'!H65*100%,"")</f>
        <v/>
      </c>
      <c r="AE65" s="114" t="str">
        <f>IF('Data input'!I65&lt;&gt;"",U65/'Data input'!I65*100%,"")</f>
        <v/>
      </c>
      <c r="AF65" s="114" t="str">
        <f>IF('Data input'!J65&lt;&gt;"",V65/'Data input'!J65*100%,"")</f>
        <v/>
      </c>
      <c r="AG65" s="114" t="str">
        <f>IF('Data input'!K65&lt;&gt;"",W65/'Data input'!K65*100%,"")</f>
        <v/>
      </c>
      <c r="AH65" s="115" t="str">
        <f>IF('Data input'!L65&lt;&gt;"",X65/'Data input'!L65*100%,"")</f>
        <v/>
      </c>
      <c r="AI65" s="114" t="str">
        <f>IF('Data input'!C65&lt;&gt;"",'Run CRS'!AH65/'Run CRS'!C65,"")</f>
        <v/>
      </c>
      <c r="AJ65" s="114" t="str">
        <f>IF('Data input'!D65&lt;&gt;"",'Run CRS'!AI65/'Run CRS'!D65,"")</f>
        <v/>
      </c>
      <c r="AK65" s="114" t="str">
        <f>IF('Data input'!E65&lt;&gt;"",'Run CRS'!AJ65/'Run CRS'!E65,"")</f>
        <v/>
      </c>
      <c r="AL65" s="114" t="str">
        <f>IF('Data input'!F65&lt;&gt;"",'Run CRS'!AK65/'Run CRS'!F65,"")</f>
        <v/>
      </c>
      <c r="AM65" s="114" t="str">
        <f>IF('Data input'!G65&lt;&gt;"",'Run CRS'!AL65/'Run CRS'!G65,"")</f>
        <v/>
      </c>
      <c r="AN65" s="114" t="str">
        <f>IF('Data input'!H65&lt;&gt;"",'Run CRS'!AM65/'Run CRS'!H65,"")</f>
        <v/>
      </c>
      <c r="AO65" s="114" t="str">
        <f>IF('Data input'!I65&lt;&gt;"",'Run CRS'!AN65/'Run CRS'!I65,"")</f>
        <v/>
      </c>
      <c r="AP65" s="114" t="str">
        <f>IF('Data input'!J65&lt;&gt;"",'Run CRS'!AO65/'Run CRS'!J65,"")</f>
        <v/>
      </c>
      <c r="AQ65" s="114" t="str">
        <f>IF('Data input'!K65&lt;&gt;"",'Run CRS'!AP65/'Run CRS'!K65,"")</f>
        <v/>
      </c>
      <c r="AR65" s="115" t="str">
        <f>IF('Data input'!L65&lt;&gt;"",'Run CRS'!AQ65/'Run CRS'!L65,"")</f>
        <v/>
      </c>
    </row>
    <row r="66" spans="1:44" x14ac:dyDescent="0.35">
      <c r="A66" s="102" t="str">
        <f>IF('Run CRS'!AF66&lt;&gt;"",'Run CRS'!AF66,"")</f>
        <v/>
      </c>
      <c r="B66" s="103" t="str">
        <f>IF('Run CRS'!AG66&lt;&gt;"",'Run CRS'!AG66,"")</f>
        <v/>
      </c>
      <c r="C66" s="104" t="str">
        <f>IF('Run CRS'!AR66&lt;&gt;"",'Run CRS'!AR66,"")</f>
        <v/>
      </c>
      <c r="D66" s="104" t="e">
        <f>IF(ROUND(C66,3)=100%,"Optimal frontier",'Run CRS'!BW66)</f>
        <v>#VALUE!</v>
      </c>
      <c r="E66" s="105" t="str">
        <f>IF('Run CRS'!BC66&lt;&gt;"",'Run CRS'!BC66,"")</f>
        <v/>
      </c>
      <c r="F66" s="106" t="str">
        <f>IF('Run CRS'!BD66&lt;&gt;"",'Run CRS'!BD66,"")</f>
        <v/>
      </c>
      <c r="G66" s="106" t="str">
        <f>IF('Run CRS'!BE66&lt;&gt;"",'Run CRS'!BE66,"")</f>
        <v/>
      </c>
      <c r="H66" s="106" t="str">
        <f>IF('Run CRS'!BF66&lt;&gt;"",'Run CRS'!BF66,"")</f>
        <v/>
      </c>
      <c r="I66" s="106" t="str">
        <f>IF('Run CRS'!BG66&lt;&gt;"",'Run CRS'!BG66,"")</f>
        <v/>
      </c>
      <c r="J66" s="106" t="str">
        <f>IF('Run CRS'!BH66&lt;&gt;"",'Run CRS'!BH66,"")</f>
        <v/>
      </c>
      <c r="K66" s="105" t="str">
        <f>IF('Run CRS'!BI66&lt;&gt;"",'Run CRS'!BI66,"")</f>
        <v/>
      </c>
      <c r="L66" s="105" t="str">
        <f>IF('Run CRS'!BJ66&lt;&gt;"",'Run CRS'!BJ66,"")</f>
        <v/>
      </c>
      <c r="M66" s="105" t="str">
        <f>IF('Run CRS'!BK66&lt;&gt;"",'Run CRS'!BK66,"")</f>
        <v/>
      </c>
      <c r="N66" s="105" t="str">
        <f>IF('Run CRS'!BL66&lt;&gt;"",'Run CRS'!BL66,"")</f>
        <v/>
      </c>
      <c r="O66" s="105" t="str">
        <f>IF('Run CRS'!BM66&lt;&gt;"",'Run CRS'!BM66,"")</f>
        <v/>
      </c>
      <c r="P66" s="106" t="str">
        <f>IF('Run CRS'!BN66&lt;&gt;"",'Run CRS'!BN66,"")</f>
        <v/>
      </c>
      <c r="Q66" s="106" t="str">
        <f>IF('Run CRS'!BO66&lt;&gt;"",'Run CRS'!BO66,"")</f>
        <v/>
      </c>
      <c r="R66" s="106" t="str">
        <f>IF('Run CRS'!BP66&lt;&gt;"",'Run CRS'!BP66,"")</f>
        <v/>
      </c>
      <c r="S66" s="106" t="str">
        <f>IF('Run CRS'!BQ66&lt;&gt;"",'Run CRS'!BQ66,"")</f>
        <v/>
      </c>
      <c r="T66" s="106" t="str">
        <f>IF('Run CRS'!BR66&lt;&gt;"",'Run CRS'!BR66,"")</f>
        <v/>
      </c>
      <c r="U66" s="105" t="str">
        <f>IF('Run CRS'!BS66&lt;&gt;"",'Run CRS'!BS66,"")</f>
        <v/>
      </c>
      <c r="V66" s="105" t="str">
        <f>IF('Run CRS'!BT66&lt;&gt;"",'Run CRS'!BT66,"")</f>
        <v/>
      </c>
      <c r="W66" s="105" t="str">
        <f>IF('Run CRS'!BU66&lt;&gt;"",'Run CRS'!BU66,"")</f>
        <v/>
      </c>
      <c r="X66" s="107" t="str">
        <f>IF('Run CRS'!BV66&lt;&gt;"",'Run CRS'!BV66,"")</f>
        <v/>
      </c>
      <c r="Y66" s="114" t="str">
        <f>IF('Data input'!C66&lt;&gt;"",O66/'Data input'!C66*100%,"")</f>
        <v/>
      </c>
      <c r="Z66" s="114" t="str">
        <f>IF('Data input'!D66&lt;&gt;"",P66/'Data input'!D66*100%,"")</f>
        <v/>
      </c>
      <c r="AA66" s="114" t="str">
        <f>IF('Data input'!E66&lt;&gt;"",Q66/'Data input'!E66*100%,"")</f>
        <v/>
      </c>
      <c r="AB66" s="114" t="str">
        <f>IF('Data input'!F66&lt;&gt;"",R66/'Data input'!F66*100%,"")</f>
        <v/>
      </c>
      <c r="AC66" s="114" t="str">
        <f>IF('Data input'!G66&lt;&gt;"",S66/'Data input'!G66*100%,"")</f>
        <v/>
      </c>
      <c r="AD66" s="114" t="str">
        <f>IF('Data input'!H66&lt;&gt;"",T66/'Data input'!H66*100%,"")</f>
        <v/>
      </c>
      <c r="AE66" s="114" t="str">
        <f>IF('Data input'!I66&lt;&gt;"",U66/'Data input'!I66*100%,"")</f>
        <v/>
      </c>
      <c r="AF66" s="114" t="str">
        <f>IF('Data input'!J66&lt;&gt;"",V66/'Data input'!J66*100%,"")</f>
        <v/>
      </c>
      <c r="AG66" s="114" t="str">
        <f>IF('Data input'!K66&lt;&gt;"",W66/'Data input'!K66*100%,"")</f>
        <v/>
      </c>
      <c r="AH66" s="115" t="str">
        <f>IF('Data input'!L66&lt;&gt;"",X66/'Data input'!L66*100%,"")</f>
        <v/>
      </c>
      <c r="AI66" s="114" t="str">
        <f>IF('Data input'!C66&lt;&gt;"",'Run CRS'!AH66/'Run CRS'!C66,"")</f>
        <v/>
      </c>
      <c r="AJ66" s="114" t="str">
        <f>IF('Data input'!D66&lt;&gt;"",'Run CRS'!AI66/'Run CRS'!D66,"")</f>
        <v/>
      </c>
      <c r="AK66" s="114" t="str">
        <f>IF('Data input'!E66&lt;&gt;"",'Run CRS'!AJ66/'Run CRS'!E66,"")</f>
        <v/>
      </c>
      <c r="AL66" s="114" t="str">
        <f>IF('Data input'!F66&lt;&gt;"",'Run CRS'!AK66/'Run CRS'!F66,"")</f>
        <v/>
      </c>
      <c r="AM66" s="114" t="str">
        <f>IF('Data input'!G66&lt;&gt;"",'Run CRS'!AL66/'Run CRS'!G66,"")</f>
        <v/>
      </c>
      <c r="AN66" s="114" t="str">
        <f>IF('Data input'!H66&lt;&gt;"",'Run CRS'!AM66/'Run CRS'!H66,"")</f>
        <v/>
      </c>
      <c r="AO66" s="114" t="str">
        <f>IF('Data input'!I66&lt;&gt;"",'Run CRS'!AN66/'Run CRS'!I66,"")</f>
        <v/>
      </c>
      <c r="AP66" s="114" t="str">
        <f>IF('Data input'!J66&lt;&gt;"",'Run CRS'!AO66/'Run CRS'!J66,"")</f>
        <v/>
      </c>
      <c r="AQ66" s="114" t="str">
        <f>IF('Data input'!K66&lt;&gt;"",'Run CRS'!AP66/'Run CRS'!K66,"")</f>
        <v/>
      </c>
      <c r="AR66" s="115" t="str">
        <f>IF('Data input'!L66&lt;&gt;"",'Run CRS'!AQ66/'Run CRS'!L66,"")</f>
        <v/>
      </c>
    </row>
    <row r="67" spans="1:44" x14ac:dyDescent="0.35">
      <c r="A67" s="102" t="str">
        <f>IF('Run CRS'!AF67&lt;&gt;"",'Run CRS'!AF67,"")</f>
        <v/>
      </c>
      <c r="B67" s="103" t="str">
        <f>IF('Run CRS'!AG67&lt;&gt;"",'Run CRS'!AG67,"")</f>
        <v/>
      </c>
      <c r="C67" s="104" t="str">
        <f>IF('Run CRS'!AR67&lt;&gt;"",'Run CRS'!AR67,"")</f>
        <v/>
      </c>
      <c r="D67" s="104" t="e">
        <f>IF(ROUND(C67,3)=100%,"Optimal frontier",'Run CRS'!BW67)</f>
        <v>#VALUE!</v>
      </c>
      <c r="E67" s="105" t="str">
        <f>IF('Run CRS'!BC67&lt;&gt;"",'Run CRS'!BC67,"")</f>
        <v/>
      </c>
      <c r="F67" s="106" t="str">
        <f>IF('Run CRS'!BD67&lt;&gt;"",'Run CRS'!BD67,"")</f>
        <v/>
      </c>
      <c r="G67" s="106" t="str">
        <f>IF('Run CRS'!BE67&lt;&gt;"",'Run CRS'!BE67,"")</f>
        <v/>
      </c>
      <c r="H67" s="106" t="str">
        <f>IF('Run CRS'!BF67&lt;&gt;"",'Run CRS'!BF67,"")</f>
        <v/>
      </c>
      <c r="I67" s="106" t="str">
        <f>IF('Run CRS'!BG67&lt;&gt;"",'Run CRS'!BG67,"")</f>
        <v/>
      </c>
      <c r="J67" s="106" t="str">
        <f>IF('Run CRS'!BH67&lt;&gt;"",'Run CRS'!BH67,"")</f>
        <v/>
      </c>
      <c r="K67" s="105" t="str">
        <f>IF('Run CRS'!BI67&lt;&gt;"",'Run CRS'!BI67,"")</f>
        <v/>
      </c>
      <c r="L67" s="105" t="str">
        <f>IF('Run CRS'!BJ67&lt;&gt;"",'Run CRS'!BJ67,"")</f>
        <v/>
      </c>
      <c r="M67" s="105" t="str">
        <f>IF('Run CRS'!BK67&lt;&gt;"",'Run CRS'!BK67,"")</f>
        <v/>
      </c>
      <c r="N67" s="105" t="str">
        <f>IF('Run CRS'!BL67&lt;&gt;"",'Run CRS'!BL67,"")</f>
        <v/>
      </c>
      <c r="O67" s="105" t="str">
        <f>IF('Run CRS'!BM67&lt;&gt;"",'Run CRS'!BM67,"")</f>
        <v/>
      </c>
      <c r="P67" s="106" t="str">
        <f>IF('Run CRS'!BN67&lt;&gt;"",'Run CRS'!BN67,"")</f>
        <v/>
      </c>
      <c r="Q67" s="106" t="str">
        <f>IF('Run CRS'!BO67&lt;&gt;"",'Run CRS'!BO67,"")</f>
        <v/>
      </c>
      <c r="R67" s="106" t="str">
        <f>IF('Run CRS'!BP67&lt;&gt;"",'Run CRS'!BP67,"")</f>
        <v/>
      </c>
      <c r="S67" s="106" t="str">
        <f>IF('Run CRS'!BQ67&lt;&gt;"",'Run CRS'!BQ67,"")</f>
        <v/>
      </c>
      <c r="T67" s="106" t="str">
        <f>IF('Run CRS'!BR67&lt;&gt;"",'Run CRS'!BR67,"")</f>
        <v/>
      </c>
      <c r="U67" s="105" t="str">
        <f>IF('Run CRS'!BS67&lt;&gt;"",'Run CRS'!BS67,"")</f>
        <v/>
      </c>
      <c r="V67" s="105" t="str">
        <f>IF('Run CRS'!BT67&lt;&gt;"",'Run CRS'!BT67,"")</f>
        <v/>
      </c>
      <c r="W67" s="105" t="str">
        <f>IF('Run CRS'!BU67&lt;&gt;"",'Run CRS'!BU67,"")</f>
        <v/>
      </c>
      <c r="X67" s="107" t="str">
        <f>IF('Run CRS'!BV67&lt;&gt;"",'Run CRS'!BV67,"")</f>
        <v/>
      </c>
      <c r="Y67" s="114" t="str">
        <f>IF('Data input'!C67&lt;&gt;"",O67/'Data input'!C67*100%,"")</f>
        <v/>
      </c>
      <c r="Z67" s="114" t="str">
        <f>IF('Data input'!D67&lt;&gt;"",P67/'Data input'!D67*100%,"")</f>
        <v/>
      </c>
      <c r="AA67" s="114" t="str">
        <f>IF('Data input'!E67&lt;&gt;"",Q67/'Data input'!E67*100%,"")</f>
        <v/>
      </c>
      <c r="AB67" s="114" t="str">
        <f>IF('Data input'!F67&lt;&gt;"",R67/'Data input'!F67*100%,"")</f>
        <v/>
      </c>
      <c r="AC67" s="114" t="str">
        <f>IF('Data input'!G67&lt;&gt;"",S67/'Data input'!G67*100%,"")</f>
        <v/>
      </c>
      <c r="AD67" s="114" t="str">
        <f>IF('Data input'!H67&lt;&gt;"",T67/'Data input'!H67*100%,"")</f>
        <v/>
      </c>
      <c r="AE67" s="114" t="str">
        <f>IF('Data input'!I67&lt;&gt;"",U67/'Data input'!I67*100%,"")</f>
        <v/>
      </c>
      <c r="AF67" s="114" t="str">
        <f>IF('Data input'!J67&lt;&gt;"",V67/'Data input'!J67*100%,"")</f>
        <v/>
      </c>
      <c r="AG67" s="114" t="str">
        <f>IF('Data input'!K67&lt;&gt;"",W67/'Data input'!K67*100%,"")</f>
        <v/>
      </c>
      <c r="AH67" s="115" t="str">
        <f>IF('Data input'!L67&lt;&gt;"",X67/'Data input'!L67*100%,"")</f>
        <v/>
      </c>
      <c r="AI67" s="114" t="str">
        <f>IF('Data input'!C67&lt;&gt;"",'Run CRS'!AH67/'Run CRS'!C67,"")</f>
        <v/>
      </c>
      <c r="AJ67" s="114" t="str">
        <f>IF('Data input'!D67&lt;&gt;"",'Run CRS'!AI67/'Run CRS'!D67,"")</f>
        <v/>
      </c>
      <c r="AK67" s="114" t="str">
        <f>IF('Data input'!E67&lt;&gt;"",'Run CRS'!AJ67/'Run CRS'!E67,"")</f>
        <v/>
      </c>
      <c r="AL67" s="114" t="str">
        <f>IF('Data input'!F67&lt;&gt;"",'Run CRS'!AK67/'Run CRS'!F67,"")</f>
        <v/>
      </c>
      <c r="AM67" s="114" t="str">
        <f>IF('Data input'!G67&lt;&gt;"",'Run CRS'!AL67/'Run CRS'!G67,"")</f>
        <v/>
      </c>
      <c r="AN67" s="114" t="str">
        <f>IF('Data input'!H67&lt;&gt;"",'Run CRS'!AM67/'Run CRS'!H67,"")</f>
        <v/>
      </c>
      <c r="AO67" s="114" t="str">
        <f>IF('Data input'!I67&lt;&gt;"",'Run CRS'!AN67/'Run CRS'!I67,"")</f>
        <v/>
      </c>
      <c r="AP67" s="114" t="str">
        <f>IF('Data input'!J67&lt;&gt;"",'Run CRS'!AO67/'Run CRS'!J67,"")</f>
        <v/>
      </c>
      <c r="AQ67" s="114" t="str">
        <f>IF('Data input'!K67&lt;&gt;"",'Run CRS'!AP67/'Run CRS'!K67,"")</f>
        <v/>
      </c>
      <c r="AR67" s="115" t="str">
        <f>IF('Data input'!L67&lt;&gt;"",'Run CRS'!AQ67/'Run CRS'!L67,"")</f>
        <v/>
      </c>
    </row>
    <row r="68" spans="1:44" x14ac:dyDescent="0.35">
      <c r="A68" s="102" t="str">
        <f>IF('Run CRS'!AF68&lt;&gt;"",'Run CRS'!AF68,"")</f>
        <v/>
      </c>
      <c r="B68" s="103" t="str">
        <f>IF('Run CRS'!AG68&lt;&gt;"",'Run CRS'!AG68,"")</f>
        <v/>
      </c>
      <c r="C68" s="104" t="str">
        <f>IF('Run CRS'!AR68&lt;&gt;"",'Run CRS'!AR68,"")</f>
        <v/>
      </c>
      <c r="D68" s="104" t="e">
        <f>IF(ROUND(C68,3)=100%,"Optimal frontier",'Run CRS'!BW68)</f>
        <v>#VALUE!</v>
      </c>
      <c r="E68" s="105" t="str">
        <f>IF('Run CRS'!BC68&lt;&gt;"",'Run CRS'!BC68,"")</f>
        <v/>
      </c>
      <c r="F68" s="106" t="str">
        <f>IF('Run CRS'!BD68&lt;&gt;"",'Run CRS'!BD68,"")</f>
        <v/>
      </c>
      <c r="G68" s="106" t="str">
        <f>IF('Run CRS'!BE68&lt;&gt;"",'Run CRS'!BE68,"")</f>
        <v/>
      </c>
      <c r="H68" s="106" t="str">
        <f>IF('Run CRS'!BF68&lt;&gt;"",'Run CRS'!BF68,"")</f>
        <v/>
      </c>
      <c r="I68" s="106" t="str">
        <f>IF('Run CRS'!BG68&lt;&gt;"",'Run CRS'!BG68,"")</f>
        <v/>
      </c>
      <c r="J68" s="106" t="str">
        <f>IF('Run CRS'!BH68&lt;&gt;"",'Run CRS'!BH68,"")</f>
        <v/>
      </c>
      <c r="K68" s="105" t="str">
        <f>IF('Run CRS'!BI68&lt;&gt;"",'Run CRS'!BI68,"")</f>
        <v/>
      </c>
      <c r="L68" s="105" t="str">
        <f>IF('Run CRS'!BJ68&lt;&gt;"",'Run CRS'!BJ68,"")</f>
        <v/>
      </c>
      <c r="M68" s="105" t="str">
        <f>IF('Run CRS'!BK68&lt;&gt;"",'Run CRS'!BK68,"")</f>
        <v/>
      </c>
      <c r="N68" s="105" t="str">
        <f>IF('Run CRS'!BL68&lt;&gt;"",'Run CRS'!BL68,"")</f>
        <v/>
      </c>
      <c r="O68" s="105" t="str">
        <f>IF('Run CRS'!BM68&lt;&gt;"",'Run CRS'!BM68,"")</f>
        <v/>
      </c>
      <c r="P68" s="106" t="str">
        <f>IF('Run CRS'!BN68&lt;&gt;"",'Run CRS'!BN68,"")</f>
        <v/>
      </c>
      <c r="Q68" s="106" t="str">
        <f>IF('Run CRS'!BO68&lt;&gt;"",'Run CRS'!BO68,"")</f>
        <v/>
      </c>
      <c r="R68" s="106" t="str">
        <f>IF('Run CRS'!BP68&lt;&gt;"",'Run CRS'!BP68,"")</f>
        <v/>
      </c>
      <c r="S68" s="106" t="str">
        <f>IF('Run CRS'!BQ68&lt;&gt;"",'Run CRS'!BQ68,"")</f>
        <v/>
      </c>
      <c r="T68" s="106" t="str">
        <f>IF('Run CRS'!BR68&lt;&gt;"",'Run CRS'!BR68,"")</f>
        <v/>
      </c>
      <c r="U68" s="105" t="str">
        <f>IF('Run CRS'!BS68&lt;&gt;"",'Run CRS'!BS68,"")</f>
        <v/>
      </c>
      <c r="V68" s="105" t="str">
        <f>IF('Run CRS'!BT68&lt;&gt;"",'Run CRS'!BT68,"")</f>
        <v/>
      </c>
      <c r="W68" s="105" t="str">
        <f>IF('Run CRS'!BU68&lt;&gt;"",'Run CRS'!BU68,"")</f>
        <v/>
      </c>
      <c r="X68" s="107" t="str">
        <f>IF('Run CRS'!BV68&lt;&gt;"",'Run CRS'!BV68,"")</f>
        <v/>
      </c>
      <c r="Y68" s="114" t="str">
        <f>IF('Data input'!C68&lt;&gt;"",O68/'Data input'!C68*100%,"")</f>
        <v/>
      </c>
      <c r="Z68" s="114" t="str">
        <f>IF('Data input'!D68&lt;&gt;"",P68/'Data input'!D68*100%,"")</f>
        <v/>
      </c>
      <c r="AA68" s="114" t="str">
        <f>IF('Data input'!E68&lt;&gt;"",Q68/'Data input'!E68*100%,"")</f>
        <v/>
      </c>
      <c r="AB68" s="114" t="str">
        <f>IF('Data input'!F68&lt;&gt;"",R68/'Data input'!F68*100%,"")</f>
        <v/>
      </c>
      <c r="AC68" s="114" t="str">
        <f>IF('Data input'!G68&lt;&gt;"",S68/'Data input'!G68*100%,"")</f>
        <v/>
      </c>
      <c r="AD68" s="114" t="str">
        <f>IF('Data input'!H68&lt;&gt;"",T68/'Data input'!H68*100%,"")</f>
        <v/>
      </c>
      <c r="AE68" s="114" t="str">
        <f>IF('Data input'!I68&lt;&gt;"",U68/'Data input'!I68*100%,"")</f>
        <v/>
      </c>
      <c r="AF68" s="114" t="str">
        <f>IF('Data input'!J68&lt;&gt;"",V68/'Data input'!J68*100%,"")</f>
        <v/>
      </c>
      <c r="AG68" s="114" t="str">
        <f>IF('Data input'!K68&lt;&gt;"",W68/'Data input'!K68*100%,"")</f>
        <v/>
      </c>
      <c r="AH68" s="115" t="str">
        <f>IF('Data input'!L68&lt;&gt;"",X68/'Data input'!L68*100%,"")</f>
        <v/>
      </c>
      <c r="AI68" s="114" t="str">
        <f>IF('Data input'!C68&lt;&gt;"",'Run CRS'!AH68/'Run CRS'!C68,"")</f>
        <v/>
      </c>
      <c r="AJ68" s="114" t="str">
        <f>IF('Data input'!D68&lt;&gt;"",'Run CRS'!AI68/'Run CRS'!D68,"")</f>
        <v/>
      </c>
      <c r="AK68" s="114" t="str">
        <f>IF('Data input'!E68&lt;&gt;"",'Run CRS'!AJ68/'Run CRS'!E68,"")</f>
        <v/>
      </c>
      <c r="AL68" s="114" t="str">
        <f>IF('Data input'!F68&lt;&gt;"",'Run CRS'!AK68/'Run CRS'!F68,"")</f>
        <v/>
      </c>
      <c r="AM68" s="114" t="str">
        <f>IF('Data input'!G68&lt;&gt;"",'Run CRS'!AL68/'Run CRS'!G68,"")</f>
        <v/>
      </c>
      <c r="AN68" s="114" t="str">
        <f>IF('Data input'!H68&lt;&gt;"",'Run CRS'!AM68/'Run CRS'!H68,"")</f>
        <v/>
      </c>
      <c r="AO68" s="114" t="str">
        <f>IF('Data input'!I68&lt;&gt;"",'Run CRS'!AN68/'Run CRS'!I68,"")</f>
        <v/>
      </c>
      <c r="AP68" s="114" t="str">
        <f>IF('Data input'!J68&lt;&gt;"",'Run CRS'!AO68/'Run CRS'!J68,"")</f>
        <v/>
      </c>
      <c r="AQ68" s="114" t="str">
        <f>IF('Data input'!K68&lt;&gt;"",'Run CRS'!AP68/'Run CRS'!K68,"")</f>
        <v/>
      </c>
      <c r="AR68" s="115" t="str">
        <f>IF('Data input'!L68&lt;&gt;"",'Run CRS'!AQ68/'Run CRS'!L68,"")</f>
        <v/>
      </c>
    </row>
    <row r="69" spans="1:44" x14ac:dyDescent="0.35">
      <c r="A69" s="102" t="str">
        <f>IF('Run CRS'!AF69&lt;&gt;"",'Run CRS'!AF69,"")</f>
        <v/>
      </c>
      <c r="B69" s="103" t="str">
        <f>IF('Run CRS'!AG69&lt;&gt;"",'Run CRS'!AG69,"")</f>
        <v/>
      </c>
      <c r="C69" s="104" t="str">
        <f>IF('Run CRS'!AR69&lt;&gt;"",'Run CRS'!AR69,"")</f>
        <v/>
      </c>
      <c r="D69" s="104" t="e">
        <f>IF(ROUND(C69,3)=100%,"Optimal frontier",'Run CRS'!BW69)</f>
        <v>#VALUE!</v>
      </c>
      <c r="E69" s="105" t="str">
        <f>IF('Run CRS'!BC69&lt;&gt;"",'Run CRS'!BC69,"")</f>
        <v/>
      </c>
      <c r="F69" s="106" t="str">
        <f>IF('Run CRS'!BD69&lt;&gt;"",'Run CRS'!BD69,"")</f>
        <v/>
      </c>
      <c r="G69" s="106" t="str">
        <f>IF('Run CRS'!BE69&lt;&gt;"",'Run CRS'!BE69,"")</f>
        <v/>
      </c>
      <c r="H69" s="106" t="str">
        <f>IF('Run CRS'!BF69&lt;&gt;"",'Run CRS'!BF69,"")</f>
        <v/>
      </c>
      <c r="I69" s="106" t="str">
        <f>IF('Run CRS'!BG69&lt;&gt;"",'Run CRS'!BG69,"")</f>
        <v/>
      </c>
      <c r="J69" s="106" t="str">
        <f>IF('Run CRS'!BH69&lt;&gt;"",'Run CRS'!BH69,"")</f>
        <v/>
      </c>
      <c r="K69" s="105" t="str">
        <f>IF('Run CRS'!BI69&lt;&gt;"",'Run CRS'!BI69,"")</f>
        <v/>
      </c>
      <c r="L69" s="105" t="str">
        <f>IF('Run CRS'!BJ69&lt;&gt;"",'Run CRS'!BJ69,"")</f>
        <v/>
      </c>
      <c r="M69" s="105" t="str">
        <f>IF('Run CRS'!BK69&lt;&gt;"",'Run CRS'!BK69,"")</f>
        <v/>
      </c>
      <c r="N69" s="105" t="str">
        <f>IF('Run CRS'!BL69&lt;&gt;"",'Run CRS'!BL69,"")</f>
        <v/>
      </c>
      <c r="O69" s="105" t="str">
        <f>IF('Run CRS'!BM69&lt;&gt;"",'Run CRS'!BM69,"")</f>
        <v/>
      </c>
      <c r="P69" s="106" t="str">
        <f>IF('Run CRS'!BN69&lt;&gt;"",'Run CRS'!BN69,"")</f>
        <v/>
      </c>
      <c r="Q69" s="106" t="str">
        <f>IF('Run CRS'!BO69&lt;&gt;"",'Run CRS'!BO69,"")</f>
        <v/>
      </c>
      <c r="R69" s="106" t="str">
        <f>IF('Run CRS'!BP69&lt;&gt;"",'Run CRS'!BP69,"")</f>
        <v/>
      </c>
      <c r="S69" s="106" t="str">
        <f>IF('Run CRS'!BQ69&lt;&gt;"",'Run CRS'!BQ69,"")</f>
        <v/>
      </c>
      <c r="T69" s="106" t="str">
        <f>IF('Run CRS'!BR69&lt;&gt;"",'Run CRS'!BR69,"")</f>
        <v/>
      </c>
      <c r="U69" s="105" t="str">
        <f>IF('Run CRS'!BS69&lt;&gt;"",'Run CRS'!BS69,"")</f>
        <v/>
      </c>
      <c r="V69" s="105" t="str">
        <f>IF('Run CRS'!BT69&lt;&gt;"",'Run CRS'!BT69,"")</f>
        <v/>
      </c>
      <c r="W69" s="105" t="str">
        <f>IF('Run CRS'!BU69&lt;&gt;"",'Run CRS'!BU69,"")</f>
        <v/>
      </c>
      <c r="X69" s="107" t="str">
        <f>IF('Run CRS'!BV69&lt;&gt;"",'Run CRS'!BV69,"")</f>
        <v/>
      </c>
      <c r="Y69" s="114" t="str">
        <f>IF('Data input'!C69&lt;&gt;"",O69/'Data input'!C69*100%,"")</f>
        <v/>
      </c>
      <c r="Z69" s="114" t="str">
        <f>IF('Data input'!D69&lt;&gt;"",P69/'Data input'!D69*100%,"")</f>
        <v/>
      </c>
      <c r="AA69" s="114" t="str">
        <f>IF('Data input'!E69&lt;&gt;"",Q69/'Data input'!E69*100%,"")</f>
        <v/>
      </c>
      <c r="AB69" s="114" t="str">
        <f>IF('Data input'!F69&lt;&gt;"",R69/'Data input'!F69*100%,"")</f>
        <v/>
      </c>
      <c r="AC69" s="114" t="str">
        <f>IF('Data input'!G69&lt;&gt;"",S69/'Data input'!G69*100%,"")</f>
        <v/>
      </c>
      <c r="AD69" s="114" t="str">
        <f>IF('Data input'!H69&lt;&gt;"",T69/'Data input'!H69*100%,"")</f>
        <v/>
      </c>
      <c r="AE69" s="114" t="str">
        <f>IF('Data input'!I69&lt;&gt;"",U69/'Data input'!I69*100%,"")</f>
        <v/>
      </c>
      <c r="AF69" s="114" t="str">
        <f>IF('Data input'!J69&lt;&gt;"",V69/'Data input'!J69*100%,"")</f>
        <v/>
      </c>
      <c r="AG69" s="114" t="str">
        <f>IF('Data input'!K69&lt;&gt;"",W69/'Data input'!K69*100%,"")</f>
        <v/>
      </c>
      <c r="AH69" s="115" t="str">
        <f>IF('Data input'!L69&lt;&gt;"",X69/'Data input'!L69*100%,"")</f>
        <v/>
      </c>
      <c r="AI69" s="114" t="str">
        <f>IF('Data input'!C69&lt;&gt;"",'Run CRS'!AH69/'Run CRS'!C69,"")</f>
        <v/>
      </c>
      <c r="AJ69" s="114" t="str">
        <f>IF('Data input'!D69&lt;&gt;"",'Run CRS'!AI69/'Run CRS'!D69,"")</f>
        <v/>
      </c>
      <c r="AK69" s="114" t="str">
        <f>IF('Data input'!E69&lt;&gt;"",'Run CRS'!AJ69/'Run CRS'!E69,"")</f>
        <v/>
      </c>
      <c r="AL69" s="114" t="str">
        <f>IF('Data input'!F69&lt;&gt;"",'Run CRS'!AK69/'Run CRS'!F69,"")</f>
        <v/>
      </c>
      <c r="AM69" s="114" t="str">
        <f>IF('Data input'!G69&lt;&gt;"",'Run CRS'!AL69/'Run CRS'!G69,"")</f>
        <v/>
      </c>
      <c r="AN69" s="114" t="str">
        <f>IF('Data input'!H69&lt;&gt;"",'Run CRS'!AM69/'Run CRS'!H69,"")</f>
        <v/>
      </c>
      <c r="AO69" s="114" t="str">
        <f>IF('Data input'!I69&lt;&gt;"",'Run CRS'!AN69/'Run CRS'!I69,"")</f>
        <v/>
      </c>
      <c r="AP69" s="114" t="str">
        <f>IF('Data input'!J69&lt;&gt;"",'Run CRS'!AO69/'Run CRS'!J69,"")</f>
        <v/>
      </c>
      <c r="AQ69" s="114" t="str">
        <f>IF('Data input'!K69&lt;&gt;"",'Run CRS'!AP69/'Run CRS'!K69,"")</f>
        <v/>
      </c>
      <c r="AR69" s="115" t="str">
        <f>IF('Data input'!L69&lt;&gt;"",'Run CRS'!AQ69/'Run CRS'!L69,"")</f>
        <v/>
      </c>
    </row>
    <row r="70" spans="1:44" x14ac:dyDescent="0.35">
      <c r="A70" s="102" t="str">
        <f>IF('Run CRS'!AF70&lt;&gt;"",'Run CRS'!AF70,"")</f>
        <v/>
      </c>
      <c r="B70" s="103" t="str">
        <f>IF('Run CRS'!AG70&lt;&gt;"",'Run CRS'!AG70,"")</f>
        <v/>
      </c>
      <c r="C70" s="104" t="str">
        <f>IF('Run CRS'!AR70&lt;&gt;"",'Run CRS'!AR70,"")</f>
        <v/>
      </c>
      <c r="D70" s="104" t="e">
        <f>IF(ROUND(C70,3)=100%,"Optimal frontier",'Run CRS'!BW70)</f>
        <v>#VALUE!</v>
      </c>
      <c r="E70" s="105" t="str">
        <f>IF('Run CRS'!BC70&lt;&gt;"",'Run CRS'!BC70,"")</f>
        <v/>
      </c>
      <c r="F70" s="106" t="str">
        <f>IF('Run CRS'!BD70&lt;&gt;"",'Run CRS'!BD70,"")</f>
        <v/>
      </c>
      <c r="G70" s="106" t="str">
        <f>IF('Run CRS'!BE70&lt;&gt;"",'Run CRS'!BE70,"")</f>
        <v/>
      </c>
      <c r="H70" s="106" t="str">
        <f>IF('Run CRS'!BF70&lt;&gt;"",'Run CRS'!BF70,"")</f>
        <v/>
      </c>
      <c r="I70" s="106" t="str">
        <f>IF('Run CRS'!BG70&lt;&gt;"",'Run CRS'!BG70,"")</f>
        <v/>
      </c>
      <c r="J70" s="106" t="str">
        <f>IF('Run CRS'!BH70&lt;&gt;"",'Run CRS'!BH70,"")</f>
        <v/>
      </c>
      <c r="K70" s="105" t="str">
        <f>IF('Run CRS'!BI70&lt;&gt;"",'Run CRS'!BI70,"")</f>
        <v/>
      </c>
      <c r="L70" s="105" t="str">
        <f>IF('Run CRS'!BJ70&lt;&gt;"",'Run CRS'!BJ70,"")</f>
        <v/>
      </c>
      <c r="M70" s="105" t="str">
        <f>IF('Run CRS'!BK70&lt;&gt;"",'Run CRS'!BK70,"")</f>
        <v/>
      </c>
      <c r="N70" s="105" t="str">
        <f>IF('Run CRS'!BL70&lt;&gt;"",'Run CRS'!BL70,"")</f>
        <v/>
      </c>
      <c r="O70" s="105" t="str">
        <f>IF('Run CRS'!BM70&lt;&gt;"",'Run CRS'!BM70,"")</f>
        <v/>
      </c>
      <c r="P70" s="106" t="str">
        <f>IF('Run CRS'!BN70&lt;&gt;"",'Run CRS'!BN70,"")</f>
        <v/>
      </c>
      <c r="Q70" s="106" t="str">
        <f>IF('Run CRS'!BO70&lt;&gt;"",'Run CRS'!BO70,"")</f>
        <v/>
      </c>
      <c r="R70" s="106" t="str">
        <f>IF('Run CRS'!BP70&lt;&gt;"",'Run CRS'!BP70,"")</f>
        <v/>
      </c>
      <c r="S70" s="106" t="str">
        <f>IF('Run CRS'!BQ70&lt;&gt;"",'Run CRS'!BQ70,"")</f>
        <v/>
      </c>
      <c r="T70" s="106" t="str">
        <f>IF('Run CRS'!BR70&lt;&gt;"",'Run CRS'!BR70,"")</f>
        <v/>
      </c>
      <c r="U70" s="105" t="str">
        <f>IF('Run CRS'!BS70&lt;&gt;"",'Run CRS'!BS70,"")</f>
        <v/>
      </c>
      <c r="V70" s="105" t="str">
        <f>IF('Run CRS'!BT70&lt;&gt;"",'Run CRS'!BT70,"")</f>
        <v/>
      </c>
      <c r="W70" s="105" t="str">
        <f>IF('Run CRS'!BU70&lt;&gt;"",'Run CRS'!BU70,"")</f>
        <v/>
      </c>
      <c r="X70" s="107" t="str">
        <f>IF('Run CRS'!BV70&lt;&gt;"",'Run CRS'!BV70,"")</f>
        <v/>
      </c>
      <c r="Y70" s="114" t="str">
        <f>IF('Data input'!C70&lt;&gt;"",O70/'Data input'!C70*100%,"")</f>
        <v/>
      </c>
      <c r="Z70" s="114" t="str">
        <f>IF('Data input'!D70&lt;&gt;"",P70/'Data input'!D70*100%,"")</f>
        <v/>
      </c>
      <c r="AA70" s="114" t="str">
        <f>IF('Data input'!E70&lt;&gt;"",Q70/'Data input'!E70*100%,"")</f>
        <v/>
      </c>
      <c r="AB70" s="114" t="str">
        <f>IF('Data input'!F70&lt;&gt;"",R70/'Data input'!F70*100%,"")</f>
        <v/>
      </c>
      <c r="AC70" s="114" t="str">
        <f>IF('Data input'!G70&lt;&gt;"",S70/'Data input'!G70*100%,"")</f>
        <v/>
      </c>
      <c r="AD70" s="114" t="str">
        <f>IF('Data input'!H70&lt;&gt;"",T70/'Data input'!H70*100%,"")</f>
        <v/>
      </c>
      <c r="AE70" s="114" t="str">
        <f>IF('Data input'!I70&lt;&gt;"",U70/'Data input'!I70*100%,"")</f>
        <v/>
      </c>
      <c r="AF70" s="114" t="str">
        <f>IF('Data input'!J70&lt;&gt;"",V70/'Data input'!J70*100%,"")</f>
        <v/>
      </c>
      <c r="AG70" s="114" t="str">
        <f>IF('Data input'!K70&lt;&gt;"",W70/'Data input'!K70*100%,"")</f>
        <v/>
      </c>
      <c r="AH70" s="115" t="str">
        <f>IF('Data input'!L70&lt;&gt;"",X70/'Data input'!L70*100%,"")</f>
        <v/>
      </c>
      <c r="AI70" s="114" t="str">
        <f>IF('Data input'!C70&lt;&gt;"",'Run CRS'!AH70/'Run CRS'!C70,"")</f>
        <v/>
      </c>
      <c r="AJ70" s="114" t="str">
        <f>IF('Data input'!D70&lt;&gt;"",'Run CRS'!AI70/'Run CRS'!D70,"")</f>
        <v/>
      </c>
      <c r="AK70" s="114" t="str">
        <f>IF('Data input'!E70&lt;&gt;"",'Run CRS'!AJ70/'Run CRS'!E70,"")</f>
        <v/>
      </c>
      <c r="AL70" s="114" t="str">
        <f>IF('Data input'!F70&lt;&gt;"",'Run CRS'!AK70/'Run CRS'!F70,"")</f>
        <v/>
      </c>
      <c r="AM70" s="114" t="str">
        <f>IF('Data input'!G70&lt;&gt;"",'Run CRS'!AL70/'Run CRS'!G70,"")</f>
        <v/>
      </c>
      <c r="AN70" s="114" t="str">
        <f>IF('Data input'!H70&lt;&gt;"",'Run CRS'!AM70/'Run CRS'!H70,"")</f>
        <v/>
      </c>
      <c r="AO70" s="114" t="str">
        <f>IF('Data input'!I70&lt;&gt;"",'Run CRS'!AN70/'Run CRS'!I70,"")</f>
        <v/>
      </c>
      <c r="AP70" s="114" t="str">
        <f>IF('Data input'!J70&lt;&gt;"",'Run CRS'!AO70/'Run CRS'!J70,"")</f>
        <v/>
      </c>
      <c r="AQ70" s="114" t="str">
        <f>IF('Data input'!K70&lt;&gt;"",'Run CRS'!AP70/'Run CRS'!K70,"")</f>
        <v/>
      </c>
      <c r="AR70" s="115" t="str">
        <f>IF('Data input'!L70&lt;&gt;"",'Run CRS'!AQ70/'Run CRS'!L70,"")</f>
        <v/>
      </c>
    </row>
    <row r="71" spans="1:44" x14ac:dyDescent="0.35">
      <c r="A71" s="102" t="str">
        <f>IF('Run CRS'!AF71&lt;&gt;"",'Run CRS'!AF71,"")</f>
        <v/>
      </c>
      <c r="B71" s="103" t="str">
        <f>IF('Run CRS'!AG71&lt;&gt;"",'Run CRS'!AG71,"")</f>
        <v/>
      </c>
      <c r="C71" s="104" t="str">
        <f>IF('Run CRS'!AR71&lt;&gt;"",'Run CRS'!AR71,"")</f>
        <v/>
      </c>
      <c r="D71" s="104" t="e">
        <f>IF(ROUND(C71,3)=100%,"Optimal frontier",'Run CRS'!BW71)</f>
        <v>#VALUE!</v>
      </c>
      <c r="E71" s="105" t="str">
        <f>IF('Run CRS'!BC71&lt;&gt;"",'Run CRS'!BC71,"")</f>
        <v/>
      </c>
      <c r="F71" s="106" t="str">
        <f>IF('Run CRS'!BD71&lt;&gt;"",'Run CRS'!BD71,"")</f>
        <v/>
      </c>
      <c r="G71" s="106" t="str">
        <f>IF('Run CRS'!BE71&lt;&gt;"",'Run CRS'!BE71,"")</f>
        <v/>
      </c>
      <c r="H71" s="106" t="str">
        <f>IF('Run CRS'!BF71&lt;&gt;"",'Run CRS'!BF71,"")</f>
        <v/>
      </c>
      <c r="I71" s="106" t="str">
        <f>IF('Run CRS'!BG71&lt;&gt;"",'Run CRS'!BG71,"")</f>
        <v/>
      </c>
      <c r="J71" s="106" t="str">
        <f>IF('Run CRS'!BH71&lt;&gt;"",'Run CRS'!BH71,"")</f>
        <v/>
      </c>
      <c r="K71" s="105" t="str">
        <f>IF('Run CRS'!BI71&lt;&gt;"",'Run CRS'!BI71,"")</f>
        <v/>
      </c>
      <c r="L71" s="105" t="str">
        <f>IF('Run CRS'!BJ71&lt;&gt;"",'Run CRS'!BJ71,"")</f>
        <v/>
      </c>
      <c r="M71" s="105" t="str">
        <f>IF('Run CRS'!BK71&lt;&gt;"",'Run CRS'!BK71,"")</f>
        <v/>
      </c>
      <c r="N71" s="105" t="str">
        <f>IF('Run CRS'!BL71&lt;&gt;"",'Run CRS'!BL71,"")</f>
        <v/>
      </c>
      <c r="O71" s="105" t="str">
        <f>IF('Run CRS'!BM71&lt;&gt;"",'Run CRS'!BM71,"")</f>
        <v/>
      </c>
      <c r="P71" s="106" t="str">
        <f>IF('Run CRS'!BN71&lt;&gt;"",'Run CRS'!BN71,"")</f>
        <v/>
      </c>
      <c r="Q71" s="106" t="str">
        <f>IF('Run CRS'!BO71&lt;&gt;"",'Run CRS'!BO71,"")</f>
        <v/>
      </c>
      <c r="R71" s="106" t="str">
        <f>IF('Run CRS'!BP71&lt;&gt;"",'Run CRS'!BP71,"")</f>
        <v/>
      </c>
      <c r="S71" s="106" t="str">
        <f>IF('Run CRS'!BQ71&lt;&gt;"",'Run CRS'!BQ71,"")</f>
        <v/>
      </c>
      <c r="T71" s="106" t="str">
        <f>IF('Run CRS'!BR71&lt;&gt;"",'Run CRS'!BR71,"")</f>
        <v/>
      </c>
      <c r="U71" s="105" t="str">
        <f>IF('Run CRS'!BS71&lt;&gt;"",'Run CRS'!BS71,"")</f>
        <v/>
      </c>
      <c r="V71" s="105" t="str">
        <f>IF('Run CRS'!BT71&lt;&gt;"",'Run CRS'!BT71,"")</f>
        <v/>
      </c>
      <c r="W71" s="105" t="str">
        <f>IF('Run CRS'!BU71&lt;&gt;"",'Run CRS'!BU71,"")</f>
        <v/>
      </c>
      <c r="X71" s="107" t="str">
        <f>IF('Run CRS'!BV71&lt;&gt;"",'Run CRS'!BV71,"")</f>
        <v/>
      </c>
      <c r="Y71" s="114" t="str">
        <f>IF('Data input'!C71&lt;&gt;"",O71/'Data input'!C71*100%,"")</f>
        <v/>
      </c>
      <c r="Z71" s="114" t="str">
        <f>IF('Data input'!D71&lt;&gt;"",P71/'Data input'!D71*100%,"")</f>
        <v/>
      </c>
      <c r="AA71" s="114" t="str">
        <f>IF('Data input'!E71&lt;&gt;"",Q71/'Data input'!E71*100%,"")</f>
        <v/>
      </c>
      <c r="AB71" s="114" t="str">
        <f>IF('Data input'!F71&lt;&gt;"",R71/'Data input'!F71*100%,"")</f>
        <v/>
      </c>
      <c r="AC71" s="114" t="str">
        <f>IF('Data input'!G71&lt;&gt;"",S71/'Data input'!G71*100%,"")</f>
        <v/>
      </c>
      <c r="AD71" s="114" t="str">
        <f>IF('Data input'!H71&lt;&gt;"",T71/'Data input'!H71*100%,"")</f>
        <v/>
      </c>
      <c r="AE71" s="114" t="str">
        <f>IF('Data input'!I71&lt;&gt;"",U71/'Data input'!I71*100%,"")</f>
        <v/>
      </c>
      <c r="AF71" s="114" t="str">
        <f>IF('Data input'!J71&lt;&gt;"",V71/'Data input'!J71*100%,"")</f>
        <v/>
      </c>
      <c r="AG71" s="114" t="str">
        <f>IF('Data input'!K71&lt;&gt;"",W71/'Data input'!K71*100%,"")</f>
        <v/>
      </c>
      <c r="AH71" s="115" t="str">
        <f>IF('Data input'!L71&lt;&gt;"",X71/'Data input'!L71*100%,"")</f>
        <v/>
      </c>
      <c r="AI71" s="114" t="str">
        <f>IF('Data input'!C71&lt;&gt;"",'Run CRS'!AH71/'Run CRS'!C71,"")</f>
        <v/>
      </c>
      <c r="AJ71" s="114" t="str">
        <f>IF('Data input'!D71&lt;&gt;"",'Run CRS'!AI71/'Run CRS'!D71,"")</f>
        <v/>
      </c>
      <c r="AK71" s="114" t="str">
        <f>IF('Data input'!E71&lt;&gt;"",'Run CRS'!AJ71/'Run CRS'!E71,"")</f>
        <v/>
      </c>
      <c r="AL71" s="114" t="str">
        <f>IF('Data input'!F71&lt;&gt;"",'Run CRS'!AK71/'Run CRS'!F71,"")</f>
        <v/>
      </c>
      <c r="AM71" s="114" t="str">
        <f>IF('Data input'!G71&lt;&gt;"",'Run CRS'!AL71/'Run CRS'!G71,"")</f>
        <v/>
      </c>
      <c r="AN71" s="114" t="str">
        <f>IF('Data input'!H71&lt;&gt;"",'Run CRS'!AM71/'Run CRS'!H71,"")</f>
        <v/>
      </c>
      <c r="AO71" s="114" t="str">
        <f>IF('Data input'!I71&lt;&gt;"",'Run CRS'!AN71/'Run CRS'!I71,"")</f>
        <v/>
      </c>
      <c r="AP71" s="114" t="str">
        <f>IF('Data input'!J71&lt;&gt;"",'Run CRS'!AO71/'Run CRS'!J71,"")</f>
        <v/>
      </c>
      <c r="AQ71" s="114" t="str">
        <f>IF('Data input'!K71&lt;&gt;"",'Run CRS'!AP71/'Run CRS'!K71,"")</f>
        <v/>
      </c>
      <c r="AR71" s="115" t="str">
        <f>IF('Data input'!L71&lt;&gt;"",'Run CRS'!AQ71/'Run CRS'!L71,"")</f>
        <v/>
      </c>
    </row>
    <row r="72" spans="1:44" x14ac:dyDescent="0.35">
      <c r="A72" s="102" t="str">
        <f>IF('Run CRS'!AF72&lt;&gt;"",'Run CRS'!AF72,"")</f>
        <v/>
      </c>
      <c r="B72" s="103" t="str">
        <f>IF('Run CRS'!AG72&lt;&gt;"",'Run CRS'!AG72,"")</f>
        <v/>
      </c>
      <c r="C72" s="104" t="str">
        <f>IF('Run CRS'!AR72&lt;&gt;"",'Run CRS'!AR72,"")</f>
        <v/>
      </c>
      <c r="D72" s="104" t="e">
        <f>IF(ROUND(C72,3)=100%,"Optimal frontier",'Run CRS'!BW72)</f>
        <v>#VALUE!</v>
      </c>
      <c r="E72" s="105" t="str">
        <f>IF('Run CRS'!BC72&lt;&gt;"",'Run CRS'!BC72,"")</f>
        <v/>
      </c>
      <c r="F72" s="106" t="str">
        <f>IF('Run CRS'!BD72&lt;&gt;"",'Run CRS'!BD72,"")</f>
        <v/>
      </c>
      <c r="G72" s="106" t="str">
        <f>IF('Run CRS'!BE72&lt;&gt;"",'Run CRS'!BE72,"")</f>
        <v/>
      </c>
      <c r="H72" s="106" t="str">
        <f>IF('Run CRS'!BF72&lt;&gt;"",'Run CRS'!BF72,"")</f>
        <v/>
      </c>
      <c r="I72" s="106" t="str">
        <f>IF('Run CRS'!BG72&lt;&gt;"",'Run CRS'!BG72,"")</f>
        <v/>
      </c>
      <c r="J72" s="106" t="str">
        <f>IF('Run CRS'!BH72&lt;&gt;"",'Run CRS'!BH72,"")</f>
        <v/>
      </c>
      <c r="K72" s="105" t="str">
        <f>IF('Run CRS'!BI72&lt;&gt;"",'Run CRS'!BI72,"")</f>
        <v/>
      </c>
      <c r="L72" s="105" t="str">
        <f>IF('Run CRS'!BJ72&lt;&gt;"",'Run CRS'!BJ72,"")</f>
        <v/>
      </c>
      <c r="M72" s="105" t="str">
        <f>IF('Run CRS'!BK72&lt;&gt;"",'Run CRS'!BK72,"")</f>
        <v/>
      </c>
      <c r="N72" s="105" t="str">
        <f>IF('Run CRS'!BL72&lt;&gt;"",'Run CRS'!BL72,"")</f>
        <v/>
      </c>
      <c r="O72" s="105" t="str">
        <f>IF('Run CRS'!BM72&lt;&gt;"",'Run CRS'!BM72,"")</f>
        <v/>
      </c>
      <c r="P72" s="106" t="str">
        <f>IF('Run CRS'!BN72&lt;&gt;"",'Run CRS'!BN72,"")</f>
        <v/>
      </c>
      <c r="Q72" s="106" t="str">
        <f>IF('Run CRS'!BO72&lt;&gt;"",'Run CRS'!BO72,"")</f>
        <v/>
      </c>
      <c r="R72" s="106" t="str">
        <f>IF('Run CRS'!BP72&lt;&gt;"",'Run CRS'!BP72,"")</f>
        <v/>
      </c>
      <c r="S72" s="106" t="str">
        <f>IF('Run CRS'!BQ72&lt;&gt;"",'Run CRS'!BQ72,"")</f>
        <v/>
      </c>
      <c r="T72" s="106" t="str">
        <f>IF('Run CRS'!BR72&lt;&gt;"",'Run CRS'!BR72,"")</f>
        <v/>
      </c>
      <c r="U72" s="105" t="str">
        <f>IF('Run CRS'!BS72&lt;&gt;"",'Run CRS'!BS72,"")</f>
        <v/>
      </c>
      <c r="V72" s="105" t="str">
        <f>IF('Run CRS'!BT72&lt;&gt;"",'Run CRS'!BT72,"")</f>
        <v/>
      </c>
      <c r="W72" s="105" t="str">
        <f>IF('Run CRS'!BU72&lt;&gt;"",'Run CRS'!BU72,"")</f>
        <v/>
      </c>
      <c r="X72" s="107" t="str">
        <f>IF('Run CRS'!BV72&lt;&gt;"",'Run CRS'!BV72,"")</f>
        <v/>
      </c>
      <c r="Y72" s="114" t="str">
        <f>IF('Data input'!C72&lt;&gt;"",O72/'Data input'!C72*100%,"")</f>
        <v/>
      </c>
      <c r="Z72" s="114" t="str">
        <f>IF('Data input'!D72&lt;&gt;"",P72/'Data input'!D72*100%,"")</f>
        <v/>
      </c>
      <c r="AA72" s="114" t="str">
        <f>IF('Data input'!E72&lt;&gt;"",Q72/'Data input'!E72*100%,"")</f>
        <v/>
      </c>
      <c r="AB72" s="114" t="str">
        <f>IF('Data input'!F72&lt;&gt;"",R72/'Data input'!F72*100%,"")</f>
        <v/>
      </c>
      <c r="AC72" s="114" t="str">
        <f>IF('Data input'!G72&lt;&gt;"",S72/'Data input'!G72*100%,"")</f>
        <v/>
      </c>
      <c r="AD72" s="114" t="str">
        <f>IF('Data input'!H72&lt;&gt;"",T72/'Data input'!H72*100%,"")</f>
        <v/>
      </c>
      <c r="AE72" s="114" t="str">
        <f>IF('Data input'!I72&lt;&gt;"",U72/'Data input'!I72*100%,"")</f>
        <v/>
      </c>
      <c r="AF72" s="114" t="str">
        <f>IF('Data input'!J72&lt;&gt;"",V72/'Data input'!J72*100%,"")</f>
        <v/>
      </c>
      <c r="AG72" s="114" t="str">
        <f>IF('Data input'!K72&lt;&gt;"",W72/'Data input'!K72*100%,"")</f>
        <v/>
      </c>
      <c r="AH72" s="115" t="str">
        <f>IF('Data input'!L72&lt;&gt;"",X72/'Data input'!L72*100%,"")</f>
        <v/>
      </c>
      <c r="AI72" s="114" t="str">
        <f>IF('Data input'!C72&lt;&gt;"",'Run CRS'!AH72/'Run CRS'!C72,"")</f>
        <v/>
      </c>
      <c r="AJ72" s="114" t="str">
        <f>IF('Data input'!D72&lt;&gt;"",'Run CRS'!AI72/'Run CRS'!D72,"")</f>
        <v/>
      </c>
      <c r="AK72" s="114" t="str">
        <f>IF('Data input'!E72&lt;&gt;"",'Run CRS'!AJ72/'Run CRS'!E72,"")</f>
        <v/>
      </c>
      <c r="AL72" s="114" t="str">
        <f>IF('Data input'!F72&lt;&gt;"",'Run CRS'!AK72/'Run CRS'!F72,"")</f>
        <v/>
      </c>
      <c r="AM72" s="114" t="str">
        <f>IF('Data input'!G72&lt;&gt;"",'Run CRS'!AL72/'Run CRS'!G72,"")</f>
        <v/>
      </c>
      <c r="AN72" s="114" t="str">
        <f>IF('Data input'!H72&lt;&gt;"",'Run CRS'!AM72/'Run CRS'!H72,"")</f>
        <v/>
      </c>
      <c r="AO72" s="114" t="str">
        <f>IF('Data input'!I72&lt;&gt;"",'Run CRS'!AN72/'Run CRS'!I72,"")</f>
        <v/>
      </c>
      <c r="AP72" s="114" t="str">
        <f>IF('Data input'!J72&lt;&gt;"",'Run CRS'!AO72/'Run CRS'!J72,"")</f>
        <v/>
      </c>
      <c r="AQ72" s="114" t="str">
        <f>IF('Data input'!K72&lt;&gt;"",'Run CRS'!AP72/'Run CRS'!K72,"")</f>
        <v/>
      </c>
      <c r="AR72" s="115" t="str">
        <f>IF('Data input'!L72&lt;&gt;"",'Run CRS'!AQ72/'Run CRS'!L72,"")</f>
        <v/>
      </c>
    </row>
    <row r="73" spans="1:44" x14ac:dyDescent="0.35">
      <c r="A73" s="102" t="str">
        <f>IF('Run CRS'!AF73&lt;&gt;"",'Run CRS'!AF73,"")</f>
        <v/>
      </c>
      <c r="B73" s="103" t="str">
        <f>IF('Run CRS'!AG73&lt;&gt;"",'Run CRS'!AG73,"")</f>
        <v/>
      </c>
      <c r="C73" s="104" t="str">
        <f>IF('Run CRS'!AR73&lt;&gt;"",'Run CRS'!AR73,"")</f>
        <v/>
      </c>
      <c r="D73" s="104" t="e">
        <f>IF(ROUND(C73,3)=100%,"Optimal frontier",'Run CRS'!BW73)</f>
        <v>#VALUE!</v>
      </c>
      <c r="E73" s="105" t="str">
        <f>IF('Run CRS'!BC73&lt;&gt;"",'Run CRS'!BC73,"")</f>
        <v/>
      </c>
      <c r="F73" s="106" t="str">
        <f>IF('Run CRS'!BD73&lt;&gt;"",'Run CRS'!BD73,"")</f>
        <v/>
      </c>
      <c r="G73" s="106" t="str">
        <f>IF('Run CRS'!BE73&lt;&gt;"",'Run CRS'!BE73,"")</f>
        <v/>
      </c>
      <c r="H73" s="106" t="str">
        <f>IF('Run CRS'!BF73&lt;&gt;"",'Run CRS'!BF73,"")</f>
        <v/>
      </c>
      <c r="I73" s="106" t="str">
        <f>IF('Run CRS'!BG73&lt;&gt;"",'Run CRS'!BG73,"")</f>
        <v/>
      </c>
      <c r="J73" s="106" t="str">
        <f>IF('Run CRS'!BH73&lt;&gt;"",'Run CRS'!BH73,"")</f>
        <v/>
      </c>
      <c r="K73" s="105" t="str">
        <f>IF('Run CRS'!BI73&lt;&gt;"",'Run CRS'!BI73,"")</f>
        <v/>
      </c>
      <c r="L73" s="105" t="str">
        <f>IF('Run CRS'!BJ73&lt;&gt;"",'Run CRS'!BJ73,"")</f>
        <v/>
      </c>
      <c r="M73" s="105" t="str">
        <f>IF('Run CRS'!BK73&lt;&gt;"",'Run CRS'!BK73,"")</f>
        <v/>
      </c>
      <c r="N73" s="105" t="str">
        <f>IF('Run CRS'!BL73&lt;&gt;"",'Run CRS'!BL73,"")</f>
        <v/>
      </c>
      <c r="O73" s="105" t="str">
        <f>IF('Run CRS'!BM73&lt;&gt;"",'Run CRS'!BM73,"")</f>
        <v/>
      </c>
      <c r="P73" s="106" t="str">
        <f>IF('Run CRS'!BN73&lt;&gt;"",'Run CRS'!BN73,"")</f>
        <v/>
      </c>
      <c r="Q73" s="106" t="str">
        <f>IF('Run CRS'!BO73&lt;&gt;"",'Run CRS'!BO73,"")</f>
        <v/>
      </c>
      <c r="R73" s="106" t="str">
        <f>IF('Run CRS'!BP73&lt;&gt;"",'Run CRS'!BP73,"")</f>
        <v/>
      </c>
      <c r="S73" s="106" t="str">
        <f>IF('Run CRS'!BQ73&lt;&gt;"",'Run CRS'!BQ73,"")</f>
        <v/>
      </c>
      <c r="T73" s="106" t="str">
        <f>IF('Run CRS'!BR73&lt;&gt;"",'Run CRS'!BR73,"")</f>
        <v/>
      </c>
      <c r="U73" s="105" t="str">
        <f>IF('Run CRS'!BS73&lt;&gt;"",'Run CRS'!BS73,"")</f>
        <v/>
      </c>
      <c r="V73" s="105" t="str">
        <f>IF('Run CRS'!BT73&lt;&gt;"",'Run CRS'!BT73,"")</f>
        <v/>
      </c>
      <c r="W73" s="105" t="str">
        <f>IF('Run CRS'!BU73&lt;&gt;"",'Run CRS'!BU73,"")</f>
        <v/>
      </c>
      <c r="X73" s="107" t="str">
        <f>IF('Run CRS'!BV73&lt;&gt;"",'Run CRS'!BV73,"")</f>
        <v/>
      </c>
      <c r="Y73" s="114" t="str">
        <f>IF('Data input'!C73&lt;&gt;"",O73/'Data input'!C73*100%,"")</f>
        <v/>
      </c>
      <c r="Z73" s="114" t="str">
        <f>IF('Data input'!D73&lt;&gt;"",P73/'Data input'!D73*100%,"")</f>
        <v/>
      </c>
      <c r="AA73" s="114" t="str">
        <f>IF('Data input'!E73&lt;&gt;"",Q73/'Data input'!E73*100%,"")</f>
        <v/>
      </c>
      <c r="AB73" s="114" t="str">
        <f>IF('Data input'!F73&lt;&gt;"",R73/'Data input'!F73*100%,"")</f>
        <v/>
      </c>
      <c r="AC73" s="114" t="str">
        <f>IF('Data input'!G73&lt;&gt;"",S73/'Data input'!G73*100%,"")</f>
        <v/>
      </c>
      <c r="AD73" s="114" t="str">
        <f>IF('Data input'!H73&lt;&gt;"",T73/'Data input'!H73*100%,"")</f>
        <v/>
      </c>
      <c r="AE73" s="114" t="str">
        <f>IF('Data input'!I73&lt;&gt;"",U73/'Data input'!I73*100%,"")</f>
        <v/>
      </c>
      <c r="AF73" s="114" t="str">
        <f>IF('Data input'!J73&lt;&gt;"",V73/'Data input'!J73*100%,"")</f>
        <v/>
      </c>
      <c r="AG73" s="114" t="str">
        <f>IF('Data input'!K73&lt;&gt;"",W73/'Data input'!K73*100%,"")</f>
        <v/>
      </c>
      <c r="AH73" s="115" t="str">
        <f>IF('Data input'!L73&lt;&gt;"",X73/'Data input'!L73*100%,"")</f>
        <v/>
      </c>
      <c r="AI73" s="114" t="str">
        <f>IF('Data input'!C73&lt;&gt;"",'Run CRS'!AH73/'Run CRS'!C73,"")</f>
        <v/>
      </c>
      <c r="AJ73" s="114" t="str">
        <f>IF('Data input'!D73&lt;&gt;"",'Run CRS'!AI73/'Run CRS'!D73,"")</f>
        <v/>
      </c>
      <c r="AK73" s="114" t="str">
        <f>IF('Data input'!E73&lt;&gt;"",'Run CRS'!AJ73/'Run CRS'!E73,"")</f>
        <v/>
      </c>
      <c r="AL73" s="114" t="str">
        <f>IF('Data input'!F73&lt;&gt;"",'Run CRS'!AK73/'Run CRS'!F73,"")</f>
        <v/>
      </c>
      <c r="AM73" s="114" t="str">
        <f>IF('Data input'!G73&lt;&gt;"",'Run CRS'!AL73/'Run CRS'!G73,"")</f>
        <v/>
      </c>
      <c r="AN73" s="114" t="str">
        <f>IF('Data input'!H73&lt;&gt;"",'Run CRS'!AM73/'Run CRS'!H73,"")</f>
        <v/>
      </c>
      <c r="AO73" s="114" t="str">
        <f>IF('Data input'!I73&lt;&gt;"",'Run CRS'!AN73/'Run CRS'!I73,"")</f>
        <v/>
      </c>
      <c r="AP73" s="114" t="str">
        <f>IF('Data input'!J73&lt;&gt;"",'Run CRS'!AO73/'Run CRS'!J73,"")</f>
        <v/>
      </c>
      <c r="AQ73" s="114" t="str">
        <f>IF('Data input'!K73&lt;&gt;"",'Run CRS'!AP73/'Run CRS'!K73,"")</f>
        <v/>
      </c>
      <c r="AR73" s="115" t="str">
        <f>IF('Data input'!L73&lt;&gt;"",'Run CRS'!AQ73/'Run CRS'!L73,"")</f>
        <v/>
      </c>
    </row>
    <row r="74" spans="1:44" x14ac:dyDescent="0.35">
      <c r="A74" s="102" t="str">
        <f>IF('Run CRS'!AF74&lt;&gt;"",'Run CRS'!AF74,"")</f>
        <v/>
      </c>
      <c r="B74" s="103" t="str">
        <f>IF('Run CRS'!AG74&lt;&gt;"",'Run CRS'!AG74,"")</f>
        <v/>
      </c>
      <c r="C74" s="104" t="str">
        <f>IF('Run CRS'!AR74&lt;&gt;"",'Run CRS'!AR74,"")</f>
        <v/>
      </c>
      <c r="D74" s="104" t="e">
        <f>IF(ROUND(C74,3)=100%,"Optimal frontier",'Run CRS'!BW74)</f>
        <v>#VALUE!</v>
      </c>
      <c r="E74" s="105" t="str">
        <f>IF('Run CRS'!BC74&lt;&gt;"",'Run CRS'!BC74,"")</f>
        <v/>
      </c>
      <c r="F74" s="106" t="str">
        <f>IF('Run CRS'!BD74&lt;&gt;"",'Run CRS'!BD74,"")</f>
        <v/>
      </c>
      <c r="G74" s="106" t="str">
        <f>IF('Run CRS'!BE74&lt;&gt;"",'Run CRS'!BE74,"")</f>
        <v/>
      </c>
      <c r="H74" s="106" t="str">
        <f>IF('Run CRS'!BF74&lt;&gt;"",'Run CRS'!BF74,"")</f>
        <v/>
      </c>
      <c r="I74" s="106" t="str">
        <f>IF('Run CRS'!BG74&lt;&gt;"",'Run CRS'!BG74,"")</f>
        <v/>
      </c>
      <c r="J74" s="106" t="str">
        <f>IF('Run CRS'!BH74&lt;&gt;"",'Run CRS'!BH74,"")</f>
        <v/>
      </c>
      <c r="K74" s="105" t="str">
        <f>IF('Run CRS'!BI74&lt;&gt;"",'Run CRS'!BI74,"")</f>
        <v/>
      </c>
      <c r="L74" s="105" t="str">
        <f>IF('Run CRS'!BJ74&lt;&gt;"",'Run CRS'!BJ74,"")</f>
        <v/>
      </c>
      <c r="M74" s="105" t="str">
        <f>IF('Run CRS'!BK74&lt;&gt;"",'Run CRS'!BK74,"")</f>
        <v/>
      </c>
      <c r="N74" s="105" t="str">
        <f>IF('Run CRS'!BL74&lt;&gt;"",'Run CRS'!BL74,"")</f>
        <v/>
      </c>
      <c r="O74" s="105" t="str">
        <f>IF('Run CRS'!BM74&lt;&gt;"",'Run CRS'!BM74,"")</f>
        <v/>
      </c>
      <c r="P74" s="106" t="str">
        <f>IF('Run CRS'!BN74&lt;&gt;"",'Run CRS'!BN74,"")</f>
        <v/>
      </c>
      <c r="Q74" s="106" t="str">
        <f>IF('Run CRS'!BO74&lt;&gt;"",'Run CRS'!BO74,"")</f>
        <v/>
      </c>
      <c r="R74" s="106" t="str">
        <f>IF('Run CRS'!BP74&lt;&gt;"",'Run CRS'!BP74,"")</f>
        <v/>
      </c>
      <c r="S74" s="106" t="str">
        <f>IF('Run CRS'!BQ74&lt;&gt;"",'Run CRS'!BQ74,"")</f>
        <v/>
      </c>
      <c r="T74" s="106" t="str">
        <f>IF('Run CRS'!BR74&lt;&gt;"",'Run CRS'!BR74,"")</f>
        <v/>
      </c>
      <c r="U74" s="105" t="str">
        <f>IF('Run CRS'!BS74&lt;&gt;"",'Run CRS'!BS74,"")</f>
        <v/>
      </c>
      <c r="V74" s="105" t="str">
        <f>IF('Run CRS'!BT74&lt;&gt;"",'Run CRS'!BT74,"")</f>
        <v/>
      </c>
      <c r="W74" s="105" t="str">
        <f>IF('Run CRS'!BU74&lt;&gt;"",'Run CRS'!BU74,"")</f>
        <v/>
      </c>
      <c r="X74" s="107" t="str">
        <f>IF('Run CRS'!BV74&lt;&gt;"",'Run CRS'!BV74,"")</f>
        <v/>
      </c>
      <c r="Y74" s="114" t="str">
        <f>IF('Data input'!C74&lt;&gt;"",O74/'Data input'!C74*100%,"")</f>
        <v/>
      </c>
      <c r="Z74" s="114" t="str">
        <f>IF('Data input'!D74&lt;&gt;"",P74/'Data input'!D74*100%,"")</f>
        <v/>
      </c>
      <c r="AA74" s="114" t="str">
        <f>IF('Data input'!E74&lt;&gt;"",Q74/'Data input'!E74*100%,"")</f>
        <v/>
      </c>
      <c r="AB74" s="114" t="str">
        <f>IF('Data input'!F74&lt;&gt;"",R74/'Data input'!F74*100%,"")</f>
        <v/>
      </c>
      <c r="AC74" s="114" t="str">
        <f>IF('Data input'!G74&lt;&gt;"",S74/'Data input'!G74*100%,"")</f>
        <v/>
      </c>
      <c r="AD74" s="114" t="str">
        <f>IF('Data input'!H74&lt;&gt;"",T74/'Data input'!H74*100%,"")</f>
        <v/>
      </c>
      <c r="AE74" s="114" t="str">
        <f>IF('Data input'!I74&lt;&gt;"",U74/'Data input'!I74*100%,"")</f>
        <v/>
      </c>
      <c r="AF74" s="114" t="str">
        <f>IF('Data input'!J74&lt;&gt;"",V74/'Data input'!J74*100%,"")</f>
        <v/>
      </c>
      <c r="AG74" s="114" t="str">
        <f>IF('Data input'!K74&lt;&gt;"",W74/'Data input'!K74*100%,"")</f>
        <v/>
      </c>
      <c r="AH74" s="115" t="str">
        <f>IF('Data input'!L74&lt;&gt;"",X74/'Data input'!L74*100%,"")</f>
        <v/>
      </c>
      <c r="AI74" s="114" t="str">
        <f>IF('Data input'!C74&lt;&gt;"",'Run CRS'!AH74/'Run CRS'!C74,"")</f>
        <v/>
      </c>
      <c r="AJ74" s="114" t="str">
        <f>IF('Data input'!D74&lt;&gt;"",'Run CRS'!AI74/'Run CRS'!D74,"")</f>
        <v/>
      </c>
      <c r="AK74" s="114" t="str">
        <f>IF('Data input'!E74&lt;&gt;"",'Run CRS'!AJ74/'Run CRS'!E74,"")</f>
        <v/>
      </c>
      <c r="AL74" s="114" t="str">
        <f>IF('Data input'!F74&lt;&gt;"",'Run CRS'!AK74/'Run CRS'!F74,"")</f>
        <v/>
      </c>
      <c r="AM74" s="114" t="str">
        <f>IF('Data input'!G74&lt;&gt;"",'Run CRS'!AL74/'Run CRS'!G74,"")</f>
        <v/>
      </c>
      <c r="AN74" s="114" t="str">
        <f>IF('Data input'!H74&lt;&gt;"",'Run CRS'!AM74/'Run CRS'!H74,"")</f>
        <v/>
      </c>
      <c r="AO74" s="114" t="str">
        <f>IF('Data input'!I74&lt;&gt;"",'Run CRS'!AN74/'Run CRS'!I74,"")</f>
        <v/>
      </c>
      <c r="AP74" s="114" t="str">
        <f>IF('Data input'!J74&lt;&gt;"",'Run CRS'!AO74/'Run CRS'!J74,"")</f>
        <v/>
      </c>
      <c r="AQ74" s="114" t="str">
        <f>IF('Data input'!K74&lt;&gt;"",'Run CRS'!AP74/'Run CRS'!K74,"")</f>
        <v/>
      </c>
      <c r="AR74" s="115" t="str">
        <f>IF('Data input'!L74&lt;&gt;"",'Run CRS'!AQ74/'Run CRS'!L74,"")</f>
        <v/>
      </c>
    </row>
    <row r="75" spans="1:44" x14ac:dyDescent="0.35">
      <c r="A75" s="102" t="str">
        <f>IF('Run CRS'!AF75&lt;&gt;"",'Run CRS'!AF75,"")</f>
        <v/>
      </c>
      <c r="B75" s="103" t="str">
        <f>IF('Run CRS'!AG75&lt;&gt;"",'Run CRS'!AG75,"")</f>
        <v/>
      </c>
      <c r="C75" s="104" t="str">
        <f>IF('Run CRS'!AR75&lt;&gt;"",'Run CRS'!AR75,"")</f>
        <v/>
      </c>
      <c r="D75" s="104" t="e">
        <f>IF(ROUND(C75,3)=100%,"Optimal frontier",'Run CRS'!BW75)</f>
        <v>#VALUE!</v>
      </c>
      <c r="E75" s="105" t="str">
        <f>IF('Run CRS'!BC75&lt;&gt;"",'Run CRS'!BC75,"")</f>
        <v/>
      </c>
      <c r="F75" s="106" t="str">
        <f>IF('Run CRS'!BD75&lt;&gt;"",'Run CRS'!BD75,"")</f>
        <v/>
      </c>
      <c r="G75" s="106" t="str">
        <f>IF('Run CRS'!BE75&lt;&gt;"",'Run CRS'!BE75,"")</f>
        <v/>
      </c>
      <c r="H75" s="106" t="str">
        <f>IF('Run CRS'!BF75&lt;&gt;"",'Run CRS'!BF75,"")</f>
        <v/>
      </c>
      <c r="I75" s="106" t="str">
        <f>IF('Run CRS'!BG75&lt;&gt;"",'Run CRS'!BG75,"")</f>
        <v/>
      </c>
      <c r="J75" s="106" t="str">
        <f>IF('Run CRS'!BH75&lt;&gt;"",'Run CRS'!BH75,"")</f>
        <v/>
      </c>
      <c r="K75" s="105" t="str">
        <f>IF('Run CRS'!BI75&lt;&gt;"",'Run CRS'!BI75,"")</f>
        <v/>
      </c>
      <c r="L75" s="105" t="str">
        <f>IF('Run CRS'!BJ75&lt;&gt;"",'Run CRS'!BJ75,"")</f>
        <v/>
      </c>
      <c r="M75" s="105" t="str">
        <f>IF('Run CRS'!BK75&lt;&gt;"",'Run CRS'!BK75,"")</f>
        <v/>
      </c>
      <c r="N75" s="105" t="str">
        <f>IF('Run CRS'!BL75&lt;&gt;"",'Run CRS'!BL75,"")</f>
        <v/>
      </c>
      <c r="O75" s="105" t="str">
        <f>IF('Run CRS'!BM75&lt;&gt;"",'Run CRS'!BM75,"")</f>
        <v/>
      </c>
      <c r="P75" s="106" t="str">
        <f>IF('Run CRS'!BN75&lt;&gt;"",'Run CRS'!BN75,"")</f>
        <v/>
      </c>
      <c r="Q75" s="106" t="str">
        <f>IF('Run CRS'!BO75&lt;&gt;"",'Run CRS'!BO75,"")</f>
        <v/>
      </c>
      <c r="R75" s="106" t="str">
        <f>IF('Run CRS'!BP75&lt;&gt;"",'Run CRS'!BP75,"")</f>
        <v/>
      </c>
      <c r="S75" s="106" t="str">
        <f>IF('Run CRS'!BQ75&lt;&gt;"",'Run CRS'!BQ75,"")</f>
        <v/>
      </c>
      <c r="T75" s="106" t="str">
        <f>IF('Run CRS'!BR75&lt;&gt;"",'Run CRS'!BR75,"")</f>
        <v/>
      </c>
      <c r="U75" s="105" t="str">
        <f>IF('Run CRS'!BS75&lt;&gt;"",'Run CRS'!BS75,"")</f>
        <v/>
      </c>
      <c r="V75" s="105" t="str">
        <f>IF('Run CRS'!BT75&lt;&gt;"",'Run CRS'!BT75,"")</f>
        <v/>
      </c>
      <c r="W75" s="105" t="str">
        <f>IF('Run CRS'!BU75&lt;&gt;"",'Run CRS'!BU75,"")</f>
        <v/>
      </c>
      <c r="X75" s="107" t="str">
        <f>IF('Run CRS'!BV75&lt;&gt;"",'Run CRS'!BV75,"")</f>
        <v/>
      </c>
      <c r="Y75" s="114" t="str">
        <f>IF('Data input'!C75&lt;&gt;"",O75/'Data input'!C75*100%,"")</f>
        <v/>
      </c>
      <c r="Z75" s="114" t="str">
        <f>IF('Data input'!D75&lt;&gt;"",P75/'Data input'!D75*100%,"")</f>
        <v/>
      </c>
      <c r="AA75" s="114" t="str">
        <f>IF('Data input'!E75&lt;&gt;"",Q75/'Data input'!E75*100%,"")</f>
        <v/>
      </c>
      <c r="AB75" s="114" t="str">
        <f>IF('Data input'!F75&lt;&gt;"",R75/'Data input'!F75*100%,"")</f>
        <v/>
      </c>
      <c r="AC75" s="114" t="str">
        <f>IF('Data input'!G75&lt;&gt;"",S75/'Data input'!G75*100%,"")</f>
        <v/>
      </c>
      <c r="AD75" s="114" t="str">
        <f>IF('Data input'!H75&lt;&gt;"",T75/'Data input'!H75*100%,"")</f>
        <v/>
      </c>
      <c r="AE75" s="114" t="str">
        <f>IF('Data input'!I75&lt;&gt;"",U75/'Data input'!I75*100%,"")</f>
        <v/>
      </c>
      <c r="AF75" s="114" t="str">
        <f>IF('Data input'!J75&lt;&gt;"",V75/'Data input'!J75*100%,"")</f>
        <v/>
      </c>
      <c r="AG75" s="114" t="str">
        <f>IF('Data input'!K75&lt;&gt;"",W75/'Data input'!K75*100%,"")</f>
        <v/>
      </c>
      <c r="AH75" s="115" t="str">
        <f>IF('Data input'!L75&lt;&gt;"",X75/'Data input'!L75*100%,"")</f>
        <v/>
      </c>
      <c r="AI75" s="114" t="str">
        <f>IF('Data input'!C75&lt;&gt;"",'Run CRS'!AH75/'Run CRS'!C75,"")</f>
        <v/>
      </c>
      <c r="AJ75" s="114" t="str">
        <f>IF('Data input'!D75&lt;&gt;"",'Run CRS'!AI75/'Run CRS'!D75,"")</f>
        <v/>
      </c>
      <c r="AK75" s="114" t="str">
        <f>IF('Data input'!E75&lt;&gt;"",'Run CRS'!AJ75/'Run CRS'!E75,"")</f>
        <v/>
      </c>
      <c r="AL75" s="114" t="str">
        <f>IF('Data input'!F75&lt;&gt;"",'Run CRS'!AK75/'Run CRS'!F75,"")</f>
        <v/>
      </c>
      <c r="AM75" s="114" t="str">
        <f>IF('Data input'!G75&lt;&gt;"",'Run CRS'!AL75/'Run CRS'!G75,"")</f>
        <v/>
      </c>
      <c r="AN75" s="114" t="str">
        <f>IF('Data input'!H75&lt;&gt;"",'Run CRS'!AM75/'Run CRS'!H75,"")</f>
        <v/>
      </c>
      <c r="AO75" s="114" t="str">
        <f>IF('Data input'!I75&lt;&gt;"",'Run CRS'!AN75/'Run CRS'!I75,"")</f>
        <v/>
      </c>
      <c r="AP75" s="114" t="str">
        <f>IF('Data input'!J75&lt;&gt;"",'Run CRS'!AO75/'Run CRS'!J75,"")</f>
        <v/>
      </c>
      <c r="AQ75" s="114" t="str">
        <f>IF('Data input'!K75&lt;&gt;"",'Run CRS'!AP75/'Run CRS'!K75,"")</f>
        <v/>
      </c>
      <c r="AR75" s="115" t="str">
        <f>IF('Data input'!L75&lt;&gt;"",'Run CRS'!AQ75/'Run CRS'!L75,"")</f>
        <v/>
      </c>
    </row>
    <row r="76" spans="1:44" x14ac:dyDescent="0.35">
      <c r="A76" s="102" t="str">
        <f>IF('Run CRS'!AF76&lt;&gt;"",'Run CRS'!AF76,"")</f>
        <v/>
      </c>
      <c r="B76" s="103" t="str">
        <f>IF('Run CRS'!AG76&lt;&gt;"",'Run CRS'!AG76,"")</f>
        <v/>
      </c>
      <c r="C76" s="104" t="str">
        <f>IF('Run CRS'!AR76&lt;&gt;"",'Run CRS'!AR76,"")</f>
        <v/>
      </c>
      <c r="D76" s="104" t="e">
        <f>IF(ROUND(C76,3)=100%,"Optimal frontier",'Run CRS'!BW76)</f>
        <v>#VALUE!</v>
      </c>
      <c r="E76" s="105" t="str">
        <f>IF('Run CRS'!BC76&lt;&gt;"",'Run CRS'!BC76,"")</f>
        <v/>
      </c>
      <c r="F76" s="106" t="str">
        <f>IF('Run CRS'!BD76&lt;&gt;"",'Run CRS'!BD76,"")</f>
        <v/>
      </c>
      <c r="G76" s="106" t="str">
        <f>IF('Run CRS'!BE76&lt;&gt;"",'Run CRS'!BE76,"")</f>
        <v/>
      </c>
      <c r="H76" s="106" t="str">
        <f>IF('Run CRS'!BF76&lt;&gt;"",'Run CRS'!BF76,"")</f>
        <v/>
      </c>
      <c r="I76" s="106" t="str">
        <f>IF('Run CRS'!BG76&lt;&gt;"",'Run CRS'!BG76,"")</f>
        <v/>
      </c>
      <c r="J76" s="106" t="str">
        <f>IF('Run CRS'!BH76&lt;&gt;"",'Run CRS'!BH76,"")</f>
        <v/>
      </c>
      <c r="K76" s="105" t="str">
        <f>IF('Run CRS'!BI76&lt;&gt;"",'Run CRS'!BI76,"")</f>
        <v/>
      </c>
      <c r="L76" s="105" t="str">
        <f>IF('Run CRS'!BJ76&lt;&gt;"",'Run CRS'!BJ76,"")</f>
        <v/>
      </c>
      <c r="M76" s="105" t="str">
        <f>IF('Run CRS'!BK76&lt;&gt;"",'Run CRS'!BK76,"")</f>
        <v/>
      </c>
      <c r="N76" s="105" t="str">
        <f>IF('Run CRS'!BL76&lt;&gt;"",'Run CRS'!BL76,"")</f>
        <v/>
      </c>
      <c r="O76" s="105" t="str">
        <f>IF('Run CRS'!BM76&lt;&gt;"",'Run CRS'!BM76,"")</f>
        <v/>
      </c>
      <c r="P76" s="106" t="str">
        <f>IF('Run CRS'!BN76&lt;&gt;"",'Run CRS'!BN76,"")</f>
        <v/>
      </c>
      <c r="Q76" s="106" t="str">
        <f>IF('Run CRS'!BO76&lt;&gt;"",'Run CRS'!BO76,"")</f>
        <v/>
      </c>
      <c r="R76" s="106" t="str">
        <f>IF('Run CRS'!BP76&lt;&gt;"",'Run CRS'!BP76,"")</f>
        <v/>
      </c>
      <c r="S76" s="106" t="str">
        <f>IF('Run CRS'!BQ76&lt;&gt;"",'Run CRS'!BQ76,"")</f>
        <v/>
      </c>
      <c r="T76" s="106" t="str">
        <f>IF('Run CRS'!BR76&lt;&gt;"",'Run CRS'!BR76,"")</f>
        <v/>
      </c>
      <c r="U76" s="105" t="str">
        <f>IF('Run CRS'!BS76&lt;&gt;"",'Run CRS'!BS76,"")</f>
        <v/>
      </c>
      <c r="V76" s="105" t="str">
        <f>IF('Run CRS'!BT76&lt;&gt;"",'Run CRS'!BT76,"")</f>
        <v/>
      </c>
      <c r="W76" s="105" t="str">
        <f>IF('Run CRS'!BU76&lt;&gt;"",'Run CRS'!BU76,"")</f>
        <v/>
      </c>
      <c r="X76" s="107" t="str">
        <f>IF('Run CRS'!BV76&lt;&gt;"",'Run CRS'!BV76,"")</f>
        <v/>
      </c>
      <c r="Y76" s="114" t="str">
        <f>IF('Data input'!C76&lt;&gt;"",O76/'Data input'!C76*100%,"")</f>
        <v/>
      </c>
      <c r="Z76" s="114" t="str">
        <f>IF('Data input'!D76&lt;&gt;"",P76/'Data input'!D76*100%,"")</f>
        <v/>
      </c>
      <c r="AA76" s="114" t="str">
        <f>IF('Data input'!E76&lt;&gt;"",Q76/'Data input'!E76*100%,"")</f>
        <v/>
      </c>
      <c r="AB76" s="114" t="str">
        <f>IF('Data input'!F76&lt;&gt;"",R76/'Data input'!F76*100%,"")</f>
        <v/>
      </c>
      <c r="AC76" s="114" t="str">
        <f>IF('Data input'!G76&lt;&gt;"",S76/'Data input'!G76*100%,"")</f>
        <v/>
      </c>
      <c r="AD76" s="114" t="str">
        <f>IF('Data input'!H76&lt;&gt;"",T76/'Data input'!H76*100%,"")</f>
        <v/>
      </c>
      <c r="AE76" s="114" t="str">
        <f>IF('Data input'!I76&lt;&gt;"",U76/'Data input'!I76*100%,"")</f>
        <v/>
      </c>
      <c r="AF76" s="114" t="str">
        <f>IF('Data input'!J76&lt;&gt;"",V76/'Data input'!J76*100%,"")</f>
        <v/>
      </c>
      <c r="AG76" s="114" t="str">
        <f>IF('Data input'!K76&lt;&gt;"",W76/'Data input'!K76*100%,"")</f>
        <v/>
      </c>
      <c r="AH76" s="115" t="str">
        <f>IF('Data input'!L76&lt;&gt;"",X76/'Data input'!L76*100%,"")</f>
        <v/>
      </c>
      <c r="AI76" s="114" t="str">
        <f>IF('Data input'!C76&lt;&gt;"",'Run CRS'!AH76/'Run CRS'!C76,"")</f>
        <v/>
      </c>
      <c r="AJ76" s="114" t="str">
        <f>IF('Data input'!D76&lt;&gt;"",'Run CRS'!AI76/'Run CRS'!D76,"")</f>
        <v/>
      </c>
      <c r="AK76" s="114" t="str">
        <f>IF('Data input'!E76&lt;&gt;"",'Run CRS'!AJ76/'Run CRS'!E76,"")</f>
        <v/>
      </c>
      <c r="AL76" s="114" t="str">
        <f>IF('Data input'!F76&lt;&gt;"",'Run CRS'!AK76/'Run CRS'!F76,"")</f>
        <v/>
      </c>
      <c r="AM76" s="114" t="str">
        <f>IF('Data input'!G76&lt;&gt;"",'Run CRS'!AL76/'Run CRS'!G76,"")</f>
        <v/>
      </c>
      <c r="AN76" s="114" t="str">
        <f>IF('Data input'!H76&lt;&gt;"",'Run CRS'!AM76/'Run CRS'!H76,"")</f>
        <v/>
      </c>
      <c r="AO76" s="114" t="str">
        <f>IF('Data input'!I76&lt;&gt;"",'Run CRS'!AN76/'Run CRS'!I76,"")</f>
        <v/>
      </c>
      <c r="AP76" s="114" t="str">
        <f>IF('Data input'!J76&lt;&gt;"",'Run CRS'!AO76/'Run CRS'!J76,"")</f>
        <v/>
      </c>
      <c r="AQ76" s="114" t="str">
        <f>IF('Data input'!K76&lt;&gt;"",'Run CRS'!AP76/'Run CRS'!K76,"")</f>
        <v/>
      </c>
      <c r="AR76" s="115" t="str">
        <f>IF('Data input'!L76&lt;&gt;"",'Run CRS'!AQ76/'Run CRS'!L76,"")</f>
        <v/>
      </c>
    </row>
    <row r="77" spans="1:44" x14ac:dyDescent="0.35">
      <c r="A77" s="102" t="str">
        <f>IF('Run CRS'!AF77&lt;&gt;"",'Run CRS'!AF77,"")</f>
        <v/>
      </c>
      <c r="B77" s="103" t="str">
        <f>IF('Run CRS'!AG77&lt;&gt;"",'Run CRS'!AG77,"")</f>
        <v/>
      </c>
      <c r="C77" s="104" t="str">
        <f>IF('Run CRS'!AR77&lt;&gt;"",'Run CRS'!AR77,"")</f>
        <v/>
      </c>
      <c r="D77" s="104" t="e">
        <f>IF(ROUND(C77,3)=100%,"Optimal frontier",'Run CRS'!BW77)</f>
        <v>#VALUE!</v>
      </c>
      <c r="E77" s="105" t="str">
        <f>IF('Run CRS'!BC77&lt;&gt;"",'Run CRS'!BC77,"")</f>
        <v/>
      </c>
      <c r="F77" s="106" t="str">
        <f>IF('Run CRS'!BD77&lt;&gt;"",'Run CRS'!BD77,"")</f>
        <v/>
      </c>
      <c r="G77" s="106" t="str">
        <f>IF('Run CRS'!BE77&lt;&gt;"",'Run CRS'!BE77,"")</f>
        <v/>
      </c>
      <c r="H77" s="106" t="str">
        <f>IF('Run CRS'!BF77&lt;&gt;"",'Run CRS'!BF77,"")</f>
        <v/>
      </c>
      <c r="I77" s="106" t="str">
        <f>IF('Run CRS'!BG77&lt;&gt;"",'Run CRS'!BG77,"")</f>
        <v/>
      </c>
      <c r="J77" s="106" t="str">
        <f>IF('Run CRS'!BH77&lt;&gt;"",'Run CRS'!BH77,"")</f>
        <v/>
      </c>
      <c r="K77" s="105" t="str">
        <f>IF('Run CRS'!BI77&lt;&gt;"",'Run CRS'!BI77,"")</f>
        <v/>
      </c>
      <c r="L77" s="105" t="str">
        <f>IF('Run CRS'!BJ77&lt;&gt;"",'Run CRS'!BJ77,"")</f>
        <v/>
      </c>
      <c r="M77" s="105" t="str">
        <f>IF('Run CRS'!BK77&lt;&gt;"",'Run CRS'!BK77,"")</f>
        <v/>
      </c>
      <c r="N77" s="105" t="str">
        <f>IF('Run CRS'!BL77&lt;&gt;"",'Run CRS'!BL77,"")</f>
        <v/>
      </c>
      <c r="O77" s="105" t="str">
        <f>IF('Run CRS'!BM77&lt;&gt;"",'Run CRS'!BM77,"")</f>
        <v/>
      </c>
      <c r="P77" s="106" t="str">
        <f>IF('Run CRS'!BN77&lt;&gt;"",'Run CRS'!BN77,"")</f>
        <v/>
      </c>
      <c r="Q77" s="106" t="str">
        <f>IF('Run CRS'!BO77&lt;&gt;"",'Run CRS'!BO77,"")</f>
        <v/>
      </c>
      <c r="R77" s="106" t="str">
        <f>IF('Run CRS'!BP77&lt;&gt;"",'Run CRS'!BP77,"")</f>
        <v/>
      </c>
      <c r="S77" s="106" t="str">
        <f>IF('Run CRS'!BQ77&lt;&gt;"",'Run CRS'!BQ77,"")</f>
        <v/>
      </c>
      <c r="T77" s="106" t="str">
        <f>IF('Run CRS'!BR77&lt;&gt;"",'Run CRS'!BR77,"")</f>
        <v/>
      </c>
      <c r="U77" s="105" t="str">
        <f>IF('Run CRS'!BS77&lt;&gt;"",'Run CRS'!BS77,"")</f>
        <v/>
      </c>
      <c r="V77" s="105" t="str">
        <f>IF('Run CRS'!BT77&lt;&gt;"",'Run CRS'!BT77,"")</f>
        <v/>
      </c>
      <c r="W77" s="105" t="str">
        <f>IF('Run CRS'!BU77&lt;&gt;"",'Run CRS'!BU77,"")</f>
        <v/>
      </c>
      <c r="X77" s="107" t="str">
        <f>IF('Run CRS'!BV77&lt;&gt;"",'Run CRS'!BV77,"")</f>
        <v/>
      </c>
      <c r="Y77" s="114" t="str">
        <f>IF('Data input'!C77&lt;&gt;"",O77/'Data input'!C77*100%,"")</f>
        <v/>
      </c>
      <c r="Z77" s="114" t="str">
        <f>IF('Data input'!D77&lt;&gt;"",P77/'Data input'!D77*100%,"")</f>
        <v/>
      </c>
      <c r="AA77" s="114" t="str">
        <f>IF('Data input'!E77&lt;&gt;"",Q77/'Data input'!E77*100%,"")</f>
        <v/>
      </c>
      <c r="AB77" s="114" t="str">
        <f>IF('Data input'!F77&lt;&gt;"",R77/'Data input'!F77*100%,"")</f>
        <v/>
      </c>
      <c r="AC77" s="114" t="str">
        <f>IF('Data input'!G77&lt;&gt;"",S77/'Data input'!G77*100%,"")</f>
        <v/>
      </c>
      <c r="AD77" s="114" t="str">
        <f>IF('Data input'!H77&lt;&gt;"",T77/'Data input'!H77*100%,"")</f>
        <v/>
      </c>
      <c r="AE77" s="114" t="str">
        <f>IF('Data input'!I77&lt;&gt;"",U77/'Data input'!I77*100%,"")</f>
        <v/>
      </c>
      <c r="AF77" s="114" t="str">
        <f>IF('Data input'!J77&lt;&gt;"",V77/'Data input'!J77*100%,"")</f>
        <v/>
      </c>
      <c r="AG77" s="114" t="str">
        <f>IF('Data input'!K77&lt;&gt;"",W77/'Data input'!K77*100%,"")</f>
        <v/>
      </c>
      <c r="AH77" s="115" t="str">
        <f>IF('Data input'!L77&lt;&gt;"",X77/'Data input'!L77*100%,"")</f>
        <v/>
      </c>
      <c r="AI77" s="114" t="str">
        <f>IF('Data input'!C77&lt;&gt;"",'Run CRS'!AH77/'Run CRS'!C77,"")</f>
        <v/>
      </c>
      <c r="AJ77" s="114" t="str">
        <f>IF('Data input'!D77&lt;&gt;"",'Run CRS'!AI77/'Run CRS'!D77,"")</f>
        <v/>
      </c>
      <c r="AK77" s="114" t="str">
        <f>IF('Data input'!E77&lt;&gt;"",'Run CRS'!AJ77/'Run CRS'!E77,"")</f>
        <v/>
      </c>
      <c r="AL77" s="114" t="str">
        <f>IF('Data input'!F77&lt;&gt;"",'Run CRS'!AK77/'Run CRS'!F77,"")</f>
        <v/>
      </c>
      <c r="AM77" s="114" t="str">
        <f>IF('Data input'!G77&lt;&gt;"",'Run CRS'!AL77/'Run CRS'!G77,"")</f>
        <v/>
      </c>
      <c r="AN77" s="114" t="str">
        <f>IF('Data input'!H77&lt;&gt;"",'Run CRS'!AM77/'Run CRS'!H77,"")</f>
        <v/>
      </c>
      <c r="AO77" s="114" t="str">
        <f>IF('Data input'!I77&lt;&gt;"",'Run CRS'!AN77/'Run CRS'!I77,"")</f>
        <v/>
      </c>
      <c r="AP77" s="114" t="str">
        <f>IF('Data input'!J77&lt;&gt;"",'Run CRS'!AO77/'Run CRS'!J77,"")</f>
        <v/>
      </c>
      <c r="AQ77" s="114" t="str">
        <f>IF('Data input'!K77&lt;&gt;"",'Run CRS'!AP77/'Run CRS'!K77,"")</f>
        <v/>
      </c>
      <c r="AR77" s="115" t="str">
        <f>IF('Data input'!L77&lt;&gt;"",'Run CRS'!AQ77/'Run CRS'!L77,"")</f>
        <v/>
      </c>
    </row>
    <row r="78" spans="1:44" x14ac:dyDescent="0.35">
      <c r="A78" s="102" t="str">
        <f>IF('Run CRS'!AF78&lt;&gt;"",'Run CRS'!AF78,"")</f>
        <v/>
      </c>
      <c r="B78" s="103" t="str">
        <f>IF('Run CRS'!AG78&lt;&gt;"",'Run CRS'!AG78,"")</f>
        <v/>
      </c>
      <c r="C78" s="104" t="str">
        <f>IF('Run CRS'!AR78&lt;&gt;"",'Run CRS'!AR78,"")</f>
        <v/>
      </c>
      <c r="D78" s="104" t="e">
        <f>IF(ROUND(C78,3)=100%,"Optimal frontier",'Run CRS'!BW78)</f>
        <v>#VALUE!</v>
      </c>
      <c r="E78" s="105" t="str">
        <f>IF('Run CRS'!BC78&lt;&gt;"",'Run CRS'!BC78,"")</f>
        <v/>
      </c>
      <c r="F78" s="106" t="str">
        <f>IF('Run CRS'!BD78&lt;&gt;"",'Run CRS'!BD78,"")</f>
        <v/>
      </c>
      <c r="G78" s="106" t="str">
        <f>IF('Run CRS'!BE78&lt;&gt;"",'Run CRS'!BE78,"")</f>
        <v/>
      </c>
      <c r="H78" s="106" t="str">
        <f>IF('Run CRS'!BF78&lt;&gt;"",'Run CRS'!BF78,"")</f>
        <v/>
      </c>
      <c r="I78" s="106" t="str">
        <f>IF('Run CRS'!BG78&lt;&gt;"",'Run CRS'!BG78,"")</f>
        <v/>
      </c>
      <c r="J78" s="106" t="str">
        <f>IF('Run CRS'!BH78&lt;&gt;"",'Run CRS'!BH78,"")</f>
        <v/>
      </c>
      <c r="K78" s="105" t="str">
        <f>IF('Run CRS'!BI78&lt;&gt;"",'Run CRS'!BI78,"")</f>
        <v/>
      </c>
      <c r="L78" s="105" t="str">
        <f>IF('Run CRS'!BJ78&lt;&gt;"",'Run CRS'!BJ78,"")</f>
        <v/>
      </c>
      <c r="M78" s="105" t="str">
        <f>IF('Run CRS'!BK78&lt;&gt;"",'Run CRS'!BK78,"")</f>
        <v/>
      </c>
      <c r="N78" s="105" t="str">
        <f>IF('Run CRS'!BL78&lt;&gt;"",'Run CRS'!BL78,"")</f>
        <v/>
      </c>
      <c r="O78" s="105" t="str">
        <f>IF('Run CRS'!BM78&lt;&gt;"",'Run CRS'!BM78,"")</f>
        <v/>
      </c>
      <c r="P78" s="106" t="str">
        <f>IF('Run CRS'!BN78&lt;&gt;"",'Run CRS'!BN78,"")</f>
        <v/>
      </c>
      <c r="Q78" s="106" t="str">
        <f>IF('Run CRS'!BO78&lt;&gt;"",'Run CRS'!BO78,"")</f>
        <v/>
      </c>
      <c r="R78" s="106" t="str">
        <f>IF('Run CRS'!BP78&lt;&gt;"",'Run CRS'!BP78,"")</f>
        <v/>
      </c>
      <c r="S78" s="106" t="str">
        <f>IF('Run CRS'!BQ78&lt;&gt;"",'Run CRS'!BQ78,"")</f>
        <v/>
      </c>
      <c r="T78" s="106" t="str">
        <f>IF('Run CRS'!BR78&lt;&gt;"",'Run CRS'!BR78,"")</f>
        <v/>
      </c>
      <c r="U78" s="105" t="str">
        <f>IF('Run CRS'!BS78&lt;&gt;"",'Run CRS'!BS78,"")</f>
        <v/>
      </c>
      <c r="V78" s="105" t="str">
        <f>IF('Run CRS'!BT78&lt;&gt;"",'Run CRS'!BT78,"")</f>
        <v/>
      </c>
      <c r="W78" s="105" t="str">
        <f>IF('Run CRS'!BU78&lt;&gt;"",'Run CRS'!BU78,"")</f>
        <v/>
      </c>
      <c r="X78" s="107" t="str">
        <f>IF('Run CRS'!BV78&lt;&gt;"",'Run CRS'!BV78,"")</f>
        <v/>
      </c>
      <c r="Y78" s="114" t="str">
        <f>IF('Data input'!C78&lt;&gt;"",O78/'Data input'!C78*100%,"")</f>
        <v/>
      </c>
      <c r="Z78" s="114" t="str">
        <f>IF('Data input'!D78&lt;&gt;"",P78/'Data input'!D78*100%,"")</f>
        <v/>
      </c>
      <c r="AA78" s="114" t="str">
        <f>IF('Data input'!E78&lt;&gt;"",Q78/'Data input'!E78*100%,"")</f>
        <v/>
      </c>
      <c r="AB78" s="114" t="str">
        <f>IF('Data input'!F78&lt;&gt;"",R78/'Data input'!F78*100%,"")</f>
        <v/>
      </c>
      <c r="AC78" s="114" t="str">
        <f>IF('Data input'!G78&lt;&gt;"",S78/'Data input'!G78*100%,"")</f>
        <v/>
      </c>
      <c r="AD78" s="114" t="str">
        <f>IF('Data input'!H78&lt;&gt;"",T78/'Data input'!H78*100%,"")</f>
        <v/>
      </c>
      <c r="AE78" s="114" t="str">
        <f>IF('Data input'!I78&lt;&gt;"",U78/'Data input'!I78*100%,"")</f>
        <v/>
      </c>
      <c r="AF78" s="114" t="str">
        <f>IF('Data input'!J78&lt;&gt;"",V78/'Data input'!J78*100%,"")</f>
        <v/>
      </c>
      <c r="AG78" s="114" t="str">
        <f>IF('Data input'!K78&lt;&gt;"",W78/'Data input'!K78*100%,"")</f>
        <v/>
      </c>
      <c r="AH78" s="115" t="str">
        <f>IF('Data input'!L78&lt;&gt;"",X78/'Data input'!L78*100%,"")</f>
        <v/>
      </c>
      <c r="AI78" s="114" t="str">
        <f>IF('Data input'!C78&lt;&gt;"",'Run CRS'!AH78/'Run CRS'!C78,"")</f>
        <v/>
      </c>
      <c r="AJ78" s="114" t="str">
        <f>IF('Data input'!D78&lt;&gt;"",'Run CRS'!AI78/'Run CRS'!D78,"")</f>
        <v/>
      </c>
      <c r="AK78" s="114" t="str">
        <f>IF('Data input'!E78&lt;&gt;"",'Run CRS'!AJ78/'Run CRS'!E78,"")</f>
        <v/>
      </c>
      <c r="AL78" s="114" t="str">
        <f>IF('Data input'!F78&lt;&gt;"",'Run CRS'!AK78/'Run CRS'!F78,"")</f>
        <v/>
      </c>
      <c r="AM78" s="114" t="str">
        <f>IF('Data input'!G78&lt;&gt;"",'Run CRS'!AL78/'Run CRS'!G78,"")</f>
        <v/>
      </c>
      <c r="AN78" s="114" t="str">
        <f>IF('Data input'!H78&lt;&gt;"",'Run CRS'!AM78/'Run CRS'!H78,"")</f>
        <v/>
      </c>
      <c r="AO78" s="114" t="str">
        <f>IF('Data input'!I78&lt;&gt;"",'Run CRS'!AN78/'Run CRS'!I78,"")</f>
        <v/>
      </c>
      <c r="AP78" s="114" t="str">
        <f>IF('Data input'!J78&lt;&gt;"",'Run CRS'!AO78/'Run CRS'!J78,"")</f>
        <v/>
      </c>
      <c r="AQ78" s="114" t="str">
        <f>IF('Data input'!K78&lt;&gt;"",'Run CRS'!AP78/'Run CRS'!K78,"")</f>
        <v/>
      </c>
      <c r="AR78" s="115" t="str">
        <f>IF('Data input'!L78&lt;&gt;"",'Run CRS'!AQ78/'Run CRS'!L78,"")</f>
        <v/>
      </c>
    </row>
    <row r="79" spans="1:44" x14ac:dyDescent="0.35">
      <c r="A79" s="102" t="str">
        <f>IF('Run CRS'!AF79&lt;&gt;"",'Run CRS'!AF79,"")</f>
        <v/>
      </c>
      <c r="B79" s="103" t="str">
        <f>IF('Run CRS'!AG79&lt;&gt;"",'Run CRS'!AG79,"")</f>
        <v/>
      </c>
      <c r="C79" s="104" t="str">
        <f>IF('Run CRS'!AR79&lt;&gt;"",'Run CRS'!AR79,"")</f>
        <v/>
      </c>
      <c r="D79" s="104" t="e">
        <f>IF(ROUND(C79,3)=100%,"Optimal frontier",'Run CRS'!BW79)</f>
        <v>#VALUE!</v>
      </c>
      <c r="E79" s="105" t="str">
        <f>IF('Run CRS'!BC79&lt;&gt;"",'Run CRS'!BC79,"")</f>
        <v/>
      </c>
      <c r="F79" s="106" t="str">
        <f>IF('Run CRS'!BD79&lt;&gt;"",'Run CRS'!BD79,"")</f>
        <v/>
      </c>
      <c r="G79" s="106" t="str">
        <f>IF('Run CRS'!BE79&lt;&gt;"",'Run CRS'!BE79,"")</f>
        <v/>
      </c>
      <c r="H79" s="106" t="str">
        <f>IF('Run CRS'!BF79&lt;&gt;"",'Run CRS'!BF79,"")</f>
        <v/>
      </c>
      <c r="I79" s="106" t="str">
        <f>IF('Run CRS'!BG79&lt;&gt;"",'Run CRS'!BG79,"")</f>
        <v/>
      </c>
      <c r="J79" s="106" t="str">
        <f>IF('Run CRS'!BH79&lt;&gt;"",'Run CRS'!BH79,"")</f>
        <v/>
      </c>
      <c r="K79" s="105" t="str">
        <f>IF('Run CRS'!BI79&lt;&gt;"",'Run CRS'!BI79,"")</f>
        <v/>
      </c>
      <c r="L79" s="105" t="str">
        <f>IF('Run CRS'!BJ79&lt;&gt;"",'Run CRS'!BJ79,"")</f>
        <v/>
      </c>
      <c r="M79" s="105" t="str">
        <f>IF('Run CRS'!BK79&lt;&gt;"",'Run CRS'!BK79,"")</f>
        <v/>
      </c>
      <c r="N79" s="105" t="str">
        <f>IF('Run CRS'!BL79&lt;&gt;"",'Run CRS'!BL79,"")</f>
        <v/>
      </c>
      <c r="O79" s="105" t="str">
        <f>IF('Run CRS'!BM79&lt;&gt;"",'Run CRS'!BM79,"")</f>
        <v/>
      </c>
      <c r="P79" s="106" t="str">
        <f>IF('Run CRS'!BN79&lt;&gt;"",'Run CRS'!BN79,"")</f>
        <v/>
      </c>
      <c r="Q79" s="106" t="str">
        <f>IF('Run CRS'!BO79&lt;&gt;"",'Run CRS'!BO79,"")</f>
        <v/>
      </c>
      <c r="R79" s="106" t="str">
        <f>IF('Run CRS'!BP79&lt;&gt;"",'Run CRS'!BP79,"")</f>
        <v/>
      </c>
      <c r="S79" s="106" t="str">
        <f>IF('Run CRS'!BQ79&lt;&gt;"",'Run CRS'!BQ79,"")</f>
        <v/>
      </c>
      <c r="T79" s="106" t="str">
        <f>IF('Run CRS'!BR79&lt;&gt;"",'Run CRS'!BR79,"")</f>
        <v/>
      </c>
      <c r="U79" s="105" t="str">
        <f>IF('Run CRS'!BS79&lt;&gt;"",'Run CRS'!BS79,"")</f>
        <v/>
      </c>
      <c r="V79" s="105" t="str">
        <f>IF('Run CRS'!BT79&lt;&gt;"",'Run CRS'!BT79,"")</f>
        <v/>
      </c>
      <c r="W79" s="105" t="str">
        <f>IF('Run CRS'!BU79&lt;&gt;"",'Run CRS'!BU79,"")</f>
        <v/>
      </c>
      <c r="X79" s="107" t="str">
        <f>IF('Run CRS'!BV79&lt;&gt;"",'Run CRS'!BV79,"")</f>
        <v/>
      </c>
      <c r="Y79" s="114" t="str">
        <f>IF('Data input'!C79&lt;&gt;"",O79/'Data input'!C79*100%,"")</f>
        <v/>
      </c>
      <c r="Z79" s="114" t="str">
        <f>IF('Data input'!D79&lt;&gt;"",P79/'Data input'!D79*100%,"")</f>
        <v/>
      </c>
      <c r="AA79" s="114" t="str">
        <f>IF('Data input'!E79&lt;&gt;"",Q79/'Data input'!E79*100%,"")</f>
        <v/>
      </c>
      <c r="AB79" s="114" t="str">
        <f>IF('Data input'!F79&lt;&gt;"",R79/'Data input'!F79*100%,"")</f>
        <v/>
      </c>
      <c r="AC79" s="114" t="str">
        <f>IF('Data input'!G79&lt;&gt;"",S79/'Data input'!G79*100%,"")</f>
        <v/>
      </c>
      <c r="AD79" s="114" t="str">
        <f>IF('Data input'!H79&lt;&gt;"",T79/'Data input'!H79*100%,"")</f>
        <v/>
      </c>
      <c r="AE79" s="114" t="str">
        <f>IF('Data input'!I79&lt;&gt;"",U79/'Data input'!I79*100%,"")</f>
        <v/>
      </c>
      <c r="AF79" s="114" t="str">
        <f>IF('Data input'!J79&lt;&gt;"",V79/'Data input'!J79*100%,"")</f>
        <v/>
      </c>
      <c r="AG79" s="114" t="str">
        <f>IF('Data input'!K79&lt;&gt;"",W79/'Data input'!K79*100%,"")</f>
        <v/>
      </c>
      <c r="AH79" s="115" t="str">
        <f>IF('Data input'!L79&lt;&gt;"",X79/'Data input'!L79*100%,"")</f>
        <v/>
      </c>
      <c r="AI79" s="114" t="str">
        <f>IF('Data input'!C79&lt;&gt;"",'Run CRS'!AH79/'Run CRS'!C79,"")</f>
        <v/>
      </c>
      <c r="AJ79" s="114" t="str">
        <f>IF('Data input'!D79&lt;&gt;"",'Run CRS'!AI79/'Run CRS'!D79,"")</f>
        <v/>
      </c>
      <c r="AK79" s="114" t="str">
        <f>IF('Data input'!E79&lt;&gt;"",'Run CRS'!AJ79/'Run CRS'!E79,"")</f>
        <v/>
      </c>
      <c r="AL79" s="114" t="str">
        <f>IF('Data input'!F79&lt;&gt;"",'Run CRS'!AK79/'Run CRS'!F79,"")</f>
        <v/>
      </c>
      <c r="AM79" s="114" t="str">
        <f>IF('Data input'!G79&lt;&gt;"",'Run CRS'!AL79/'Run CRS'!G79,"")</f>
        <v/>
      </c>
      <c r="AN79" s="114" t="str">
        <f>IF('Data input'!H79&lt;&gt;"",'Run CRS'!AM79/'Run CRS'!H79,"")</f>
        <v/>
      </c>
      <c r="AO79" s="114" t="str">
        <f>IF('Data input'!I79&lt;&gt;"",'Run CRS'!AN79/'Run CRS'!I79,"")</f>
        <v/>
      </c>
      <c r="AP79" s="114" t="str">
        <f>IF('Data input'!J79&lt;&gt;"",'Run CRS'!AO79/'Run CRS'!J79,"")</f>
        <v/>
      </c>
      <c r="AQ79" s="114" t="str">
        <f>IF('Data input'!K79&lt;&gt;"",'Run CRS'!AP79/'Run CRS'!K79,"")</f>
        <v/>
      </c>
      <c r="AR79" s="115" t="str">
        <f>IF('Data input'!L79&lt;&gt;"",'Run CRS'!AQ79/'Run CRS'!L79,"")</f>
        <v/>
      </c>
    </row>
    <row r="80" spans="1:44" x14ac:dyDescent="0.35">
      <c r="A80" s="102" t="str">
        <f>IF('Run CRS'!AF80&lt;&gt;"",'Run CRS'!AF80,"")</f>
        <v/>
      </c>
      <c r="B80" s="103" t="str">
        <f>IF('Run CRS'!AG80&lt;&gt;"",'Run CRS'!AG80,"")</f>
        <v/>
      </c>
      <c r="C80" s="104" t="str">
        <f>IF('Run CRS'!AR80&lt;&gt;"",'Run CRS'!AR80,"")</f>
        <v/>
      </c>
      <c r="D80" s="104" t="e">
        <f>IF(ROUND(C80,3)=100%,"Optimal frontier",'Run CRS'!BW80)</f>
        <v>#VALUE!</v>
      </c>
      <c r="E80" s="105" t="str">
        <f>IF('Run CRS'!BC80&lt;&gt;"",'Run CRS'!BC80,"")</f>
        <v/>
      </c>
      <c r="F80" s="106" t="str">
        <f>IF('Run CRS'!BD80&lt;&gt;"",'Run CRS'!BD80,"")</f>
        <v/>
      </c>
      <c r="G80" s="106" t="str">
        <f>IF('Run CRS'!BE80&lt;&gt;"",'Run CRS'!BE80,"")</f>
        <v/>
      </c>
      <c r="H80" s="106" t="str">
        <f>IF('Run CRS'!BF80&lt;&gt;"",'Run CRS'!BF80,"")</f>
        <v/>
      </c>
      <c r="I80" s="106" t="str">
        <f>IF('Run CRS'!BG80&lt;&gt;"",'Run CRS'!BG80,"")</f>
        <v/>
      </c>
      <c r="J80" s="106" t="str">
        <f>IF('Run CRS'!BH80&lt;&gt;"",'Run CRS'!BH80,"")</f>
        <v/>
      </c>
      <c r="K80" s="105" t="str">
        <f>IF('Run CRS'!BI80&lt;&gt;"",'Run CRS'!BI80,"")</f>
        <v/>
      </c>
      <c r="L80" s="105" t="str">
        <f>IF('Run CRS'!BJ80&lt;&gt;"",'Run CRS'!BJ80,"")</f>
        <v/>
      </c>
      <c r="M80" s="105" t="str">
        <f>IF('Run CRS'!BK80&lt;&gt;"",'Run CRS'!BK80,"")</f>
        <v/>
      </c>
      <c r="N80" s="105" t="str">
        <f>IF('Run CRS'!BL80&lt;&gt;"",'Run CRS'!BL80,"")</f>
        <v/>
      </c>
      <c r="O80" s="105" t="str">
        <f>IF('Run CRS'!BM80&lt;&gt;"",'Run CRS'!BM80,"")</f>
        <v/>
      </c>
      <c r="P80" s="106" t="str">
        <f>IF('Run CRS'!BN80&lt;&gt;"",'Run CRS'!BN80,"")</f>
        <v/>
      </c>
      <c r="Q80" s="106" t="str">
        <f>IF('Run CRS'!BO80&lt;&gt;"",'Run CRS'!BO80,"")</f>
        <v/>
      </c>
      <c r="R80" s="106" t="str">
        <f>IF('Run CRS'!BP80&lt;&gt;"",'Run CRS'!BP80,"")</f>
        <v/>
      </c>
      <c r="S80" s="106" t="str">
        <f>IF('Run CRS'!BQ80&lt;&gt;"",'Run CRS'!BQ80,"")</f>
        <v/>
      </c>
      <c r="T80" s="106" t="str">
        <f>IF('Run CRS'!BR80&lt;&gt;"",'Run CRS'!BR80,"")</f>
        <v/>
      </c>
      <c r="U80" s="105" t="str">
        <f>IF('Run CRS'!BS80&lt;&gt;"",'Run CRS'!BS80,"")</f>
        <v/>
      </c>
      <c r="V80" s="105" t="str">
        <f>IF('Run CRS'!BT80&lt;&gt;"",'Run CRS'!BT80,"")</f>
        <v/>
      </c>
      <c r="W80" s="105" t="str">
        <f>IF('Run CRS'!BU80&lt;&gt;"",'Run CRS'!BU80,"")</f>
        <v/>
      </c>
      <c r="X80" s="107" t="str">
        <f>IF('Run CRS'!BV80&lt;&gt;"",'Run CRS'!BV80,"")</f>
        <v/>
      </c>
      <c r="Y80" s="114" t="str">
        <f>IF('Data input'!C80&lt;&gt;"",O80/'Data input'!C80*100%,"")</f>
        <v/>
      </c>
      <c r="Z80" s="114" t="str">
        <f>IF('Data input'!D80&lt;&gt;"",P80/'Data input'!D80*100%,"")</f>
        <v/>
      </c>
      <c r="AA80" s="114" t="str">
        <f>IF('Data input'!E80&lt;&gt;"",Q80/'Data input'!E80*100%,"")</f>
        <v/>
      </c>
      <c r="AB80" s="114" t="str">
        <f>IF('Data input'!F80&lt;&gt;"",R80/'Data input'!F80*100%,"")</f>
        <v/>
      </c>
      <c r="AC80" s="114" t="str">
        <f>IF('Data input'!G80&lt;&gt;"",S80/'Data input'!G80*100%,"")</f>
        <v/>
      </c>
      <c r="AD80" s="114" t="str">
        <f>IF('Data input'!H80&lt;&gt;"",T80/'Data input'!H80*100%,"")</f>
        <v/>
      </c>
      <c r="AE80" s="114" t="str">
        <f>IF('Data input'!I80&lt;&gt;"",U80/'Data input'!I80*100%,"")</f>
        <v/>
      </c>
      <c r="AF80" s="114" t="str">
        <f>IF('Data input'!J80&lt;&gt;"",V80/'Data input'!J80*100%,"")</f>
        <v/>
      </c>
      <c r="AG80" s="114" t="str">
        <f>IF('Data input'!K80&lt;&gt;"",W80/'Data input'!K80*100%,"")</f>
        <v/>
      </c>
      <c r="AH80" s="115" t="str">
        <f>IF('Data input'!L80&lt;&gt;"",X80/'Data input'!L80*100%,"")</f>
        <v/>
      </c>
      <c r="AI80" s="114" t="str">
        <f>IF('Data input'!C80&lt;&gt;"",'Run CRS'!AH80/'Run CRS'!C80,"")</f>
        <v/>
      </c>
      <c r="AJ80" s="114" t="str">
        <f>IF('Data input'!D80&lt;&gt;"",'Run CRS'!AI80/'Run CRS'!D80,"")</f>
        <v/>
      </c>
      <c r="AK80" s="114" t="str">
        <f>IF('Data input'!E80&lt;&gt;"",'Run CRS'!AJ80/'Run CRS'!E80,"")</f>
        <v/>
      </c>
      <c r="AL80" s="114" t="str">
        <f>IF('Data input'!F80&lt;&gt;"",'Run CRS'!AK80/'Run CRS'!F80,"")</f>
        <v/>
      </c>
      <c r="AM80" s="114" t="str">
        <f>IF('Data input'!G80&lt;&gt;"",'Run CRS'!AL80/'Run CRS'!G80,"")</f>
        <v/>
      </c>
      <c r="AN80" s="114" t="str">
        <f>IF('Data input'!H80&lt;&gt;"",'Run CRS'!AM80/'Run CRS'!H80,"")</f>
        <v/>
      </c>
      <c r="AO80" s="114" t="str">
        <f>IF('Data input'!I80&lt;&gt;"",'Run CRS'!AN80/'Run CRS'!I80,"")</f>
        <v/>
      </c>
      <c r="AP80" s="114" t="str">
        <f>IF('Data input'!J80&lt;&gt;"",'Run CRS'!AO80/'Run CRS'!J80,"")</f>
        <v/>
      </c>
      <c r="AQ80" s="114" t="str">
        <f>IF('Data input'!K80&lt;&gt;"",'Run CRS'!AP80/'Run CRS'!K80,"")</f>
        <v/>
      </c>
      <c r="AR80" s="115" t="str">
        <f>IF('Data input'!L80&lt;&gt;"",'Run CRS'!AQ80/'Run CRS'!L80,"")</f>
        <v/>
      </c>
    </row>
    <row r="81" spans="1:44" x14ac:dyDescent="0.35">
      <c r="A81" s="102" t="str">
        <f>IF('Run CRS'!AF81&lt;&gt;"",'Run CRS'!AF81,"")</f>
        <v/>
      </c>
      <c r="B81" s="103" t="str">
        <f>IF('Run CRS'!AG81&lt;&gt;"",'Run CRS'!AG81,"")</f>
        <v/>
      </c>
      <c r="C81" s="104" t="str">
        <f>IF('Run CRS'!AR81&lt;&gt;"",'Run CRS'!AR81,"")</f>
        <v/>
      </c>
      <c r="D81" s="104" t="e">
        <f>IF(ROUND(C81,3)=100%,"Optimal frontier",'Run CRS'!BW81)</f>
        <v>#VALUE!</v>
      </c>
      <c r="E81" s="105" t="str">
        <f>IF('Run CRS'!BC81&lt;&gt;"",'Run CRS'!BC81,"")</f>
        <v/>
      </c>
      <c r="F81" s="106" t="str">
        <f>IF('Run CRS'!BD81&lt;&gt;"",'Run CRS'!BD81,"")</f>
        <v/>
      </c>
      <c r="G81" s="106" t="str">
        <f>IF('Run CRS'!BE81&lt;&gt;"",'Run CRS'!BE81,"")</f>
        <v/>
      </c>
      <c r="H81" s="106" t="str">
        <f>IF('Run CRS'!BF81&lt;&gt;"",'Run CRS'!BF81,"")</f>
        <v/>
      </c>
      <c r="I81" s="106" t="str">
        <f>IF('Run CRS'!BG81&lt;&gt;"",'Run CRS'!BG81,"")</f>
        <v/>
      </c>
      <c r="J81" s="106" t="str">
        <f>IF('Run CRS'!BH81&lt;&gt;"",'Run CRS'!BH81,"")</f>
        <v/>
      </c>
      <c r="K81" s="105" t="str">
        <f>IF('Run CRS'!BI81&lt;&gt;"",'Run CRS'!BI81,"")</f>
        <v/>
      </c>
      <c r="L81" s="105" t="str">
        <f>IF('Run CRS'!BJ81&lt;&gt;"",'Run CRS'!BJ81,"")</f>
        <v/>
      </c>
      <c r="M81" s="105" t="str">
        <f>IF('Run CRS'!BK81&lt;&gt;"",'Run CRS'!BK81,"")</f>
        <v/>
      </c>
      <c r="N81" s="105" t="str">
        <f>IF('Run CRS'!BL81&lt;&gt;"",'Run CRS'!BL81,"")</f>
        <v/>
      </c>
      <c r="O81" s="105" t="str">
        <f>IF('Run CRS'!BM81&lt;&gt;"",'Run CRS'!BM81,"")</f>
        <v/>
      </c>
      <c r="P81" s="106" t="str">
        <f>IF('Run CRS'!BN81&lt;&gt;"",'Run CRS'!BN81,"")</f>
        <v/>
      </c>
      <c r="Q81" s="106" t="str">
        <f>IF('Run CRS'!BO81&lt;&gt;"",'Run CRS'!BO81,"")</f>
        <v/>
      </c>
      <c r="R81" s="106" t="str">
        <f>IF('Run CRS'!BP81&lt;&gt;"",'Run CRS'!BP81,"")</f>
        <v/>
      </c>
      <c r="S81" s="106" t="str">
        <f>IF('Run CRS'!BQ81&lt;&gt;"",'Run CRS'!BQ81,"")</f>
        <v/>
      </c>
      <c r="T81" s="106" t="str">
        <f>IF('Run CRS'!BR81&lt;&gt;"",'Run CRS'!BR81,"")</f>
        <v/>
      </c>
      <c r="U81" s="105" t="str">
        <f>IF('Run CRS'!BS81&lt;&gt;"",'Run CRS'!BS81,"")</f>
        <v/>
      </c>
      <c r="V81" s="105" t="str">
        <f>IF('Run CRS'!BT81&lt;&gt;"",'Run CRS'!BT81,"")</f>
        <v/>
      </c>
      <c r="W81" s="105" t="str">
        <f>IF('Run CRS'!BU81&lt;&gt;"",'Run CRS'!BU81,"")</f>
        <v/>
      </c>
      <c r="X81" s="107" t="str">
        <f>IF('Run CRS'!BV81&lt;&gt;"",'Run CRS'!BV81,"")</f>
        <v/>
      </c>
      <c r="Y81" s="114" t="str">
        <f>IF('Data input'!C81&lt;&gt;"",O81/'Data input'!C81*100%,"")</f>
        <v/>
      </c>
      <c r="Z81" s="114" t="str">
        <f>IF('Data input'!D81&lt;&gt;"",P81/'Data input'!D81*100%,"")</f>
        <v/>
      </c>
      <c r="AA81" s="114" t="str">
        <f>IF('Data input'!E81&lt;&gt;"",Q81/'Data input'!E81*100%,"")</f>
        <v/>
      </c>
      <c r="AB81" s="114" t="str">
        <f>IF('Data input'!F81&lt;&gt;"",R81/'Data input'!F81*100%,"")</f>
        <v/>
      </c>
      <c r="AC81" s="114" t="str">
        <f>IF('Data input'!G81&lt;&gt;"",S81/'Data input'!G81*100%,"")</f>
        <v/>
      </c>
      <c r="AD81" s="114" t="str">
        <f>IF('Data input'!H81&lt;&gt;"",T81/'Data input'!H81*100%,"")</f>
        <v/>
      </c>
      <c r="AE81" s="114" t="str">
        <f>IF('Data input'!I81&lt;&gt;"",U81/'Data input'!I81*100%,"")</f>
        <v/>
      </c>
      <c r="AF81" s="114" t="str">
        <f>IF('Data input'!J81&lt;&gt;"",V81/'Data input'!J81*100%,"")</f>
        <v/>
      </c>
      <c r="AG81" s="114" t="str">
        <f>IF('Data input'!K81&lt;&gt;"",W81/'Data input'!K81*100%,"")</f>
        <v/>
      </c>
      <c r="AH81" s="115" t="str">
        <f>IF('Data input'!L81&lt;&gt;"",X81/'Data input'!L81*100%,"")</f>
        <v/>
      </c>
      <c r="AI81" s="114" t="str">
        <f>IF('Data input'!C81&lt;&gt;"",'Run CRS'!AH81/'Run CRS'!C81,"")</f>
        <v/>
      </c>
      <c r="AJ81" s="114" t="str">
        <f>IF('Data input'!D81&lt;&gt;"",'Run CRS'!AI81/'Run CRS'!D81,"")</f>
        <v/>
      </c>
      <c r="AK81" s="114" t="str">
        <f>IF('Data input'!E81&lt;&gt;"",'Run CRS'!AJ81/'Run CRS'!E81,"")</f>
        <v/>
      </c>
      <c r="AL81" s="114" t="str">
        <f>IF('Data input'!F81&lt;&gt;"",'Run CRS'!AK81/'Run CRS'!F81,"")</f>
        <v/>
      </c>
      <c r="AM81" s="114" t="str">
        <f>IF('Data input'!G81&lt;&gt;"",'Run CRS'!AL81/'Run CRS'!G81,"")</f>
        <v/>
      </c>
      <c r="AN81" s="114" t="str">
        <f>IF('Data input'!H81&lt;&gt;"",'Run CRS'!AM81/'Run CRS'!H81,"")</f>
        <v/>
      </c>
      <c r="AO81" s="114" t="str">
        <f>IF('Data input'!I81&lt;&gt;"",'Run CRS'!AN81/'Run CRS'!I81,"")</f>
        <v/>
      </c>
      <c r="AP81" s="114" t="str">
        <f>IF('Data input'!J81&lt;&gt;"",'Run CRS'!AO81/'Run CRS'!J81,"")</f>
        <v/>
      </c>
      <c r="AQ81" s="114" t="str">
        <f>IF('Data input'!K81&lt;&gt;"",'Run CRS'!AP81/'Run CRS'!K81,"")</f>
        <v/>
      </c>
      <c r="AR81" s="115" t="str">
        <f>IF('Data input'!L81&lt;&gt;"",'Run CRS'!AQ81/'Run CRS'!L81,"")</f>
        <v/>
      </c>
    </row>
    <row r="82" spans="1:44" x14ac:dyDescent="0.35">
      <c r="A82" s="102" t="str">
        <f>IF('Run CRS'!AF82&lt;&gt;"",'Run CRS'!AF82,"")</f>
        <v/>
      </c>
      <c r="B82" s="103" t="str">
        <f>IF('Run CRS'!AG82&lt;&gt;"",'Run CRS'!AG82,"")</f>
        <v/>
      </c>
      <c r="C82" s="104" t="str">
        <f>IF('Run CRS'!AR82&lt;&gt;"",'Run CRS'!AR82,"")</f>
        <v/>
      </c>
      <c r="D82" s="104" t="e">
        <f>IF(ROUND(C82,3)=100%,"Optimal frontier",'Run CRS'!BW82)</f>
        <v>#VALUE!</v>
      </c>
      <c r="E82" s="105" t="str">
        <f>IF('Run CRS'!BC82&lt;&gt;"",'Run CRS'!BC82,"")</f>
        <v/>
      </c>
      <c r="F82" s="106" t="str">
        <f>IF('Run CRS'!BD82&lt;&gt;"",'Run CRS'!BD82,"")</f>
        <v/>
      </c>
      <c r="G82" s="106" t="str">
        <f>IF('Run CRS'!BE82&lt;&gt;"",'Run CRS'!BE82,"")</f>
        <v/>
      </c>
      <c r="H82" s="106" t="str">
        <f>IF('Run CRS'!BF82&lt;&gt;"",'Run CRS'!BF82,"")</f>
        <v/>
      </c>
      <c r="I82" s="106" t="str">
        <f>IF('Run CRS'!BG82&lt;&gt;"",'Run CRS'!BG82,"")</f>
        <v/>
      </c>
      <c r="J82" s="106" t="str">
        <f>IF('Run CRS'!BH82&lt;&gt;"",'Run CRS'!BH82,"")</f>
        <v/>
      </c>
      <c r="K82" s="105" t="str">
        <f>IF('Run CRS'!BI82&lt;&gt;"",'Run CRS'!BI82,"")</f>
        <v/>
      </c>
      <c r="L82" s="105" t="str">
        <f>IF('Run CRS'!BJ82&lt;&gt;"",'Run CRS'!BJ82,"")</f>
        <v/>
      </c>
      <c r="M82" s="105" t="str">
        <f>IF('Run CRS'!BK82&lt;&gt;"",'Run CRS'!BK82,"")</f>
        <v/>
      </c>
      <c r="N82" s="105" t="str">
        <f>IF('Run CRS'!BL82&lt;&gt;"",'Run CRS'!BL82,"")</f>
        <v/>
      </c>
      <c r="O82" s="105" t="str">
        <f>IF('Run CRS'!BM82&lt;&gt;"",'Run CRS'!BM82,"")</f>
        <v/>
      </c>
      <c r="P82" s="106" t="str">
        <f>IF('Run CRS'!BN82&lt;&gt;"",'Run CRS'!BN82,"")</f>
        <v/>
      </c>
      <c r="Q82" s="106" t="str">
        <f>IF('Run CRS'!BO82&lt;&gt;"",'Run CRS'!BO82,"")</f>
        <v/>
      </c>
      <c r="R82" s="106" t="str">
        <f>IF('Run CRS'!BP82&lt;&gt;"",'Run CRS'!BP82,"")</f>
        <v/>
      </c>
      <c r="S82" s="106" t="str">
        <f>IF('Run CRS'!BQ82&lt;&gt;"",'Run CRS'!BQ82,"")</f>
        <v/>
      </c>
      <c r="T82" s="106" t="str">
        <f>IF('Run CRS'!BR82&lt;&gt;"",'Run CRS'!BR82,"")</f>
        <v/>
      </c>
      <c r="U82" s="105" t="str">
        <f>IF('Run CRS'!BS82&lt;&gt;"",'Run CRS'!BS82,"")</f>
        <v/>
      </c>
      <c r="V82" s="105" t="str">
        <f>IF('Run CRS'!BT82&lt;&gt;"",'Run CRS'!BT82,"")</f>
        <v/>
      </c>
      <c r="W82" s="105" t="str">
        <f>IF('Run CRS'!BU82&lt;&gt;"",'Run CRS'!BU82,"")</f>
        <v/>
      </c>
      <c r="X82" s="107" t="str">
        <f>IF('Run CRS'!BV82&lt;&gt;"",'Run CRS'!BV82,"")</f>
        <v/>
      </c>
      <c r="Y82" s="114" t="str">
        <f>IF('Data input'!C82&lt;&gt;"",O82/'Data input'!C82*100%,"")</f>
        <v/>
      </c>
      <c r="Z82" s="114" t="str">
        <f>IF('Data input'!D82&lt;&gt;"",P82/'Data input'!D82*100%,"")</f>
        <v/>
      </c>
      <c r="AA82" s="114" t="str">
        <f>IF('Data input'!E82&lt;&gt;"",Q82/'Data input'!E82*100%,"")</f>
        <v/>
      </c>
      <c r="AB82" s="114" t="str">
        <f>IF('Data input'!F82&lt;&gt;"",R82/'Data input'!F82*100%,"")</f>
        <v/>
      </c>
      <c r="AC82" s="114" t="str">
        <f>IF('Data input'!G82&lt;&gt;"",S82/'Data input'!G82*100%,"")</f>
        <v/>
      </c>
      <c r="AD82" s="114" t="str">
        <f>IF('Data input'!H82&lt;&gt;"",T82/'Data input'!H82*100%,"")</f>
        <v/>
      </c>
      <c r="AE82" s="114" t="str">
        <f>IF('Data input'!I82&lt;&gt;"",U82/'Data input'!I82*100%,"")</f>
        <v/>
      </c>
      <c r="AF82" s="114" t="str">
        <f>IF('Data input'!J82&lt;&gt;"",V82/'Data input'!J82*100%,"")</f>
        <v/>
      </c>
      <c r="AG82" s="114" t="str">
        <f>IF('Data input'!K82&lt;&gt;"",W82/'Data input'!K82*100%,"")</f>
        <v/>
      </c>
      <c r="AH82" s="115" t="str">
        <f>IF('Data input'!L82&lt;&gt;"",X82/'Data input'!L82*100%,"")</f>
        <v/>
      </c>
      <c r="AI82" s="114" t="str">
        <f>IF('Data input'!C82&lt;&gt;"",'Run CRS'!AH82/'Run CRS'!C82,"")</f>
        <v/>
      </c>
      <c r="AJ82" s="114" t="str">
        <f>IF('Data input'!D82&lt;&gt;"",'Run CRS'!AI82/'Run CRS'!D82,"")</f>
        <v/>
      </c>
      <c r="AK82" s="114" t="str">
        <f>IF('Data input'!E82&lt;&gt;"",'Run CRS'!AJ82/'Run CRS'!E82,"")</f>
        <v/>
      </c>
      <c r="AL82" s="114" t="str">
        <f>IF('Data input'!F82&lt;&gt;"",'Run CRS'!AK82/'Run CRS'!F82,"")</f>
        <v/>
      </c>
      <c r="AM82" s="114" t="str">
        <f>IF('Data input'!G82&lt;&gt;"",'Run CRS'!AL82/'Run CRS'!G82,"")</f>
        <v/>
      </c>
      <c r="AN82" s="114" t="str">
        <f>IF('Data input'!H82&lt;&gt;"",'Run CRS'!AM82/'Run CRS'!H82,"")</f>
        <v/>
      </c>
      <c r="AO82" s="114" t="str">
        <f>IF('Data input'!I82&lt;&gt;"",'Run CRS'!AN82/'Run CRS'!I82,"")</f>
        <v/>
      </c>
      <c r="AP82" s="114" t="str">
        <f>IF('Data input'!J82&lt;&gt;"",'Run CRS'!AO82/'Run CRS'!J82,"")</f>
        <v/>
      </c>
      <c r="AQ82" s="114" t="str">
        <f>IF('Data input'!K82&lt;&gt;"",'Run CRS'!AP82/'Run CRS'!K82,"")</f>
        <v/>
      </c>
      <c r="AR82" s="115" t="str">
        <f>IF('Data input'!L82&lt;&gt;"",'Run CRS'!AQ82/'Run CRS'!L82,"")</f>
        <v/>
      </c>
    </row>
    <row r="83" spans="1:44" x14ac:dyDescent="0.35">
      <c r="A83" s="102" t="str">
        <f>IF('Run CRS'!AF83&lt;&gt;"",'Run CRS'!AF83,"")</f>
        <v/>
      </c>
      <c r="B83" s="103" t="str">
        <f>IF('Run CRS'!AG83&lt;&gt;"",'Run CRS'!AG83,"")</f>
        <v/>
      </c>
      <c r="C83" s="104" t="str">
        <f>IF('Run CRS'!AR83&lt;&gt;"",'Run CRS'!AR83,"")</f>
        <v/>
      </c>
      <c r="D83" s="104" t="e">
        <f>IF(ROUND(C83,3)=100%,"Optimal frontier",'Run CRS'!BW83)</f>
        <v>#VALUE!</v>
      </c>
      <c r="E83" s="105" t="str">
        <f>IF('Run CRS'!BC83&lt;&gt;"",'Run CRS'!BC83,"")</f>
        <v/>
      </c>
      <c r="F83" s="106" t="str">
        <f>IF('Run CRS'!BD83&lt;&gt;"",'Run CRS'!BD83,"")</f>
        <v/>
      </c>
      <c r="G83" s="106" t="str">
        <f>IF('Run CRS'!BE83&lt;&gt;"",'Run CRS'!BE83,"")</f>
        <v/>
      </c>
      <c r="H83" s="106" t="str">
        <f>IF('Run CRS'!BF83&lt;&gt;"",'Run CRS'!BF83,"")</f>
        <v/>
      </c>
      <c r="I83" s="106" t="str">
        <f>IF('Run CRS'!BG83&lt;&gt;"",'Run CRS'!BG83,"")</f>
        <v/>
      </c>
      <c r="J83" s="106" t="str">
        <f>IF('Run CRS'!BH83&lt;&gt;"",'Run CRS'!BH83,"")</f>
        <v/>
      </c>
      <c r="K83" s="105" t="str">
        <f>IF('Run CRS'!BI83&lt;&gt;"",'Run CRS'!BI83,"")</f>
        <v/>
      </c>
      <c r="L83" s="105" t="str">
        <f>IF('Run CRS'!BJ83&lt;&gt;"",'Run CRS'!BJ83,"")</f>
        <v/>
      </c>
      <c r="M83" s="105" t="str">
        <f>IF('Run CRS'!BK83&lt;&gt;"",'Run CRS'!BK83,"")</f>
        <v/>
      </c>
      <c r="N83" s="105" t="str">
        <f>IF('Run CRS'!BL83&lt;&gt;"",'Run CRS'!BL83,"")</f>
        <v/>
      </c>
      <c r="O83" s="105" t="str">
        <f>IF('Run CRS'!BM83&lt;&gt;"",'Run CRS'!BM83,"")</f>
        <v/>
      </c>
      <c r="P83" s="106" t="str">
        <f>IF('Run CRS'!BN83&lt;&gt;"",'Run CRS'!BN83,"")</f>
        <v/>
      </c>
      <c r="Q83" s="106" t="str">
        <f>IF('Run CRS'!BO83&lt;&gt;"",'Run CRS'!BO83,"")</f>
        <v/>
      </c>
      <c r="R83" s="106" t="str">
        <f>IF('Run CRS'!BP83&lt;&gt;"",'Run CRS'!BP83,"")</f>
        <v/>
      </c>
      <c r="S83" s="106" t="str">
        <f>IF('Run CRS'!BQ83&lt;&gt;"",'Run CRS'!BQ83,"")</f>
        <v/>
      </c>
      <c r="T83" s="106" t="str">
        <f>IF('Run CRS'!BR83&lt;&gt;"",'Run CRS'!BR83,"")</f>
        <v/>
      </c>
      <c r="U83" s="105" t="str">
        <f>IF('Run CRS'!BS83&lt;&gt;"",'Run CRS'!BS83,"")</f>
        <v/>
      </c>
      <c r="V83" s="105" t="str">
        <f>IF('Run CRS'!BT83&lt;&gt;"",'Run CRS'!BT83,"")</f>
        <v/>
      </c>
      <c r="W83" s="105" t="str">
        <f>IF('Run CRS'!BU83&lt;&gt;"",'Run CRS'!BU83,"")</f>
        <v/>
      </c>
      <c r="X83" s="107" t="str">
        <f>IF('Run CRS'!BV83&lt;&gt;"",'Run CRS'!BV83,"")</f>
        <v/>
      </c>
      <c r="Y83" s="114" t="str">
        <f>IF('Data input'!C83&lt;&gt;"",O83/'Data input'!C83*100%,"")</f>
        <v/>
      </c>
      <c r="Z83" s="114" t="str">
        <f>IF('Data input'!D83&lt;&gt;"",P83/'Data input'!D83*100%,"")</f>
        <v/>
      </c>
      <c r="AA83" s="114" t="str">
        <f>IF('Data input'!E83&lt;&gt;"",Q83/'Data input'!E83*100%,"")</f>
        <v/>
      </c>
      <c r="AB83" s="114" t="str">
        <f>IF('Data input'!F83&lt;&gt;"",R83/'Data input'!F83*100%,"")</f>
        <v/>
      </c>
      <c r="AC83" s="114" t="str">
        <f>IF('Data input'!G83&lt;&gt;"",S83/'Data input'!G83*100%,"")</f>
        <v/>
      </c>
      <c r="AD83" s="114" t="str">
        <f>IF('Data input'!H83&lt;&gt;"",T83/'Data input'!H83*100%,"")</f>
        <v/>
      </c>
      <c r="AE83" s="114" t="str">
        <f>IF('Data input'!I83&lt;&gt;"",U83/'Data input'!I83*100%,"")</f>
        <v/>
      </c>
      <c r="AF83" s="114" t="str">
        <f>IF('Data input'!J83&lt;&gt;"",V83/'Data input'!J83*100%,"")</f>
        <v/>
      </c>
      <c r="AG83" s="114" t="str">
        <f>IF('Data input'!K83&lt;&gt;"",W83/'Data input'!K83*100%,"")</f>
        <v/>
      </c>
      <c r="AH83" s="115" t="str">
        <f>IF('Data input'!L83&lt;&gt;"",X83/'Data input'!L83*100%,"")</f>
        <v/>
      </c>
      <c r="AI83" s="114" t="str">
        <f>IF('Data input'!C83&lt;&gt;"",'Run CRS'!AH83/'Run CRS'!C83,"")</f>
        <v/>
      </c>
      <c r="AJ83" s="114" t="str">
        <f>IF('Data input'!D83&lt;&gt;"",'Run CRS'!AI83/'Run CRS'!D83,"")</f>
        <v/>
      </c>
      <c r="AK83" s="114" t="str">
        <f>IF('Data input'!E83&lt;&gt;"",'Run CRS'!AJ83/'Run CRS'!E83,"")</f>
        <v/>
      </c>
      <c r="AL83" s="114" t="str">
        <f>IF('Data input'!F83&lt;&gt;"",'Run CRS'!AK83/'Run CRS'!F83,"")</f>
        <v/>
      </c>
      <c r="AM83" s="114" t="str">
        <f>IF('Data input'!G83&lt;&gt;"",'Run CRS'!AL83/'Run CRS'!G83,"")</f>
        <v/>
      </c>
      <c r="AN83" s="114" t="str">
        <f>IF('Data input'!H83&lt;&gt;"",'Run CRS'!AM83/'Run CRS'!H83,"")</f>
        <v/>
      </c>
      <c r="AO83" s="114" t="str">
        <f>IF('Data input'!I83&lt;&gt;"",'Run CRS'!AN83/'Run CRS'!I83,"")</f>
        <v/>
      </c>
      <c r="AP83" s="114" t="str">
        <f>IF('Data input'!J83&lt;&gt;"",'Run CRS'!AO83/'Run CRS'!J83,"")</f>
        <v/>
      </c>
      <c r="AQ83" s="114" t="str">
        <f>IF('Data input'!K83&lt;&gt;"",'Run CRS'!AP83/'Run CRS'!K83,"")</f>
        <v/>
      </c>
      <c r="AR83" s="115" t="str">
        <f>IF('Data input'!L83&lt;&gt;"",'Run CRS'!AQ83/'Run CRS'!L83,"")</f>
        <v/>
      </c>
    </row>
    <row r="84" spans="1:44" x14ac:dyDescent="0.35">
      <c r="A84" s="102" t="str">
        <f>IF('Run CRS'!AF84&lt;&gt;"",'Run CRS'!AF84,"")</f>
        <v/>
      </c>
      <c r="B84" s="103" t="str">
        <f>IF('Run CRS'!AG84&lt;&gt;"",'Run CRS'!AG84,"")</f>
        <v/>
      </c>
      <c r="C84" s="104" t="str">
        <f>IF('Run CRS'!AR84&lt;&gt;"",'Run CRS'!AR84,"")</f>
        <v/>
      </c>
      <c r="D84" s="104" t="e">
        <f>IF(ROUND(C84,3)=100%,"Optimal frontier",'Run CRS'!BW84)</f>
        <v>#VALUE!</v>
      </c>
      <c r="E84" s="105" t="str">
        <f>IF('Run CRS'!BC84&lt;&gt;"",'Run CRS'!BC84,"")</f>
        <v/>
      </c>
      <c r="F84" s="106" t="str">
        <f>IF('Run CRS'!BD84&lt;&gt;"",'Run CRS'!BD84,"")</f>
        <v/>
      </c>
      <c r="G84" s="106" t="str">
        <f>IF('Run CRS'!BE84&lt;&gt;"",'Run CRS'!BE84,"")</f>
        <v/>
      </c>
      <c r="H84" s="106" t="str">
        <f>IF('Run CRS'!BF84&lt;&gt;"",'Run CRS'!BF84,"")</f>
        <v/>
      </c>
      <c r="I84" s="106" t="str">
        <f>IF('Run CRS'!BG84&lt;&gt;"",'Run CRS'!BG84,"")</f>
        <v/>
      </c>
      <c r="J84" s="106" t="str">
        <f>IF('Run CRS'!BH84&lt;&gt;"",'Run CRS'!BH84,"")</f>
        <v/>
      </c>
      <c r="K84" s="105" t="str">
        <f>IF('Run CRS'!BI84&lt;&gt;"",'Run CRS'!BI84,"")</f>
        <v/>
      </c>
      <c r="L84" s="105" t="str">
        <f>IF('Run CRS'!BJ84&lt;&gt;"",'Run CRS'!BJ84,"")</f>
        <v/>
      </c>
      <c r="M84" s="105" t="str">
        <f>IF('Run CRS'!BK84&lt;&gt;"",'Run CRS'!BK84,"")</f>
        <v/>
      </c>
      <c r="N84" s="105" t="str">
        <f>IF('Run CRS'!BL84&lt;&gt;"",'Run CRS'!BL84,"")</f>
        <v/>
      </c>
      <c r="O84" s="105" t="str">
        <f>IF('Run CRS'!BM84&lt;&gt;"",'Run CRS'!BM84,"")</f>
        <v/>
      </c>
      <c r="P84" s="106" t="str">
        <f>IF('Run CRS'!BN84&lt;&gt;"",'Run CRS'!BN84,"")</f>
        <v/>
      </c>
      <c r="Q84" s="106" t="str">
        <f>IF('Run CRS'!BO84&lt;&gt;"",'Run CRS'!BO84,"")</f>
        <v/>
      </c>
      <c r="R84" s="106" t="str">
        <f>IF('Run CRS'!BP84&lt;&gt;"",'Run CRS'!BP84,"")</f>
        <v/>
      </c>
      <c r="S84" s="106" t="str">
        <f>IF('Run CRS'!BQ84&lt;&gt;"",'Run CRS'!BQ84,"")</f>
        <v/>
      </c>
      <c r="T84" s="106" t="str">
        <f>IF('Run CRS'!BR84&lt;&gt;"",'Run CRS'!BR84,"")</f>
        <v/>
      </c>
      <c r="U84" s="105" t="str">
        <f>IF('Run CRS'!BS84&lt;&gt;"",'Run CRS'!BS84,"")</f>
        <v/>
      </c>
      <c r="V84" s="105" t="str">
        <f>IF('Run CRS'!BT84&lt;&gt;"",'Run CRS'!BT84,"")</f>
        <v/>
      </c>
      <c r="W84" s="105" t="str">
        <f>IF('Run CRS'!BU84&lt;&gt;"",'Run CRS'!BU84,"")</f>
        <v/>
      </c>
      <c r="X84" s="107" t="str">
        <f>IF('Run CRS'!BV84&lt;&gt;"",'Run CRS'!BV84,"")</f>
        <v/>
      </c>
      <c r="Y84" s="114" t="str">
        <f>IF('Data input'!C84&lt;&gt;"",O84/'Data input'!C84*100%,"")</f>
        <v/>
      </c>
      <c r="Z84" s="114" t="str">
        <f>IF('Data input'!D84&lt;&gt;"",P84/'Data input'!D84*100%,"")</f>
        <v/>
      </c>
      <c r="AA84" s="114" t="str">
        <f>IF('Data input'!E84&lt;&gt;"",Q84/'Data input'!E84*100%,"")</f>
        <v/>
      </c>
      <c r="AB84" s="114" t="str">
        <f>IF('Data input'!F84&lt;&gt;"",R84/'Data input'!F84*100%,"")</f>
        <v/>
      </c>
      <c r="AC84" s="114" t="str">
        <f>IF('Data input'!G84&lt;&gt;"",S84/'Data input'!G84*100%,"")</f>
        <v/>
      </c>
      <c r="AD84" s="114" t="str">
        <f>IF('Data input'!H84&lt;&gt;"",T84/'Data input'!H84*100%,"")</f>
        <v/>
      </c>
      <c r="AE84" s="114" t="str">
        <f>IF('Data input'!I84&lt;&gt;"",U84/'Data input'!I84*100%,"")</f>
        <v/>
      </c>
      <c r="AF84" s="114" t="str">
        <f>IF('Data input'!J84&lt;&gt;"",V84/'Data input'!J84*100%,"")</f>
        <v/>
      </c>
      <c r="AG84" s="114" t="str">
        <f>IF('Data input'!K84&lt;&gt;"",W84/'Data input'!K84*100%,"")</f>
        <v/>
      </c>
      <c r="AH84" s="115" t="str">
        <f>IF('Data input'!L84&lt;&gt;"",X84/'Data input'!L84*100%,"")</f>
        <v/>
      </c>
      <c r="AI84" s="114" t="str">
        <f>IF('Data input'!C84&lt;&gt;"",'Run CRS'!AH84/'Run CRS'!C84,"")</f>
        <v/>
      </c>
      <c r="AJ84" s="114" t="str">
        <f>IF('Data input'!D84&lt;&gt;"",'Run CRS'!AI84/'Run CRS'!D84,"")</f>
        <v/>
      </c>
      <c r="AK84" s="114" t="str">
        <f>IF('Data input'!E84&lt;&gt;"",'Run CRS'!AJ84/'Run CRS'!E84,"")</f>
        <v/>
      </c>
      <c r="AL84" s="114" t="str">
        <f>IF('Data input'!F84&lt;&gt;"",'Run CRS'!AK84/'Run CRS'!F84,"")</f>
        <v/>
      </c>
      <c r="AM84" s="114" t="str">
        <f>IF('Data input'!G84&lt;&gt;"",'Run CRS'!AL84/'Run CRS'!G84,"")</f>
        <v/>
      </c>
      <c r="AN84" s="114" t="str">
        <f>IF('Data input'!H84&lt;&gt;"",'Run CRS'!AM84/'Run CRS'!H84,"")</f>
        <v/>
      </c>
      <c r="AO84" s="114" t="str">
        <f>IF('Data input'!I84&lt;&gt;"",'Run CRS'!AN84/'Run CRS'!I84,"")</f>
        <v/>
      </c>
      <c r="AP84" s="114" t="str">
        <f>IF('Data input'!J84&lt;&gt;"",'Run CRS'!AO84/'Run CRS'!J84,"")</f>
        <v/>
      </c>
      <c r="AQ84" s="114" t="str">
        <f>IF('Data input'!K84&lt;&gt;"",'Run CRS'!AP84/'Run CRS'!K84,"")</f>
        <v/>
      </c>
      <c r="AR84" s="115" t="str">
        <f>IF('Data input'!L84&lt;&gt;"",'Run CRS'!AQ84/'Run CRS'!L84,"")</f>
        <v/>
      </c>
    </row>
    <row r="85" spans="1:44" x14ac:dyDescent="0.35">
      <c r="A85" s="102" t="str">
        <f>IF('Run CRS'!AF85&lt;&gt;"",'Run CRS'!AF85,"")</f>
        <v/>
      </c>
      <c r="B85" s="103" t="str">
        <f>IF('Run CRS'!AG85&lt;&gt;"",'Run CRS'!AG85,"")</f>
        <v/>
      </c>
      <c r="C85" s="104" t="str">
        <f>IF('Run CRS'!AR85&lt;&gt;"",'Run CRS'!AR85,"")</f>
        <v/>
      </c>
      <c r="D85" s="104" t="e">
        <f>IF(ROUND(C85,3)=100%,"Optimal frontier",'Run CRS'!BW85)</f>
        <v>#VALUE!</v>
      </c>
      <c r="E85" s="105" t="str">
        <f>IF('Run CRS'!BC85&lt;&gt;"",'Run CRS'!BC85,"")</f>
        <v/>
      </c>
      <c r="F85" s="106" t="str">
        <f>IF('Run CRS'!BD85&lt;&gt;"",'Run CRS'!BD85,"")</f>
        <v/>
      </c>
      <c r="G85" s="106" t="str">
        <f>IF('Run CRS'!BE85&lt;&gt;"",'Run CRS'!BE85,"")</f>
        <v/>
      </c>
      <c r="H85" s="106" t="str">
        <f>IF('Run CRS'!BF85&lt;&gt;"",'Run CRS'!BF85,"")</f>
        <v/>
      </c>
      <c r="I85" s="106" t="str">
        <f>IF('Run CRS'!BG85&lt;&gt;"",'Run CRS'!BG85,"")</f>
        <v/>
      </c>
      <c r="J85" s="106" t="str">
        <f>IF('Run CRS'!BH85&lt;&gt;"",'Run CRS'!BH85,"")</f>
        <v/>
      </c>
      <c r="K85" s="105" t="str">
        <f>IF('Run CRS'!BI85&lt;&gt;"",'Run CRS'!BI85,"")</f>
        <v/>
      </c>
      <c r="L85" s="105" t="str">
        <f>IF('Run CRS'!BJ85&lt;&gt;"",'Run CRS'!BJ85,"")</f>
        <v/>
      </c>
      <c r="M85" s="105" t="str">
        <f>IF('Run CRS'!BK85&lt;&gt;"",'Run CRS'!BK85,"")</f>
        <v/>
      </c>
      <c r="N85" s="105" t="str">
        <f>IF('Run CRS'!BL85&lt;&gt;"",'Run CRS'!BL85,"")</f>
        <v/>
      </c>
      <c r="O85" s="105" t="str">
        <f>IF('Run CRS'!BM85&lt;&gt;"",'Run CRS'!BM85,"")</f>
        <v/>
      </c>
      <c r="P85" s="106" t="str">
        <f>IF('Run CRS'!BN85&lt;&gt;"",'Run CRS'!BN85,"")</f>
        <v/>
      </c>
      <c r="Q85" s="106" t="str">
        <f>IF('Run CRS'!BO85&lt;&gt;"",'Run CRS'!BO85,"")</f>
        <v/>
      </c>
      <c r="R85" s="106" t="str">
        <f>IF('Run CRS'!BP85&lt;&gt;"",'Run CRS'!BP85,"")</f>
        <v/>
      </c>
      <c r="S85" s="106" t="str">
        <f>IF('Run CRS'!BQ85&lt;&gt;"",'Run CRS'!BQ85,"")</f>
        <v/>
      </c>
      <c r="T85" s="106" t="str">
        <f>IF('Run CRS'!BR85&lt;&gt;"",'Run CRS'!BR85,"")</f>
        <v/>
      </c>
      <c r="U85" s="105" t="str">
        <f>IF('Run CRS'!BS85&lt;&gt;"",'Run CRS'!BS85,"")</f>
        <v/>
      </c>
      <c r="V85" s="105" t="str">
        <f>IF('Run CRS'!BT85&lt;&gt;"",'Run CRS'!BT85,"")</f>
        <v/>
      </c>
      <c r="W85" s="105" t="str">
        <f>IF('Run CRS'!BU85&lt;&gt;"",'Run CRS'!BU85,"")</f>
        <v/>
      </c>
      <c r="X85" s="107" t="str">
        <f>IF('Run CRS'!BV85&lt;&gt;"",'Run CRS'!BV85,"")</f>
        <v/>
      </c>
      <c r="Y85" s="114" t="str">
        <f>IF('Data input'!C85&lt;&gt;"",O85/'Data input'!C85*100%,"")</f>
        <v/>
      </c>
      <c r="Z85" s="114" t="str">
        <f>IF('Data input'!D85&lt;&gt;"",P85/'Data input'!D85*100%,"")</f>
        <v/>
      </c>
      <c r="AA85" s="114" t="str">
        <f>IF('Data input'!E85&lt;&gt;"",Q85/'Data input'!E85*100%,"")</f>
        <v/>
      </c>
      <c r="AB85" s="114" t="str">
        <f>IF('Data input'!F85&lt;&gt;"",R85/'Data input'!F85*100%,"")</f>
        <v/>
      </c>
      <c r="AC85" s="114" t="str">
        <f>IF('Data input'!G85&lt;&gt;"",S85/'Data input'!G85*100%,"")</f>
        <v/>
      </c>
      <c r="AD85" s="114" t="str">
        <f>IF('Data input'!H85&lt;&gt;"",T85/'Data input'!H85*100%,"")</f>
        <v/>
      </c>
      <c r="AE85" s="114" t="str">
        <f>IF('Data input'!I85&lt;&gt;"",U85/'Data input'!I85*100%,"")</f>
        <v/>
      </c>
      <c r="AF85" s="114" t="str">
        <f>IF('Data input'!J85&lt;&gt;"",V85/'Data input'!J85*100%,"")</f>
        <v/>
      </c>
      <c r="AG85" s="114" t="str">
        <f>IF('Data input'!K85&lt;&gt;"",W85/'Data input'!K85*100%,"")</f>
        <v/>
      </c>
      <c r="AH85" s="115" t="str">
        <f>IF('Data input'!L85&lt;&gt;"",X85/'Data input'!L85*100%,"")</f>
        <v/>
      </c>
      <c r="AI85" s="114" t="str">
        <f>IF('Data input'!C85&lt;&gt;"",'Run CRS'!AH85/'Run CRS'!C85,"")</f>
        <v/>
      </c>
      <c r="AJ85" s="114" t="str">
        <f>IF('Data input'!D85&lt;&gt;"",'Run CRS'!AI85/'Run CRS'!D85,"")</f>
        <v/>
      </c>
      <c r="AK85" s="114" t="str">
        <f>IF('Data input'!E85&lt;&gt;"",'Run CRS'!AJ85/'Run CRS'!E85,"")</f>
        <v/>
      </c>
      <c r="AL85" s="114" t="str">
        <f>IF('Data input'!F85&lt;&gt;"",'Run CRS'!AK85/'Run CRS'!F85,"")</f>
        <v/>
      </c>
      <c r="AM85" s="114" t="str">
        <f>IF('Data input'!G85&lt;&gt;"",'Run CRS'!AL85/'Run CRS'!G85,"")</f>
        <v/>
      </c>
      <c r="AN85" s="114" t="str">
        <f>IF('Data input'!H85&lt;&gt;"",'Run CRS'!AM85/'Run CRS'!H85,"")</f>
        <v/>
      </c>
      <c r="AO85" s="114" t="str">
        <f>IF('Data input'!I85&lt;&gt;"",'Run CRS'!AN85/'Run CRS'!I85,"")</f>
        <v/>
      </c>
      <c r="AP85" s="114" t="str">
        <f>IF('Data input'!J85&lt;&gt;"",'Run CRS'!AO85/'Run CRS'!J85,"")</f>
        <v/>
      </c>
      <c r="AQ85" s="114" t="str">
        <f>IF('Data input'!K85&lt;&gt;"",'Run CRS'!AP85/'Run CRS'!K85,"")</f>
        <v/>
      </c>
      <c r="AR85" s="115" t="str">
        <f>IF('Data input'!L85&lt;&gt;"",'Run CRS'!AQ85/'Run CRS'!L85,"")</f>
        <v/>
      </c>
    </row>
    <row r="86" spans="1:44" x14ac:dyDescent="0.35">
      <c r="A86" s="102" t="str">
        <f>IF('Run CRS'!AF86&lt;&gt;"",'Run CRS'!AF86,"")</f>
        <v/>
      </c>
      <c r="B86" s="103" t="str">
        <f>IF('Run CRS'!AG86&lt;&gt;"",'Run CRS'!AG86,"")</f>
        <v/>
      </c>
      <c r="C86" s="104" t="str">
        <f>IF('Run CRS'!AR86&lt;&gt;"",'Run CRS'!AR86,"")</f>
        <v/>
      </c>
      <c r="D86" s="104" t="e">
        <f>IF(ROUND(C86,3)=100%,"Optimal frontier",'Run CRS'!BW86)</f>
        <v>#VALUE!</v>
      </c>
      <c r="E86" s="105" t="str">
        <f>IF('Run CRS'!BC86&lt;&gt;"",'Run CRS'!BC86,"")</f>
        <v/>
      </c>
      <c r="F86" s="106" t="str">
        <f>IF('Run CRS'!BD86&lt;&gt;"",'Run CRS'!BD86,"")</f>
        <v/>
      </c>
      <c r="G86" s="106" t="str">
        <f>IF('Run CRS'!BE86&lt;&gt;"",'Run CRS'!BE86,"")</f>
        <v/>
      </c>
      <c r="H86" s="106" t="str">
        <f>IF('Run CRS'!BF86&lt;&gt;"",'Run CRS'!BF86,"")</f>
        <v/>
      </c>
      <c r="I86" s="106" t="str">
        <f>IF('Run CRS'!BG86&lt;&gt;"",'Run CRS'!BG86,"")</f>
        <v/>
      </c>
      <c r="J86" s="106" t="str">
        <f>IF('Run CRS'!BH86&lt;&gt;"",'Run CRS'!BH86,"")</f>
        <v/>
      </c>
      <c r="K86" s="105" t="str">
        <f>IF('Run CRS'!BI86&lt;&gt;"",'Run CRS'!BI86,"")</f>
        <v/>
      </c>
      <c r="L86" s="105" t="str">
        <f>IF('Run CRS'!BJ86&lt;&gt;"",'Run CRS'!BJ86,"")</f>
        <v/>
      </c>
      <c r="M86" s="105" t="str">
        <f>IF('Run CRS'!BK86&lt;&gt;"",'Run CRS'!BK86,"")</f>
        <v/>
      </c>
      <c r="N86" s="105" t="str">
        <f>IF('Run CRS'!BL86&lt;&gt;"",'Run CRS'!BL86,"")</f>
        <v/>
      </c>
      <c r="O86" s="105" t="str">
        <f>IF('Run CRS'!BM86&lt;&gt;"",'Run CRS'!BM86,"")</f>
        <v/>
      </c>
      <c r="P86" s="106" t="str">
        <f>IF('Run CRS'!BN86&lt;&gt;"",'Run CRS'!BN86,"")</f>
        <v/>
      </c>
      <c r="Q86" s="106" t="str">
        <f>IF('Run CRS'!BO86&lt;&gt;"",'Run CRS'!BO86,"")</f>
        <v/>
      </c>
      <c r="R86" s="106" t="str">
        <f>IF('Run CRS'!BP86&lt;&gt;"",'Run CRS'!BP86,"")</f>
        <v/>
      </c>
      <c r="S86" s="106" t="str">
        <f>IF('Run CRS'!BQ86&lt;&gt;"",'Run CRS'!BQ86,"")</f>
        <v/>
      </c>
      <c r="T86" s="106" t="str">
        <f>IF('Run CRS'!BR86&lt;&gt;"",'Run CRS'!BR86,"")</f>
        <v/>
      </c>
      <c r="U86" s="105" t="str">
        <f>IF('Run CRS'!BS86&lt;&gt;"",'Run CRS'!BS86,"")</f>
        <v/>
      </c>
      <c r="V86" s="105" t="str">
        <f>IF('Run CRS'!BT86&lt;&gt;"",'Run CRS'!BT86,"")</f>
        <v/>
      </c>
      <c r="W86" s="105" t="str">
        <f>IF('Run CRS'!BU86&lt;&gt;"",'Run CRS'!BU86,"")</f>
        <v/>
      </c>
      <c r="X86" s="107" t="str">
        <f>IF('Run CRS'!BV86&lt;&gt;"",'Run CRS'!BV86,"")</f>
        <v/>
      </c>
      <c r="Y86" s="114" t="str">
        <f>IF('Data input'!C86&lt;&gt;"",O86/'Data input'!C86*100%,"")</f>
        <v/>
      </c>
      <c r="Z86" s="114" t="str">
        <f>IF('Data input'!D86&lt;&gt;"",P86/'Data input'!D86*100%,"")</f>
        <v/>
      </c>
      <c r="AA86" s="114" t="str">
        <f>IF('Data input'!E86&lt;&gt;"",Q86/'Data input'!E86*100%,"")</f>
        <v/>
      </c>
      <c r="AB86" s="114" t="str">
        <f>IF('Data input'!F86&lt;&gt;"",R86/'Data input'!F86*100%,"")</f>
        <v/>
      </c>
      <c r="AC86" s="114" t="str">
        <f>IF('Data input'!G86&lt;&gt;"",S86/'Data input'!G86*100%,"")</f>
        <v/>
      </c>
      <c r="AD86" s="114" t="str">
        <f>IF('Data input'!H86&lt;&gt;"",T86/'Data input'!H86*100%,"")</f>
        <v/>
      </c>
      <c r="AE86" s="114" t="str">
        <f>IF('Data input'!I86&lt;&gt;"",U86/'Data input'!I86*100%,"")</f>
        <v/>
      </c>
      <c r="AF86" s="114" t="str">
        <f>IF('Data input'!J86&lt;&gt;"",V86/'Data input'!J86*100%,"")</f>
        <v/>
      </c>
      <c r="AG86" s="114" t="str">
        <f>IF('Data input'!K86&lt;&gt;"",W86/'Data input'!K86*100%,"")</f>
        <v/>
      </c>
      <c r="AH86" s="115" t="str">
        <f>IF('Data input'!L86&lt;&gt;"",X86/'Data input'!L86*100%,"")</f>
        <v/>
      </c>
      <c r="AI86" s="114" t="str">
        <f>IF('Data input'!C86&lt;&gt;"",'Run CRS'!AH86/'Run CRS'!C86,"")</f>
        <v/>
      </c>
      <c r="AJ86" s="114" t="str">
        <f>IF('Data input'!D86&lt;&gt;"",'Run CRS'!AI86/'Run CRS'!D86,"")</f>
        <v/>
      </c>
      <c r="AK86" s="114" t="str">
        <f>IF('Data input'!E86&lt;&gt;"",'Run CRS'!AJ86/'Run CRS'!E86,"")</f>
        <v/>
      </c>
      <c r="AL86" s="114" t="str">
        <f>IF('Data input'!F86&lt;&gt;"",'Run CRS'!AK86/'Run CRS'!F86,"")</f>
        <v/>
      </c>
      <c r="AM86" s="114" t="str">
        <f>IF('Data input'!G86&lt;&gt;"",'Run CRS'!AL86/'Run CRS'!G86,"")</f>
        <v/>
      </c>
      <c r="AN86" s="114" t="str">
        <f>IF('Data input'!H86&lt;&gt;"",'Run CRS'!AM86/'Run CRS'!H86,"")</f>
        <v/>
      </c>
      <c r="AO86" s="114" t="str">
        <f>IF('Data input'!I86&lt;&gt;"",'Run CRS'!AN86/'Run CRS'!I86,"")</f>
        <v/>
      </c>
      <c r="AP86" s="114" t="str">
        <f>IF('Data input'!J86&lt;&gt;"",'Run CRS'!AO86/'Run CRS'!J86,"")</f>
        <v/>
      </c>
      <c r="AQ86" s="114" t="str">
        <f>IF('Data input'!K86&lt;&gt;"",'Run CRS'!AP86/'Run CRS'!K86,"")</f>
        <v/>
      </c>
      <c r="AR86" s="115" t="str">
        <f>IF('Data input'!L86&lt;&gt;"",'Run CRS'!AQ86/'Run CRS'!L86,"")</f>
        <v/>
      </c>
    </row>
    <row r="87" spans="1:44" x14ac:dyDescent="0.35">
      <c r="A87" s="102" t="str">
        <f>IF('Run CRS'!AF87&lt;&gt;"",'Run CRS'!AF87,"")</f>
        <v/>
      </c>
      <c r="B87" s="103" t="str">
        <f>IF('Run CRS'!AG87&lt;&gt;"",'Run CRS'!AG87,"")</f>
        <v/>
      </c>
      <c r="C87" s="104" t="str">
        <f>IF('Run CRS'!AR87&lt;&gt;"",'Run CRS'!AR87,"")</f>
        <v/>
      </c>
      <c r="D87" s="104" t="e">
        <f>IF(ROUND(C87,3)=100%,"Optimal frontier",'Run CRS'!BW87)</f>
        <v>#VALUE!</v>
      </c>
      <c r="E87" s="105" t="str">
        <f>IF('Run CRS'!BC87&lt;&gt;"",'Run CRS'!BC87,"")</f>
        <v/>
      </c>
      <c r="F87" s="106" t="str">
        <f>IF('Run CRS'!BD87&lt;&gt;"",'Run CRS'!BD87,"")</f>
        <v/>
      </c>
      <c r="G87" s="106" t="str">
        <f>IF('Run CRS'!BE87&lt;&gt;"",'Run CRS'!BE87,"")</f>
        <v/>
      </c>
      <c r="H87" s="106" t="str">
        <f>IF('Run CRS'!BF87&lt;&gt;"",'Run CRS'!BF87,"")</f>
        <v/>
      </c>
      <c r="I87" s="106" t="str">
        <f>IF('Run CRS'!BG87&lt;&gt;"",'Run CRS'!BG87,"")</f>
        <v/>
      </c>
      <c r="J87" s="106" t="str">
        <f>IF('Run CRS'!BH87&lt;&gt;"",'Run CRS'!BH87,"")</f>
        <v/>
      </c>
      <c r="K87" s="105" t="str">
        <f>IF('Run CRS'!BI87&lt;&gt;"",'Run CRS'!BI87,"")</f>
        <v/>
      </c>
      <c r="L87" s="105" t="str">
        <f>IF('Run CRS'!BJ87&lt;&gt;"",'Run CRS'!BJ87,"")</f>
        <v/>
      </c>
      <c r="M87" s="105" t="str">
        <f>IF('Run CRS'!BK87&lt;&gt;"",'Run CRS'!BK87,"")</f>
        <v/>
      </c>
      <c r="N87" s="105" t="str">
        <f>IF('Run CRS'!BL87&lt;&gt;"",'Run CRS'!BL87,"")</f>
        <v/>
      </c>
      <c r="O87" s="105" t="str">
        <f>IF('Run CRS'!BM87&lt;&gt;"",'Run CRS'!BM87,"")</f>
        <v/>
      </c>
      <c r="P87" s="106" t="str">
        <f>IF('Run CRS'!BN87&lt;&gt;"",'Run CRS'!BN87,"")</f>
        <v/>
      </c>
      <c r="Q87" s="106" t="str">
        <f>IF('Run CRS'!BO87&lt;&gt;"",'Run CRS'!BO87,"")</f>
        <v/>
      </c>
      <c r="R87" s="106" t="str">
        <f>IF('Run CRS'!BP87&lt;&gt;"",'Run CRS'!BP87,"")</f>
        <v/>
      </c>
      <c r="S87" s="106" t="str">
        <f>IF('Run CRS'!BQ87&lt;&gt;"",'Run CRS'!BQ87,"")</f>
        <v/>
      </c>
      <c r="T87" s="106" t="str">
        <f>IF('Run CRS'!BR87&lt;&gt;"",'Run CRS'!BR87,"")</f>
        <v/>
      </c>
      <c r="U87" s="105" t="str">
        <f>IF('Run CRS'!BS87&lt;&gt;"",'Run CRS'!BS87,"")</f>
        <v/>
      </c>
      <c r="V87" s="105" t="str">
        <f>IF('Run CRS'!BT87&lt;&gt;"",'Run CRS'!BT87,"")</f>
        <v/>
      </c>
      <c r="W87" s="105" t="str">
        <f>IF('Run CRS'!BU87&lt;&gt;"",'Run CRS'!BU87,"")</f>
        <v/>
      </c>
      <c r="X87" s="107" t="str">
        <f>IF('Run CRS'!BV87&lt;&gt;"",'Run CRS'!BV87,"")</f>
        <v/>
      </c>
      <c r="Y87" s="114" t="str">
        <f>IF('Data input'!C87&lt;&gt;"",O87/'Data input'!C87*100%,"")</f>
        <v/>
      </c>
      <c r="Z87" s="114" t="str">
        <f>IF('Data input'!D87&lt;&gt;"",P87/'Data input'!D87*100%,"")</f>
        <v/>
      </c>
      <c r="AA87" s="114" t="str">
        <f>IF('Data input'!E87&lt;&gt;"",Q87/'Data input'!E87*100%,"")</f>
        <v/>
      </c>
      <c r="AB87" s="114" t="str">
        <f>IF('Data input'!F87&lt;&gt;"",R87/'Data input'!F87*100%,"")</f>
        <v/>
      </c>
      <c r="AC87" s="114" t="str">
        <f>IF('Data input'!G87&lt;&gt;"",S87/'Data input'!G87*100%,"")</f>
        <v/>
      </c>
      <c r="AD87" s="114" t="str">
        <f>IF('Data input'!H87&lt;&gt;"",T87/'Data input'!H87*100%,"")</f>
        <v/>
      </c>
      <c r="AE87" s="114" t="str">
        <f>IF('Data input'!I87&lt;&gt;"",U87/'Data input'!I87*100%,"")</f>
        <v/>
      </c>
      <c r="AF87" s="114" t="str">
        <f>IF('Data input'!J87&lt;&gt;"",V87/'Data input'!J87*100%,"")</f>
        <v/>
      </c>
      <c r="AG87" s="114" t="str">
        <f>IF('Data input'!K87&lt;&gt;"",W87/'Data input'!K87*100%,"")</f>
        <v/>
      </c>
      <c r="AH87" s="115" t="str">
        <f>IF('Data input'!L87&lt;&gt;"",X87/'Data input'!L87*100%,"")</f>
        <v/>
      </c>
      <c r="AI87" s="114" t="str">
        <f>IF('Data input'!C87&lt;&gt;"",'Run CRS'!AH87/'Run CRS'!C87,"")</f>
        <v/>
      </c>
      <c r="AJ87" s="114" t="str">
        <f>IF('Data input'!D87&lt;&gt;"",'Run CRS'!AI87/'Run CRS'!D87,"")</f>
        <v/>
      </c>
      <c r="AK87" s="114" t="str">
        <f>IF('Data input'!E87&lt;&gt;"",'Run CRS'!AJ87/'Run CRS'!E87,"")</f>
        <v/>
      </c>
      <c r="AL87" s="114" t="str">
        <f>IF('Data input'!F87&lt;&gt;"",'Run CRS'!AK87/'Run CRS'!F87,"")</f>
        <v/>
      </c>
      <c r="AM87" s="114" t="str">
        <f>IF('Data input'!G87&lt;&gt;"",'Run CRS'!AL87/'Run CRS'!G87,"")</f>
        <v/>
      </c>
      <c r="AN87" s="114" t="str">
        <f>IF('Data input'!H87&lt;&gt;"",'Run CRS'!AM87/'Run CRS'!H87,"")</f>
        <v/>
      </c>
      <c r="AO87" s="114" t="str">
        <f>IF('Data input'!I87&lt;&gt;"",'Run CRS'!AN87/'Run CRS'!I87,"")</f>
        <v/>
      </c>
      <c r="AP87" s="114" t="str">
        <f>IF('Data input'!J87&lt;&gt;"",'Run CRS'!AO87/'Run CRS'!J87,"")</f>
        <v/>
      </c>
      <c r="AQ87" s="114" t="str">
        <f>IF('Data input'!K87&lt;&gt;"",'Run CRS'!AP87/'Run CRS'!K87,"")</f>
        <v/>
      </c>
      <c r="AR87" s="115" t="str">
        <f>IF('Data input'!L87&lt;&gt;"",'Run CRS'!AQ87/'Run CRS'!L87,"")</f>
        <v/>
      </c>
    </row>
    <row r="88" spans="1:44" x14ac:dyDescent="0.35">
      <c r="A88" s="102" t="str">
        <f>IF('Run CRS'!AF88&lt;&gt;"",'Run CRS'!AF88,"")</f>
        <v/>
      </c>
      <c r="B88" s="103" t="str">
        <f>IF('Run CRS'!AG88&lt;&gt;"",'Run CRS'!AG88,"")</f>
        <v/>
      </c>
      <c r="C88" s="104" t="str">
        <f>IF('Run CRS'!AR88&lt;&gt;"",'Run CRS'!AR88,"")</f>
        <v/>
      </c>
      <c r="D88" s="104" t="e">
        <f>IF(ROUND(C88,3)=100%,"Optimal frontier",'Run CRS'!BW88)</f>
        <v>#VALUE!</v>
      </c>
      <c r="E88" s="105" t="str">
        <f>IF('Run CRS'!BC88&lt;&gt;"",'Run CRS'!BC88,"")</f>
        <v/>
      </c>
      <c r="F88" s="106" t="str">
        <f>IF('Run CRS'!BD88&lt;&gt;"",'Run CRS'!BD88,"")</f>
        <v/>
      </c>
      <c r="G88" s="106" t="str">
        <f>IF('Run CRS'!BE88&lt;&gt;"",'Run CRS'!BE88,"")</f>
        <v/>
      </c>
      <c r="H88" s="106" t="str">
        <f>IF('Run CRS'!BF88&lt;&gt;"",'Run CRS'!BF88,"")</f>
        <v/>
      </c>
      <c r="I88" s="106" t="str">
        <f>IF('Run CRS'!BG88&lt;&gt;"",'Run CRS'!BG88,"")</f>
        <v/>
      </c>
      <c r="J88" s="106" t="str">
        <f>IF('Run CRS'!BH88&lt;&gt;"",'Run CRS'!BH88,"")</f>
        <v/>
      </c>
      <c r="K88" s="105" t="str">
        <f>IF('Run CRS'!BI88&lt;&gt;"",'Run CRS'!BI88,"")</f>
        <v/>
      </c>
      <c r="L88" s="105" t="str">
        <f>IF('Run CRS'!BJ88&lt;&gt;"",'Run CRS'!BJ88,"")</f>
        <v/>
      </c>
      <c r="M88" s="105" t="str">
        <f>IF('Run CRS'!BK88&lt;&gt;"",'Run CRS'!BK88,"")</f>
        <v/>
      </c>
      <c r="N88" s="105" t="str">
        <f>IF('Run CRS'!BL88&lt;&gt;"",'Run CRS'!BL88,"")</f>
        <v/>
      </c>
      <c r="O88" s="105" t="str">
        <f>IF('Run CRS'!BM88&lt;&gt;"",'Run CRS'!BM88,"")</f>
        <v/>
      </c>
      <c r="P88" s="106" t="str">
        <f>IF('Run CRS'!BN88&lt;&gt;"",'Run CRS'!BN88,"")</f>
        <v/>
      </c>
      <c r="Q88" s="106" t="str">
        <f>IF('Run CRS'!BO88&lt;&gt;"",'Run CRS'!BO88,"")</f>
        <v/>
      </c>
      <c r="R88" s="106" t="str">
        <f>IF('Run CRS'!BP88&lt;&gt;"",'Run CRS'!BP88,"")</f>
        <v/>
      </c>
      <c r="S88" s="106" t="str">
        <f>IF('Run CRS'!BQ88&lt;&gt;"",'Run CRS'!BQ88,"")</f>
        <v/>
      </c>
      <c r="T88" s="106" t="str">
        <f>IF('Run CRS'!BR88&lt;&gt;"",'Run CRS'!BR88,"")</f>
        <v/>
      </c>
      <c r="U88" s="105" t="str">
        <f>IF('Run CRS'!BS88&lt;&gt;"",'Run CRS'!BS88,"")</f>
        <v/>
      </c>
      <c r="V88" s="105" t="str">
        <f>IF('Run CRS'!BT88&lt;&gt;"",'Run CRS'!BT88,"")</f>
        <v/>
      </c>
      <c r="W88" s="105" t="str">
        <f>IF('Run CRS'!BU88&lt;&gt;"",'Run CRS'!BU88,"")</f>
        <v/>
      </c>
      <c r="X88" s="107" t="str">
        <f>IF('Run CRS'!BV88&lt;&gt;"",'Run CRS'!BV88,"")</f>
        <v/>
      </c>
      <c r="Y88" s="114" t="str">
        <f>IF('Data input'!C88&lt;&gt;"",O88/'Data input'!C88*100%,"")</f>
        <v/>
      </c>
      <c r="Z88" s="114" t="str">
        <f>IF('Data input'!D88&lt;&gt;"",P88/'Data input'!D88*100%,"")</f>
        <v/>
      </c>
      <c r="AA88" s="114" t="str">
        <f>IF('Data input'!E88&lt;&gt;"",Q88/'Data input'!E88*100%,"")</f>
        <v/>
      </c>
      <c r="AB88" s="114" t="str">
        <f>IF('Data input'!F88&lt;&gt;"",R88/'Data input'!F88*100%,"")</f>
        <v/>
      </c>
      <c r="AC88" s="114" t="str">
        <f>IF('Data input'!G88&lt;&gt;"",S88/'Data input'!G88*100%,"")</f>
        <v/>
      </c>
      <c r="AD88" s="114" t="str">
        <f>IF('Data input'!H88&lt;&gt;"",T88/'Data input'!H88*100%,"")</f>
        <v/>
      </c>
      <c r="AE88" s="114" t="str">
        <f>IF('Data input'!I88&lt;&gt;"",U88/'Data input'!I88*100%,"")</f>
        <v/>
      </c>
      <c r="AF88" s="114" t="str">
        <f>IF('Data input'!J88&lt;&gt;"",V88/'Data input'!J88*100%,"")</f>
        <v/>
      </c>
      <c r="AG88" s="114" t="str">
        <f>IF('Data input'!K88&lt;&gt;"",W88/'Data input'!K88*100%,"")</f>
        <v/>
      </c>
      <c r="AH88" s="115" t="str">
        <f>IF('Data input'!L88&lt;&gt;"",X88/'Data input'!L88*100%,"")</f>
        <v/>
      </c>
      <c r="AI88" s="114" t="str">
        <f>IF('Data input'!C88&lt;&gt;"",'Run CRS'!AH88/'Run CRS'!C88,"")</f>
        <v/>
      </c>
      <c r="AJ88" s="114" t="str">
        <f>IF('Data input'!D88&lt;&gt;"",'Run CRS'!AI88/'Run CRS'!D88,"")</f>
        <v/>
      </c>
      <c r="AK88" s="114" t="str">
        <f>IF('Data input'!E88&lt;&gt;"",'Run CRS'!AJ88/'Run CRS'!E88,"")</f>
        <v/>
      </c>
      <c r="AL88" s="114" t="str">
        <f>IF('Data input'!F88&lt;&gt;"",'Run CRS'!AK88/'Run CRS'!F88,"")</f>
        <v/>
      </c>
      <c r="AM88" s="114" t="str">
        <f>IF('Data input'!G88&lt;&gt;"",'Run CRS'!AL88/'Run CRS'!G88,"")</f>
        <v/>
      </c>
      <c r="AN88" s="114" t="str">
        <f>IF('Data input'!H88&lt;&gt;"",'Run CRS'!AM88/'Run CRS'!H88,"")</f>
        <v/>
      </c>
      <c r="AO88" s="114" t="str">
        <f>IF('Data input'!I88&lt;&gt;"",'Run CRS'!AN88/'Run CRS'!I88,"")</f>
        <v/>
      </c>
      <c r="AP88" s="114" t="str">
        <f>IF('Data input'!J88&lt;&gt;"",'Run CRS'!AO88/'Run CRS'!J88,"")</f>
        <v/>
      </c>
      <c r="AQ88" s="114" t="str">
        <f>IF('Data input'!K88&lt;&gt;"",'Run CRS'!AP88/'Run CRS'!K88,"")</f>
        <v/>
      </c>
      <c r="AR88" s="115" t="str">
        <f>IF('Data input'!L88&lt;&gt;"",'Run CRS'!AQ88/'Run CRS'!L88,"")</f>
        <v/>
      </c>
    </row>
    <row r="89" spans="1:44" x14ac:dyDescent="0.35">
      <c r="A89" s="102" t="str">
        <f>IF('Run CRS'!AF89&lt;&gt;"",'Run CRS'!AF89,"")</f>
        <v/>
      </c>
      <c r="B89" s="103" t="str">
        <f>IF('Run CRS'!AG89&lt;&gt;"",'Run CRS'!AG89,"")</f>
        <v/>
      </c>
      <c r="C89" s="104" t="str">
        <f>IF('Run CRS'!AR89&lt;&gt;"",'Run CRS'!AR89,"")</f>
        <v/>
      </c>
      <c r="D89" s="104" t="e">
        <f>IF(ROUND(C89,3)=100%,"Optimal frontier",'Run CRS'!BW89)</f>
        <v>#VALUE!</v>
      </c>
      <c r="E89" s="105" t="str">
        <f>IF('Run CRS'!BC89&lt;&gt;"",'Run CRS'!BC89,"")</f>
        <v/>
      </c>
      <c r="F89" s="106" t="str">
        <f>IF('Run CRS'!BD89&lt;&gt;"",'Run CRS'!BD89,"")</f>
        <v/>
      </c>
      <c r="G89" s="106" t="str">
        <f>IF('Run CRS'!BE89&lt;&gt;"",'Run CRS'!BE89,"")</f>
        <v/>
      </c>
      <c r="H89" s="106" t="str">
        <f>IF('Run CRS'!BF89&lt;&gt;"",'Run CRS'!BF89,"")</f>
        <v/>
      </c>
      <c r="I89" s="106" t="str">
        <f>IF('Run CRS'!BG89&lt;&gt;"",'Run CRS'!BG89,"")</f>
        <v/>
      </c>
      <c r="J89" s="106" t="str">
        <f>IF('Run CRS'!BH89&lt;&gt;"",'Run CRS'!BH89,"")</f>
        <v/>
      </c>
      <c r="K89" s="105" t="str">
        <f>IF('Run CRS'!BI89&lt;&gt;"",'Run CRS'!BI89,"")</f>
        <v/>
      </c>
      <c r="L89" s="105" t="str">
        <f>IF('Run CRS'!BJ89&lt;&gt;"",'Run CRS'!BJ89,"")</f>
        <v/>
      </c>
      <c r="M89" s="105" t="str">
        <f>IF('Run CRS'!BK89&lt;&gt;"",'Run CRS'!BK89,"")</f>
        <v/>
      </c>
      <c r="N89" s="105" t="str">
        <f>IF('Run CRS'!BL89&lt;&gt;"",'Run CRS'!BL89,"")</f>
        <v/>
      </c>
      <c r="O89" s="105" t="str">
        <f>IF('Run CRS'!BM89&lt;&gt;"",'Run CRS'!BM89,"")</f>
        <v/>
      </c>
      <c r="P89" s="106" t="str">
        <f>IF('Run CRS'!BN89&lt;&gt;"",'Run CRS'!BN89,"")</f>
        <v/>
      </c>
      <c r="Q89" s="106" t="str">
        <f>IF('Run CRS'!BO89&lt;&gt;"",'Run CRS'!BO89,"")</f>
        <v/>
      </c>
      <c r="R89" s="106" t="str">
        <f>IF('Run CRS'!BP89&lt;&gt;"",'Run CRS'!BP89,"")</f>
        <v/>
      </c>
      <c r="S89" s="106" t="str">
        <f>IF('Run CRS'!BQ89&lt;&gt;"",'Run CRS'!BQ89,"")</f>
        <v/>
      </c>
      <c r="T89" s="106" t="str">
        <f>IF('Run CRS'!BR89&lt;&gt;"",'Run CRS'!BR89,"")</f>
        <v/>
      </c>
      <c r="U89" s="105" t="str">
        <f>IF('Run CRS'!BS89&lt;&gt;"",'Run CRS'!BS89,"")</f>
        <v/>
      </c>
      <c r="V89" s="105" t="str">
        <f>IF('Run CRS'!BT89&lt;&gt;"",'Run CRS'!BT89,"")</f>
        <v/>
      </c>
      <c r="W89" s="105" t="str">
        <f>IF('Run CRS'!BU89&lt;&gt;"",'Run CRS'!BU89,"")</f>
        <v/>
      </c>
      <c r="X89" s="107" t="str">
        <f>IF('Run CRS'!BV89&lt;&gt;"",'Run CRS'!BV89,"")</f>
        <v/>
      </c>
      <c r="Y89" s="114" t="str">
        <f>IF('Data input'!C89&lt;&gt;"",O89/'Data input'!C89*100%,"")</f>
        <v/>
      </c>
      <c r="Z89" s="114" t="str">
        <f>IF('Data input'!D89&lt;&gt;"",P89/'Data input'!D89*100%,"")</f>
        <v/>
      </c>
      <c r="AA89" s="114" t="str">
        <f>IF('Data input'!E89&lt;&gt;"",Q89/'Data input'!E89*100%,"")</f>
        <v/>
      </c>
      <c r="AB89" s="114" t="str">
        <f>IF('Data input'!F89&lt;&gt;"",R89/'Data input'!F89*100%,"")</f>
        <v/>
      </c>
      <c r="AC89" s="114" t="str">
        <f>IF('Data input'!G89&lt;&gt;"",S89/'Data input'!G89*100%,"")</f>
        <v/>
      </c>
      <c r="AD89" s="114" t="str">
        <f>IF('Data input'!H89&lt;&gt;"",T89/'Data input'!H89*100%,"")</f>
        <v/>
      </c>
      <c r="AE89" s="114" t="str">
        <f>IF('Data input'!I89&lt;&gt;"",U89/'Data input'!I89*100%,"")</f>
        <v/>
      </c>
      <c r="AF89" s="114" t="str">
        <f>IF('Data input'!J89&lt;&gt;"",V89/'Data input'!J89*100%,"")</f>
        <v/>
      </c>
      <c r="AG89" s="114" t="str">
        <f>IF('Data input'!K89&lt;&gt;"",W89/'Data input'!K89*100%,"")</f>
        <v/>
      </c>
      <c r="AH89" s="115" t="str">
        <f>IF('Data input'!L89&lt;&gt;"",X89/'Data input'!L89*100%,"")</f>
        <v/>
      </c>
      <c r="AI89" s="114" t="str">
        <f>IF('Data input'!C89&lt;&gt;"",'Run CRS'!AH89/'Run CRS'!C89,"")</f>
        <v/>
      </c>
      <c r="AJ89" s="114" t="str">
        <f>IF('Data input'!D89&lt;&gt;"",'Run CRS'!AI89/'Run CRS'!D89,"")</f>
        <v/>
      </c>
      <c r="AK89" s="114" t="str">
        <f>IF('Data input'!E89&lt;&gt;"",'Run CRS'!AJ89/'Run CRS'!E89,"")</f>
        <v/>
      </c>
      <c r="AL89" s="114" t="str">
        <f>IF('Data input'!F89&lt;&gt;"",'Run CRS'!AK89/'Run CRS'!F89,"")</f>
        <v/>
      </c>
      <c r="AM89" s="114" t="str">
        <f>IF('Data input'!G89&lt;&gt;"",'Run CRS'!AL89/'Run CRS'!G89,"")</f>
        <v/>
      </c>
      <c r="AN89" s="114" t="str">
        <f>IF('Data input'!H89&lt;&gt;"",'Run CRS'!AM89/'Run CRS'!H89,"")</f>
        <v/>
      </c>
      <c r="AO89" s="114" t="str">
        <f>IF('Data input'!I89&lt;&gt;"",'Run CRS'!AN89/'Run CRS'!I89,"")</f>
        <v/>
      </c>
      <c r="AP89" s="114" t="str">
        <f>IF('Data input'!J89&lt;&gt;"",'Run CRS'!AO89/'Run CRS'!J89,"")</f>
        <v/>
      </c>
      <c r="AQ89" s="114" t="str">
        <f>IF('Data input'!K89&lt;&gt;"",'Run CRS'!AP89/'Run CRS'!K89,"")</f>
        <v/>
      </c>
      <c r="AR89" s="115" t="str">
        <f>IF('Data input'!L89&lt;&gt;"",'Run CRS'!AQ89/'Run CRS'!L89,"")</f>
        <v/>
      </c>
    </row>
    <row r="90" spans="1:44" x14ac:dyDescent="0.35">
      <c r="A90" s="102" t="str">
        <f>IF('Run CRS'!AF90&lt;&gt;"",'Run CRS'!AF90,"")</f>
        <v/>
      </c>
      <c r="B90" s="103" t="str">
        <f>IF('Run CRS'!AG90&lt;&gt;"",'Run CRS'!AG90,"")</f>
        <v/>
      </c>
      <c r="C90" s="104" t="str">
        <f>IF('Run CRS'!AR90&lt;&gt;"",'Run CRS'!AR90,"")</f>
        <v/>
      </c>
      <c r="D90" s="104" t="e">
        <f>IF(ROUND(C90,3)=100%,"Optimal frontier",'Run CRS'!BW90)</f>
        <v>#VALUE!</v>
      </c>
      <c r="E90" s="105" t="str">
        <f>IF('Run CRS'!BC90&lt;&gt;"",'Run CRS'!BC90,"")</f>
        <v/>
      </c>
      <c r="F90" s="106" t="str">
        <f>IF('Run CRS'!BD90&lt;&gt;"",'Run CRS'!BD90,"")</f>
        <v/>
      </c>
      <c r="G90" s="106" t="str">
        <f>IF('Run CRS'!BE90&lt;&gt;"",'Run CRS'!BE90,"")</f>
        <v/>
      </c>
      <c r="H90" s="106" t="str">
        <f>IF('Run CRS'!BF90&lt;&gt;"",'Run CRS'!BF90,"")</f>
        <v/>
      </c>
      <c r="I90" s="106" t="str">
        <f>IF('Run CRS'!BG90&lt;&gt;"",'Run CRS'!BG90,"")</f>
        <v/>
      </c>
      <c r="J90" s="106" t="str">
        <f>IF('Run CRS'!BH90&lt;&gt;"",'Run CRS'!BH90,"")</f>
        <v/>
      </c>
      <c r="K90" s="105" t="str">
        <f>IF('Run CRS'!BI90&lt;&gt;"",'Run CRS'!BI90,"")</f>
        <v/>
      </c>
      <c r="L90" s="105" t="str">
        <f>IF('Run CRS'!BJ90&lt;&gt;"",'Run CRS'!BJ90,"")</f>
        <v/>
      </c>
      <c r="M90" s="105" t="str">
        <f>IF('Run CRS'!BK90&lt;&gt;"",'Run CRS'!BK90,"")</f>
        <v/>
      </c>
      <c r="N90" s="105" t="str">
        <f>IF('Run CRS'!BL90&lt;&gt;"",'Run CRS'!BL90,"")</f>
        <v/>
      </c>
      <c r="O90" s="105" t="str">
        <f>IF('Run CRS'!BM90&lt;&gt;"",'Run CRS'!BM90,"")</f>
        <v/>
      </c>
      <c r="P90" s="106" t="str">
        <f>IF('Run CRS'!BN90&lt;&gt;"",'Run CRS'!BN90,"")</f>
        <v/>
      </c>
      <c r="Q90" s="106" t="str">
        <f>IF('Run CRS'!BO90&lt;&gt;"",'Run CRS'!BO90,"")</f>
        <v/>
      </c>
      <c r="R90" s="106" t="str">
        <f>IF('Run CRS'!BP90&lt;&gt;"",'Run CRS'!BP90,"")</f>
        <v/>
      </c>
      <c r="S90" s="106" t="str">
        <f>IF('Run CRS'!BQ90&lt;&gt;"",'Run CRS'!BQ90,"")</f>
        <v/>
      </c>
      <c r="T90" s="106" t="str">
        <f>IF('Run CRS'!BR90&lt;&gt;"",'Run CRS'!BR90,"")</f>
        <v/>
      </c>
      <c r="U90" s="105" t="str">
        <f>IF('Run CRS'!BS90&lt;&gt;"",'Run CRS'!BS90,"")</f>
        <v/>
      </c>
      <c r="V90" s="105" t="str">
        <f>IF('Run CRS'!BT90&lt;&gt;"",'Run CRS'!BT90,"")</f>
        <v/>
      </c>
      <c r="W90" s="105" t="str">
        <f>IF('Run CRS'!BU90&lt;&gt;"",'Run CRS'!BU90,"")</f>
        <v/>
      </c>
      <c r="X90" s="107" t="str">
        <f>IF('Run CRS'!BV90&lt;&gt;"",'Run CRS'!BV90,"")</f>
        <v/>
      </c>
      <c r="Y90" s="114" t="str">
        <f>IF('Data input'!C90&lt;&gt;"",O90/'Data input'!C90*100%,"")</f>
        <v/>
      </c>
      <c r="Z90" s="114" t="str">
        <f>IF('Data input'!D90&lt;&gt;"",P90/'Data input'!D90*100%,"")</f>
        <v/>
      </c>
      <c r="AA90" s="114" t="str">
        <f>IF('Data input'!E90&lt;&gt;"",Q90/'Data input'!E90*100%,"")</f>
        <v/>
      </c>
      <c r="AB90" s="114" t="str">
        <f>IF('Data input'!F90&lt;&gt;"",R90/'Data input'!F90*100%,"")</f>
        <v/>
      </c>
      <c r="AC90" s="114" t="str">
        <f>IF('Data input'!G90&lt;&gt;"",S90/'Data input'!G90*100%,"")</f>
        <v/>
      </c>
      <c r="AD90" s="114" t="str">
        <f>IF('Data input'!H90&lt;&gt;"",T90/'Data input'!H90*100%,"")</f>
        <v/>
      </c>
      <c r="AE90" s="114" t="str">
        <f>IF('Data input'!I90&lt;&gt;"",U90/'Data input'!I90*100%,"")</f>
        <v/>
      </c>
      <c r="AF90" s="114" t="str">
        <f>IF('Data input'!J90&lt;&gt;"",V90/'Data input'!J90*100%,"")</f>
        <v/>
      </c>
      <c r="AG90" s="114" t="str">
        <f>IF('Data input'!K90&lt;&gt;"",W90/'Data input'!K90*100%,"")</f>
        <v/>
      </c>
      <c r="AH90" s="115" t="str">
        <f>IF('Data input'!L90&lt;&gt;"",X90/'Data input'!L90*100%,"")</f>
        <v/>
      </c>
      <c r="AI90" s="114" t="str">
        <f>IF('Data input'!C90&lt;&gt;"",'Run CRS'!AH90/'Run CRS'!C90,"")</f>
        <v/>
      </c>
      <c r="AJ90" s="114" t="str">
        <f>IF('Data input'!D90&lt;&gt;"",'Run CRS'!AI90/'Run CRS'!D90,"")</f>
        <v/>
      </c>
      <c r="AK90" s="114" t="str">
        <f>IF('Data input'!E90&lt;&gt;"",'Run CRS'!AJ90/'Run CRS'!E90,"")</f>
        <v/>
      </c>
      <c r="AL90" s="114" t="str">
        <f>IF('Data input'!F90&lt;&gt;"",'Run CRS'!AK90/'Run CRS'!F90,"")</f>
        <v/>
      </c>
      <c r="AM90" s="114" t="str">
        <f>IF('Data input'!G90&lt;&gt;"",'Run CRS'!AL90/'Run CRS'!G90,"")</f>
        <v/>
      </c>
      <c r="AN90" s="114" t="str">
        <f>IF('Data input'!H90&lt;&gt;"",'Run CRS'!AM90/'Run CRS'!H90,"")</f>
        <v/>
      </c>
      <c r="AO90" s="114" t="str">
        <f>IF('Data input'!I90&lt;&gt;"",'Run CRS'!AN90/'Run CRS'!I90,"")</f>
        <v/>
      </c>
      <c r="AP90" s="114" t="str">
        <f>IF('Data input'!J90&lt;&gt;"",'Run CRS'!AO90/'Run CRS'!J90,"")</f>
        <v/>
      </c>
      <c r="AQ90" s="114" t="str">
        <f>IF('Data input'!K90&lt;&gt;"",'Run CRS'!AP90/'Run CRS'!K90,"")</f>
        <v/>
      </c>
      <c r="AR90" s="115" t="str">
        <f>IF('Data input'!L90&lt;&gt;"",'Run CRS'!AQ90/'Run CRS'!L90,"")</f>
        <v/>
      </c>
    </row>
    <row r="91" spans="1:44" x14ac:dyDescent="0.35">
      <c r="A91" s="102" t="str">
        <f>IF('Run CRS'!AF91&lt;&gt;"",'Run CRS'!AF91,"")</f>
        <v/>
      </c>
      <c r="B91" s="103" t="str">
        <f>IF('Run CRS'!AG91&lt;&gt;"",'Run CRS'!AG91,"")</f>
        <v/>
      </c>
      <c r="C91" s="104" t="str">
        <f>IF('Run CRS'!AR91&lt;&gt;"",'Run CRS'!AR91,"")</f>
        <v/>
      </c>
      <c r="D91" s="104" t="e">
        <f>IF(ROUND(C91,3)=100%,"Optimal frontier",'Run CRS'!BW91)</f>
        <v>#VALUE!</v>
      </c>
      <c r="E91" s="105" t="str">
        <f>IF('Run CRS'!BC91&lt;&gt;"",'Run CRS'!BC91,"")</f>
        <v/>
      </c>
      <c r="F91" s="106" t="str">
        <f>IF('Run CRS'!BD91&lt;&gt;"",'Run CRS'!BD91,"")</f>
        <v/>
      </c>
      <c r="G91" s="106" t="str">
        <f>IF('Run CRS'!BE91&lt;&gt;"",'Run CRS'!BE91,"")</f>
        <v/>
      </c>
      <c r="H91" s="106" t="str">
        <f>IF('Run CRS'!BF91&lt;&gt;"",'Run CRS'!BF91,"")</f>
        <v/>
      </c>
      <c r="I91" s="106" t="str">
        <f>IF('Run CRS'!BG91&lt;&gt;"",'Run CRS'!BG91,"")</f>
        <v/>
      </c>
      <c r="J91" s="106" t="str">
        <f>IF('Run CRS'!BH91&lt;&gt;"",'Run CRS'!BH91,"")</f>
        <v/>
      </c>
      <c r="K91" s="105" t="str">
        <f>IF('Run CRS'!BI91&lt;&gt;"",'Run CRS'!BI91,"")</f>
        <v/>
      </c>
      <c r="L91" s="105" t="str">
        <f>IF('Run CRS'!BJ91&lt;&gt;"",'Run CRS'!BJ91,"")</f>
        <v/>
      </c>
      <c r="M91" s="105" t="str">
        <f>IF('Run CRS'!BK91&lt;&gt;"",'Run CRS'!BK91,"")</f>
        <v/>
      </c>
      <c r="N91" s="105" t="str">
        <f>IF('Run CRS'!BL91&lt;&gt;"",'Run CRS'!BL91,"")</f>
        <v/>
      </c>
      <c r="O91" s="105" t="str">
        <f>IF('Run CRS'!BM91&lt;&gt;"",'Run CRS'!BM91,"")</f>
        <v/>
      </c>
      <c r="P91" s="106" t="str">
        <f>IF('Run CRS'!BN91&lt;&gt;"",'Run CRS'!BN91,"")</f>
        <v/>
      </c>
      <c r="Q91" s="106" t="str">
        <f>IF('Run CRS'!BO91&lt;&gt;"",'Run CRS'!BO91,"")</f>
        <v/>
      </c>
      <c r="R91" s="106" t="str">
        <f>IF('Run CRS'!BP91&lt;&gt;"",'Run CRS'!BP91,"")</f>
        <v/>
      </c>
      <c r="S91" s="106" t="str">
        <f>IF('Run CRS'!BQ91&lt;&gt;"",'Run CRS'!BQ91,"")</f>
        <v/>
      </c>
      <c r="T91" s="106" t="str">
        <f>IF('Run CRS'!BR91&lt;&gt;"",'Run CRS'!BR91,"")</f>
        <v/>
      </c>
      <c r="U91" s="105" t="str">
        <f>IF('Run CRS'!BS91&lt;&gt;"",'Run CRS'!BS91,"")</f>
        <v/>
      </c>
      <c r="V91" s="105" t="str">
        <f>IF('Run CRS'!BT91&lt;&gt;"",'Run CRS'!BT91,"")</f>
        <v/>
      </c>
      <c r="W91" s="105" t="str">
        <f>IF('Run CRS'!BU91&lt;&gt;"",'Run CRS'!BU91,"")</f>
        <v/>
      </c>
      <c r="X91" s="107" t="str">
        <f>IF('Run CRS'!BV91&lt;&gt;"",'Run CRS'!BV91,"")</f>
        <v/>
      </c>
      <c r="Y91" s="114" t="str">
        <f>IF('Data input'!C91&lt;&gt;"",O91/'Data input'!C91*100%,"")</f>
        <v/>
      </c>
      <c r="Z91" s="114" t="str">
        <f>IF('Data input'!D91&lt;&gt;"",P91/'Data input'!D91*100%,"")</f>
        <v/>
      </c>
      <c r="AA91" s="114" t="str">
        <f>IF('Data input'!E91&lt;&gt;"",Q91/'Data input'!E91*100%,"")</f>
        <v/>
      </c>
      <c r="AB91" s="114" t="str">
        <f>IF('Data input'!F91&lt;&gt;"",R91/'Data input'!F91*100%,"")</f>
        <v/>
      </c>
      <c r="AC91" s="114" t="str">
        <f>IF('Data input'!G91&lt;&gt;"",S91/'Data input'!G91*100%,"")</f>
        <v/>
      </c>
      <c r="AD91" s="114" t="str">
        <f>IF('Data input'!H91&lt;&gt;"",T91/'Data input'!H91*100%,"")</f>
        <v/>
      </c>
      <c r="AE91" s="114" t="str">
        <f>IF('Data input'!I91&lt;&gt;"",U91/'Data input'!I91*100%,"")</f>
        <v/>
      </c>
      <c r="AF91" s="114" t="str">
        <f>IF('Data input'!J91&lt;&gt;"",V91/'Data input'!J91*100%,"")</f>
        <v/>
      </c>
      <c r="AG91" s="114" t="str">
        <f>IF('Data input'!K91&lt;&gt;"",W91/'Data input'!K91*100%,"")</f>
        <v/>
      </c>
      <c r="AH91" s="115" t="str">
        <f>IF('Data input'!L91&lt;&gt;"",X91/'Data input'!L91*100%,"")</f>
        <v/>
      </c>
      <c r="AI91" s="114" t="str">
        <f>IF('Data input'!C91&lt;&gt;"",'Run CRS'!AH91/'Run CRS'!C91,"")</f>
        <v/>
      </c>
      <c r="AJ91" s="114" t="str">
        <f>IF('Data input'!D91&lt;&gt;"",'Run CRS'!AI91/'Run CRS'!D91,"")</f>
        <v/>
      </c>
      <c r="AK91" s="114" t="str">
        <f>IF('Data input'!E91&lt;&gt;"",'Run CRS'!AJ91/'Run CRS'!E91,"")</f>
        <v/>
      </c>
      <c r="AL91" s="114" t="str">
        <f>IF('Data input'!F91&lt;&gt;"",'Run CRS'!AK91/'Run CRS'!F91,"")</f>
        <v/>
      </c>
      <c r="AM91" s="114" t="str">
        <f>IF('Data input'!G91&lt;&gt;"",'Run CRS'!AL91/'Run CRS'!G91,"")</f>
        <v/>
      </c>
      <c r="AN91" s="114" t="str">
        <f>IF('Data input'!H91&lt;&gt;"",'Run CRS'!AM91/'Run CRS'!H91,"")</f>
        <v/>
      </c>
      <c r="AO91" s="114" t="str">
        <f>IF('Data input'!I91&lt;&gt;"",'Run CRS'!AN91/'Run CRS'!I91,"")</f>
        <v/>
      </c>
      <c r="AP91" s="114" t="str">
        <f>IF('Data input'!J91&lt;&gt;"",'Run CRS'!AO91/'Run CRS'!J91,"")</f>
        <v/>
      </c>
      <c r="AQ91" s="114" t="str">
        <f>IF('Data input'!K91&lt;&gt;"",'Run CRS'!AP91/'Run CRS'!K91,"")</f>
        <v/>
      </c>
      <c r="AR91" s="115" t="str">
        <f>IF('Data input'!L91&lt;&gt;"",'Run CRS'!AQ91/'Run CRS'!L91,"")</f>
        <v/>
      </c>
    </row>
    <row r="92" spans="1:44" x14ac:dyDescent="0.35">
      <c r="A92" s="102" t="str">
        <f>IF('Run CRS'!AF92&lt;&gt;"",'Run CRS'!AF92,"")</f>
        <v/>
      </c>
      <c r="B92" s="103" t="str">
        <f>IF('Run CRS'!AG92&lt;&gt;"",'Run CRS'!AG92,"")</f>
        <v/>
      </c>
      <c r="C92" s="104" t="str">
        <f>IF('Run CRS'!AR92&lt;&gt;"",'Run CRS'!AR92,"")</f>
        <v/>
      </c>
      <c r="D92" s="104" t="e">
        <f>IF(ROUND(C92,3)=100%,"Optimal frontier",'Run CRS'!BW92)</f>
        <v>#VALUE!</v>
      </c>
      <c r="E92" s="105" t="str">
        <f>IF('Run CRS'!BC92&lt;&gt;"",'Run CRS'!BC92,"")</f>
        <v/>
      </c>
      <c r="F92" s="106" t="str">
        <f>IF('Run CRS'!BD92&lt;&gt;"",'Run CRS'!BD92,"")</f>
        <v/>
      </c>
      <c r="G92" s="106" t="str">
        <f>IF('Run CRS'!BE92&lt;&gt;"",'Run CRS'!BE92,"")</f>
        <v/>
      </c>
      <c r="H92" s="106" t="str">
        <f>IF('Run CRS'!BF92&lt;&gt;"",'Run CRS'!BF92,"")</f>
        <v/>
      </c>
      <c r="I92" s="106" t="str">
        <f>IF('Run CRS'!BG92&lt;&gt;"",'Run CRS'!BG92,"")</f>
        <v/>
      </c>
      <c r="J92" s="106" t="str">
        <f>IF('Run CRS'!BH92&lt;&gt;"",'Run CRS'!BH92,"")</f>
        <v/>
      </c>
      <c r="K92" s="105" t="str">
        <f>IF('Run CRS'!BI92&lt;&gt;"",'Run CRS'!BI92,"")</f>
        <v/>
      </c>
      <c r="L92" s="105" t="str">
        <f>IF('Run CRS'!BJ92&lt;&gt;"",'Run CRS'!BJ92,"")</f>
        <v/>
      </c>
      <c r="M92" s="105" t="str">
        <f>IF('Run CRS'!BK92&lt;&gt;"",'Run CRS'!BK92,"")</f>
        <v/>
      </c>
      <c r="N92" s="105" t="str">
        <f>IF('Run CRS'!BL92&lt;&gt;"",'Run CRS'!BL92,"")</f>
        <v/>
      </c>
      <c r="O92" s="105" t="str">
        <f>IF('Run CRS'!BM92&lt;&gt;"",'Run CRS'!BM92,"")</f>
        <v/>
      </c>
      <c r="P92" s="106" t="str">
        <f>IF('Run CRS'!BN92&lt;&gt;"",'Run CRS'!BN92,"")</f>
        <v/>
      </c>
      <c r="Q92" s="106" t="str">
        <f>IF('Run CRS'!BO92&lt;&gt;"",'Run CRS'!BO92,"")</f>
        <v/>
      </c>
      <c r="R92" s="106" t="str">
        <f>IF('Run CRS'!BP92&lt;&gt;"",'Run CRS'!BP92,"")</f>
        <v/>
      </c>
      <c r="S92" s="106" t="str">
        <f>IF('Run CRS'!BQ92&lt;&gt;"",'Run CRS'!BQ92,"")</f>
        <v/>
      </c>
      <c r="T92" s="106" t="str">
        <f>IF('Run CRS'!BR92&lt;&gt;"",'Run CRS'!BR92,"")</f>
        <v/>
      </c>
      <c r="U92" s="105" t="str">
        <f>IF('Run CRS'!BS92&lt;&gt;"",'Run CRS'!BS92,"")</f>
        <v/>
      </c>
      <c r="V92" s="105" t="str">
        <f>IF('Run CRS'!BT92&lt;&gt;"",'Run CRS'!BT92,"")</f>
        <v/>
      </c>
      <c r="W92" s="105" t="str">
        <f>IF('Run CRS'!BU92&lt;&gt;"",'Run CRS'!BU92,"")</f>
        <v/>
      </c>
      <c r="X92" s="107" t="str">
        <f>IF('Run CRS'!BV92&lt;&gt;"",'Run CRS'!BV92,"")</f>
        <v/>
      </c>
      <c r="Y92" s="114" t="str">
        <f>IF('Data input'!C92&lt;&gt;"",O92/'Data input'!C92*100%,"")</f>
        <v/>
      </c>
      <c r="Z92" s="114" t="str">
        <f>IF('Data input'!D92&lt;&gt;"",P92/'Data input'!D92*100%,"")</f>
        <v/>
      </c>
      <c r="AA92" s="114" t="str">
        <f>IF('Data input'!E92&lt;&gt;"",Q92/'Data input'!E92*100%,"")</f>
        <v/>
      </c>
      <c r="AB92" s="114" t="str">
        <f>IF('Data input'!F92&lt;&gt;"",R92/'Data input'!F92*100%,"")</f>
        <v/>
      </c>
      <c r="AC92" s="114" t="str">
        <f>IF('Data input'!G92&lt;&gt;"",S92/'Data input'!G92*100%,"")</f>
        <v/>
      </c>
      <c r="AD92" s="114" t="str">
        <f>IF('Data input'!H92&lt;&gt;"",T92/'Data input'!H92*100%,"")</f>
        <v/>
      </c>
      <c r="AE92" s="114" t="str">
        <f>IF('Data input'!I92&lt;&gt;"",U92/'Data input'!I92*100%,"")</f>
        <v/>
      </c>
      <c r="AF92" s="114" t="str">
        <f>IF('Data input'!J92&lt;&gt;"",V92/'Data input'!J92*100%,"")</f>
        <v/>
      </c>
      <c r="AG92" s="114" t="str">
        <f>IF('Data input'!K92&lt;&gt;"",W92/'Data input'!K92*100%,"")</f>
        <v/>
      </c>
      <c r="AH92" s="115" t="str">
        <f>IF('Data input'!L92&lt;&gt;"",X92/'Data input'!L92*100%,"")</f>
        <v/>
      </c>
      <c r="AI92" s="114" t="str">
        <f>IF('Data input'!C92&lt;&gt;"",'Run CRS'!AH92/'Run CRS'!C92,"")</f>
        <v/>
      </c>
      <c r="AJ92" s="114" t="str">
        <f>IF('Data input'!D92&lt;&gt;"",'Run CRS'!AI92/'Run CRS'!D92,"")</f>
        <v/>
      </c>
      <c r="AK92" s="114" t="str">
        <f>IF('Data input'!E92&lt;&gt;"",'Run CRS'!AJ92/'Run CRS'!E92,"")</f>
        <v/>
      </c>
      <c r="AL92" s="114" t="str">
        <f>IF('Data input'!F92&lt;&gt;"",'Run CRS'!AK92/'Run CRS'!F92,"")</f>
        <v/>
      </c>
      <c r="AM92" s="114" t="str">
        <f>IF('Data input'!G92&lt;&gt;"",'Run CRS'!AL92/'Run CRS'!G92,"")</f>
        <v/>
      </c>
      <c r="AN92" s="114" t="str">
        <f>IF('Data input'!H92&lt;&gt;"",'Run CRS'!AM92/'Run CRS'!H92,"")</f>
        <v/>
      </c>
      <c r="AO92" s="114" t="str">
        <f>IF('Data input'!I92&lt;&gt;"",'Run CRS'!AN92/'Run CRS'!I92,"")</f>
        <v/>
      </c>
      <c r="AP92" s="114" t="str">
        <f>IF('Data input'!J92&lt;&gt;"",'Run CRS'!AO92/'Run CRS'!J92,"")</f>
        <v/>
      </c>
      <c r="AQ92" s="114" t="str">
        <f>IF('Data input'!K92&lt;&gt;"",'Run CRS'!AP92/'Run CRS'!K92,"")</f>
        <v/>
      </c>
      <c r="AR92" s="115" t="str">
        <f>IF('Data input'!L92&lt;&gt;"",'Run CRS'!AQ92/'Run CRS'!L92,"")</f>
        <v/>
      </c>
    </row>
    <row r="93" spans="1:44" x14ac:dyDescent="0.35">
      <c r="A93" s="102" t="str">
        <f>IF('Run CRS'!AF93&lt;&gt;"",'Run CRS'!AF93,"")</f>
        <v/>
      </c>
      <c r="B93" s="103" t="str">
        <f>IF('Run CRS'!AG93&lt;&gt;"",'Run CRS'!AG93,"")</f>
        <v/>
      </c>
      <c r="C93" s="104" t="str">
        <f>IF('Run CRS'!AR93&lt;&gt;"",'Run CRS'!AR93,"")</f>
        <v/>
      </c>
      <c r="D93" s="104" t="e">
        <f>IF(ROUND(C93,3)=100%,"Optimal frontier",'Run CRS'!BW93)</f>
        <v>#VALUE!</v>
      </c>
      <c r="E93" s="105" t="str">
        <f>IF('Run CRS'!BC93&lt;&gt;"",'Run CRS'!BC93,"")</f>
        <v/>
      </c>
      <c r="F93" s="106" t="str">
        <f>IF('Run CRS'!BD93&lt;&gt;"",'Run CRS'!BD93,"")</f>
        <v/>
      </c>
      <c r="G93" s="106" t="str">
        <f>IF('Run CRS'!BE93&lt;&gt;"",'Run CRS'!BE93,"")</f>
        <v/>
      </c>
      <c r="H93" s="106" t="str">
        <f>IF('Run CRS'!BF93&lt;&gt;"",'Run CRS'!BF93,"")</f>
        <v/>
      </c>
      <c r="I93" s="106" t="str">
        <f>IF('Run CRS'!BG93&lt;&gt;"",'Run CRS'!BG93,"")</f>
        <v/>
      </c>
      <c r="J93" s="106" t="str">
        <f>IF('Run CRS'!BH93&lt;&gt;"",'Run CRS'!BH93,"")</f>
        <v/>
      </c>
      <c r="K93" s="105" t="str">
        <f>IF('Run CRS'!BI93&lt;&gt;"",'Run CRS'!BI93,"")</f>
        <v/>
      </c>
      <c r="L93" s="105" t="str">
        <f>IF('Run CRS'!BJ93&lt;&gt;"",'Run CRS'!BJ93,"")</f>
        <v/>
      </c>
      <c r="M93" s="105" t="str">
        <f>IF('Run CRS'!BK93&lt;&gt;"",'Run CRS'!BK93,"")</f>
        <v/>
      </c>
      <c r="N93" s="105" t="str">
        <f>IF('Run CRS'!BL93&lt;&gt;"",'Run CRS'!BL93,"")</f>
        <v/>
      </c>
      <c r="O93" s="105" t="str">
        <f>IF('Run CRS'!BM93&lt;&gt;"",'Run CRS'!BM93,"")</f>
        <v/>
      </c>
      <c r="P93" s="106" t="str">
        <f>IF('Run CRS'!BN93&lt;&gt;"",'Run CRS'!BN93,"")</f>
        <v/>
      </c>
      <c r="Q93" s="106" t="str">
        <f>IF('Run CRS'!BO93&lt;&gt;"",'Run CRS'!BO93,"")</f>
        <v/>
      </c>
      <c r="R93" s="106" t="str">
        <f>IF('Run CRS'!BP93&lt;&gt;"",'Run CRS'!BP93,"")</f>
        <v/>
      </c>
      <c r="S93" s="106" t="str">
        <f>IF('Run CRS'!BQ93&lt;&gt;"",'Run CRS'!BQ93,"")</f>
        <v/>
      </c>
      <c r="T93" s="106" t="str">
        <f>IF('Run CRS'!BR93&lt;&gt;"",'Run CRS'!BR93,"")</f>
        <v/>
      </c>
      <c r="U93" s="105" t="str">
        <f>IF('Run CRS'!BS93&lt;&gt;"",'Run CRS'!BS93,"")</f>
        <v/>
      </c>
      <c r="V93" s="105" t="str">
        <f>IF('Run CRS'!BT93&lt;&gt;"",'Run CRS'!BT93,"")</f>
        <v/>
      </c>
      <c r="W93" s="105" t="str">
        <f>IF('Run CRS'!BU93&lt;&gt;"",'Run CRS'!BU93,"")</f>
        <v/>
      </c>
      <c r="X93" s="107" t="str">
        <f>IF('Run CRS'!BV93&lt;&gt;"",'Run CRS'!BV93,"")</f>
        <v/>
      </c>
      <c r="Y93" s="114" t="str">
        <f>IF('Data input'!C93&lt;&gt;"",O93/'Data input'!C93*100%,"")</f>
        <v/>
      </c>
      <c r="Z93" s="114" t="str">
        <f>IF('Data input'!D93&lt;&gt;"",P93/'Data input'!D93*100%,"")</f>
        <v/>
      </c>
      <c r="AA93" s="114" t="str">
        <f>IF('Data input'!E93&lt;&gt;"",Q93/'Data input'!E93*100%,"")</f>
        <v/>
      </c>
      <c r="AB93" s="114" t="str">
        <f>IF('Data input'!F93&lt;&gt;"",R93/'Data input'!F93*100%,"")</f>
        <v/>
      </c>
      <c r="AC93" s="114" t="str">
        <f>IF('Data input'!G93&lt;&gt;"",S93/'Data input'!G93*100%,"")</f>
        <v/>
      </c>
      <c r="AD93" s="114" t="str">
        <f>IF('Data input'!H93&lt;&gt;"",T93/'Data input'!H93*100%,"")</f>
        <v/>
      </c>
      <c r="AE93" s="114" t="str">
        <f>IF('Data input'!I93&lt;&gt;"",U93/'Data input'!I93*100%,"")</f>
        <v/>
      </c>
      <c r="AF93" s="114" t="str">
        <f>IF('Data input'!J93&lt;&gt;"",V93/'Data input'!J93*100%,"")</f>
        <v/>
      </c>
      <c r="AG93" s="114" t="str">
        <f>IF('Data input'!K93&lt;&gt;"",W93/'Data input'!K93*100%,"")</f>
        <v/>
      </c>
      <c r="AH93" s="115" t="str">
        <f>IF('Data input'!L93&lt;&gt;"",X93/'Data input'!L93*100%,"")</f>
        <v/>
      </c>
      <c r="AI93" s="114" t="str">
        <f>IF('Data input'!C93&lt;&gt;"",'Run CRS'!AH93/'Run CRS'!C93,"")</f>
        <v/>
      </c>
      <c r="AJ93" s="114" t="str">
        <f>IF('Data input'!D93&lt;&gt;"",'Run CRS'!AI93/'Run CRS'!D93,"")</f>
        <v/>
      </c>
      <c r="AK93" s="114" t="str">
        <f>IF('Data input'!E93&lt;&gt;"",'Run CRS'!AJ93/'Run CRS'!E93,"")</f>
        <v/>
      </c>
      <c r="AL93" s="114" t="str">
        <f>IF('Data input'!F93&lt;&gt;"",'Run CRS'!AK93/'Run CRS'!F93,"")</f>
        <v/>
      </c>
      <c r="AM93" s="114" t="str">
        <f>IF('Data input'!G93&lt;&gt;"",'Run CRS'!AL93/'Run CRS'!G93,"")</f>
        <v/>
      </c>
      <c r="AN93" s="114" t="str">
        <f>IF('Data input'!H93&lt;&gt;"",'Run CRS'!AM93/'Run CRS'!H93,"")</f>
        <v/>
      </c>
      <c r="AO93" s="114" t="str">
        <f>IF('Data input'!I93&lt;&gt;"",'Run CRS'!AN93/'Run CRS'!I93,"")</f>
        <v/>
      </c>
      <c r="AP93" s="114" t="str">
        <f>IF('Data input'!J93&lt;&gt;"",'Run CRS'!AO93/'Run CRS'!J93,"")</f>
        <v/>
      </c>
      <c r="AQ93" s="114" t="str">
        <f>IF('Data input'!K93&lt;&gt;"",'Run CRS'!AP93/'Run CRS'!K93,"")</f>
        <v/>
      </c>
      <c r="AR93" s="115" t="str">
        <f>IF('Data input'!L93&lt;&gt;"",'Run CRS'!AQ93/'Run CRS'!L93,"")</f>
        <v/>
      </c>
    </row>
    <row r="94" spans="1:44" x14ac:dyDescent="0.35">
      <c r="A94" s="102" t="str">
        <f>IF('Run CRS'!AF94&lt;&gt;"",'Run CRS'!AF94,"")</f>
        <v/>
      </c>
      <c r="B94" s="103" t="str">
        <f>IF('Run CRS'!AG94&lt;&gt;"",'Run CRS'!AG94,"")</f>
        <v/>
      </c>
      <c r="C94" s="104" t="str">
        <f>IF('Run CRS'!AR94&lt;&gt;"",'Run CRS'!AR94,"")</f>
        <v/>
      </c>
      <c r="D94" s="104" t="e">
        <f>IF(ROUND(C94,3)=100%,"Optimal frontier",'Run CRS'!BW94)</f>
        <v>#VALUE!</v>
      </c>
      <c r="E94" s="105" t="str">
        <f>IF('Run CRS'!BC94&lt;&gt;"",'Run CRS'!BC94,"")</f>
        <v/>
      </c>
      <c r="F94" s="106" t="str">
        <f>IF('Run CRS'!BD94&lt;&gt;"",'Run CRS'!BD94,"")</f>
        <v/>
      </c>
      <c r="G94" s="106" t="str">
        <f>IF('Run CRS'!BE94&lt;&gt;"",'Run CRS'!BE94,"")</f>
        <v/>
      </c>
      <c r="H94" s="106" t="str">
        <f>IF('Run CRS'!BF94&lt;&gt;"",'Run CRS'!BF94,"")</f>
        <v/>
      </c>
      <c r="I94" s="106" t="str">
        <f>IF('Run CRS'!BG94&lt;&gt;"",'Run CRS'!BG94,"")</f>
        <v/>
      </c>
      <c r="J94" s="106" t="str">
        <f>IF('Run CRS'!BH94&lt;&gt;"",'Run CRS'!BH94,"")</f>
        <v/>
      </c>
      <c r="K94" s="105" t="str">
        <f>IF('Run CRS'!BI94&lt;&gt;"",'Run CRS'!BI94,"")</f>
        <v/>
      </c>
      <c r="L94" s="105" t="str">
        <f>IF('Run CRS'!BJ94&lt;&gt;"",'Run CRS'!BJ94,"")</f>
        <v/>
      </c>
      <c r="M94" s="105" t="str">
        <f>IF('Run CRS'!BK94&lt;&gt;"",'Run CRS'!BK94,"")</f>
        <v/>
      </c>
      <c r="N94" s="105" t="str">
        <f>IF('Run CRS'!BL94&lt;&gt;"",'Run CRS'!BL94,"")</f>
        <v/>
      </c>
      <c r="O94" s="105" t="str">
        <f>IF('Run CRS'!BM94&lt;&gt;"",'Run CRS'!BM94,"")</f>
        <v/>
      </c>
      <c r="P94" s="106" t="str">
        <f>IF('Run CRS'!BN94&lt;&gt;"",'Run CRS'!BN94,"")</f>
        <v/>
      </c>
      <c r="Q94" s="106" t="str">
        <f>IF('Run CRS'!BO94&lt;&gt;"",'Run CRS'!BO94,"")</f>
        <v/>
      </c>
      <c r="R94" s="106" t="str">
        <f>IF('Run CRS'!BP94&lt;&gt;"",'Run CRS'!BP94,"")</f>
        <v/>
      </c>
      <c r="S94" s="106" t="str">
        <f>IF('Run CRS'!BQ94&lt;&gt;"",'Run CRS'!BQ94,"")</f>
        <v/>
      </c>
      <c r="T94" s="106" t="str">
        <f>IF('Run CRS'!BR94&lt;&gt;"",'Run CRS'!BR94,"")</f>
        <v/>
      </c>
      <c r="U94" s="105" t="str">
        <f>IF('Run CRS'!BS94&lt;&gt;"",'Run CRS'!BS94,"")</f>
        <v/>
      </c>
      <c r="V94" s="105" t="str">
        <f>IF('Run CRS'!BT94&lt;&gt;"",'Run CRS'!BT94,"")</f>
        <v/>
      </c>
      <c r="W94" s="105" t="str">
        <f>IF('Run CRS'!BU94&lt;&gt;"",'Run CRS'!BU94,"")</f>
        <v/>
      </c>
      <c r="X94" s="107" t="str">
        <f>IF('Run CRS'!BV94&lt;&gt;"",'Run CRS'!BV94,"")</f>
        <v/>
      </c>
      <c r="Y94" s="114" t="str">
        <f>IF('Data input'!C94&lt;&gt;"",O94/'Data input'!C94*100%,"")</f>
        <v/>
      </c>
      <c r="Z94" s="114" t="str">
        <f>IF('Data input'!D94&lt;&gt;"",P94/'Data input'!D94*100%,"")</f>
        <v/>
      </c>
      <c r="AA94" s="114" t="str">
        <f>IF('Data input'!E94&lt;&gt;"",Q94/'Data input'!E94*100%,"")</f>
        <v/>
      </c>
      <c r="AB94" s="114" t="str">
        <f>IF('Data input'!F94&lt;&gt;"",R94/'Data input'!F94*100%,"")</f>
        <v/>
      </c>
      <c r="AC94" s="114" t="str">
        <f>IF('Data input'!G94&lt;&gt;"",S94/'Data input'!G94*100%,"")</f>
        <v/>
      </c>
      <c r="AD94" s="114" t="str">
        <f>IF('Data input'!H94&lt;&gt;"",T94/'Data input'!H94*100%,"")</f>
        <v/>
      </c>
      <c r="AE94" s="114" t="str">
        <f>IF('Data input'!I94&lt;&gt;"",U94/'Data input'!I94*100%,"")</f>
        <v/>
      </c>
      <c r="AF94" s="114" t="str">
        <f>IF('Data input'!J94&lt;&gt;"",V94/'Data input'!J94*100%,"")</f>
        <v/>
      </c>
      <c r="AG94" s="114" t="str">
        <f>IF('Data input'!K94&lt;&gt;"",W94/'Data input'!K94*100%,"")</f>
        <v/>
      </c>
      <c r="AH94" s="115" t="str">
        <f>IF('Data input'!L94&lt;&gt;"",X94/'Data input'!L94*100%,"")</f>
        <v/>
      </c>
      <c r="AI94" s="114" t="str">
        <f>IF('Data input'!C94&lt;&gt;"",'Run CRS'!AH94/'Run CRS'!C94,"")</f>
        <v/>
      </c>
      <c r="AJ94" s="114" t="str">
        <f>IF('Data input'!D94&lt;&gt;"",'Run CRS'!AI94/'Run CRS'!D94,"")</f>
        <v/>
      </c>
      <c r="AK94" s="114" t="str">
        <f>IF('Data input'!E94&lt;&gt;"",'Run CRS'!AJ94/'Run CRS'!E94,"")</f>
        <v/>
      </c>
      <c r="AL94" s="114" t="str">
        <f>IF('Data input'!F94&lt;&gt;"",'Run CRS'!AK94/'Run CRS'!F94,"")</f>
        <v/>
      </c>
      <c r="AM94" s="114" t="str">
        <f>IF('Data input'!G94&lt;&gt;"",'Run CRS'!AL94/'Run CRS'!G94,"")</f>
        <v/>
      </c>
      <c r="AN94" s="114" t="str">
        <f>IF('Data input'!H94&lt;&gt;"",'Run CRS'!AM94/'Run CRS'!H94,"")</f>
        <v/>
      </c>
      <c r="AO94" s="114" t="str">
        <f>IF('Data input'!I94&lt;&gt;"",'Run CRS'!AN94/'Run CRS'!I94,"")</f>
        <v/>
      </c>
      <c r="AP94" s="114" t="str">
        <f>IF('Data input'!J94&lt;&gt;"",'Run CRS'!AO94/'Run CRS'!J94,"")</f>
        <v/>
      </c>
      <c r="AQ94" s="114" t="str">
        <f>IF('Data input'!K94&lt;&gt;"",'Run CRS'!AP94/'Run CRS'!K94,"")</f>
        <v/>
      </c>
      <c r="AR94" s="115" t="str">
        <f>IF('Data input'!L94&lt;&gt;"",'Run CRS'!AQ94/'Run CRS'!L94,"")</f>
        <v/>
      </c>
    </row>
    <row r="95" spans="1:44" x14ac:dyDescent="0.35">
      <c r="A95" s="102" t="str">
        <f>IF('Run CRS'!AF95&lt;&gt;"",'Run CRS'!AF95,"")</f>
        <v/>
      </c>
      <c r="B95" s="103" t="str">
        <f>IF('Run CRS'!AG95&lt;&gt;"",'Run CRS'!AG95,"")</f>
        <v/>
      </c>
      <c r="C95" s="104" t="str">
        <f>IF('Run CRS'!AR95&lt;&gt;"",'Run CRS'!AR95,"")</f>
        <v/>
      </c>
      <c r="D95" s="104" t="e">
        <f>IF(ROUND(C95,3)=100%,"Optimal frontier",'Run CRS'!BW95)</f>
        <v>#VALUE!</v>
      </c>
      <c r="E95" s="105" t="str">
        <f>IF('Run CRS'!BC95&lt;&gt;"",'Run CRS'!BC95,"")</f>
        <v/>
      </c>
      <c r="F95" s="106" t="str">
        <f>IF('Run CRS'!BD95&lt;&gt;"",'Run CRS'!BD95,"")</f>
        <v/>
      </c>
      <c r="G95" s="106" t="str">
        <f>IF('Run CRS'!BE95&lt;&gt;"",'Run CRS'!BE95,"")</f>
        <v/>
      </c>
      <c r="H95" s="106" t="str">
        <f>IF('Run CRS'!BF95&lt;&gt;"",'Run CRS'!BF95,"")</f>
        <v/>
      </c>
      <c r="I95" s="106" t="str">
        <f>IF('Run CRS'!BG95&lt;&gt;"",'Run CRS'!BG95,"")</f>
        <v/>
      </c>
      <c r="J95" s="106" t="str">
        <f>IF('Run CRS'!BH95&lt;&gt;"",'Run CRS'!BH95,"")</f>
        <v/>
      </c>
      <c r="K95" s="105" t="str">
        <f>IF('Run CRS'!BI95&lt;&gt;"",'Run CRS'!BI95,"")</f>
        <v/>
      </c>
      <c r="L95" s="105" t="str">
        <f>IF('Run CRS'!BJ95&lt;&gt;"",'Run CRS'!BJ95,"")</f>
        <v/>
      </c>
      <c r="M95" s="105" t="str">
        <f>IF('Run CRS'!BK95&lt;&gt;"",'Run CRS'!BK95,"")</f>
        <v/>
      </c>
      <c r="N95" s="105" t="str">
        <f>IF('Run CRS'!BL95&lt;&gt;"",'Run CRS'!BL95,"")</f>
        <v/>
      </c>
      <c r="O95" s="105" t="str">
        <f>IF('Run CRS'!BM95&lt;&gt;"",'Run CRS'!BM95,"")</f>
        <v/>
      </c>
      <c r="P95" s="106" t="str">
        <f>IF('Run CRS'!BN95&lt;&gt;"",'Run CRS'!BN95,"")</f>
        <v/>
      </c>
      <c r="Q95" s="106" t="str">
        <f>IF('Run CRS'!BO95&lt;&gt;"",'Run CRS'!BO95,"")</f>
        <v/>
      </c>
      <c r="R95" s="106" t="str">
        <f>IF('Run CRS'!BP95&lt;&gt;"",'Run CRS'!BP95,"")</f>
        <v/>
      </c>
      <c r="S95" s="106" t="str">
        <f>IF('Run CRS'!BQ95&lt;&gt;"",'Run CRS'!BQ95,"")</f>
        <v/>
      </c>
      <c r="T95" s="106" t="str">
        <f>IF('Run CRS'!BR95&lt;&gt;"",'Run CRS'!BR95,"")</f>
        <v/>
      </c>
      <c r="U95" s="105" t="str">
        <f>IF('Run CRS'!BS95&lt;&gt;"",'Run CRS'!BS95,"")</f>
        <v/>
      </c>
      <c r="V95" s="105" t="str">
        <f>IF('Run CRS'!BT95&lt;&gt;"",'Run CRS'!BT95,"")</f>
        <v/>
      </c>
      <c r="W95" s="105" t="str">
        <f>IF('Run CRS'!BU95&lt;&gt;"",'Run CRS'!BU95,"")</f>
        <v/>
      </c>
      <c r="X95" s="107" t="str">
        <f>IF('Run CRS'!BV95&lt;&gt;"",'Run CRS'!BV95,"")</f>
        <v/>
      </c>
      <c r="Y95" s="114" t="str">
        <f>IF('Data input'!C95&lt;&gt;"",O95/'Data input'!C95*100%,"")</f>
        <v/>
      </c>
      <c r="Z95" s="114" t="str">
        <f>IF('Data input'!D95&lt;&gt;"",P95/'Data input'!D95*100%,"")</f>
        <v/>
      </c>
      <c r="AA95" s="114" t="str">
        <f>IF('Data input'!E95&lt;&gt;"",Q95/'Data input'!E95*100%,"")</f>
        <v/>
      </c>
      <c r="AB95" s="114" t="str">
        <f>IF('Data input'!F95&lt;&gt;"",R95/'Data input'!F95*100%,"")</f>
        <v/>
      </c>
      <c r="AC95" s="114" t="str">
        <f>IF('Data input'!G95&lt;&gt;"",S95/'Data input'!G95*100%,"")</f>
        <v/>
      </c>
      <c r="AD95" s="114" t="str">
        <f>IF('Data input'!H95&lt;&gt;"",T95/'Data input'!H95*100%,"")</f>
        <v/>
      </c>
      <c r="AE95" s="114" t="str">
        <f>IF('Data input'!I95&lt;&gt;"",U95/'Data input'!I95*100%,"")</f>
        <v/>
      </c>
      <c r="AF95" s="114" t="str">
        <f>IF('Data input'!J95&lt;&gt;"",V95/'Data input'!J95*100%,"")</f>
        <v/>
      </c>
      <c r="AG95" s="114" t="str">
        <f>IF('Data input'!K95&lt;&gt;"",W95/'Data input'!K95*100%,"")</f>
        <v/>
      </c>
      <c r="AH95" s="115" t="str">
        <f>IF('Data input'!L95&lt;&gt;"",X95/'Data input'!L95*100%,"")</f>
        <v/>
      </c>
      <c r="AI95" s="114" t="str">
        <f>IF('Data input'!C95&lt;&gt;"",'Run CRS'!AH95/'Run CRS'!C95,"")</f>
        <v/>
      </c>
      <c r="AJ95" s="114" t="str">
        <f>IF('Data input'!D95&lt;&gt;"",'Run CRS'!AI95/'Run CRS'!D95,"")</f>
        <v/>
      </c>
      <c r="AK95" s="114" t="str">
        <f>IF('Data input'!E95&lt;&gt;"",'Run CRS'!AJ95/'Run CRS'!E95,"")</f>
        <v/>
      </c>
      <c r="AL95" s="114" t="str">
        <f>IF('Data input'!F95&lt;&gt;"",'Run CRS'!AK95/'Run CRS'!F95,"")</f>
        <v/>
      </c>
      <c r="AM95" s="114" t="str">
        <f>IF('Data input'!G95&lt;&gt;"",'Run CRS'!AL95/'Run CRS'!G95,"")</f>
        <v/>
      </c>
      <c r="AN95" s="114" t="str">
        <f>IF('Data input'!H95&lt;&gt;"",'Run CRS'!AM95/'Run CRS'!H95,"")</f>
        <v/>
      </c>
      <c r="AO95" s="114" t="str">
        <f>IF('Data input'!I95&lt;&gt;"",'Run CRS'!AN95/'Run CRS'!I95,"")</f>
        <v/>
      </c>
      <c r="AP95" s="114" t="str">
        <f>IF('Data input'!J95&lt;&gt;"",'Run CRS'!AO95/'Run CRS'!J95,"")</f>
        <v/>
      </c>
      <c r="AQ95" s="114" t="str">
        <f>IF('Data input'!K95&lt;&gt;"",'Run CRS'!AP95/'Run CRS'!K95,"")</f>
        <v/>
      </c>
      <c r="AR95" s="115" t="str">
        <f>IF('Data input'!L95&lt;&gt;"",'Run CRS'!AQ95/'Run CRS'!L95,"")</f>
        <v/>
      </c>
    </row>
    <row r="96" spans="1:44" x14ac:dyDescent="0.35">
      <c r="A96" s="102" t="str">
        <f>IF('Run CRS'!AF96&lt;&gt;"",'Run CRS'!AF96,"")</f>
        <v/>
      </c>
      <c r="B96" s="103" t="str">
        <f>IF('Run CRS'!AG96&lt;&gt;"",'Run CRS'!AG96,"")</f>
        <v/>
      </c>
      <c r="C96" s="104" t="str">
        <f>IF('Run CRS'!AR96&lt;&gt;"",'Run CRS'!AR96,"")</f>
        <v/>
      </c>
      <c r="D96" s="104" t="e">
        <f>IF(ROUND(C96,3)=100%,"Optimal frontier",'Run CRS'!BW96)</f>
        <v>#VALUE!</v>
      </c>
      <c r="E96" s="105" t="str">
        <f>IF('Run CRS'!BC96&lt;&gt;"",'Run CRS'!BC96,"")</f>
        <v/>
      </c>
      <c r="F96" s="106" t="str">
        <f>IF('Run CRS'!BD96&lt;&gt;"",'Run CRS'!BD96,"")</f>
        <v/>
      </c>
      <c r="G96" s="106" t="str">
        <f>IF('Run CRS'!BE96&lt;&gt;"",'Run CRS'!BE96,"")</f>
        <v/>
      </c>
      <c r="H96" s="106" t="str">
        <f>IF('Run CRS'!BF96&lt;&gt;"",'Run CRS'!BF96,"")</f>
        <v/>
      </c>
      <c r="I96" s="106" t="str">
        <f>IF('Run CRS'!BG96&lt;&gt;"",'Run CRS'!BG96,"")</f>
        <v/>
      </c>
      <c r="J96" s="106" t="str">
        <f>IF('Run CRS'!BH96&lt;&gt;"",'Run CRS'!BH96,"")</f>
        <v/>
      </c>
      <c r="K96" s="105" t="str">
        <f>IF('Run CRS'!BI96&lt;&gt;"",'Run CRS'!BI96,"")</f>
        <v/>
      </c>
      <c r="L96" s="105" t="str">
        <f>IF('Run CRS'!BJ96&lt;&gt;"",'Run CRS'!BJ96,"")</f>
        <v/>
      </c>
      <c r="M96" s="105" t="str">
        <f>IF('Run CRS'!BK96&lt;&gt;"",'Run CRS'!BK96,"")</f>
        <v/>
      </c>
      <c r="N96" s="105" t="str">
        <f>IF('Run CRS'!BL96&lt;&gt;"",'Run CRS'!BL96,"")</f>
        <v/>
      </c>
      <c r="O96" s="105" t="str">
        <f>IF('Run CRS'!BM96&lt;&gt;"",'Run CRS'!BM96,"")</f>
        <v/>
      </c>
      <c r="P96" s="106" t="str">
        <f>IF('Run CRS'!BN96&lt;&gt;"",'Run CRS'!BN96,"")</f>
        <v/>
      </c>
      <c r="Q96" s="106" t="str">
        <f>IF('Run CRS'!BO96&lt;&gt;"",'Run CRS'!BO96,"")</f>
        <v/>
      </c>
      <c r="R96" s="106" t="str">
        <f>IF('Run CRS'!BP96&lt;&gt;"",'Run CRS'!BP96,"")</f>
        <v/>
      </c>
      <c r="S96" s="106" t="str">
        <f>IF('Run CRS'!BQ96&lt;&gt;"",'Run CRS'!BQ96,"")</f>
        <v/>
      </c>
      <c r="T96" s="106" t="str">
        <f>IF('Run CRS'!BR96&lt;&gt;"",'Run CRS'!BR96,"")</f>
        <v/>
      </c>
      <c r="U96" s="105" t="str">
        <f>IF('Run CRS'!BS96&lt;&gt;"",'Run CRS'!BS96,"")</f>
        <v/>
      </c>
      <c r="V96" s="105" t="str">
        <f>IF('Run CRS'!BT96&lt;&gt;"",'Run CRS'!BT96,"")</f>
        <v/>
      </c>
      <c r="W96" s="105" t="str">
        <f>IF('Run CRS'!BU96&lt;&gt;"",'Run CRS'!BU96,"")</f>
        <v/>
      </c>
      <c r="X96" s="107" t="str">
        <f>IF('Run CRS'!BV96&lt;&gt;"",'Run CRS'!BV96,"")</f>
        <v/>
      </c>
      <c r="Y96" s="114" t="str">
        <f>IF('Data input'!C96&lt;&gt;"",O96/'Data input'!C96*100%,"")</f>
        <v/>
      </c>
      <c r="Z96" s="114" t="str">
        <f>IF('Data input'!D96&lt;&gt;"",P96/'Data input'!D96*100%,"")</f>
        <v/>
      </c>
      <c r="AA96" s="114" t="str">
        <f>IF('Data input'!E96&lt;&gt;"",Q96/'Data input'!E96*100%,"")</f>
        <v/>
      </c>
      <c r="AB96" s="114" t="str">
        <f>IF('Data input'!F96&lt;&gt;"",R96/'Data input'!F96*100%,"")</f>
        <v/>
      </c>
      <c r="AC96" s="114" t="str">
        <f>IF('Data input'!G96&lt;&gt;"",S96/'Data input'!G96*100%,"")</f>
        <v/>
      </c>
      <c r="AD96" s="114" t="str">
        <f>IF('Data input'!H96&lt;&gt;"",T96/'Data input'!H96*100%,"")</f>
        <v/>
      </c>
      <c r="AE96" s="114" t="str">
        <f>IF('Data input'!I96&lt;&gt;"",U96/'Data input'!I96*100%,"")</f>
        <v/>
      </c>
      <c r="AF96" s="114" t="str">
        <f>IF('Data input'!J96&lt;&gt;"",V96/'Data input'!J96*100%,"")</f>
        <v/>
      </c>
      <c r="AG96" s="114" t="str">
        <f>IF('Data input'!K96&lt;&gt;"",W96/'Data input'!K96*100%,"")</f>
        <v/>
      </c>
      <c r="AH96" s="115" t="str">
        <f>IF('Data input'!L96&lt;&gt;"",X96/'Data input'!L96*100%,"")</f>
        <v/>
      </c>
      <c r="AI96" s="114" t="str">
        <f>IF('Data input'!C96&lt;&gt;"",'Run CRS'!AH96/'Run CRS'!C96,"")</f>
        <v/>
      </c>
      <c r="AJ96" s="114" t="str">
        <f>IF('Data input'!D96&lt;&gt;"",'Run CRS'!AI96/'Run CRS'!D96,"")</f>
        <v/>
      </c>
      <c r="AK96" s="114" t="str">
        <f>IF('Data input'!E96&lt;&gt;"",'Run CRS'!AJ96/'Run CRS'!E96,"")</f>
        <v/>
      </c>
      <c r="AL96" s="114" t="str">
        <f>IF('Data input'!F96&lt;&gt;"",'Run CRS'!AK96/'Run CRS'!F96,"")</f>
        <v/>
      </c>
      <c r="AM96" s="114" t="str">
        <f>IF('Data input'!G96&lt;&gt;"",'Run CRS'!AL96/'Run CRS'!G96,"")</f>
        <v/>
      </c>
      <c r="AN96" s="114" t="str">
        <f>IF('Data input'!H96&lt;&gt;"",'Run CRS'!AM96/'Run CRS'!H96,"")</f>
        <v/>
      </c>
      <c r="AO96" s="114" t="str">
        <f>IF('Data input'!I96&lt;&gt;"",'Run CRS'!AN96/'Run CRS'!I96,"")</f>
        <v/>
      </c>
      <c r="AP96" s="114" t="str">
        <f>IF('Data input'!J96&lt;&gt;"",'Run CRS'!AO96/'Run CRS'!J96,"")</f>
        <v/>
      </c>
      <c r="AQ96" s="114" t="str">
        <f>IF('Data input'!K96&lt;&gt;"",'Run CRS'!AP96/'Run CRS'!K96,"")</f>
        <v/>
      </c>
      <c r="AR96" s="115" t="str">
        <f>IF('Data input'!L96&lt;&gt;"",'Run CRS'!AQ96/'Run CRS'!L96,"")</f>
        <v/>
      </c>
    </row>
    <row r="97" spans="1:44" x14ac:dyDescent="0.35">
      <c r="A97" s="102" t="str">
        <f>IF('Run CRS'!AF97&lt;&gt;"",'Run CRS'!AF97,"")</f>
        <v/>
      </c>
      <c r="B97" s="103" t="str">
        <f>IF('Run CRS'!AG97&lt;&gt;"",'Run CRS'!AG97,"")</f>
        <v/>
      </c>
      <c r="C97" s="104" t="str">
        <f>IF('Run CRS'!AR97&lt;&gt;"",'Run CRS'!AR97,"")</f>
        <v/>
      </c>
      <c r="D97" s="104" t="e">
        <f>IF(ROUND(C97,3)=100%,"Optimal frontier",'Run CRS'!BW97)</f>
        <v>#VALUE!</v>
      </c>
      <c r="E97" s="105" t="str">
        <f>IF('Run CRS'!BC97&lt;&gt;"",'Run CRS'!BC97,"")</f>
        <v/>
      </c>
      <c r="F97" s="106" t="str">
        <f>IF('Run CRS'!BD97&lt;&gt;"",'Run CRS'!BD97,"")</f>
        <v/>
      </c>
      <c r="G97" s="106" t="str">
        <f>IF('Run CRS'!BE97&lt;&gt;"",'Run CRS'!BE97,"")</f>
        <v/>
      </c>
      <c r="H97" s="106" t="str">
        <f>IF('Run CRS'!BF97&lt;&gt;"",'Run CRS'!BF97,"")</f>
        <v/>
      </c>
      <c r="I97" s="106" t="str">
        <f>IF('Run CRS'!BG97&lt;&gt;"",'Run CRS'!BG97,"")</f>
        <v/>
      </c>
      <c r="J97" s="106" t="str">
        <f>IF('Run CRS'!BH97&lt;&gt;"",'Run CRS'!BH97,"")</f>
        <v/>
      </c>
      <c r="K97" s="105" t="str">
        <f>IF('Run CRS'!BI97&lt;&gt;"",'Run CRS'!BI97,"")</f>
        <v/>
      </c>
      <c r="L97" s="105" t="str">
        <f>IF('Run CRS'!BJ97&lt;&gt;"",'Run CRS'!BJ97,"")</f>
        <v/>
      </c>
      <c r="M97" s="105" t="str">
        <f>IF('Run CRS'!BK97&lt;&gt;"",'Run CRS'!BK97,"")</f>
        <v/>
      </c>
      <c r="N97" s="105" t="str">
        <f>IF('Run CRS'!BL97&lt;&gt;"",'Run CRS'!BL97,"")</f>
        <v/>
      </c>
      <c r="O97" s="105" t="str">
        <f>IF('Run CRS'!BM97&lt;&gt;"",'Run CRS'!BM97,"")</f>
        <v/>
      </c>
      <c r="P97" s="106" t="str">
        <f>IF('Run CRS'!BN97&lt;&gt;"",'Run CRS'!BN97,"")</f>
        <v/>
      </c>
      <c r="Q97" s="106" t="str">
        <f>IF('Run CRS'!BO97&lt;&gt;"",'Run CRS'!BO97,"")</f>
        <v/>
      </c>
      <c r="R97" s="106" t="str">
        <f>IF('Run CRS'!BP97&lt;&gt;"",'Run CRS'!BP97,"")</f>
        <v/>
      </c>
      <c r="S97" s="106" t="str">
        <f>IF('Run CRS'!BQ97&lt;&gt;"",'Run CRS'!BQ97,"")</f>
        <v/>
      </c>
      <c r="T97" s="106" t="str">
        <f>IF('Run CRS'!BR97&lt;&gt;"",'Run CRS'!BR97,"")</f>
        <v/>
      </c>
      <c r="U97" s="105" t="str">
        <f>IF('Run CRS'!BS97&lt;&gt;"",'Run CRS'!BS97,"")</f>
        <v/>
      </c>
      <c r="V97" s="105" t="str">
        <f>IF('Run CRS'!BT97&lt;&gt;"",'Run CRS'!BT97,"")</f>
        <v/>
      </c>
      <c r="W97" s="105" t="str">
        <f>IF('Run CRS'!BU97&lt;&gt;"",'Run CRS'!BU97,"")</f>
        <v/>
      </c>
      <c r="X97" s="107" t="str">
        <f>IF('Run CRS'!BV97&lt;&gt;"",'Run CRS'!BV97,"")</f>
        <v/>
      </c>
      <c r="Y97" s="114" t="str">
        <f>IF('Data input'!C97&lt;&gt;"",O97/'Data input'!C97*100%,"")</f>
        <v/>
      </c>
      <c r="Z97" s="114" t="str">
        <f>IF('Data input'!D97&lt;&gt;"",P97/'Data input'!D97*100%,"")</f>
        <v/>
      </c>
      <c r="AA97" s="114" t="str">
        <f>IF('Data input'!E97&lt;&gt;"",Q97/'Data input'!E97*100%,"")</f>
        <v/>
      </c>
      <c r="AB97" s="114" t="str">
        <f>IF('Data input'!F97&lt;&gt;"",R97/'Data input'!F97*100%,"")</f>
        <v/>
      </c>
      <c r="AC97" s="114" t="str">
        <f>IF('Data input'!G97&lt;&gt;"",S97/'Data input'!G97*100%,"")</f>
        <v/>
      </c>
      <c r="AD97" s="114" t="str">
        <f>IF('Data input'!H97&lt;&gt;"",T97/'Data input'!H97*100%,"")</f>
        <v/>
      </c>
      <c r="AE97" s="114" t="str">
        <f>IF('Data input'!I97&lt;&gt;"",U97/'Data input'!I97*100%,"")</f>
        <v/>
      </c>
      <c r="AF97" s="114" t="str">
        <f>IF('Data input'!J97&lt;&gt;"",V97/'Data input'!J97*100%,"")</f>
        <v/>
      </c>
      <c r="AG97" s="114" t="str">
        <f>IF('Data input'!K97&lt;&gt;"",W97/'Data input'!K97*100%,"")</f>
        <v/>
      </c>
      <c r="AH97" s="115" t="str">
        <f>IF('Data input'!L97&lt;&gt;"",X97/'Data input'!L97*100%,"")</f>
        <v/>
      </c>
      <c r="AI97" s="114" t="str">
        <f>IF('Data input'!C97&lt;&gt;"",'Run CRS'!AH97/'Run CRS'!C97,"")</f>
        <v/>
      </c>
      <c r="AJ97" s="114" t="str">
        <f>IF('Data input'!D97&lt;&gt;"",'Run CRS'!AI97/'Run CRS'!D97,"")</f>
        <v/>
      </c>
      <c r="AK97" s="114" t="str">
        <f>IF('Data input'!E97&lt;&gt;"",'Run CRS'!AJ97/'Run CRS'!E97,"")</f>
        <v/>
      </c>
      <c r="AL97" s="114" t="str">
        <f>IF('Data input'!F97&lt;&gt;"",'Run CRS'!AK97/'Run CRS'!F97,"")</f>
        <v/>
      </c>
      <c r="AM97" s="114" t="str">
        <f>IF('Data input'!G97&lt;&gt;"",'Run CRS'!AL97/'Run CRS'!G97,"")</f>
        <v/>
      </c>
      <c r="AN97" s="114" t="str">
        <f>IF('Data input'!H97&lt;&gt;"",'Run CRS'!AM97/'Run CRS'!H97,"")</f>
        <v/>
      </c>
      <c r="AO97" s="114" t="str">
        <f>IF('Data input'!I97&lt;&gt;"",'Run CRS'!AN97/'Run CRS'!I97,"")</f>
        <v/>
      </c>
      <c r="AP97" s="114" t="str">
        <f>IF('Data input'!J97&lt;&gt;"",'Run CRS'!AO97/'Run CRS'!J97,"")</f>
        <v/>
      </c>
      <c r="AQ97" s="114" t="str">
        <f>IF('Data input'!K97&lt;&gt;"",'Run CRS'!AP97/'Run CRS'!K97,"")</f>
        <v/>
      </c>
      <c r="AR97" s="115" t="str">
        <f>IF('Data input'!L97&lt;&gt;"",'Run CRS'!AQ97/'Run CRS'!L97,"")</f>
        <v/>
      </c>
    </row>
    <row r="98" spans="1:44" x14ac:dyDescent="0.35">
      <c r="A98" s="102" t="str">
        <f>IF('Run CRS'!AF98&lt;&gt;"",'Run CRS'!AF98,"")</f>
        <v/>
      </c>
      <c r="B98" s="103" t="str">
        <f>IF('Run CRS'!AG98&lt;&gt;"",'Run CRS'!AG98,"")</f>
        <v/>
      </c>
      <c r="C98" s="104" t="str">
        <f>IF('Run CRS'!AR98&lt;&gt;"",'Run CRS'!AR98,"")</f>
        <v/>
      </c>
      <c r="D98" s="104" t="e">
        <f>IF(ROUND(C98,3)=100%,"Optimal frontier",'Run CRS'!BW98)</f>
        <v>#VALUE!</v>
      </c>
      <c r="E98" s="105" t="str">
        <f>IF('Run CRS'!BC98&lt;&gt;"",'Run CRS'!BC98,"")</f>
        <v/>
      </c>
      <c r="F98" s="106" t="str">
        <f>IF('Run CRS'!BD98&lt;&gt;"",'Run CRS'!BD98,"")</f>
        <v/>
      </c>
      <c r="G98" s="106" t="str">
        <f>IF('Run CRS'!BE98&lt;&gt;"",'Run CRS'!BE98,"")</f>
        <v/>
      </c>
      <c r="H98" s="106" t="str">
        <f>IF('Run CRS'!BF98&lt;&gt;"",'Run CRS'!BF98,"")</f>
        <v/>
      </c>
      <c r="I98" s="106" t="str">
        <f>IF('Run CRS'!BG98&lt;&gt;"",'Run CRS'!BG98,"")</f>
        <v/>
      </c>
      <c r="J98" s="106" t="str">
        <f>IF('Run CRS'!BH98&lt;&gt;"",'Run CRS'!BH98,"")</f>
        <v/>
      </c>
      <c r="K98" s="105" t="str">
        <f>IF('Run CRS'!BI98&lt;&gt;"",'Run CRS'!BI98,"")</f>
        <v/>
      </c>
      <c r="L98" s="105" t="str">
        <f>IF('Run CRS'!BJ98&lt;&gt;"",'Run CRS'!BJ98,"")</f>
        <v/>
      </c>
      <c r="M98" s="105" t="str">
        <f>IF('Run CRS'!BK98&lt;&gt;"",'Run CRS'!BK98,"")</f>
        <v/>
      </c>
      <c r="N98" s="105" t="str">
        <f>IF('Run CRS'!BL98&lt;&gt;"",'Run CRS'!BL98,"")</f>
        <v/>
      </c>
      <c r="O98" s="105" t="str">
        <f>IF('Run CRS'!BM98&lt;&gt;"",'Run CRS'!BM98,"")</f>
        <v/>
      </c>
      <c r="P98" s="106" t="str">
        <f>IF('Run CRS'!BN98&lt;&gt;"",'Run CRS'!BN98,"")</f>
        <v/>
      </c>
      <c r="Q98" s="106" t="str">
        <f>IF('Run CRS'!BO98&lt;&gt;"",'Run CRS'!BO98,"")</f>
        <v/>
      </c>
      <c r="R98" s="106" t="str">
        <f>IF('Run CRS'!BP98&lt;&gt;"",'Run CRS'!BP98,"")</f>
        <v/>
      </c>
      <c r="S98" s="106" t="str">
        <f>IF('Run CRS'!BQ98&lt;&gt;"",'Run CRS'!BQ98,"")</f>
        <v/>
      </c>
      <c r="T98" s="106" t="str">
        <f>IF('Run CRS'!BR98&lt;&gt;"",'Run CRS'!BR98,"")</f>
        <v/>
      </c>
      <c r="U98" s="105" t="str">
        <f>IF('Run CRS'!BS98&lt;&gt;"",'Run CRS'!BS98,"")</f>
        <v/>
      </c>
      <c r="V98" s="105" t="str">
        <f>IF('Run CRS'!BT98&lt;&gt;"",'Run CRS'!BT98,"")</f>
        <v/>
      </c>
      <c r="W98" s="105" t="str">
        <f>IF('Run CRS'!BU98&lt;&gt;"",'Run CRS'!BU98,"")</f>
        <v/>
      </c>
      <c r="X98" s="107" t="str">
        <f>IF('Run CRS'!BV98&lt;&gt;"",'Run CRS'!BV98,"")</f>
        <v/>
      </c>
      <c r="Y98" s="114" t="str">
        <f>IF('Data input'!C98&lt;&gt;"",O98/'Data input'!C98*100%,"")</f>
        <v/>
      </c>
      <c r="Z98" s="114" t="str">
        <f>IF('Data input'!D98&lt;&gt;"",P98/'Data input'!D98*100%,"")</f>
        <v/>
      </c>
      <c r="AA98" s="114" t="str">
        <f>IF('Data input'!E98&lt;&gt;"",Q98/'Data input'!E98*100%,"")</f>
        <v/>
      </c>
      <c r="AB98" s="114" t="str">
        <f>IF('Data input'!F98&lt;&gt;"",R98/'Data input'!F98*100%,"")</f>
        <v/>
      </c>
      <c r="AC98" s="114" t="str">
        <f>IF('Data input'!G98&lt;&gt;"",S98/'Data input'!G98*100%,"")</f>
        <v/>
      </c>
      <c r="AD98" s="114" t="str">
        <f>IF('Data input'!H98&lt;&gt;"",T98/'Data input'!H98*100%,"")</f>
        <v/>
      </c>
      <c r="AE98" s="114" t="str">
        <f>IF('Data input'!I98&lt;&gt;"",U98/'Data input'!I98*100%,"")</f>
        <v/>
      </c>
      <c r="AF98" s="114" t="str">
        <f>IF('Data input'!J98&lt;&gt;"",V98/'Data input'!J98*100%,"")</f>
        <v/>
      </c>
      <c r="AG98" s="114" t="str">
        <f>IF('Data input'!K98&lt;&gt;"",W98/'Data input'!K98*100%,"")</f>
        <v/>
      </c>
      <c r="AH98" s="115" t="str">
        <f>IF('Data input'!L98&lt;&gt;"",X98/'Data input'!L98*100%,"")</f>
        <v/>
      </c>
      <c r="AI98" s="114" t="str">
        <f>IF('Data input'!C98&lt;&gt;"",'Run CRS'!AH98/'Run CRS'!C98,"")</f>
        <v/>
      </c>
      <c r="AJ98" s="114" t="str">
        <f>IF('Data input'!D98&lt;&gt;"",'Run CRS'!AI98/'Run CRS'!D98,"")</f>
        <v/>
      </c>
      <c r="AK98" s="114" t="str">
        <f>IF('Data input'!E98&lt;&gt;"",'Run CRS'!AJ98/'Run CRS'!E98,"")</f>
        <v/>
      </c>
      <c r="AL98" s="114" t="str">
        <f>IF('Data input'!F98&lt;&gt;"",'Run CRS'!AK98/'Run CRS'!F98,"")</f>
        <v/>
      </c>
      <c r="AM98" s="114" t="str">
        <f>IF('Data input'!G98&lt;&gt;"",'Run CRS'!AL98/'Run CRS'!G98,"")</f>
        <v/>
      </c>
      <c r="AN98" s="114" t="str">
        <f>IF('Data input'!H98&lt;&gt;"",'Run CRS'!AM98/'Run CRS'!H98,"")</f>
        <v/>
      </c>
      <c r="AO98" s="114" t="str">
        <f>IF('Data input'!I98&lt;&gt;"",'Run CRS'!AN98/'Run CRS'!I98,"")</f>
        <v/>
      </c>
      <c r="AP98" s="114" t="str">
        <f>IF('Data input'!J98&lt;&gt;"",'Run CRS'!AO98/'Run CRS'!J98,"")</f>
        <v/>
      </c>
      <c r="AQ98" s="114" t="str">
        <f>IF('Data input'!K98&lt;&gt;"",'Run CRS'!AP98/'Run CRS'!K98,"")</f>
        <v/>
      </c>
      <c r="AR98" s="115" t="str">
        <f>IF('Data input'!L98&lt;&gt;"",'Run CRS'!AQ98/'Run CRS'!L98,"")</f>
        <v/>
      </c>
    </row>
    <row r="99" spans="1:44" x14ac:dyDescent="0.35">
      <c r="A99" s="102" t="str">
        <f>IF('Run CRS'!AF99&lt;&gt;"",'Run CRS'!AF99,"")</f>
        <v/>
      </c>
      <c r="B99" s="103" t="str">
        <f>IF('Run CRS'!AG99&lt;&gt;"",'Run CRS'!AG99,"")</f>
        <v/>
      </c>
      <c r="C99" s="104" t="str">
        <f>IF('Run CRS'!AR99&lt;&gt;"",'Run CRS'!AR99,"")</f>
        <v/>
      </c>
      <c r="D99" s="104" t="e">
        <f>IF(ROUND(C99,3)=100%,"Optimal frontier",'Run CRS'!BW99)</f>
        <v>#VALUE!</v>
      </c>
      <c r="E99" s="105" t="str">
        <f>IF('Run CRS'!BC99&lt;&gt;"",'Run CRS'!BC99,"")</f>
        <v/>
      </c>
      <c r="F99" s="106" t="str">
        <f>IF('Run CRS'!BD99&lt;&gt;"",'Run CRS'!BD99,"")</f>
        <v/>
      </c>
      <c r="G99" s="106" t="str">
        <f>IF('Run CRS'!BE99&lt;&gt;"",'Run CRS'!BE99,"")</f>
        <v/>
      </c>
      <c r="H99" s="106" t="str">
        <f>IF('Run CRS'!BF99&lt;&gt;"",'Run CRS'!BF99,"")</f>
        <v/>
      </c>
      <c r="I99" s="106" t="str">
        <f>IF('Run CRS'!BG99&lt;&gt;"",'Run CRS'!BG99,"")</f>
        <v/>
      </c>
      <c r="J99" s="106" t="str">
        <f>IF('Run CRS'!BH99&lt;&gt;"",'Run CRS'!BH99,"")</f>
        <v/>
      </c>
      <c r="K99" s="105" t="str">
        <f>IF('Run CRS'!BI99&lt;&gt;"",'Run CRS'!BI99,"")</f>
        <v/>
      </c>
      <c r="L99" s="105" t="str">
        <f>IF('Run CRS'!BJ99&lt;&gt;"",'Run CRS'!BJ99,"")</f>
        <v/>
      </c>
      <c r="M99" s="105" t="str">
        <f>IF('Run CRS'!BK99&lt;&gt;"",'Run CRS'!BK99,"")</f>
        <v/>
      </c>
      <c r="N99" s="105" t="str">
        <f>IF('Run CRS'!BL99&lt;&gt;"",'Run CRS'!BL99,"")</f>
        <v/>
      </c>
      <c r="O99" s="105" t="str">
        <f>IF('Run CRS'!BM99&lt;&gt;"",'Run CRS'!BM99,"")</f>
        <v/>
      </c>
      <c r="P99" s="106" t="str">
        <f>IF('Run CRS'!BN99&lt;&gt;"",'Run CRS'!BN99,"")</f>
        <v/>
      </c>
      <c r="Q99" s="106" t="str">
        <f>IF('Run CRS'!BO99&lt;&gt;"",'Run CRS'!BO99,"")</f>
        <v/>
      </c>
      <c r="R99" s="106" t="str">
        <f>IF('Run CRS'!BP99&lt;&gt;"",'Run CRS'!BP99,"")</f>
        <v/>
      </c>
      <c r="S99" s="106" t="str">
        <f>IF('Run CRS'!BQ99&lt;&gt;"",'Run CRS'!BQ99,"")</f>
        <v/>
      </c>
      <c r="T99" s="106" t="str">
        <f>IF('Run CRS'!BR99&lt;&gt;"",'Run CRS'!BR99,"")</f>
        <v/>
      </c>
      <c r="U99" s="105" t="str">
        <f>IF('Run CRS'!BS99&lt;&gt;"",'Run CRS'!BS99,"")</f>
        <v/>
      </c>
      <c r="V99" s="105" t="str">
        <f>IF('Run CRS'!BT99&lt;&gt;"",'Run CRS'!BT99,"")</f>
        <v/>
      </c>
      <c r="W99" s="105" t="str">
        <f>IF('Run CRS'!BU99&lt;&gt;"",'Run CRS'!BU99,"")</f>
        <v/>
      </c>
      <c r="X99" s="107" t="str">
        <f>IF('Run CRS'!BV99&lt;&gt;"",'Run CRS'!BV99,"")</f>
        <v/>
      </c>
      <c r="Y99" s="114" t="str">
        <f>IF('Data input'!C99&lt;&gt;"",O99/'Data input'!C99*100%,"")</f>
        <v/>
      </c>
      <c r="Z99" s="114" t="str">
        <f>IF('Data input'!D99&lt;&gt;"",P99/'Data input'!D99*100%,"")</f>
        <v/>
      </c>
      <c r="AA99" s="114" t="str">
        <f>IF('Data input'!E99&lt;&gt;"",Q99/'Data input'!E99*100%,"")</f>
        <v/>
      </c>
      <c r="AB99" s="114" t="str">
        <f>IF('Data input'!F99&lt;&gt;"",R99/'Data input'!F99*100%,"")</f>
        <v/>
      </c>
      <c r="AC99" s="114" t="str">
        <f>IF('Data input'!G99&lt;&gt;"",S99/'Data input'!G99*100%,"")</f>
        <v/>
      </c>
      <c r="AD99" s="114" t="str">
        <f>IF('Data input'!H99&lt;&gt;"",T99/'Data input'!H99*100%,"")</f>
        <v/>
      </c>
      <c r="AE99" s="114" t="str">
        <f>IF('Data input'!I99&lt;&gt;"",U99/'Data input'!I99*100%,"")</f>
        <v/>
      </c>
      <c r="AF99" s="114" t="str">
        <f>IF('Data input'!J99&lt;&gt;"",V99/'Data input'!J99*100%,"")</f>
        <v/>
      </c>
      <c r="AG99" s="114" t="str">
        <f>IF('Data input'!K99&lt;&gt;"",W99/'Data input'!K99*100%,"")</f>
        <v/>
      </c>
      <c r="AH99" s="115" t="str">
        <f>IF('Data input'!L99&lt;&gt;"",X99/'Data input'!L99*100%,"")</f>
        <v/>
      </c>
      <c r="AI99" s="114" t="str">
        <f>IF('Data input'!C99&lt;&gt;"",'Run CRS'!AH99/'Run CRS'!C99,"")</f>
        <v/>
      </c>
      <c r="AJ99" s="114" t="str">
        <f>IF('Data input'!D99&lt;&gt;"",'Run CRS'!AI99/'Run CRS'!D99,"")</f>
        <v/>
      </c>
      <c r="AK99" s="114" t="str">
        <f>IF('Data input'!E99&lt;&gt;"",'Run CRS'!AJ99/'Run CRS'!E99,"")</f>
        <v/>
      </c>
      <c r="AL99" s="114" t="str">
        <f>IF('Data input'!F99&lt;&gt;"",'Run CRS'!AK99/'Run CRS'!F99,"")</f>
        <v/>
      </c>
      <c r="AM99" s="114" t="str">
        <f>IF('Data input'!G99&lt;&gt;"",'Run CRS'!AL99/'Run CRS'!G99,"")</f>
        <v/>
      </c>
      <c r="AN99" s="114" t="str">
        <f>IF('Data input'!H99&lt;&gt;"",'Run CRS'!AM99/'Run CRS'!H99,"")</f>
        <v/>
      </c>
      <c r="AO99" s="114" t="str">
        <f>IF('Data input'!I99&lt;&gt;"",'Run CRS'!AN99/'Run CRS'!I99,"")</f>
        <v/>
      </c>
      <c r="AP99" s="114" t="str">
        <f>IF('Data input'!J99&lt;&gt;"",'Run CRS'!AO99/'Run CRS'!J99,"")</f>
        <v/>
      </c>
      <c r="AQ99" s="114" t="str">
        <f>IF('Data input'!K99&lt;&gt;"",'Run CRS'!AP99/'Run CRS'!K99,"")</f>
        <v/>
      </c>
      <c r="AR99" s="115" t="str">
        <f>IF('Data input'!L99&lt;&gt;"",'Run CRS'!AQ99/'Run CRS'!L99,"")</f>
        <v/>
      </c>
    </row>
    <row r="100" spans="1:44" x14ac:dyDescent="0.35">
      <c r="A100" s="102" t="str">
        <f>IF('Run CRS'!AF100&lt;&gt;"",'Run CRS'!AF100,"")</f>
        <v/>
      </c>
      <c r="B100" s="103" t="str">
        <f>IF('Run CRS'!AG100&lt;&gt;"",'Run CRS'!AG100,"")</f>
        <v/>
      </c>
      <c r="C100" s="104" t="str">
        <f>IF('Run CRS'!AR100&lt;&gt;"",'Run CRS'!AR100,"")</f>
        <v/>
      </c>
      <c r="D100" s="104" t="e">
        <f>IF(ROUND(C100,3)=100%,"Optimal frontier",'Run CRS'!BW100)</f>
        <v>#VALUE!</v>
      </c>
      <c r="E100" s="105" t="str">
        <f>IF('Run CRS'!BC100&lt;&gt;"",'Run CRS'!BC100,"")</f>
        <v/>
      </c>
      <c r="F100" s="106" t="str">
        <f>IF('Run CRS'!BD100&lt;&gt;"",'Run CRS'!BD100,"")</f>
        <v/>
      </c>
      <c r="G100" s="106" t="str">
        <f>IF('Run CRS'!BE100&lt;&gt;"",'Run CRS'!BE100,"")</f>
        <v/>
      </c>
      <c r="H100" s="106" t="str">
        <f>IF('Run CRS'!BF100&lt;&gt;"",'Run CRS'!BF100,"")</f>
        <v/>
      </c>
      <c r="I100" s="106" t="str">
        <f>IF('Run CRS'!BG100&lt;&gt;"",'Run CRS'!BG100,"")</f>
        <v/>
      </c>
      <c r="J100" s="106" t="str">
        <f>IF('Run CRS'!BH100&lt;&gt;"",'Run CRS'!BH100,"")</f>
        <v/>
      </c>
      <c r="K100" s="105" t="str">
        <f>IF('Run CRS'!BI100&lt;&gt;"",'Run CRS'!BI100,"")</f>
        <v/>
      </c>
      <c r="L100" s="105" t="str">
        <f>IF('Run CRS'!BJ100&lt;&gt;"",'Run CRS'!BJ100,"")</f>
        <v/>
      </c>
      <c r="M100" s="105" t="str">
        <f>IF('Run CRS'!BK100&lt;&gt;"",'Run CRS'!BK100,"")</f>
        <v/>
      </c>
      <c r="N100" s="105" t="str">
        <f>IF('Run CRS'!BL100&lt;&gt;"",'Run CRS'!BL100,"")</f>
        <v/>
      </c>
      <c r="O100" s="105" t="str">
        <f>IF('Run CRS'!BM100&lt;&gt;"",'Run CRS'!BM100,"")</f>
        <v/>
      </c>
      <c r="P100" s="106" t="str">
        <f>IF('Run CRS'!BN100&lt;&gt;"",'Run CRS'!BN100,"")</f>
        <v/>
      </c>
      <c r="Q100" s="106" t="str">
        <f>IF('Run CRS'!BO100&lt;&gt;"",'Run CRS'!BO100,"")</f>
        <v/>
      </c>
      <c r="R100" s="106" t="str">
        <f>IF('Run CRS'!BP100&lt;&gt;"",'Run CRS'!BP100,"")</f>
        <v/>
      </c>
      <c r="S100" s="106" t="str">
        <f>IF('Run CRS'!BQ100&lt;&gt;"",'Run CRS'!BQ100,"")</f>
        <v/>
      </c>
      <c r="T100" s="106" t="str">
        <f>IF('Run CRS'!BR100&lt;&gt;"",'Run CRS'!BR100,"")</f>
        <v/>
      </c>
      <c r="U100" s="105" t="str">
        <f>IF('Run CRS'!BS100&lt;&gt;"",'Run CRS'!BS100,"")</f>
        <v/>
      </c>
      <c r="V100" s="105" t="str">
        <f>IF('Run CRS'!BT100&lt;&gt;"",'Run CRS'!BT100,"")</f>
        <v/>
      </c>
      <c r="W100" s="105" t="str">
        <f>IF('Run CRS'!BU100&lt;&gt;"",'Run CRS'!BU100,"")</f>
        <v/>
      </c>
      <c r="X100" s="107" t="str">
        <f>IF('Run CRS'!BV100&lt;&gt;"",'Run CRS'!BV100,"")</f>
        <v/>
      </c>
      <c r="Y100" s="114" t="str">
        <f>IF('Data input'!C100&lt;&gt;"",O100/'Data input'!C100*100%,"")</f>
        <v/>
      </c>
      <c r="Z100" s="114" t="str">
        <f>IF('Data input'!D100&lt;&gt;"",P100/'Data input'!D100*100%,"")</f>
        <v/>
      </c>
      <c r="AA100" s="114" t="str">
        <f>IF('Data input'!E100&lt;&gt;"",Q100/'Data input'!E100*100%,"")</f>
        <v/>
      </c>
      <c r="AB100" s="114" t="str">
        <f>IF('Data input'!F100&lt;&gt;"",R100/'Data input'!F100*100%,"")</f>
        <v/>
      </c>
      <c r="AC100" s="114" t="str">
        <f>IF('Data input'!G100&lt;&gt;"",S100/'Data input'!G100*100%,"")</f>
        <v/>
      </c>
      <c r="AD100" s="114" t="str">
        <f>IF('Data input'!H100&lt;&gt;"",T100/'Data input'!H100*100%,"")</f>
        <v/>
      </c>
      <c r="AE100" s="114" t="str">
        <f>IF('Data input'!I100&lt;&gt;"",U100/'Data input'!I100*100%,"")</f>
        <v/>
      </c>
      <c r="AF100" s="114" t="str">
        <f>IF('Data input'!J100&lt;&gt;"",V100/'Data input'!J100*100%,"")</f>
        <v/>
      </c>
      <c r="AG100" s="114" t="str">
        <f>IF('Data input'!K100&lt;&gt;"",W100/'Data input'!K100*100%,"")</f>
        <v/>
      </c>
      <c r="AH100" s="115" t="str">
        <f>IF('Data input'!L100&lt;&gt;"",X100/'Data input'!L100*100%,"")</f>
        <v/>
      </c>
      <c r="AI100" s="114" t="str">
        <f>IF('Data input'!C100&lt;&gt;"",'Run CRS'!AH100/'Run CRS'!C100,"")</f>
        <v/>
      </c>
      <c r="AJ100" s="114" t="str">
        <f>IF('Data input'!D100&lt;&gt;"",'Run CRS'!AI100/'Run CRS'!D100,"")</f>
        <v/>
      </c>
      <c r="AK100" s="114" t="str">
        <f>IF('Data input'!E100&lt;&gt;"",'Run CRS'!AJ100/'Run CRS'!E100,"")</f>
        <v/>
      </c>
      <c r="AL100" s="114" t="str">
        <f>IF('Data input'!F100&lt;&gt;"",'Run CRS'!AK100/'Run CRS'!F100,"")</f>
        <v/>
      </c>
      <c r="AM100" s="114" t="str">
        <f>IF('Data input'!G100&lt;&gt;"",'Run CRS'!AL100/'Run CRS'!G100,"")</f>
        <v/>
      </c>
      <c r="AN100" s="114" t="str">
        <f>IF('Data input'!H100&lt;&gt;"",'Run CRS'!AM100/'Run CRS'!H100,"")</f>
        <v/>
      </c>
      <c r="AO100" s="114" t="str">
        <f>IF('Data input'!I100&lt;&gt;"",'Run CRS'!AN100/'Run CRS'!I100,"")</f>
        <v/>
      </c>
      <c r="AP100" s="114" t="str">
        <f>IF('Data input'!J100&lt;&gt;"",'Run CRS'!AO100/'Run CRS'!J100,"")</f>
        <v/>
      </c>
      <c r="AQ100" s="114" t="str">
        <f>IF('Data input'!K100&lt;&gt;"",'Run CRS'!AP100/'Run CRS'!K100,"")</f>
        <v/>
      </c>
      <c r="AR100" s="115" t="str">
        <f>IF('Data input'!L100&lt;&gt;"",'Run CRS'!AQ100/'Run CRS'!L100,"")</f>
        <v/>
      </c>
    </row>
    <row r="101" spans="1:44" x14ac:dyDescent="0.35">
      <c r="A101" s="102" t="str">
        <f>IF('Run CRS'!AF101&lt;&gt;"",'Run CRS'!AF101,"")</f>
        <v/>
      </c>
      <c r="B101" s="103" t="str">
        <f>IF('Run CRS'!AG101&lt;&gt;"",'Run CRS'!AG101,"")</f>
        <v/>
      </c>
      <c r="C101" s="104" t="str">
        <f>IF('Run CRS'!AR101&lt;&gt;"",'Run CRS'!AR101,"")</f>
        <v/>
      </c>
      <c r="D101" s="104" t="e">
        <f>IF(ROUND(C101,3)=100%,"Optimal frontier",'Run CRS'!BW101)</f>
        <v>#VALUE!</v>
      </c>
      <c r="E101" s="105" t="str">
        <f>IF('Run CRS'!BC101&lt;&gt;"",'Run CRS'!BC101,"")</f>
        <v/>
      </c>
      <c r="F101" s="106" t="str">
        <f>IF('Run CRS'!BD101&lt;&gt;"",'Run CRS'!BD101,"")</f>
        <v/>
      </c>
      <c r="G101" s="106" t="str">
        <f>IF('Run CRS'!BE101&lt;&gt;"",'Run CRS'!BE101,"")</f>
        <v/>
      </c>
      <c r="H101" s="106" t="str">
        <f>IF('Run CRS'!BF101&lt;&gt;"",'Run CRS'!BF101,"")</f>
        <v/>
      </c>
      <c r="I101" s="106" t="str">
        <f>IF('Run CRS'!BG101&lt;&gt;"",'Run CRS'!BG101,"")</f>
        <v/>
      </c>
      <c r="J101" s="106" t="str">
        <f>IF('Run CRS'!BH101&lt;&gt;"",'Run CRS'!BH101,"")</f>
        <v/>
      </c>
      <c r="K101" s="105" t="str">
        <f>IF('Run CRS'!BI101&lt;&gt;"",'Run CRS'!BI101,"")</f>
        <v/>
      </c>
      <c r="L101" s="105" t="str">
        <f>IF('Run CRS'!BJ101&lt;&gt;"",'Run CRS'!BJ101,"")</f>
        <v/>
      </c>
      <c r="M101" s="105" t="str">
        <f>IF('Run CRS'!BK101&lt;&gt;"",'Run CRS'!BK101,"")</f>
        <v/>
      </c>
      <c r="N101" s="105" t="str">
        <f>IF('Run CRS'!BL101&lt;&gt;"",'Run CRS'!BL101,"")</f>
        <v/>
      </c>
      <c r="O101" s="105" t="str">
        <f>IF('Run CRS'!BM101&lt;&gt;"",'Run CRS'!BM101,"")</f>
        <v/>
      </c>
      <c r="P101" s="106" t="str">
        <f>IF('Run CRS'!BN101&lt;&gt;"",'Run CRS'!BN101,"")</f>
        <v/>
      </c>
      <c r="Q101" s="106" t="str">
        <f>IF('Run CRS'!BO101&lt;&gt;"",'Run CRS'!BO101,"")</f>
        <v/>
      </c>
      <c r="R101" s="106" t="str">
        <f>IF('Run CRS'!BP101&lt;&gt;"",'Run CRS'!BP101,"")</f>
        <v/>
      </c>
      <c r="S101" s="106" t="str">
        <f>IF('Run CRS'!BQ101&lt;&gt;"",'Run CRS'!BQ101,"")</f>
        <v/>
      </c>
      <c r="T101" s="106" t="str">
        <f>IF('Run CRS'!BR101&lt;&gt;"",'Run CRS'!BR101,"")</f>
        <v/>
      </c>
      <c r="U101" s="105" t="str">
        <f>IF('Run CRS'!BS101&lt;&gt;"",'Run CRS'!BS101,"")</f>
        <v/>
      </c>
      <c r="V101" s="105" t="str">
        <f>IF('Run CRS'!BT101&lt;&gt;"",'Run CRS'!BT101,"")</f>
        <v/>
      </c>
      <c r="W101" s="105" t="str">
        <f>IF('Run CRS'!BU101&lt;&gt;"",'Run CRS'!BU101,"")</f>
        <v/>
      </c>
      <c r="X101" s="107" t="str">
        <f>IF('Run CRS'!BV101&lt;&gt;"",'Run CRS'!BV101,"")</f>
        <v/>
      </c>
      <c r="Y101" s="114" t="str">
        <f>IF('Data input'!C101&lt;&gt;"",O101/'Data input'!C101*100%,"")</f>
        <v/>
      </c>
      <c r="Z101" s="114" t="str">
        <f>IF('Data input'!D101&lt;&gt;"",P101/'Data input'!D101*100%,"")</f>
        <v/>
      </c>
      <c r="AA101" s="114" t="str">
        <f>IF('Data input'!E101&lt;&gt;"",Q101/'Data input'!E101*100%,"")</f>
        <v/>
      </c>
      <c r="AB101" s="114" t="str">
        <f>IF('Data input'!F101&lt;&gt;"",R101/'Data input'!F101*100%,"")</f>
        <v/>
      </c>
      <c r="AC101" s="114" t="str">
        <f>IF('Data input'!G101&lt;&gt;"",S101/'Data input'!G101*100%,"")</f>
        <v/>
      </c>
      <c r="AD101" s="114" t="str">
        <f>IF('Data input'!H101&lt;&gt;"",T101/'Data input'!H101*100%,"")</f>
        <v/>
      </c>
      <c r="AE101" s="114" t="str">
        <f>IF('Data input'!I101&lt;&gt;"",U101/'Data input'!I101*100%,"")</f>
        <v/>
      </c>
      <c r="AF101" s="114" t="str">
        <f>IF('Data input'!J101&lt;&gt;"",V101/'Data input'!J101*100%,"")</f>
        <v/>
      </c>
      <c r="AG101" s="114" t="str">
        <f>IF('Data input'!K101&lt;&gt;"",W101/'Data input'!K101*100%,"")</f>
        <v/>
      </c>
      <c r="AH101" s="115" t="str">
        <f>IF('Data input'!L101&lt;&gt;"",X101/'Data input'!L101*100%,"")</f>
        <v/>
      </c>
      <c r="AI101" s="114" t="str">
        <f>IF('Data input'!C101&lt;&gt;"",'Run CRS'!AH101/'Run CRS'!C101,"")</f>
        <v/>
      </c>
      <c r="AJ101" s="114" t="str">
        <f>IF('Data input'!D101&lt;&gt;"",'Run CRS'!AI101/'Run CRS'!D101,"")</f>
        <v/>
      </c>
      <c r="AK101" s="114" t="str">
        <f>IF('Data input'!E101&lt;&gt;"",'Run CRS'!AJ101/'Run CRS'!E101,"")</f>
        <v/>
      </c>
      <c r="AL101" s="114" t="str">
        <f>IF('Data input'!F101&lt;&gt;"",'Run CRS'!AK101/'Run CRS'!F101,"")</f>
        <v/>
      </c>
      <c r="AM101" s="114" t="str">
        <f>IF('Data input'!G101&lt;&gt;"",'Run CRS'!AL101/'Run CRS'!G101,"")</f>
        <v/>
      </c>
      <c r="AN101" s="114" t="str">
        <f>IF('Data input'!H101&lt;&gt;"",'Run CRS'!AM101/'Run CRS'!H101,"")</f>
        <v/>
      </c>
      <c r="AO101" s="114" t="str">
        <f>IF('Data input'!I101&lt;&gt;"",'Run CRS'!AN101/'Run CRS'!I101,"")</f>
        <v/>
      </c>
      <c r="AP101" s="114" t="str">
        <f>IF('Data input'!J101&lt;&gt;"",'Run CRS'!AO101/'Run CRS'!J101,"")</f>
        <v/>
      </c>
      <c r="AQ101" s="114" t="str">
        <f>IF('Data input'!K101&lt;&gt;"",'Run CRS'!AP101/'Run CRS'!K101,"")</f>
        <v/>
      </c>
      <c r="AR101" s="115" t="str">
        <f>IF('Data input'!L101&lt;&gt;"",'Run CRS'!AQ101/'Run CRS'!L101,"")</f>
        <v/>
      </c>
    </row>
    <row r="102" spans="1:44" ht="15" thickBot="1" x14ac:dyDescent="0.4">
      <c r="A102" s="108" t="str">
        <f>IF('Run CRS'!AF102&lt;&gt;"",'Run CRS'!AF102,"")</f>
        <v/>
      </c>
      <c r="B102" s="109" t="str">
        <f>IF('Run CRS'!AG102&lt;&gt;"",'Run CRS'!AG102,"")</f>
        <v/>
      </c>
      <c r="C102" s="110" t="str">
        <f>IF('Run CRS'!AR102&lt;&gt;"",'Run CRS'!AR102,"")</f>
        <v/>
      </c>
      <c r="D102" s="110" t="e">
        <f>IF(ROUND(C102,3)=100%,"Optimal frontier",'Run CRS'!BW102)</f>
        <v>#VALUE!</v>
      </c>
      <c r="E102" s="111" t="str">
        <f>IF('Run CRS'!BC102&lt;&gt;"",'Run CRS'!BC102,"")</f>
        <v/>
      </c>
      <c r="F102" s="112" t="str">
        <f>IF('Run CRS'!BD102&lt;&gt;"",'Run CRS'!BD102,"")</f>
        <v/>
      </c>
      <c r="G102" s="112" t="str">
        <f>IF('Run CRS'!BE102&lt;&gt;"",'Run CRS'!BE102,"")</f>
        <v/>
      </c>
      <c r="H102" s="112" t="str">
        <f>IF('Run CRS'!BF102&lt;&gt;"",'Run CRS'!BF102,"")</f>
        <v/>
      </c>
      <c r="I102" s="112" t="str">
        <f>IF('Run CRS'!BG102&lt;&gt;"",'Run CRS'!BG102,"")</f>
        <v/>
      </c>
      <c r="J102" s="112" t="str">
        <f>IF('Run CRS'!BH102&lt;&gt;"",'Run CRS'!BH102,"")</f>
        <v/>
      </c>
      <c r="K102" s="111" t="str">
        <f>IF('Run CRS'!BI102&lt;&gt;"",'Run CRS'!BI102,"")</f>
        <v/>
      </c>
      <c r="L102" s="111" t="str">
        <f>IF('Run CRS'!BJ102&lt;&gt;"",'Run CRS'!BJ102,"")</f>
        <v/>
      </c>
      <c r="M102" s="111" t="str">
        <f>IF('Run CRS'!BK102&lt;&gt;"",'Run CRS'!BK102,"")</f>
        <v/>
      </c>
      <c r="N102" s="111" t="str">
        <f>IF('Run CRS'!BL102&lt;&gt;"",'Run CRS'!BL102,"")</f>
        <v/>
      </c>
      <c r="O102" s="111" t="str">
        <f>IF('Run CRS'!BM102&lt;&gt;"",'Run CRS'!BM102,"")</f>
        <v/>
      </c>
      <c r="P102" s="112" t="str">
        <f>IF('Run CRS'!BN102&lt;&gt;"",'Run CRS'!BN102,"")</f>
        <v/>
      </c>
      <c r="Q102" s="112" t="str">
        <f>IF('Run CRS'!BO102&lt;&gt;"",'Run CRS'!BO102,"")</f>
        <v/>
      </c>
      <c r="R102" s="112" t="str">
        <f>IF('Run CRS'!BP102&lt;&gt;"",'Run CRS'!BP102,"")</f>
        <v/>
      </c>
      <c r="S102" s="112" t="str">
        <f>IF('Run CRS'!BQ102&lt;&gt;"",'Run CRS'!BQ102,"")</f>
        <v/>
      </c>
      <c r="T102" s="112" t="str">
        <f>IF('Run CRS'!BR102&lt;&gt;"",'Run CRS'!BR102,"")</f>
        <v/>
      </c>
      <c r="U102" s="111" t="str">
        <f>IF('Run CRS'!BS102&lt;&gt;"",'Run CRS'!BS102,"")</f>
        <v/>
      </c>
      <c r="V102" s="111" t="str">
        <f>IF('Run CRS'!BT102&lt;&gt;"",'Run CRS'!BT102,"")</f>
        <v/>
      </c>
      <c r="W102" s="111" t="str">
        <f>IF('Run CRS'!BU102&lt;&gt;"",'Run CRS'!BU102,"")</f>
        <v/>
      </c>
      <c r="X102" s="113" t="str">
        <f>IF('Run CRS'!BV102&lt;&gt;"",'Run CRS'!BV102,"")</f>
        <v/>
      </c>
      <c r="Y102" s="114" t="str">
        <f>IF('Data input'!C102&lt;&gt;"",O102/'Data input'!C102*100%,"")</f>
        <v/>
      </c>
      <c r="Z102" s="116" t="str">
        <f>IF('Data input'!D102&lt;&gt;"",P102/'Data input'!D102*100%,"")</f>
        <v/>
      </c>
      <c r="AA102" s="116" t="str">
        <f>IF('Data input'!E102&lt;&gt;"",Q102/'Data input'!E102*100%,"")</f>
        <v/>
      </c>
      <c r="AB102" s="116" t="str">
        <f>IF('Data input'!F102&lt;&gt;"",R102/'Data input'!F102*100%,"")</f>
        <v/>
      </c>
      <c r="AC102" s="116" t="str">
        <f>IF('Data input'!G102&lt;&gt;"",S102/'Data input'!G102*100%,"")</f>
        <v/>
      </c>
      <c r="AD102" s="116" t="str">
        <f>IF('Data input'!H102&lt;&gt;"",T102/'Data input'!H102*100%,"")</f>
        <v/>
      </c>
      <c r="AE102" s="116" t="str">
        <f>IF('Data input'!I102&lt;&gt;"",U102/'Data input'!I102*100%,"")</f>
        <v/>
      </c>
      <c r="AF102" s="116" t="str">
        <f>IF('Data input'!J102&lt;&gt;"",V102/'Data input'!J102*100%,"")</f>
        <v/>
      </c>
      <c r="AG102" s="116" t="str">
        <f>IF('Data input'!K102&lt;&gt;"",W102/'Data input'!K102*100%,"")</f>
        <v/>
      </c>
      <c r="AH102" s="117" t="str">
        <f>IF('Data input'!L102&lt;&gt;"",X102/'Data input'!L102*100%,"")</f>
        <v/>
      </c>
      <c r="AI102" s="114" t="str">
        <f>IF('Data input'!C102&lt;&gt;"",'Run CRS'!AH102/'Run CRS'!C102,"")</f>
        <v/>
      </c>
      <c r="AJ102" s="116" t="str">
        <f>IF('Data input'!D102&lt;&gt;"",'Run CRS'!AI102/'Run CRS'!D102,"")</f>
        <v/>
      </c>
      <c r="AK102" s="116" t="str">
        <f>IF('Data input'!E102&lt;&gt;"",'Run CRS'!AJ102/'Run CRS'!E102,"")</f>
        <v/>
      </c>
      <c r="AL102" s="116" t="str">
        <f>IF('Data input'!F102&lt;&gt;"",'Run CRS'!AK102/'Run CRS'!F102,"")</f>
        <v/>
      </c>
      <c r="AM102" s="116" t="str">
        <f>IF('Data input'!G102&lt;&gt;"",'Run CRS'!AL102/'Run CRS'!G102,"")</f>
        <v/>
      </c>
      <c r="AN102" s="116" t="str">
        <f>IF('Data input'!H102&lt;&gt;"",'Run CRS'!AM102/'Run CRS'!H102,"")</f>
        <v/>
      </c>
      <c r="AO102" s="116" t="str">
        <f>IF('Data input'!I102&lt;&gt;"",'Run CRS'!AN102/'Run CRS'!I102,"")</f>
        <v/>
      </c>
      <c r="AP102" s="116" t="str">
        <f>IF('Data input'!J102&lt;&gt;"",'Run CRS'!AO102/'Run CRS'!J102,"")</f>
        <v/>
      </c>
      <c r="AQ102" s="116" t="str">
        <f>IF('Data input'!K102&lt;&gt;"",'Run CRS'!AP102/'Run CRS'!K102,"")</f>
        <v/>
      </c>
      <c r="AR102" s="117" t="str">
        <f>IF('Data input'!L102&lt;&gt;"",'Run CRS'!AQ102/'Run CRS'!L102,"")</f>
        <v/>
      </c>
    </row>
  </sheetData>
  <autoFilter ref="A2:AH102" xr:uid="{D8D0F4DC-4B4A-4022-80D5-E96FA82CA123}"/>
  <mergeCells count="44">
    <mergeCell ref="AN1:AN2"/>
    <mergeCell ref="AO1:AO2"/>
    <mergeCell ref="AP1:AP2"/>
    <mergeCell ref="AQ1:AQ2"/>
    <mergeCell ref="AR1:AR2"/>
    <mergeCell ref="AI1:AI2"/>
    <mergeCell ref="AJ1:AJ2"/>
    <mergeCell ref="AK1:AK2"/>
    <mergeCell ref="AL1:AL2"/>
    <mergeCell ref="AM1:AM2"/>
    <mergeCell ref="AE1:AE2"/>
    <mergeCell ref="AF1:AF2"/>
    <mergeCell ref="AG1:AG2"/>
    <mergeCell ref="AH1:AH2"/>
    <mergeCell ref="Y1:Y2"/>
    <mergeCell ref="Z1:Z2"/>
    <mergeCell ref="AA1:AA2"/>
    <mergeCell ref="AB1:AB2"/>
    <mergeCell ref="AC1:AC2"/>
    <mergeCell ref="AD1:AD2"/>
    <mergeCell ref="X1:X2"/>
    <mergeCell ref="M1:M2"/>
    <mergeCell ref="N1:N2"/>
    <mergeCell ref="O1:O2"/>
    <mergeCell ref="P1:P2"/>
    <mergeCell ref="Q1:Q2"/>
    <mergeCell ref="R1:R2"/>
    <mergeCell ref="S1:S2"/>
    <mergeCell ref="T1:T2"/>
    <mergeCell ref="U1:U2"/>
    <mergeCell ref="V1:V2"/>
    <mergeCell ref="W1:W2"/>
    <mergeCell ref="L1:L2"/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</mergeCells>
  <conditionalFormatting sqref="A3:A102">
    <cfRule type="expression" dxfId="145" priority="39">
      <formula>A3&lt;&gt;""</formula>
    </cfRule>
  </conditionalFormatting>
  <conditionalFormatting sqref="B3:B102">
    <cfRule type="expression" dxfId="144" priority="40">
      <formula>B3&lt;&gt;""</formula>
    </cfRule>
  </conditionalFormatting>
  <conditionalFormatting sqref="C3:D102">
    <cfRule type="expression" dxfId="143" priority="41">
      <formula>C3&lt;&gt;""</formula>
    </cfRule>
  </conditionalFormatting>
  <conditionalFormatting sqref="E3:E102">
    <cfRule type="expression" dxfId="142" priority="42">
      <formula>E3&lt;&gt;""</formula>
    </cfRule>
  </conditionalFormatting>
  <conditionalFormatting sqref="F3:F102">
    <cfRule type="expression" dxfId="141" priority="43">
      <formula>F3&lt;&gt;""</formula>
    </cfRule>
  </conditionalFormatting>
  <conditionalFormatting sqref="G3:G102">
    <cfRule type="expression" dxfId="140" priority="44">
      <formula>G3&lt;&gt;""</formula>
    </cfRule>
  </conditionalFormatting>
  <conditionalFormatting sqref="H3:H102">
    <cfRule type="expression" dxfId="139" priority="45">
      <formula>H3&lt;&gt;""</formula>
    </cfRule>
  </conditionalFormatting>
  <conditionalFormatting sqref="I3:I102">
    <cfRule type="expression" dxfId="138" priority="46">
      <formula>I3&lt;&gt;""</formula>
    </cfRule>
  </conditionalFormatting>
  <conditionalFormatting sqref="E1:I1">
    <cfRule type="expression" dxfId="137" priority="37">
      <formula>E1&lt;&gt;""</formula>
    </cfRule>
  </conditionalFormatting>
  <conditionalFormatting sqref="J1:N1">
    <cfRule type="expression" dxfId="136" priority="38">
      <formula>J1&lt;&gt;""</formula>
    </cfRule>
  </conditionalFormatting>
  <conditionalFormatting sqref="J3:J102">
    <cfRule type="expression" dxfId="135" priority="47">
      <formula>J3&lt;&gt;""</formula>
    </cfRule>
  </conditionalFormatting>
  <conditionalFormatting sqref="K3:K102">
    <cfRule type="expression" dxfId="134" priority="48">
      <formula>K3&lt;&gt;""</formula>
    </cfRule>
  </conditionalFormatting>
  <conditionalFormatting sqref="L3:L102">
    <cfRule type="expression" dxfId="133" priority="49">
      <formula>L3&lt;&gt;""</formula>
    </cfRule>
  </conditionalFormatting>
  <conditionalFormatting sqref="M3:M102">
    <cfRule type="expression" dxfId="132" priority="50">
      <formula>M3&lt;&gt;""</formula>
    </cfRule>
  </conditionalFormatting>
  <conditionalFormatting sqref="N3:N102">
    <cfRule type="expression" dxfId="131" priority="51">
      <formula>N3&lt;&gt;""</formula>
    </cfRule>
  </conditionalFormatting>
  <conditionalFormatting sqref="O3:O102">
    <cfRule type="expression" dxfId="130" priority="27">
      <formula>O3&lt;&gt;""</formula>
    </cfRule>
  </conditionalFormatting>
  <conditionalFormatting sqref="P3:P102">
    <cfRule type="expression" dxfId="129" priority="28">
      <formula>P3&lt;&gt;""</formula>
    </cfRule>
  </conditionalFormatting>
  <conditionalFormatting sqref="Q3:Q102">
    <cfRule type="expression" dxfId="128" priority="29">
      <formula>Q3&lt;&gt;""</formula>
    </cfRule>
  </conditionalFormatting>
  <conditionalFormatting sqref="R3:R102">
    <cfRule type="expression" dxfId="127" priority="30">
      <formula>R3&lt;&gt;""</formula>
    </cfRule>
  </conditionalFormatting>
  <conditionalFormatting sqref="S3:S102">
    <cfRule type="expression" dxfId="126" priority="31">
      <formula>S3&lt;&gt;""</formula>
    </cfRule>
  </conditionalFormatting>
  <conditionalFormatting sqref="O1:S1">
    <cfRule type="expression" dxfId="125" priority="25">
      <formula>O1&lt;&gt;""</formula>
    </cfRule>
  </conditionalFormatting>
  <conditionalFormatting sqref="T1:X1">
    <cfRule type="expression" dxfId="124" priority="26">
      <formula>T1&lt;&gt;""</formula>
    </cfRule>
  </conditionalFormatting>
  <conditionalFormatting sqref="T3:T102">
    <cfRule type="expression" dxfId="123" priority="32">
      <formula>T3&lt;&gt;""</formula>
    </cfRule>
  </conditionalFormatting>
  <conditionalFormatting sqref="U3:U102">
    <cfRule type="expression" dxfId="122" priority="33">
      <formula>U3&lt;&gt;""</formula>
    </cfRule>
  </conditionalFormatting>
  <conditionalFormatting sqref="V3:V102">
    <cfRule type="expression" dxfId="121" priority="34">
      <formula>V3&lt;&gt;""</formula>
    </cfRule>
  </conditionalFormatting>
  <conditionalFormatting sqref="W3:W102">
    <cfRule type="expression" dxfId="120" priority="35">
      <formula>W3&lt;&gt;""</formula>
    </cfRule>
  </conditionalFormatting>
  <conditionalFormatting sqref="X3:X102">
    <cfRule type="expression" dxfId="119" priority="36">
      <formula>X3&lt;&gt;""</formula>
    </cfRule>
  </conditionalFormatting>
  <conditionalFormatting sqref="Y3:Y102">
    <cfRule type="expression" dxfId="118" priority="15">
      <formula>Y3&lt;&gt;""</formula>
    </cfRule>
  </conditionalFormatting>
  <conditionalFormatting sqref="Z3:Z102">
    <cfRule type="expression" dxfId="117" priority="16">
      <formula>Z3&lt;&gt;""</formula>
    </cfRule>
  </conditionalFormatting>
  <conditionalFormatting sqref="AA3:AA102">
    <cfRule type="expression" dxfId="116" priority="17">
      <formula>AA3&lt;&gt;""</formula>
    </cfRule>
  </conditionalFormatting>
  <conditionalFormatting sqref="AB3:AB102">
    <cfRule type="expression" dxfId="115" priority="18">
      <formula>AB3&lt;&gt;""</formula>
    </cfRule>
  </conditionalFormatting>
  <conditionalFormatting sqref="AC3:AC102">
    <cfRule type="expression" dxfId="114" priority="19">
      <formula>AC3&lt;&gt;""</formula>
    </cfRule>
  </conditionalFormatting>
  <conditionalFormatting sqref="Y1:AC1">
    <cfRule type="expression" dxfId="113" priority="13">
      <formula>Y1&lt;&gt;""</formula>
    </cfRule>
  </conditionalFormatting>
  <conditionalFormatting sqref="AD1:AH1">
    <cfRule type="expression" dxfId="112" priority="14">
      <formula>AD1&lt;&gt;""</formula>
    </cfRule>
  </conditionalFormatting>
  <conditionalFormatting sqref="AD3:AD102">
    <cfRule type="expression" dxfId="111" priority="20">
      <formula>AD3&lt;&gt;""</formula>
    </cfRule>
  </conditionalFormatting>
  <conditionalFormatting sqref="AE3:AE102">
    <cfRule type="expression" dxfId="110" priority="21">
      <formula>AE3&lt;&gt;""</formula>
    </cfRule>
  </conditionalFormatting>
  <conditionalFormatting sqref="AF3:AF102">
    <cfRule type="expression" dxfId="109" priority="22">
      <formula>AF3&lt;&gt;""</formula>
    </cfRule>
  </conditionalFormatting>
  <conditionalFormatting sqref="AG3:AG102">
    <cfRule type="expression" dxfId="108" priority="23">
      <formula>AG3&lt;&gt;""</formula>
    </cfRule>
  </conditionalFormatting>
  <conditionalFormatting sqref="AH3:AH102">
    <cfRule type="expression" dxfId="107" priority="24">
      <formula>AH3&lt;&gt;""</formula>
    </cfRule>
  </conditionalFormatting>
  <conditionalFormatting sqref="AI3:AI102">
    <cfRule type="expression" dxfId="106" priority="3">
      <formula>AI3&lt;&gt;""</formula>
    </cfRule>
  </conditionalFormatting>
  <conditionalFormatting sqref="AJ3:AJ102">
    <cfRule type="expression" dxfId="105" priority="4">
      <formula>AJ3&lt;&gt;""</formula>
    </cfRule>
  </conditionalFormatting>
  <conditionalFormatting sqref="AK3:AK102">
    <cfRule type="expression" dxfId="104" priority="5">
      <formula>AK3&lt;&gt;""</formula>
    </cfRule>
  </conditionalFormatting>
  <conditionalFormatting sqref="AL3:AL102">
    <cfRule type="expression" dxfId="103" priority="6">
      <formula>AL3&lt;&gt;""</formula>
    </cfRule>
  </conditionalFormatting>
  <conditionalFormatting sqref="AM3:AM102">
    <cfRule type="expression" dxfId="102" priority="7">
      <formula>AM3&lt;&gt;""</formula>
    </cfRule>
  </conditionalFormatting>
  <conditionalFormatting sqref="AI1:AM1">
    <cfRule type="expression" dxfId="101" priority="1">
      <formula>AI1&lt;&gt;""</formula>
    </cfRule>
  </conditionalFormatting>
  <conditionalFormatting sqref="AN1:AR1">
    <cfRule type="expression" dxfId="100" priority="2">
      <formula>AN1&lt;&gt;""</formula>
    </cfRule>
  </conditionalFormatting>
  <conditionalFormatting sqref="AN3:AN102">
    <cfRule type="expression" dxfId="99" priority="8">
      <formula>AN3&lt;&gt;""</formula>
    </cfRule>
  </conditionalFormatting>
  <conditionalFormatting sqref="AO3:AO102">
    <cfRule type="expression" dxfId="98" priority="9">
      <formula>AO3&lt;&gt;""</formula>
    </cfRule>
  </conditionalFormatting>
  <conditionalFormatting sqref="AP3:AP102">
    <cfRule type="expression" dxfId="97" priority="10">
      <formula>AP3&lt;&gt;""</formula>
    </cfRule>
  </conditionalFormatting>
  <conditionalFormatting sqref="AQ3:AQ102">
    <cfRule type="expression" dxfId="96" priority="11">
      <formula>AQ3&lt;&gt;""</formula>
    </cfRule>
  </conditionalFormatting>
  <conditionalFormatting sqref="AR3:AR102">
    <cfRule type="expression" dxfId="95" priority="12">
      <formula>AR3&lt;&gt;""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0BFB4-1BA8-40DF-9076-AF0C984E209D}">
  <sheetPr codeName="Sheet12">
    <tabColor theme="8"/>
  </sheetPr>
  <dimension ref="A1:JO115"/>
  <sheetViews>
    <sheetView zoomScale="70" zoomScaleNormal="70" workbookViewId="0">
      <pane xSplit="2" ySplit="2" topLeftCell="T3" activePane="bottomRight" state="frozen"/>
      <selection pane="topRight" activeCell="C1" sqref="C1"/>
      <selection pane="bottomLeft" activeCell="A3" sqref="A3"/>
      <selection pane="bottomRight" activeCell="AE9" sqref="AE9"/>
    </sheetView>
  </sheetViews>
  <sheetFormatPr defaultColWidth="9.1796875" defaultRowHeight="13" x14ac:dyDescent="0.35"/>
  <cols>
    <col min="1" max="1" width="9.1796875" style="1" customWidth="1"/>
    <col min="2" max="2" width="20.453125" style="1" customWidth="1"/>
    <col min="3" max="27" width="14.54296875" style="1" customWidth="1"/>
    <col min="28" max="28" width="18.1796875" style="1" customWidth="1"/>
    <col min="29" max="30" width="9.1796875" style="1"/>
    <col min="31" max="31" width="22.7265625" style="1" customWidth="1"/>
    <col min="32" max="32" width="9.1796875" style="1" customWidth="1"/>
    <col min="33" max="33" width="20.453125" style="1" customWidth="1"/>
    <col min="34" max="75" width="18.1796875" style="1" customWidth="1"/>
    <col min="76" max="16384" width="9.1796875" style="1"/>
  </cols>
  <sheetData>
    <row r="1" spans="1:275" s="14" customFormat="1" ht="20.149999999999999" customHeight="1" x14ac:dyDescent="0.35">
      <c r="A1" s="125" t="s">
        <v>0</v>
      </c>
      <c r="B1" s="146" t="s">
        <v>2</v>
      </c>
      <c r="C1" s="129" t="s">
        <v>59</v>
      </c>
      <c r="D1" s="129"/>
      <c r="E1" s="129"/>
      <c r="F1" s="129"/>
      <c r="G1" s="129"/>
      <c r="H1" s="130" t="s">
        <v>58</v>
      </c>
      <c r="I1" s="130"/>
      <c r="J1" s="130"/>
      <c r="K1" s="130"/>
      <c r="L1" s="130"/>
      <c r="M1" s="131" t="s">
        <v>57</v>
      </c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2"/>
      <c r="AB1" s="76"/>
      <c r="AC1" s="148"/>
      <c r="AD1" s="148"/>
      <c r="AE1" s="150">
        <v>50</v>
      </c>
      <c r="AF1" s="152" t="str">
        <f>A1</f>
        <v>Index</v>
      </c>
      <c r="AG1" s="154" t="str">
        <f>B1</f>
        <v>DMU</v>
      </c>
      <c r="AH1" s="144" t="str">
        <f>IF(C2&lt;&gt;"",C2&amp;" (slacks)","")</f>
        <v>Reliability (%) (slacks)</v>
      </c>
      <c r="AI1" s="144" t="str">
        <f t="shared" ref="AI1:AQ1" si="0">IF(D2&lt;&gt;"",D2&amp;" (slacks)","")</f>
        <v/>
      </c>
      <c r="AJ1" s="144" t="str">
        <f t="shared" si="0"/>
        <v/>
      </c>
      <c r="AK1" s="144" t="str">
        <f t="shared" si="0"/>
        <v/>
      </c>
      <c r="AL1" s="144" t="str">
        <f t="shared" si="0"/>
        <v/>
      </c>
      <c r="AM1" s="144" t="str">
        <f t="shared" si="0"/>
        <v>Maintenance costs (USD/m2) (slacks)</v>
      </c>
      <c r="AN1" s="144" t="str">
        <f t="shared" si="0"/>
        <v>Outdated data (%) (slacks)</v>
      </c>
      <c r="AO1" s="144" t="str">
        <f t="shared" si="0"/>
        <v/>
      </c>
      <c r="AP1" s="144" t="str">
        <f t="shared" si="0"/>
        <v/>
      </c>
      <c r="AQ1" s="144" t="str">
        <f t="shared" si="0"/>
        <v/>
      </c>
      <c r="AR1" s="154" t="s">
        <v>56</v>
      </c>
      <c r="AS1" s="156" t="str">
        <f>IF(C2&lt;&gt;"",C2&amp;" (Target normalized)","")</f>
        <v>Reliability (%) (Target normalized)</v>
      </c>
      <c r="AT1" s="156" t="str">
        <f t="shared" ref="AT1:BB1" si="1">IF(D2&lt;&gt;"",D2&amp;" (Target normalized)","")</f>
        <v/>
      </c>
      <c r="AU1" s="156" t="str">
        <f t="shared" si="1"/>
        <v/>
      </c>
      <c r="AV1" s="156" t="str">
        <f t="shared" si="1"/>
        <v/>
      </c>
      <c r="AW1" s="156" t="str">
        <f t="shared" si="1"/>
        <v/>
      </c>
      <c r="AX1" s="156" t="str">
        <f t="shared" si="1"/>
        <v>Maintenance costs (USD/m2) (Target normalized)</v>
      </c>
      <c r="AY1" s="156" t="str">
        <f t="shared" si="1"/>
        <v>Outdated data (%) (Target normalized)</v>
      </c>
      <c r="AZ1" s="156" t="str">
        <f t="shared" si="1"/>
        <v/>
      </c>
      <c r="BA1" s="156" t="str">
        <f t="shared" si="1"/>
        <v/>
      </c>
      <c r="BB1" s="156" t="str">
        <f t="shared" si="1"/>
        <v/>
      </c>
      <c r="BC1" s="156" t="str">
        <f>IF(C2&lt;&gt;"",C2&amp;" (Target real value)","")</f>
        <v>Reliability (%) (Target real value)</v>
      </c>
      <c r="BD1" s="156" t="str">
        <f t="shared" ref="BD1:BL1" si="2">IF(D2&lt;&gt;"",D2&amp;" (Target real value)","")</f>
        <v/>
      </c>
      <c r="BE1" s="156" t="str">
        <f t="shared" si="2"/>
        <v/>
      </c>
      <c r="BF1" s="156" t="str">
        <f t="shared" si="2"/>
        <v/>
      </c>
      <c r="BG1" s="156" t="str">
        <f t="shared" si="2"/>
        <v/>
      </c>
      <c r="BH1" s="156" t="str">
        <f t="shared" si="2"/>
        <v>Maintenance costs (USD/m2) (Target real value)</v>
      </c>
      <c r="BI1" s="156" t="str">
        <f t="shared" si="2"/>
        <v>Outdated data (%) (Target real value)</v>
      </c>
      <c r="BJ1" s="156" t="str">
        <f t="shared" si="2"/>
        <v/>
      </c>
      <c r="BK1" s="156" t="str">
        <f t="shared" si="2"/>
        <v/>
      </c>
      <c r="BL1" s="156" t="str">
        <f t="shared" si="2"/>
        <v/>
      </c>
      <c r="BM1" s="156" t="str">
        <f>IF(C2&lt;&gt;"",C2&amp;" (Slacks real value)","")</f>
        <v>Reliability (%) (Slacks real value)</v>
      </c>
      <c r="BN1" s="156" t="str">
        <f t="shared" ref="BN1:BV1" si="3">IF(D2&lt;&gt;"",D2&amp;" (Slacks real value)","")</f>
        <v/>
      </c>
      <c r="BO1" s="156" t="str">
        <f t="shared" si="3"/>
        <v/>
      </c>
      <c r="BP1" s="156" t="str">
        <f t="shared" si="3"/>
        <v/>
      </c>
      <c r="BQ1" s="156" t="str">
        <f t="shared" si="3"/>
        <v/>
      </c>
      <c r="BR1" s="156" t="str">
        <f t="shared" si="3"/>
        <v>Maintenance costs (USD/m2) (Slacks real value)</v>
      </c>
      <c r="BS1" s="156" t="str">
        <f t="shared" si="3"/>
        <v>Outdated data (%) (Slacks real value)</v>
      </c>
      <c r="BT1" s="156" t="str">
        <f t="shared" si="3"/>
        <v/>
      </c>
      <c r="BU1" s="156" t="str">
        <f t="shared" si="3"/>
        <v/>
      </c>
      <c r="BV1" s="160" t="str">
        <f t="shared" si="3"/>
        <v/>
      </c>
      <c r="BW1" s="162" t="s">
        <v>71</v>
      </c>
      <c r="BX1" s="128"/>
      <c r="BY1" s="128"/>
      <c r="BZ1" s="128"/>
      <c r="CA1" s="128"/>
      <c r="CB1" s="128"/>
      <c r="CC1" s="128"/>
      <c r="CD1" s="128"/>
      <c r="CE1" s="128"/>
      <c r="CF1" s="128"/>
      <c r="CG1" s="128"/>
      <c r="CH1" s="128"/>
      <c r="CI1" s="128"/>
      <c r="CJ1" s="128"/>
      <c r="CK1" s="128"/>
      <c r="CL1" s="128"/>
      <c r="CM1" s="128"/>
      <c r="CN1" s="128"/>
      <c r="CO1" s="128"/>
      <c r="CP1" s="128"/>
      <c r="CQ1" s="128"/>
      <c r="CR1" s="128"/>
      <c r="CS1" s="128"/>
      <c r="CT1" s="128"/>
      <c r="CU1" s="128"/>
      <c r="CV1" s="128"/>
      <c r="CW1" s="128"/>
      <c r="CX1" s="128"/>
      <c r="CY1" s="128"/>
      <c r="CZ1" s="128"/>
      <c r="DA1" s="128"/>
      <c r="DB1" s="128"/>
      <c r="DC1" s="128"/>
      <c r="DD1" s="128"/>
      <c r="DE1" s="128"/>
      <c r="DF1" s="128"/>
      <c r="DG1" s="128"/>
      <c r="DH1" s="128"/>
      <c r="DI1" s="128"/>
      <c r="DJ1" s="128"/>
      <c r="DK1" s="128"/>
      <c r="DL1" s="128"/>
      <c r="DM1" s="128"/>
      <c r="DN1" s="128"/>
      <c r="DO1" s="128"/>
      <c r="DP1" s="128"/>
      <c r="DQ1" s="128"/>
      <c r="DR1" s="128"/>
      <c r="DS1" s="128"/>
      <c r="DT1" s="128"/>
      <c r="DU1" s="128"/>
      <c r="DV1" s="128"/>
      <c r="DW1" s="128"/>
      <c r="DX1" s="128"/>
      <c r="DY1" s="128"/>
      <c r="DZ1" s="128"/>
      <c r="EA1" s="128"/>
      <c r="EB1" s="128"/>
      <c r="EC1" s="128"/>
      <c r="ED1" s="128"/>
      <c r="EE1" s="128"/>
      <c r="EF1" s="128"/>
      <c r="EG1" s="128"/>
      <c r="EH1" s="128"/>
      <c r="EI1" s="128"/>
      <c r="EJ1" s="128"/>
      <c r="EK1" s="128"/>
      <c r="EL1" s="128"/>
      <c r="EM1" s="128"/>
      <c r="EN1" s="128"/>
      <c r="EO1" s="128"/>
      <c r="EP1" s="128"/>
      <c r="EQ1" s="128"/>
      <c r="ER1" s="128"/>
      <c r="ES1" s="128"/>
      <c r="ET1" s="128"/>
      <c r="EU1" s="128"/>
      <c r="EV1" s="128"/>
      <c r="EW1" s="128"/>
      <c r="EX1" s="128"/>
      <c r="EY1" s="128"/>
      <c r="EZ1" s="128"/>
      <c r="FA1" s="128"/>
      <c r="FB1" s="128"/>
      <c r="FC1" s="128"/>
      <c r="FD1" s="128"/>
      <c r="FE1" s="128"/>
      <c r="FF1" s="128"/>
      <c r="FG1" s="128"/>
      <c r="FH1" s="128"/>
      <c r="FI1" s="128"/>
      <c r="FJ1" s="128"/>
      <c r="FK1" s="128"/>
      <c r="FL1" s="128"/>
      <c r="FM1" s="128"/>
      <c r="FN1" s="128"/>
      <c r="FO1" s="128"/>
      <c r="FP1" s="128"/>
      <c r="FQ1" s="128"/>
      <c r="FR1" s="128"/>
      <c r="FS1" s="128"/>
    </row>
    <row r="2" spans="1:275" s="14" customFormat="1" ht="30" customHeight="1" x14ac:dyDescent="0.35">
      <c r="A2" s="126"/>
      <c r="B2" s="147"/>
      <c r="C2" s="57" t="str">
        <f>IF('Data input'!C2&lt;&gt;"",'Data input'!C2,"")</f>
        <v>Reliability (%)</v>
      </c>
      <c r="D2" s="57" t="str">
        <f>IF('Data input'!D2&lt;&gt;"",'Data input'!D2,"")</f>
        <v/>
      </c>
      <c r="E2" s="57" t="str">
        <f>IF('Data input'!E2&lt;&gt;"",'Data input'!E2,"")</f>
        <v/>
      </c>
      <c r="F2" s="57" t="str">
        <f>IF('Data input'!F2&lt;&gt;"",'Data input'!F2,"")</f>
        <v/>
      </c>
      <c r="G2" s="57" t="str">
        <f>IF('Data input'!G2&lt;&gt;"",'Data input'!G2,"")</f>
        <v/>
      </c>
      <c r="H2" s="57" t="str">
        <f>IF('Data input'!H2&lt;&gt;"",'Data input'!H2,"")</f>
        <v>Maintenance costs (USD/m2)</v>
      </c>
      <c r="I2" s="57" t="str">
        <f>IF('Data input'!I2&lt;&gt;"",'Data input'!I2,"")</f>
        <v>Outdated data (%)</v>
      </c>
      <c r="J2" s="57" t="str">
        <f>IF('Data input'!J2&lt;&gt;"",'Data input'!J2,"")</f>
        <v/>
      </c>
      <c r="K2" s="57" t="str">
        <f>IF('Data input'!K2&lt;&gt;"",'Data input'!K2,"")</f>
        <v/>
      </c>
      <c r="L2" s="57" t="str">
        <f>IF('Data input'!L2&lt;&gt;"",'Data input'!L2,"")</f>
        <v/>
      </c>
      <c r="M2" s="57" t="str">
        <f>IF('Data input'!M2&lt;&gt;"",'Data input'!M2,"")</f>
        <v>Traffic</v>
      </c>
      <c r="N2" s="57" t="str">
        <f>IF('Data input'!N2&lt;&gt;"",'Data input'!N2,"")</f>
        <v/>
      </c>
      <c r="O2" s="57" t="str">
        <f>IF('Data input'!O2&lt;&gt;"",'Data input'!O2,"")</f>
        <v/>
      </c>
      <c r="P2" s="57" t="str">
        <f>IF('Data input'!P2&lt;&gt;"",'Data input'!P2,"")</f>
        <v/>
      </c>
      <c r="Q2" s="57" t="str">
        <f>IF('Data input'!Q2&lt;&gt;"",'Data input'!Q2,"")</f>
        <v/>
      </c>
      <c r="R2" s="57" t="str">
        <f>IF('Data input'!R2&lt;&gt;"",'Data input'!R2,"")</f>
        <v/>
      </c>
      <c r="S2" s="57" t="str">
        <f>IF('Data input'!S2&lt;&gt;"",'Data input'!S2,"")</f>
        <v/>
      </c>
      <c r="T2" s="57" t="str">
        <f>IF('Data input'!T2&lt;&gt;"",'Data input'!T2,"")</f>
        <v/>
      </c>
      <c r="U2" s="57" t="str">
        <f>IF('Data input'!U2&lt;&gt;"",'Data input'!U2,"")</f>
        <v/>
      </c>
      <c r="V2" s="57" t="str">
        <f>IF('Data input'!V2&lt;&gt;"",'Data input'!V2,"")</f>
        <v/>
      </c>
      <c r="W2" s="57" t="str">
        <f>IF('Data input'!W2&lt;&gt;"",'Data input'!W2,"")</f>
        <v/>
      </c>
      <c r="X2" s="57" t="str">
        <f>IF('Data input'!X2&lt;&gt;"",'Data input'!X2,"")</f>
        <v/>
      </c>
      <c r="Y2" s="57" t="str">
        <f>IF('Data input'!Y2&lt;&gt;"",'Data input'!Y2,"")</f>
        <v/>
      </c>
      <c r="Z2" s="57" t="str">
        <f>IF('Data input'!Z2&lt;&gt;"",'Data input'!Z2,"")</f>
        <v/>
      </c>
      <c r="AA2" s="58" t="str">
        <f>IF('Data input'!AA2&lt;&gt;"",'Data input'!AA2,"")</f>
        <v/>
      </c>
      <c r="AB2" s="77"/>
      <c r="AC2" s="149"/>
      <c r="AD2" s="149"/>
      <c r="AE2" s="151"/>
      <c r="AF2" s="153"/>
      <c r="AG2" s="15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55"/>
      <c r="AS2" s="157"/>
      <c r="AT2" s="157"/>
      <c r="AU2" s="157"/>
      <c r="AV2" s="157"/>
      <c r="AW2" s="157"/>
      <c r="AX2" s="157"/>
      <c r="AY2" s="157"/>
      <c r="AZ2" s="157"/>
      <c r="BA2" s="157"/>
      <c r="BB2" s="157"/>
      <c r="BC2" s="157"/>
      <c r="BD2" s="157"/>
      <c r="BE2" s="157"/>
      <c r="BF2" s="157"/>
      <c r="BG2" s="157"/>
      <c r="BH2" s="157"/>
      <c r="BI2" s="157"/>
      <c r="BJ2" s="157"/>
      <c r="BK2" s="157"/>
      <c r="BL2" s="157"/>
      <c r="BM2" s="157"/>
      <c r="BN2" s="157"/>
      <c r="BO2" s="157"/>
      <c r="BP2" s="157"/>
      <c r="BQ2" s="157"/>
      <c r="BR2" s="157"/>
      <c r="BS2" s="157"/>
      <c r="BT2" s="157"/>
      <c r="BU2" s="157"/>
      <c r="BV2" s="161"/>
      <c r="BW2" s="120" t="s">
        <v>72</v>
      </c>
      <c r="BX2" s="119" t="str">
        <f>B3</f>
        <v>Alabama</v>
      </c>
      <c r="BY2" s="119" t="str">
        <f>B4</f>
        <v>Alaska</v>
      </c>
      <c r="BZ2" s="119" t="str">
        <f>B5</f>
        <v>Arizona</v>
      </c>
      <c r="CA2" s="119" t="str">
        <f>B6</f>
        <v>Arkansas</v>
      </c>
      <c r="CB2" s="119" t="str">
        <f>B7</f>
        <v>California</v>
      </c>
      <c r="CC2" s="119" t="str">
        <f>B8</f>
        <v>Colorado</v>
      </c>
      <c r="CD2" s="119" t="str">
        <f>B9</f>
        <v>Connecticut</v>
      </c>
      <c r="CE2" s="119" t="str">
        <f>B10</f>
        <v>Delaware</v>
      </c>
      <c r="CF2" s="119" t="str">
        <f>B11</f>
        <v>District Of Columbia</v>
      </c>
      <c r="CG2" s="119" t="str">
        <f>B12</f>
        <v>Florida</v>
      </c>
      <c r="CH2" s="119" t="str">
        <f>B13</f>
        <v>Georgia</v>
      </c>
      <c r="CI2" s="119" t="str">
        <f>B14</f>
        <v>Hawaii</v>
      </c>
      <c r="CJ2" s="119" t="str">
        <f>B15</f>
        <v>Idaho</v>
      </c>
      <c r="CK2" s="119" t="str">
        <f>B16</f>
        <v>Illinois</v>
      </c>
      <c r="CL2" s="119" t="str">
        <f>B17</f>
        <v>Indiana</v>
      </c>
      <c r="CM2" s="119" t="str">
        <f>B18</f>
        <v>Iowa</v>
      </c>
      <c r="CN2" s="119" t="str">
        <f>B19</f>
        <v>Kansas</v>
      </c>
      <c r="CO2" s="119" t="str">
        <f>B20</f>
        <v>Kentucky</v>
      </c>
      <c r="CP2" s="119" t="str">
        <f>B21</f>
        <v>Louisiana</v>
      </c>
      <c r="CQ2" s="119" t="str">
        <f>B22</f>
        <v>Maine</v>
      </c>
      <c r="CR2" s="119" t="str">
        <f>B23</f>
        <v>Maryland</v>
      </c>
      <c r="CS2" s="119" t="str">
        <f>B24</f>
        <v>Massachusetts</v>
      </c>
      <c r="CT2" s="119" t="str">
        <f>B25</f>
        <v>Michigan</v>
      </c>
      <c r="CU2" s="119" t="str">
        <f>B26</f>
        <v>Minnesota</v>
      </c>
      <c r="CV2" s="119" t="str">
        <f>B27</f>
        <v>Mississippi</v>
      </c>
      <c r="CW2" s="119" t="str">
        <f>B28</f>
        <v>Missouri</v>
      </c>
      <c r="CX2" s="119" t="str">
        <f>B29</f>
        <v>Montana</v>
      </c>
      <c r="CY2" s="119" t="str">
        <f>B30</f>
        <v>Nebraska</v>
      </c>
      <c r="CZ2" s="119" t="str">
        <f>B31</f>
        <v>Nevada</v>
      </c>
      <c r="DA2" s="119" t="str">
        <f>B32</f>
        <v>New Hampshire</v>
      </c>
      <c r="DB2" s="119" t="str">
        <f>B33</f>
        <v>New Jersey</v>
      </c>
      <c r="DC2" s="119" t="str">
        <f>B34</f>
        <v>New Mexico</v>
      </c>
      <c r="DD2" s="119" t="str">
        <f>B35</f>
        <v>New York</v>
      </c>
      <c r="DE2" s="119" t="str">
        <f>B36</f>
        <v>North Carolina</v>
      </c>
      <c r="DF2" s="119" t="str">
        <f>B37</f>
        <v>North Dakota</v>
      </c>
      <c r="DG2" s="119" t="str">
        <f>B38</f>
        <v>Ohio</v>
      </c>
      <c r="DH2" s="119" t="str">
        <f>B39</f>
        <v>Oklahoma</v>
      </c>
      <c r="DI2" s="119" t="str">
        <f>B40</f>
        <v>Oregon</v>
      </c>
      <c r="DJ2" s="119" t="str">
        <f>B41</f>
        <v>Pennsylvania</v>
      </c>
      <c r="DK2" s="119" t="str">
        <f>B42</f>
        <v>South Carolina</v>
      </c>
      <c r="DL2" s="119" t="str">
        <f>B43</f>
        <v>South Dakota</v>
      </c>
      <c r="DM2" s="119" t="str">
        <f>B44</f>
        <v>Tennessee</v>
      </c>
      <c r="DN2" s="119" t="str">
        <f>B45</f>
        <v>Texas</v>
      </c>
      <c r="DO2" s="119" t="str">
        <f>B46</f>
        <v>Utah</v>
      </c>
      <c r="DP2" s="119" t="str">
        <f>B47</f>
        <v>Vermont</v>
      </c>
      <c r="DQ2" s="119" t="str">
        <f>B48</f>
        <v>Virginia</v>
      </c>
      <c r="DR2" s="119" t="str">
        <f>B49</f>
        <v>Washington</v>
      </c>
      <c r="DS2" s="119" t="str">
        <f>B50</f>
        <v>West Virginia</v>
      </c>
      <c r="DT2" s="119" t="str">
        <f>B51</f>
        <v>Wisconsin</v>
      </c>
      <c r="DU2" s="119" t="str">
        <f>B52</f>
        <v>Wyoming</v>
      </c>
      <c r="DV2" s="119" t="str">
        <f>B53</f>
        <v/>
      </c>
      <c r="DW2" s="119" t="str">
        <f>B54</f>
        <v/>
      </c>
      <c r="DX2" s="118" t="str">
        <f>B55</f>
        <v/>
      </c>
      <c r="DY2" s="118" t="str">
        <f>B56</f>
        <v/>
      </c>
      <c r="DZ2" s="118" t="str">
        <f>B57</f>
        <v/>
      </c>
      <c r="EA2" s="118" t="str">
        <f>B58</f>
        <v/>
      </c>
      <c r="EB2" s="118" t="str">
        <f>B59</f>
        <v/>
      </c>
      <c r="EC2" s="118" t="str">
        <f>B60</f>
        <v/>
      </c>
      <c r="ED2" s="118" t="str">
        <f>B61</f>
        <v/>
      </c>
      <c r="EE2" s="118" t="str">
        <f>B62</f>
        <v/>
      </c>
      <c r="EF2" s="118" t="str">
        <f>B63</f>
        <v/>
      </c>
      <c r="EG2" s="118" t="str">
        <f>B64</f>
        <v/>
      </c>
      <c r="EH2" s="118" t="str">
        <f>B65</f>
        <v/>
      </c>
      <c r="EI2" s="118" t="str">
        <f>B66</f>
        <v/>
      </c>
      <c r="EJ2" s="118" t="str">
        <f>B67</f>
        <v/>
      </c>
      <c r="EK2" s="118" t="str">
        <f>B68</f>
        <v/>
      </c>
      <c r="EL2" s="118" t="str">
        <f>B69</f>
        <v/>
      </c>
      <c r="EM2" s="118" t="str">
        <f>B70</f>
        <v/>
      </c>
      <c r="EN2" s="118" t="str">
        <f>B71</f>
        <v/>
      </c>
      <c r="EO2" s="118" t="str">
        <f>B72</f>
        <v/>
      </c>
      <c r="EP2" s="118" t="str">
        <f>B73</f>
        <v/>
      </c>
      <c r="EQ2" s="118" t="str">
        <f>B74</f>
        <v/>
      </c>
      <c r="ER2" s="118" t="str">
        <f>B75</f>
        <v/>
      </c>
      <c r="ES2" s="118" t="str">
        <f>B76</f>
        <v/>
      </c>
      <c r="ET2" s="118" t="str">
        <f>B77</f>
        <v/>
      </c>
      <c r="EU2" s="118" t="str">
        <f>B78</f>
        <v/>
      </c>
      <c r="EV2" s="118" t="str">
        <f>B78</f>
        <v/>
      </c>
      <c r="EW2" s="118" t="str">
        <f>B80</f>
        <v/>
      </c>
      <c r="EX2" s="118" t="str">
        <f>B81</f>
        <v/>
      </c>
      <c r="EY2" s="118" t="str">
        <f>B82</f>
        <v/>
      </c>
      <c r="EZ2" s="118" t="str">
        <f>B83</f>
        <v/>
      </c>
      <c r="FA2" s="118" t="str">
        <f>B84</f>
        <v/>
      </c>
      <c r="FB2" s="118" t="str">
        <f>B85</f>
        <v/>
      </c>
      <c r="FC2" s="118" t="str">
        <f>B86</f>
        <v/>
      </c>
      <c r="FD2" s="118" t="str">
        <f>B87</f>
        <v/>
      </c>
      <c r="FE2" s="118" t="str">
        <f>B88</f>
        <v/>
      </c>
      <c r="FF2" s="118" t="str">
        <f>B89</f>
        <v/>
      </c>
      <c r="FG2" s="118" t="str">
        <f>B90</f>
        <v/>
      </c>
      <c r="FH2" s="118" t="str">
        <f>B91</f>
        <v/>
      </c>
      <c r="FI2" s="118" t="str">
        <f>B92</f>
        <v/>
      </c>
      <c r="FJ2" s="118" t="str">
        <f>B93</f>
        <v/>
      </c>
      <c r="FK2" s="118" t="str">
        <f>B94</f>
        <v/>
      </c>
      <c r="FL2" s="118" t="str">
        <f>B95</f>
        <v/>
      </c>
      <c r="FM2" s="118" t="str">
        <f>B96</f>
        <v/>
      </c>
      <c r="FN2" s="118" t="str">
        <f>B97</f>
        <v/>
      </c>
      <c r="FO2" s="118" t="str">
        <f>B98</f>
        <v/>
      </c>
      <c r="FP2" s="118" t="str">
        <f>B99</f>
        <v/>
      </c>
      <c r="FQ2" s="118" t="str">
        <f>B100</f>
        <v/>
      </c>
      <c r="FR2" s="118" t="str">
        <f>B101</f>
        <v/>
      </c>
      <c r="FS2" s="118" t="str">
        <f>B102</f>
        <v/>
      </c>
      <c r="FT2" s="14">
        <v>1</v>
      </c>
      <c r="FU2" s="14">
        <v>2</v>
      </c>
      <c r="FV2" s="14">
        <v>3</v>
      </c>
      <c r="FW2" s="14">
        <v>4</v>
      </c>
      <c r="FX2" s="14">
        <v>5</v>
      </c>
      <c r="FY2" s="14">
        <v>6</v>
      </c>
      <c r="FZ2" s="14">
        <v>7</v>
      </c>
      <c r="GA2" s="14">
        <v>8</v>
      </c>
      <c r="GB2" s="14">
        <v>9</v>
      </c>
      <c r="GC2" s="14">
        <v>10</v>
      </c>
      <c r="GD2" s="14">
        <v>11</v>
      </c>
      <c r="GE2" s="14">
        <v>12</v>
      </c>
      <c r="GF2" s="14">
        <v>13</v>
      </c>
      <c r="GG2" s="14">
        <v>14</v>
      </c>
      <c r="GH2" s="14">
        <v>15</v>
      </c>
      <c r="GI2" s="14">
        <v>16</v>
      </c>
      <c r="GJ2" s="14">
        <v>17</v>
      </c>
      <c r="GK2" s="14">
        <v>18</v>
      </c>
      <c r="GL2" s="14">
        <v>19</v>
      </c>
      <c r="GM2" s="14">
        <v>20</v>
      </c>
      <c r="GN2" s="14">
        <v>21</v>
      </c>
      <c r="GO2" s="14">
        <v>22</v>
      </c>
      <c r="GP2" s="14">
        <v>23</v>
      </c>
      <c r="GQ2" s="14">
        <v>24</v>
      </c>
      <c r="GR2" s="14">
        <v>25</v>
      </c>
      <c r="GS2" s="14">
        <v>26</v>
      </c>
      <c r="GT2" s="14">
        <v>27</v>
      </c>
      <c r="GU2" s="14">
        <v>28</v>
      </c>
      <c r="GV2" s="14">
        <v>29</v>
      </c>
      <c r="GW2" s="14">
        <v>30</v>
      </c>
      <c r="GX2" s="14">
        <v>31</v>
      </c>
      <c r="GY2" s="14">
        <v>32</v>
      </c>
      <c r="GZ2" s="14">
        <v>33</v>
      </c>
      <c r="HA2" s="14">
        <v>34</v>
      </c>
      <c r="HB2" s="14">
        <v>35</v>
      </c>
      <c r="HC2" s="14">
        <v>36</v>
      </c>
      <c r="HD2" s="14">
        <v>37</v>
      </c>
      <c r="HE2" s="14">
        <v>38</v>
      </c>
      <c r="HF2" s="14">
        <v>39</v>
      </c>
      <c r="HG2" s="14">
        <v>40</v>
      </c>
      <c r="HH2" s="14">
        <v>41</v>
      </c>
      <c r="HI2" s="14">
        <v>42</v>
      </c>
      <c r="HJ2" s="14">
        <v>43</v>
      </c>
      <c r="HK2" s="14">
        <v>44</v>
      </c>
      <c r="HL2" s="14">
        <v>45</v>
      </c>
      <c r="HM2" s="14">
        <v>46</v>
      </c>
      <c r="HN2" s="14">
        <v>47</v>
      </c>
      <c r="HO2" s="14">
        <v>48</v>
      </c>
      <c r="HP2" s="14">
        <v>49</v>
      </c>
      <c r="HQ2" s="14">
        <v>50</v>
      </c>
      <c r="HR2" s="14">
        <v>51</v>
      </c>
      <c r="HS2" s="14">
        <v>52</v>
      </c>
      <c r="HT2" s="14">
        <v>53</v>
      </c>
      <c r="HU2" s="14">
        <v>54</v>
      </c>
      <c r="HV2" s="14">
        <v>55</v>
      </c>
      <c r="HW2" s="14">
        <v>56</v>
      </c>
      <c r="HX2" s="14">
        <v>57</v>
      </c>
      <c r="HY2" s="14">
        <v>58</v>
      </c>
      <c r="HZ2" s="14">
        <v>59</v>
      </c>
      <c r="IA2" s="14">
        <v>60</v>
      </c>
      <c r="IB2" s="14">
        <v>61</v>
      </c>
      <c r="IC2" s="14">
        <v>62</v>
      </c>
      <c r="ID2" s="14">
        <v>63</v>
      </c>
      <c r="IE2" s="14">
        <v>64</v>
      </c>
      <c r="IF2" s="14">
        <v>65</v>
      </c>
      <c r="IG2" s="14">
        <v>66</v>
      </c>
      <c r="IH2" s="14">
        <v>67</v>
      </c>
      <c r="II2" s="14">
        <v>68</v>
      </c>
      <c r="IJ2" s="14">
        <v>69</v>
      </c>
      <c r="IK2" s="14">
        <v>70</v>
      </c>
      <c r="IL2" s="14">
        <v>71</v>
      </c>
      <c r="IM2" s="14">
        <v>72</v>
      </c>
      <c r="IN2" s="14">
        <v>73</v>
      </c>
      <c r="IO2" s="14">
        <v>74</v>
      </c>
      <c r="IP2" s="14">
        <v>75</v>
      </c>
      <c r="IQ2" s="14">
        <v>76</v>
      </c>
      <c r="IR2" s="14">
        <v>77</v>
      </c>
      <c r="IS2" s="14">
        <v>78</v>
      </c>
      <c r="IT2" s="14">
        <v>79</v>
      </c>
      <c r="IU2" s="14">
        <v>80</v>
      </c>
      <c r="IV2" s="14">
        <v>81</v>
      </c>
      <c r="IW2" s="14">
        <v>82</v>
      </c>
      <c r="IX2" s="14">
        <v>83</v>
      </c>
      <c r="IY2" s="14">
        <v>84</v>
      </c>
      <c r="IZ2" s="14">
        <v>85</v>
      </c>
      <c r="JA2" s="14">
        <v>86</v>
      </c>
      <c r="JB2" s="14">
        <v>87</v>
      </c>
      <c r="JC2" s="14">
        <v>88</v>
      </c>
      <c r="JD2" s="14">
        <v>89</v>
      </c>
      <c r="JE2" s="14">
        <v>90</v>
      </c>
      <c r="JF2" s="14">
        <v>91</v>
      </c>
      <c r="JG2" s="14">
        <v>92</v>
      </c>
      <c r="JH2" s="14">
        <v>93</v>
      </c>
      <c r="JI2" s="14">
        <v>94</v>
      </c>
      <c r="JJ2" s="14">
        <v>95</v>
      </c>
      <c r="JK2" s="14">
        <v>96</v>
      </c>
      <c r="JL2" s="14">
        <v>97</v>
      </c>
      <c r="JM2" s="14">
        <v>98</v>
      </c>
      <c r="JN2" s="14">
        <v>99</v>
      </c>
      <c r="JO2" s="14">
        <v>100</v>
      </c>
    </row>
    <row r="3" spans="1:275" ht="14.5" x14ac:dyDescent="0.35">
      <c r="A3" s="59">
        <f>IF('Data input'!A3&lt;&gt;"",'Data input'!A3,"")</f>
        <v>1</v>
      </c>
      <c r="B3" s="60" t="str">
        <f>IF('Data input'!B3&lt;&gt;"",'Data input'!B3,"")</f>
        <v>Alabama</v>
      </c>
      <c r="C3" s="19">
        <f>IF('Data input'!C3="","",4*('Data input'!C3-'Data input'!C$108)/('Data input'!C$109-'Data input'!C$108)+1)</f>
        <v>4.9146645393590394</v>
      </c>
      <c r="D3" s="19" t="str">
        <f>IF('Data input'!D3="","",4*('Data input'!D3-'Data input'!D$108)/('Data input'!D$109-'Data input'!D$108)+1)</f>
        <v/>
      </c>
      <c r="E3" s="19" t="str">
        <f>IF('Data input'!E3="","",4*('Data input'!E3-'Data input'!E$108)/('Data input'!E$109-'Data input'!E$108)+1)</f>
        <v/>
      </c>
      <c r="F3" s="19" t="str">
        <f>IF('Data input'!F3="","",4*('Data input'!F3-'Data input'!F$108)/('Data input'!F$109-'Data input'!F$108)+1)</f>
        <v/>
      </c>
      <c r="G3" s="19" t="str">
        <f>IF('Data input'!G3="","",4*('Data input'!G3-'Data input'!G$108)/('Data input'!G$109-'Data input'!G$108)+1)</f>
        <v/>
      </c>
      <c r="H3" s="61">
        <f>IF('Data input'!H3="","",4*('Data input'!H3-'Data input'!H$108)/('Data input'!H$109-'Data input'!H$108)+1)</f>
        <v>1.0614636100783366</v>
      </c>
      <c r="I3" s="19">
        <f>IF('Data input'!I3="","",4*('Data input'!I3-'Data input'!I$108)/('Data input'!I$109-'Data input'!I$108)+1)</f>
        <v>2.9888943058158413</v>
      </c>
      <c r="J3" s="19" t="str">
        <f>IF('Data input'!J3="","",4*('Data input'!J3-'Data input'!J$108)/('Data input'!J$109-'Data input'!J$108)+1)</f>
        <v/>
      </c>
      <c r="K3" s="19" t="str">
        <f>IF('Data input'!K3="","",4*('Data input'!K3-'Data input'!K$108)/('Data input'!K$109-'Data input'!K$108)+1)</f>
        <v/>
      </c>
      <c r="L3" s="19" t="str">
        <f>IF('Data input'!L3="","",4*('Data input'!L3-'Data input'!L$108)/('Data input'!L$109-'Data input'!L$108)+1)</f>
        <v/>
      </c>
      <c r="M3" s="19">
        <f>IF('Data input'!M3="","",4*('Data input'!M3-'Data input'!M$108)/('Data input'!M$109-'Data input'!M$108)+1)</f>
        <v>1.5912944628203136</v>
      </c>
      <c r="N3" s="16" t="str">
        <f>IF('Data input'!N3="","",4*('Data input'!N3-'Data input'!N$108)/('Data input'!N$109-'Data input'!N$108)+1)</f>
        <v/>
      </c>
      <c r="O3" s="19" t="str">
        <f>IF('Data input'!O3="","",4*('Data input'!O3-'Data input'!O$108)/('Data input'!O$109-'Data input'!O$108)+1)</f>
        <v/>
      </c>
      <c r="P3" s="19" t="str">
        <f>IF('Data input'!P3="","",4*('Data input'!P3-'Data input'!P$108)/('Data input'!P$109-'Data input'!P$108)+1)</f>
        <v/>
      </c>
      <c r="Q3" s="19" t="str">
        <f>IF('Data input'!Q3="","",4*('Data input'!Q3-'Data input'!Q$108)/('Data input'!Q$109-'Data input'!Q$108)+1)</f>
        <v/>
      </c>
      <c r="R3" s="19" t="str">
        <f>IF('Data input'!R3="","",4*('Data input'!R3-'Data input'!R$108)/('Data input'!R$109-'Data input'!R$108)+1)</f>
        <v/>
      </c>
      <c r="S3" s="16" t="str">
        <f>IF('Data input'!S3="","",4*('Data input'!S3-'Data input'!S$108)/('Data input'!S$109-'Data input'!S$108)+1)</f>
        <v/>
      </c>
      <c r="T3" s="19" t="str">
        <f>IF('Data input'!T3="","",4*('Data input'!T3-'Data input'!T$108)/('Data input'!T$109-'Data input'!T$108)+1)</f>
        <v/>
      </c>
      <c r="U3" s="19" t="str">
        <f>IF('Data input'!U3="","",4*('Data input'!U3-'Data input'!U$108)/('Data input'!U$109-'Data input'!U$108)+1)</f>
        <v/>
      </c>
      <c r="V3" s="19" t="str">
        <f>IF('Data input'!V3="","",4*('Data input'!V3-'Data input'!V$108)/('Data input'!V$109-'Data input'!V$108)+1)</f>
        <v/>
      </c>
      <c r="W3" s="16" t="str">
        <f>IF('Data input'!W3="","",4*('Data input'!W3-'Data input'!W$108)/('Data input'!W$109-'Data input'!W$108)+1)</f>
        <v/>
      </c>
      <c r="X3" s="16" t="str">
        <f>IF('Data input'!X3="","",4*('Data input'!X3-'Data input'!X$108)/('Data input'!X$109-'Data input'!X$108)+1)</f>
        <v/>
      </c>
      <c r="Y3" s="16" t="str">
        <f>IF('Data input'!Y3="","",4*('Data input'!Y3-'Data input'!Y$108)/('Data input'!Y$109-'Data input'!Y$108)+1)</f>
        <v/>
      </c>
      <c r="Z3" s="16" t="str">
        <f>IF('Data input'!Z3="","",4*('Data input'!Z3-'Data input'!Z$108)/('Data input'!Z$109-'Data input'!Z$108)+1)</f>
        <v/>
      </c>
      <c r="AA3" s="62" t="str">
        <f>IF('Data input'!AA3="","",4*('Data input'!AA3-'Data input'!AA$108)/('Data input'!AA$109-'Data input'!AA$108)+1)</f>
        <v/>
      </c>
      <c r="AB3" s="78"/>
      <c r="AC3" s="79">
        <v>0</v>
      </c>
      <c r="AD3" s="80" t="e">
        <f>AC3/$AC$107</f>
        <v>#DIV/0!</v>
      </c>
      <c r="AE3" s="4"/>
      <c r="AF3" s="59">
        <f>A3</f>
        <v>1</v>
      </c>
      <c r="AG3" s="60" t="str">
        <f>B3</f>
        <v>Alabama</v>
      </c>
      <c r="AH3">
        <v>0</v>
      </c>
      <c r="AI3" t="s">
        <v>69</v>
      </c>
      <c r="AJ3" t="s">
        <v>69</v>
      </c>
      <c r="AK3" t="s">
        <v>69</v>
      </c>
      <c r="AL3" t="s">
        <v>69</v>
      </c>
      <c r="AM3">
        <v>-2.5031443277603922E-15</v>
      </c>
      <c r="AN3">
        <v>8.6868163643022823E-14</v>
      </c>
      <c r="AO3" t="s">
        <v>69</v>
      </c>
      <c r="AP3" t="s">
        <v>69</v>
      </c>
      <c r="AQ3" t="s">
        <v>69</v>
      </c>
      <c r="AR3">
        <v>0.99999999999998668</v>
      </c>
      <c r="AS3" s="71">
        <f>IF(C3&lt;&gt;"",C3+AH3,"")</f>
        <v>4.9146645393590394</v>
      </c>
      <c r="AT3" s="71" t="str">
        <f t="shared" ref="AT3:AW18" si="4">IF(D3&lt;&gt;"",D3+AI3,"")</f>
        <v/>
      </c>
      <c r="AU3" s="71" t="str">
        <f t="shared" si="4"/>
        <v/>
      </c>
      <c r="AV3" s="71" t="str">
        <f t="shared" si="4"/>
        <v/>
      </c>
      <c r="AW3" s="71" t="str">
        <f t="shared" si="4"/>
        <v/>
      </c>
      <c r="AX3" s="71">
        <f>IF(H3&lt;&gt;"",H3-AM3,"")</f>
        <v>1.061463610078339</v>
      </c>
      <c r="AY3" s="71">
        <f t="shared" ref="AY3:BB18" si="5">IF(I3&lt;&gt;"",I3-AN3,"")</f>
        <v>2.9888943058157542</v>
      </c>
      <c r="AZ3" s="71" t="str">
        <f t="shared" si="5"/>
        <v/>
      </c>
      <c r="BA3" s="71" t="str">
        <f t="shared" si="5"/>
        <v/>
      </c>
      <c r="BB3" s="71" t="str">
        <f t="shared" si="5"/>
        <v/>
      </c>
      <c r="BC3" s="18">
        <f>IF(C3&lt;&gt;"",(('Data input'!C$109-'Data input'!C$108)*(AS3-1)/4)+'Data input'!C$108,"")</f>
        <v>0.9931943920088725</v>
      </c>
      <c r="BD3" s="18" t="str">
        <f>IF(D3&lt;&gt;"",(('Data input'!D$109-'Data input'!D$108)*(AT3-1)/4)+'Data input'!D$108,"")</f>
        <v/>
      </c>
      <c r="BE3" s="18" t="str">
        <f>IF(E3&lt;&gt;"",(('Data input'!E$109-'Data input'!E$108)*(AU3-1)/4)+'Data input'!E$108,"")</f>
        <v/>
      </c>
      <c r="BF3" s="18" t="str">
        <f>IF(F3&lt;&gt;"",(('Data input'!F$109-'Data input'!F$108)*(AV3-1)/4)+'Data input'!F$108,"")</f>
        <v/>
      </c>
      <c r="BG3" s="18" t="str">
        <f>IF(G3&lt;&gt;"",(('Data input'!G$109-'Data input'!G$108)*(AW3-1)/4)+'Data input'!G$108,"")</f>
        <v/>
      </c>
      <c r="BH3" s="19">
        <f>IF(H3&lt;&gt;"",(('Data input'!H$109-'Data input'!H$108)*(AX3-1)/4)+'Data input'!H$108,"")</f>
        <v>1.6342867878832681</v>
      </c>
      <c r="BI3" s="18">
        <f>IF(I3&lt;&gt;"",(('Data input'!I$109-'Data input'!I$108)*(AY3-1)/4)+'Data input'!I$108,"")</f>
        <v>8.7329310892342957E-2</v>
      </c>
      <c r="BJ3" s="19" t="str">
        <f>IF(J3&lt;&gt;"",(('Data input'!J$109-'Data input'!J$108)*(AZ3-1)/4)+'Data input'!J$108,"")</f>
        <v/>
      </c>
      <c r="BK3" s="19" t="str">
        <f>IF(K3&lt;&gt;"",(('Data input'!K$109-'Data input'!K$108)*(BA3-1)/4)+'Data input'!K$108,"")</f>
        <v/>
      </c>
      <c r="BL3" s="19" t="str">
        <f>IF(L3&lt;&gt;"",(('Data input'!L$109-'Data input'!L$108)*(BB3-1)/4)+'Data input'!L$108,"")</f>
        <v/>
      </c>
      <c r="BM3" s="18">
        <f>IF(C3&lt;&gt;"",BC3-'Data input'!C3,"")</f>
        <v>0</v>
      </c>
      <c r="BN3" s="18" t="str">
        <f>IF(D3&lt;&gt;"",BD3-'Data input'!D3,"")</f>
        <v/>
      </c>
      <c r="BO3" s="18" t="str">
        <f>IF(E3&lt;&gt;"",BE3-'Data input'!E3,"")</f>
        <v/>
      </c>
      <c r="BP3" s="18" t="str">
        <f>IF(F3&lt;&gt;"",BF3-'Data input'!F3,"")</f>
        <v/>
      </c>
      <c r="BQ3" s="18" t="str">
        <f>IF(G3&lt;&gt;"",BG3-'Data input'!G3,"")</f>
        <v/>
      </c>
      <c r="BR3" s="19">
        <f>IF(H3&lt;&gt;"",BH3-'Data input'!H3,"")</f>
        <v>5.2402526762307389E-14</v>
      </c>
      <c r="BS3" s="18">
        <f>IF(I3&lt;&gt;"",BI3-'Data input'!I3,"")</f>
        <v>-3.8163916471489756E-15</v>
      </c>
      <c r="BT3" s="18" t="str">
        <f>IF(J3&lt;&gt;"",BJ3-'Data input'!J3,"")</f>
        <v/>
      </c>
      <c r="BU3" s="18" t="str">
        <f>IF(K3&lt;&gt;"",BK3-'Data input'!K3,"")</f>
        <v/>
      </c>
      <c r="BV3" s="72" t="str">
        <f>IF(L3&lt;&gt;"",BL3-'Data input'!L3,"")</f>
        <v/>
      </c>
      <c r="BW3" s="121" t="str">
        <f>CONCATENATE(FT3,FU3,FV3,FW3,FX3,FY3,FZ3,GA3,GB3,GC3,GD3,GE3,GF3,GG3,GH3,GI3,GJ3,GK3,GL3,GM3,GN3,GO3,GP3,GQ3,GR3,GS3,GT3,GU3,GV3,GW3,GX3,GY3,GZ3,HA3,HB3,HC3,HD3,HE3,HF3,HG3,HH3,HI3,HJ3,HK3,HL3,HM3,HN3,HO3,HP3,HQ3,HR3,HS3,HT3,HU3,HV3,HW3,HX3,HY3,HZ3,IA3,IB3,IC3,ID3,IE3,IF3,IG3,IH3,II3,IJ3,IK3,IL3,IM3,IN3,IO3,IP3,IQ3,IR3,IS3,IT3,IU3,IV3,IW3,IX3,IY3,IZ3,JA3,JB3,JC3,JD3,JE3,JF3,JG3,JH3,JI3,JJ3,JK3,JL3,JM3,JN3,JO3)</f>
        <v xml:space="preserve">Alabama; </v>
      </c>
      <c r="BX3" s="1">
        <v>0.99999999999995992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2.3082672295486245E-14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1.7099217587530027E-14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FT3" s="1" t="str">
        <f>IF(BX3&gt;0.0001,CONCATENATE(BX$2,"; "),"")</f>
        <v xml:space="preserve">Alabama; </v>
      </c>
      <c r="FU3" s="1" t="str">
        <f t="shared" ref="FU3:GJ18" si="6">IF(BY3&gt;0.0001,CONCATENATE(BY$2,"; "),"")</f>
        <v/>
      </c>
      <c r="FV3" s="1" t="str">
        <f t="shared" si="6"/>
        <v/>
      </c>
      <c r="FW3" s="1" t="str">
        <f t="shared" si="6"/>
        <v/>
      </c>
      <c r="FX3" s="1" t="str">
        <f t="shared" si="6"/>
        <v/>
      </c>
      <c r="FY3" s="1" t="str">
        <f t="shared" si="6"/>
        <v/>
      </c>
      <c r="FZ3" s="1" t="str">
        <f t="shared" si="6"/>
        <v/>
      </c>
      <c r="GA3" s="1" t="str">
        <f t="shared" si="6"/>
        <v/>
      </c>
      <c r="GB3" s="1" t="str">
        <f t="shared" si="6"/>
        <v/>
      </c>
      <c r="GC3" s="1" t="str">
        <f t="shared" si="6"/>
        <v/>
      </c>
      <c r="GD3" s="1" t="str">
        <f t="shared" si="6"/>
        <v/>
      </c>
      <c r="GE3" s="1" t="str">
        <f t="shared" si="6"/>
        <v/>
      </c>
      <c r="GF3" s="1" t="str">
        <f t="shared" si="6"/>
        <v/>
      </c>
      <c r="GG3" s="1" t="str">
        <f t="shared" si="6"/>
        <v/>
      </c>
      <c r="GH3" s="1" t="str">
        <f t="shared" si="6"/>
        <v/>
      </c>
      <c r="GI3" s="1" t="str">
        <f t="shared" si="6"/>
        <v/>
      </c>
      <c r="GJ3" s="1" t="str">
        <f t="shared" si="6"/>
        <v/>
      </c>
      <c r="GK3" s="1" t="str">
        <f t="shared" ref="GK3:GZ18" si="7">IF(CO3&gt;0.0001,CONCATENATE(CO$2,"; "),"")</f>
        <v/>
      </c>
      <c r="GL3" s="1" t="str">
        <f t="shared" si="7"/>
        <v/>
      </c>
      <c r="GM3" s="1" t="str">
        <f t="shared" si="7"/>
        <v/>
      </c>
      <c r="GN3" s="1" t="str">
        <f t="shared" si="7"/>
        <v/>
      </c>
      <c r="GO3" s="1" t="str">
        <f t="shared" si="7"/>
        <v/>
      </c>
      <c r="GP3" s="1" t="str">
        <f t="shared" si="7"/>
        <v/>
      </c>
      <c r="GQ3" s="1" t="str">
        <f t="shared" si="7"/>
        <v/>
      </c>
      <c r="GR3" s="1" t="str">
        <f t="shared" si="7"/>
        <v/>
      </c>
      <c r="GS3" s="1" t="str">
        <f t="shared" si="7"/>
        <v/>
      </c>
      <c r="GT3" s="1" t="str">
        <f t="shared" si="7"/>
        <v/>
      </c>
      <c r="GU3" s="1" t="str">
        <f t="shared" si="7"/>
        <v/>
      </c>
      <c r="GV3" s="1" t="str">
        <f t="shared" si="7"/>
        <v/>
      </c>
      <c r="GW3" s="1" t="str">
        <f t="shared" si="7"/>
        <v/>
      </c>
      <c r="GX3" s="1" t="str">
        <f t="shared" si="7"/>
        <v/>
      </c>
      <c r="GY3" s="1" t="str">
        <f t="shared" si="7"/>
        <v/>
      </c>
      <c r="GZ3" s="1" t="str">
        <f t="shared" si="7"/>
        <v/>
      </c>
      <c r="HA3" s="1" t="str">
        <f t="shared" ref="HA3:HP18" si="8">IF(DE3&gt;0.0001,CONCATENATE(DE$2,"; "),"")</f>
        <v/>
      </c>
      <c r="HB3" s="1" t="str">
        <f t="shared" si="8"/>
        <v/>
      </c>
      <c r="HC3" s="1" t="str">
        <f t="shared" si="8"/>
        <v/>
      </c>
      <c r="HD3" s="1" t="str">
        <f t="shared" si="8"/>
        <v/>
      </c>
      <c r="HE3" s="1" t="str">
        <f t="shared" si="8"/>
        <v/>
      </c>
      <c r="HF3" s="1" t="str">
        <f t="shared" si="8"/>
        <v/>
      </c>
      <c r="HG3" s="1" t="str">
        <f t="shared" si="8"/>
        <v/>
      </c>
      <c r="HH3" s="1" t="str">
        <f t="shared" si="8"/>
        <v/>
      </c>
      <c r="HI3" s="1" t="str">
        <f t="shared" si="8"/>
        <v/>
      </c>
      <c r="HJ3" s="1" t="str">
        <f t="shared" si="8"/>
        <v/>
      </c>
      <c r="HK3" s="1" t="str">
        <f t="shared" si="8"/>
        <v/>
      </c>
      <c r="HL3" s="1" t="str">
        <f t="shared" si="8"/>
        <v/>
      </c>
      <c r="HM3" s="1" t="str">
        <f t="shared" si="8"/>
        <v/>
      </c>
      <c r="HN3" s="1" t="str">
        <f t="shared" si="8"/>
        <v/>
      </c>
      <c r="HO3" s="1" t="str">
        <f t="shared" si="8"/>
        <v/>
      </c>
      <c r="HP3" s="1" t="str">
        <f t="shared" si="8"/>
        <v/>
      </c>
      <c r="HQ3" s="1" t="str">
        <f t="shared" ref="HQ3:IF18" si="9">IF(DU3&gt;0.0001,CONCATENATE(DU$2,"; "),"")</f>
        <v/>
      </c>
      <c r="HR3" s="1" t="str">
        <f t="shared" si="9"/>
        <v/>
      </c>
      <c r="HS3" s="1" t="str">
        <f t="shared" si="9"/>
        <v/>
      </c>
      <c r="HT3" s="1" t="str">
        <f t="shared" si="9"/>
        <v/>
      </c>
      <c r="HU3" s="1" t="str">
        <f t="shared" si="9"/>
        <v/>
      </c>
      <c r="HV3" s="1" t="str">
        <f t="shared" si="9"/>
        <v/>
      </c>
      <c r="HW3" s="1" t="str">
        <f t="shared" si="9"/>
        <v/>
      </c>
      <c r="HX3" s="1" t="str">
        <f t="shared" si="9"/>
        <v/>
      </c>
      <c r="HY3" s="1" t="str">
        <f t="shared" si="9"/>
        <v/>
      </c>
      <c r="HZ3" s="1" t="str">
        <f t="shared" si="9"/>
        <v/>
      </c>
      <c r="IA3" s="1" t="str">
        <f t="shared" si="9"/>
        <v/>
      </c>
      <c r="IB3" s="1" t="str">
        <f t="shared" si="9"/>
        <v/>
      </c>
      <c r="IC3" s="1" t="str">
        <f t="shared" si="9"/>
        <v/>
      </c>
      <c r="ID3" s="1" t="str">
        <f t="shared" si="9"/>
        <v/>
      </c>
      <c r="IE3" s="1" t="str">
        <f t="shared" si="9"/>
        <v/>
      </c>
      <c r="IF3" s="1" t="str">
        <f t="shared" si="9"/>
        <v/>
      </c>
      <c r="IG3" s="1" t="str">
        <f t="shared" ref="IG3:IV18" si="10">IF(EK3&gt;0.0001,CONCATENATE(EK$2,"; "),"")</f>
        <v/>
      </c>
      <c r="IH3" s="1" t="str">
        <f t="shared" si="10"/>
        <v/>
      </c>
      <c r="II3" s="1" t="str">
        <f t="shared" si="10"/>
        <v/>
      </c>
      <c r="IJ3" s="1" t="str">
        <f t="shared" si="10"/>
        <v/>
      </c>
      <c r="IK3" s="1" t="str">
        <f t="shared" si="10"/>
        <v/>
      </c>
      <c r="IL3" s="1" t="str">
        <f t="shared" si="10"/>
        <v/>
      </c>
      <c r="IM3" s="1" t="str">
        <f t="shared" si="10"/>
        <v/>
      </c>
      <c r="IN3" s="1" t="str">
        <f t="shared" si="10"/>
        <v/>
      </c>
      <c r="IO3" s="1" t="str">
        <f t="shared" si="10"/>
        <v/>
      </c>
      <c r="IP3" s="1" t="str">
        <f t="shared" si="10"/>
        <v/>
      </c>
      <c r="IQ3" s="1" t="str">
        <f t="shared" si="10"/>
        <v/>
      </c>
      <c r="IR3" s="1" t="str">
        <f t="shared" si="10"/>
        <v/>
      </c>
      <c r="IS3" s="1" t="str">
        <f t="shared" si="10"/>
        <v/>
      </c>
      <c r="IT3" s="1" t="str">
        <f t="shared" si="10"/>
        <v/>
      </c>
      <c r="IU3" s="1" t="str">
        <f t="shared" si="10"/>
        <v/>
      </c>
      <c r="IV3" s="1" t="str">
        <f t="shared" si="10"/>
        <v/>
      </c>
      <c r="IW3" s="1" t="str">
        <f t="shared" ref="IW3:JL18" si="11">IF(FA3&gt;0.0001,CONCATENATE(FA$2,"; "),"")</f>
        <v/>
      </c>
      <c r="IX3" s="1" t="str">
        <f t="shared" si="11"/>
        <v/>
      </c>
      <c r="IY3" s="1" t="str">
        <f t="shared" si="11"/>
        <v/>
      </c>
      <c r="IZ3" s="1" t="str">
        <f t="shared" si="11"/>
        <v/>
      </c>
      <c r="JA3" s="1" t="str">
        <f t="shared" si="11"/>
        <v/>
      </c>
      <c r="JB3" s="1" t="str">
        <f t="shared" si="11"/>
        <v/>
      </c>
      <c r="JC3" s="1" t="str">
        <f t="shared" si="11"/>
        <v/>
      </c>
      <c r="JD3" s="1" t="str">
        <f t="shared" si="11"/>
        <v/>
      </c>
      <c r="JE3" s="1" t="str">
        <f t="shared" si="11"/>
        <v/>
      </c>
      <c r="JF3" s="1" t="str">
        <f t="shared" si="11"/>
        <v/>
      </c>
      <c r="JG3" s="1" t="str">
        <f t="shared" si="11"/>
        <v/>
      </c>
      <c r="JH3" s="1" t="str">
        <f t="shared" si="11"/>
        <v/>
      </c>
      <c r="JI3" s="1" t="str">
        <f t="shared" si="11"/>
        <v/>
      </c>
      <c r="JJ3" s="1" t="str">
        <f t="shared" si="11"/>
        <v/>
      </c>
      <c r="JK3" s="1" t="str">
        <f t="shared" si="11"/>
        <v/>
      </c>
      <c r="JL3" s="1" t="str">
        <f t="shared" si="11"/>
        <v/>
      </c>
      <c r="JM3" s="1" t="str">
        <f t="shared" ref="JM3:JO66" si="12">IF(FQ3&gt;0.0001,CONCATENATE(FQ$2,"; "),"")</f>
        <v/>
      </c>
      <c r="JN3" s="1" t="str">
        <f t="shared" si="12"/>
        <v/>
      </c>
      <c r="JO3" s="1" t="str">
        <f t="shared" si="12"/>
        <v/>
      </c>
    </row>
    <row r="4" spans="1:275" ht="14.5" x14ac:dyDescent="0.35">
      <c r="A4" s="59">
        <f>IF('Data input'!A4&lt;&gt;"",'Data input'!A4,"")</f>
        <v>2</v>
      </c>
      <c r="B4" s="60" t="str">
        <f>IF('Data input'!B4&lt;&gt;"",'Data input'!B4,"")</f>
        <v>Alaska</v>
      </c>
      <c r="C4" s="19">
        <f>IF('Data input'!C4="","",4*('Data input'!C4-'Data input'!C$108)/('Data input'!C$109-'Data input'!C$108)+1)</f>
        <v>3.5059936108406551</v>
      </c>
      <c r="D4" s="19" t="str">
        <f>IF('Data input'!D4="","",4*('Data input'!D4-'Data input'!D$108)/('Data input'!D$109-'Data input'!D$108)+1)</f>
        <v/>
      </c>
      <c r="E4" s="19" t="str">
        <f>IF('Data input'!E4="","",4*('Data input'!E4-'Data input'!E$108)/('Data input'!E$109-'Data input'!E$108)+1)</f>
        <v/>
      </c>
      <c r="F4" s="19" t="str">
        <f>IF('Data input'!F4="","",4*('Data input'!F4-'Data input'!F$108)/('Data input'!F$109-'Data input'!F$108)+1)</f>
        <v/>
      </c>
      <c r="G4" s="19" t="str">
        <f>IF('Data input'!G4="","",4*('Data input'!G4-'Data input'!G$108)/('Data input'!G$109-'Data input'!G$108)+1)</f>
        <v/>
      </c>
      <c r="H4" s="61">
        <f>IF('Data input'!H4="","",4*('Data input'!H4-'Data input'!H$108)/('Data input'!H$109-'Data input'!H$108)+1)</f>
        <v>5</v>
      </c>
      <c r="I4" s="19">
        <f>IF('Data input'!I4="","",4*('Data input'!I4-'Data input'!I$108)/('Data input'!I$109-'Data input'!I$108)+1)</f>
        <v>1</v>
      </c>
      <c r="J4" s="19" t="str">
        <f>IF('Data input'!J4="","",4*('Data input'!J4-'Data input'!J$108)/('Data input'!J$109-'Data input'!J$108)+1)</f>
        <v/>
      </c>
      <c r="K4" s="19" t="str">
        <f>IF('Data input'!K4="","",4*('Data input'!K4-'Data input'!K$108)/('Data input'!K$109-'Data input'!K$108)+1)</f>
        <v/>
      </c>
      <c r="L4" s="19" t="str">
        <f>IF('Data input'!L4="","",4*('Data input'!L4-'Data input'!L$108)/('Data input'!L$109-'Data input'!L$108)+1)</f>
        <v/>
      </c>
      <c r="M4" s="19">
        <f>IF('Data input'!M4="","",4*('Data input'!M4-'Data input'!M$108)/('Data input'!M$109-'Data input'!M$108)+1)</f>
        <v>1.3081226274779674</v>
      </c>
      <c r="N4" s="16" t="str">
        <f>IF('Data input'!N4="","",4*('Data input'!N4-'Data input'!N$108)/('Data input'!N$109-'Data input'!N$108)+1)</f>
        <v/>
      </c>
      <c r="O4" s="19" t="str">
        <f>IF('Data input'!O4="","",4*('Data input'!O4-'Data input'!O$108)/('Data input'!O$109-'Data input'!O$108)+1)</f>
        <v/>
      </c>
      <c r="P4" s="19" t="str">
        <f>IF('Data input'!P4="","",4*('Data input'!P4-'Data input'!P$108)/('Data input'!P$109-'Data input'!P$108)+1)</f>
        <v/>
      </c>
      <c r="Q4" s="19" t="str">
        <f>IF('Data input'!Q4="","",4*('Data input'!Q4-'Data input'!Q$108)/('Data input'!Q$109-'Data input'!Q$108)+1)</f>
        <v/>
      </c>
      <c r="R4" s="19" t="str">
        <f>IF('Data input'!R4="","",4*('Data input'!R4-'Data input'!R$108)/('Data input'!R$109-'Data input'!R$108)+1)</f>
        <v/>
      </c>
      <c r="S4" s="16" t="str">
        <f>IF('Data input'!S4="","",4*('Data input'!S4-'Data input'!S$108)/('Data input'!S$109-'Data input'!S$108)+1)</f>
        <v/>
      </c>
      <c r="T4" s="19" t="str">
        <f>IF('Data input'!T4="","",4*('Data input'!T4-'Data input'!T$108)/('Data input'!T$109-'Data input'!T$108)+1)</f>
        <v/>
      </c>
      <c r="U4" s="19" t="str">
        <f>IF('Data input'!U4="","",4*('Data input'!U4-'Data input'!U$108)/('Data input'!U$109-'Data input'!U$108)+1)</f>
        <v/>
      </c>
      <c r="V4" s="19" t="str">
        <f>IF('Data input'!V4="","",4*('Data input'!V4-'Data input'!V$108)/('Data input'!V$109-'Data input'!V$108)+1)</f>
        <v/>
      </c>
      <c r="W4" s="16" t="str">
        <f>IF('Data input'!W4="","",4*('Data input'!W4-'Data input'!W$108)/('Data input'!W$109-'Data input'!W$108)+1)</f>
        <v/>
      </c>
      <c r="X4" s="16" t="str">
        <f>IF('Data input'!X4="","",4*('Data input'!X4-'Data input'!X$108)/('Data input'!X$109-'Data input'!X$108)+1)</f>
        <v/>
      </c>
      <c r="Y4" s="16" t="str">
        <f>IF('Data input'!Y4="","",4*('Data input'!Y4-'Data input'!Y$108)/('Data input'!Y$109-'Data input'!Y$108)+1)</f>
        <v/>
      </c>
      <c r="Z4" s="16" t="str">
        <f>IF('Data input'!Z4="","",4*('Data input'!Z4-'Data input'!Z$108)/('Data input'!Z$109-'Data input'!Z$108)+1)</f>
        <v/>
      </c>
      <c r="AA4" s="62" t="str">
        <f>IF('Data input'!AA4="","",4*('Data input'!AA4-'Data input'!AA$108)/('Data input'!AA$109-'Data input'!AA$108)+1)</f>
        <v/>
      </c>
      <c r="AB4" s="78"/>
      <c r="AC4" s="79">
        <v>0</v>
      </c>
      <c r="AD4" s="80" t="e">
        <f t="shared" ref="AD4:AD67" si="13">AC4/$AC$107</f>
        <v>#DIV/0!</v>
      </c>
      <c r="AE4" s="4"/>
      <c r="AF4" s="59">
        <f t="shared" ref="AF4:AG55" si="14">A4</f>
        <v>2</v>
      </c>
      <c r="AG4" s="60" t="str">
        <f t="shared" si="14"/>
        <v>Alaska</v>
      </c>
      <c r="AH4">
        <v>0</v>
      </c>
      <c r="AI4" t="s">
        <v>69</v>
      </c>
      <c r="AJ4" t="s">
        <v>69</v>
      </c>
      <c r="AK4" t="s">
        <v>69</v>
      </c>
      <c r="AL4" t="s">
        <v>69</v>
      </c>
      <c r="AM4">
        <v>8.1090393768236241E-14</v>
      </c>
      <c r="AN4">
        <v>0</v>
      </c>
      <c r="AO4" t="s">
        <v>69</v>
      </c>
      <c r="AP4" t="s">
        <v>69</v>
      </c>
      <c r="AQ4" t="s">
        <v>69</v>
      </c>
      <c r="AR4">
        <v>0.9999999999999919</v>
      </c>
      <c r="AS4" s="71">
        <f t="shared" ref="AS4:AW66" si="15">IF(C4&lt;&gt;"",C4+AH4,"")</f>
        <v>3.5059936108406551</v>
      </c>
      <c r="AT4" s="71" t="str">
        <f t="shared" si="4"/>
        <v/>
      </c>
      <c r="AU4" s="71" t="str">
        <f t="shared" si="4"/>
        <v/>
      </c>
      <c r="AV4" s="71" t="str">
        <f t="shared" si="4"/>
        <v/>
      </c>
      <c r="AW4" s="71" t="str">
        <f t="shared" si="4"/>
        <v/>
      </c>
      <c r="AX4" s="71">
        <f t="shared" ref="AX4:BB66" si="16">IF(H4&lt;&gt;"",H4-AM4,"")</f>
        <v>4.9999999999999192</v>
      </c>
      <c r="AY4" s="71">
        <f t="shared" si="5"/>
        <v>1</v>
      </c>
      <c r="AZ4" s="71" t="str">
        <f t="shared" si="5"/>
        <v/>
      </c>
      <c r="BA4" s="71" t="str">
        <f t="shared" si="5"/>
        <v/>
      </c>
      <c r="BB4" s="71" t="str">
        <f t="shared" si="5"/>
        <v/>
      </c>
      <c r="BC4" s="18">
        <f>IF(C4&lt;&gt;"",(('Data input'!C$109-'Data input'!C$108)*(AS4-1)/4)+'Data input'!C$108,"")</f>
        <v>0.94204953862487117</v>
      </c>
      <c r="BD4" s="18" t="str">
        <f>IF(D4&lt;&gt;"",(('Data input'!D$109-'Data input'!D$108)*(AT4-1)/4)+'Data input'!D$108,"")</f>
        <v/>
      </c>
      <c r="BE4" s="18" t="str">
        <f>IF(E4&lt;&gt;"",(('Data input'!E$109-'Data input'!E$108)*(AU4-1)/4)+'Data input'!E$108,"")</f>
        <v/>
      </c>
      <c r="BF4" s="18" t="str">
        <f>IF(F4&lt;&gt;"",(('Data input'!F$109-'Data input'!F$108)*(AV4-1)/4)+'Data input'!F$108,"")</f>
        <v/>
      </c>
      <c r="BG4" s="18" t="str">
        <f>IF(G4&lt;&gt;"",(('Data input'!G$109-'Data input'!G$108)*(AW4-1)/4)+'Data input'!G$108,"")</f>
        <v/>
      </c>
      <c r="BH4" s="19">
        <f>IF(H4&lt;&gt;"",(('Data input'!H$109-'Data input'!H$108)*(AX4-1)/4)+'Data input'!H$108,"")</f>
        <v>87.407065961313734</v>
      </c>
      <c r="BI4" s="18">
        <f>IF(I4&lt;&gt;"",(('Data input'!I$109-'Data input'!I$108)*(AY4-1)/4)+'Data input'!I$108,"")</f>
        <v>0</v>
      </c>
      <c r="BJ4" s="19" t="str">
        <f>IF(J4&lt;&gt;"",(('Data input'!J$109-'Data input'!J$108)*(AZ4-1)/4)+'Data input'!J$108,"")</f>
        <v/>
      </c>
      <c r="BK4" s="19" t="str">
        <f>IF(K4&lt;&gt;"",(('Data input'!K$109-'Data input'!K$108)*(BA4-1)/4)+'Data input'!K$108,"")</f>
        <v/>
      </c>
      <c r="BL4" s="19" t="str">
        <f>IF(L4&lt;&gt;"",(('Data input'!L$109-'Data input'!L$108)*(BB4-1)/4)+'Data input'!L$108,"")</f>
        <v/>
      </c>
      <c r="BM4" s="18">
        <f>IF(C4&lt;&gt;"",BC4-'Data input'!C4,"")</f>
        <v>0</v>
      </c>
      <c r="BN4" s="18" t="str">
        <f>IF(D4&lt;&gt;"",BD4-'Data input'!D4,"")</f>
        <v/>
      </c>
      <c r="BO4" s="18" t="str">
        <f>IF(E4&lt;&gt;"",BE4-'Data input'!E4,"")</f>
        <v/>
      </c>
      <c r="BP4" s="18" t="str">
        <f>IF(F4&lt;&gt;"",BF4-'Data input'!F4,"")</f>
        <v/>
      </c>
      <c r="BQ4" s="18" t="str">
        <f>IF(G4&lt;&gt;"",BG4-'Data input'!G4,"")</f>
        <v/>
      </c>
      <c r="BR4" s="19">
        <f>IF(H4&lt;&gt;"",BH4-'Data input'!H4,"")</f>
        <v>-1.7621459846850485E-12</v>
      </c>
      <c r="BS4" s="18">
        <f>IF(I4&lt;&gt;"",BI4-'Data input'!I4,"")</f>
        <v>0</v>
      </c>
      <c r="BT4" s="18" t="str">
        <f>IF(J4&lt;&gt;"",BJ4-'Data input'!J4,"")</f>
        <v/>
      </c>
      <c r="BU4" s="18" t="str">
        <f>IF(K4&lt;&gt;"",BK4-'Data input'!K4,"")</f>
        <v/>
      </c>
      <c r="BV4" s="72" t="str">
        <f>IF(L4&lt;&gt;"",BL4-'Data input'!L4,"")</f>
        <v/>
      </c>
      <c r="BW4" s="121" t="str">
        <f t="shared" ref="BW4:BW67" si="17">CONCATENATE(FT4,FU4,FV4,FW4,FX4,FY4,FZ4,GA4,GB4,GC4,GD4,GE4,GF4,GG4,GH4,GI4,GJ4,GK4,GL4,GM4,GN4,GO4,GP4,GQ4,GR4,GS4,GT4,GU4,GV4,GW4,GX4,GY4,GZ4,HA4,HB4,HC4,HD4,HE4,HF4,HG4,HH4,HI4,HJ4,HK4,HL4,HM4,HN4,HO4,HP4,HQ4,HR4,HS4,HT4,HU4,HV4,HW4,HX4,HY4,HZ4,IA4,IB4,IC4,ID4,IE4,IF4,IG4,IH4,II4,IJ4,IK4,IL4,IM4,IN4,IO4,IP4,IQ4,IR4,IS4,IT4,IU4,IV4,IW4,IX4,IY4,IZ4,JA4,JB4,JC4,JD4,JE4,JF4,JG4,JH4,JI4,JJ4,JK4,JL4,JM4,JN4,JO4)</f>
        <v xml:space="preserve">Alaska; </v>
      </c>
      <c r="BX4" s="1">
        <v>0</v>
      </c>
      <c r="BY4" s="1">
        <v>0.99999999999997036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8.4391843236997703E-15</v>
      </c>
      <c r="DE4" s="1">
        <v>0</v>
      </c>
      <c r="DF4" s="1">
        <v>1.3436266820922178E-14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7.4892945271271996E-15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FT4" s="1" t="str">
        <f t="shared" ref="FT4:GI33" si="18">IF(BX4&gt;0.0001,CONCATENATE(BX$2,"; "),"")</f>
        <v/>
      </c>
      <c r="FU4" s="1" t="str">
        <f t="shared" si="6"/>
        <v xml:space="preserve">Alaska; </v>
      </c>
      <c r="FV4" s="1" t="str">
        <f t="shared" si="6"/>
        <v/>
      </c>
      <c r="FW4" s="1" t="str">
        <f t="shared" si="6"/>
        <v/>
      </c>
      <c r="FX4" s="1" t="str">
        <f t="shared" si="6"/>
        <v/>
      </c>
      <c r="FY4" s="1" t="str">
        <f t="shared" si="6"/>
        <v/>
      </c>
      <c r="FZ4" s="1" t="str">
        <f t="shared" si="6"/>
        <v/>
      </c>
      <c r="GA4" s="1" t="str">
        <f t="shared" si="6"/>
        <v/>
      </c>
      <c r="GB4" s="1" t="str">
        <f t="shared" si="6"/>
        <v/>
      </c>
      <c r="GC4" s="1" t="str">
        <f t="shared" si="6"/>
        <v/>
      </c>
      <c r="GD4" s="1" t="str">
        <f t="shared" si="6"/>
        <v/>
      </c>
      <c r="GE4" s="1" t="str">
        <f t="shared" si="6"/>
        <v/>
      </c>
      <c r="GF4" s="1" t="str">
        <f t="shared" si="6"/>
        <v/>
      </c>
      <c r="GG4" s="1" t="str">
        <f t="shared" si="6"/>
        <v/>
      </c>
      <c r="GH4" s="1" t="str">
        <f t="shared" si="6"/>
        <v/>
      </c>
      <c r="GI4" s="1" t="str">
        <f t="shared" si="6"/>
        <v/>
      </c>
      <c r="GJ4" s="1" t="str">
        <f t="shared" si="6"/>
        <v/>
      </c>
      <c r="GK4" s="1" t="str">
        <f t="shared" si="7"/>
        <v/>
      </c>
      <c r="GL4" s="1" t="str">
        <f t="shared" si="7"/>
        <v/>
      </c>
      <c r="GM4" s="1" t="str">
        <f t="shared" si="7"/>
        <v/>
      </c>
      <c r="GN4" s="1" t="str">
        <f t="shared" si="7"/>
        <v/>
      </c>
      <c r="GO4" s="1" t="str">
        <f t="shared" si="7"/>
        <v/>
      </c>
      <c r="GP4" s="1" t="str">
        <f t="shared" si="7"/>
        <v/>
      </c>
      <c r="GQ4" s="1" t="str">
        <f t="shared" si="7"/>
        <v/>
      </c>
      <c r="GR4" s="1" t="str">
        <f t="shared" si="7"/>
        <v/>
      </c>
      <c r="GS4" s="1" t="str">
        <f t="shared" si="7"/>
        <v/>
      </c>
      <c r="GT4" s="1" t="str">
        <f t="shared" si="7"/>
        <v/>
      </c>
      <c r="GU4" s="1" t="str">
        <f t="shared" si="7"/>
        <v/>
      </c>
      <c r="GV4" s="1" t="str">
        <f t="shared" si="7"/>
        <v/>
      </c>
      <c r="GW4" s="1" t="str">
        <f t="shared" si="7"/>
        <v/>
      </c>
      <c r="GX4" s="1" t="str">
        <f t="shared" si="7"/>
        <v/>
      </c>
      <c r="GY4" s="1" t="str">
        <f t="shared" si="7"/>
        <v/>
      </c>
      <c r="GZ4" s="1" t="str">
        <f t="shared" si="7"/>
        <v/>
      </c>
      <c r="HA4" s="1" t="str">
        <f t="shared" si="8"/>
        <v/>
      </c>
      <c r="HB4" s="1" t="str">
        <f t="shared" si="8"/>
        <v/>
      </c>
      <c r="HC4" s="1" t="str">
        <f t="shared" si="8"/>
        <v/>
      </c>
      <c r="HD4" s="1" t="str">
        <f t="shared" si="8"/>
        <v/>
      </c>
      <c r="HE4" s="1" t="str">
        <f t="shared" si="8"/>
        <v/>
      </c>
      <c r="HF4" s="1" t="str">
        <f t="shared" si="8"/>
        <v/>
      </c>
      <c r="HG4" s="1" t="str">
        <f t="shared" si="8"/>
        <v/>
      </c>
      <c r="HH4" s="1" t="str">
        <f t="shared" si="8"/>
        <v/>
      </c>
      <c r="HI4" s="1" t="str">
        <f t="shared" si="8"/>
        <v/>
      </c>
      <c r="HJ4" s="1" t="str">
        <f t="shared" si="8"/>
        <v/>
      </c>
      <c r="HK4" s="1" t="str">
        <f t="shared" si="8"/>
        <v/>
      </c>
      <c r="HL4" s="1" t="str">
        <f t="shared" si="8"/>
        <v/>
      </c>
      <c r="HM4" s="1" t="str">
        <f t="shared" si="8"/>
        <v/>
      </c>
      <c r="HN4" s="1" t="str">
        <f t="shared" si="8"/>
        <v/>
      </c>
      <c r="HO4" s="1" t="str">
        <f t="shared" si="8"/>
        <v/>
      </c>
      <c r="HP4" s="1" t="str">
        <f t="shared" si="8"/>
        <v/>
      </c>
      <c r="HQ4" s="1" t="str">
        <f t="shared" si="9"/>
        <v/>
      </c>
      <c r="HR4" s="1" t="str">
        <f t="shared" si="9"/>
        <v/>
      </c>
      <c r="HS4" s="1" t="str">
        <f t="shared" si="9"/>
        <v/>
      </c>
      <c r="HT4" s="1" t="str">
        <f t="shared" si="9"/>
        <v/>
      </c>
      <c r="HU4" s="1" t="str">
        <f t="shared" si="9"/>
        <v/>
      </c>
      <c r="HV4" s="1" t="str">
        <f t="shared" si="9"/>
        <v/>
      </c>
      <c r="HW4" s="1" t="str">
        <f t="shared" si="9"/>
        <v/>
      </c>
      <c r="HX4" s="1" t="str">
        <f t="shared" si="9"/>
        <v/>
      </c>
      <c r="HY4" s="1" t="str">
        <f t="shared" si="9"/>
        <v/>
      </c>
      <c r="HZ4" s="1" t="str">
        <f t="shared" si="9"/>
        <v/>
      </c>
      <c r="IA4" s="1" t="str">
        <f t="shared" si="9"/>
        <v/>
      </c>
      <c r="IB4" s="1" t="str">
        <f t="shared" si="9"/>
        <v/>
      </c>
      <c r="IC4" s="1" t="str">
        <f t="shared" si="9"/>
        <v/>
      </c>
      <c r="ID4" s="1" t="str">
        <f t="shared" si="9"/>
        <v/>
      </c>
      <c r="IE4" s="1" t="str">
        <f t="shared" si="9"/>
        <v/>
      </c>
      <c r="IF4" s="1" t="str">
        <f t="shared" si="9"/>
        <v/>
      </c>
      <c r="IG4" s="1" t="str">
        <f t="shared" si="10"/>
        <v/>
      </c>
      <c r="IH4" s="1" t="str">
        <f t="shared" si="10"/>
        <v/>
      </c>
      <c r="II4" s="1" t="str">
        <f t="shared" si="10"/>
        <v/>
      </c>
      <c r="IJ4" s="1" t="str">
        <f t="shared" si="10"/>
        <v/>
      </c>
      <c r="IK4" s="1" t="str">
        <f t="shared" si="10"/>
        <v/>
      </c>
      <c r="IL4" s="1" t="str">
        <f t="shared" si="10"/>
        <v/>
      </c>
      <c r="IM4" s="1" t="str">
        <f t="shared" si="10"/>
        <v/>
      </c>
      <c r="IN4" s="1" t="str">
        <f t="shared" si="10"/>
        <v/>
      </c>
      <c r="IO4" s="1" t="str">
        <f t="shared" si="10"/>
        <v/>
      </c>
      <c r="IP4" s="1" t="str">
        <f t="shared" si="10"/>
        <v/>
      </c>
      <c r="IQ4" s="1" t="str">
        <f t="shared" si="10"/>
        <v/>
      </c>
      <c r="IR4" s="1" t="str">
        <f t="shared" si="10"/>
        <v/>
      </c>
      <c r="IS4" s="1" t="str">
        <f t="shared" si="10"/>
        <v/>
      </c>
      <c r="IT4" s="1" t="str">
        <f t="shared" si="10"/>
        <v/>
      </c>
      <c r="IU4" s="1" t="str">
        <f t="shared" si="10"/>
        <v/>
      </c>
      <c r="IV4" s="1" t="str">
        <f t="shared" si="10"/>
        <v/>
      </c>
      <c r="IW4" s="1" t="str">
        <f t="shared" si="11"/>
        <v/>
      </c>
      <c r="IX4" s="1" t="str">
        <f t="shared" si="11"/>
        <v/>
      </c>
      <c r="IY4" s="1" t="str">
        <f t="shared" si="11"/>
        <v/>
      </c>
      <c r="IZ4" s="1" t="str">
        <f t="shared" si="11"/>
        <v/>
      </c>
      <c r="JA4" s="1" t="str">
        <f t="shared" si="11"/>
        <v/>
      </c>
      <c r="JB4" s="1" t="str">
        <f t="shared" si="11"/>
        <v/>
      </c>
      <c r="JC4" s="1" t="str">
        <f t="shared" si="11"/>
        <v/>
      </c>
      <c r="JD4" s="1" t="str">
        <f t="shared" si="11"/>
        <v/>
      </c>
      <c r="JE4" s="1" t="str">
        <f t="shared" si="11"/>
        <v/>
      </c>
      <c r="JF4" s="1" t="str">
        <f t="shared" si="11"/>
        <v/>
      </c>
      <c r="JG4" s="1" t="str">
        <f t="shared" si="11"/>
        <v/>
      </c>
      <c r="JH4" s="1" t="str">
        <f t="shared" si="11"/>
        <v/>
      </c>
      <c r="JI4" s="1" t="str">
        <f t="shared" si="11"/>
        <v/>
      </c>
      <c r="JJ4" s="1" t="str">
        <f t="shared" si="11"/>
        <v/>
      </c>
      <c r="JK4" s="1" t="str">
        <f t="shared" si="11"/>
        <v/>
      </c>
      <c r="JL4" s="1" t="str">
        <f t="shared" si="11"/>
        <v/>
      </c>
      <c r="JM4" s="1" t="str">
        <f t="shared" si="12"/>
        <v/>
      </c>
      <c r="JN4" s="1" t="str">
        <f t="shared" si="12"/>
        <v/>
      </c>
      <c r="JO4" s="1" t="str">
        <f t="shared" si="12"/>
        <v/>
      </c>
    </row>
    <row r="5" spans="1:275" ht="14.5" x14ac:dyDescent="0.35">
      <c r="A5" s="59">
        <f>IF('Data input'!A5&lt;&gt;"",'Data input'!A5,"")</f>
        <v>3</v>
      </c>
      <c r="B5" s="60" t="str">
        <f>IF('Data input'!B5&lt;&gt;"",'Data input'!B5,"")</f>
        <v>Arizona</v>
      </c>
      <c r="C5" s="19">
        <f>IF('Data input'!C5="","",4*('Data input'!C5-'Data input'!C$108)/('Data input'!C$109-'Data input'!C$108)+1)</f>
        <v>4.819185868255027</v>
      </c>
      <c r="D5" s="19" t="str">
        <f>IF('Data input'!D5="","",4*('Data input'!D5-'Data input'!D$108)/('Data input'!D$109-'Data input'!D$108)+1)</f>
        <v/>
      </c>
      <c r="E5" s="19" t="str">
        <f>IF('Data input'!E5="","",4*('Data input'!E5-'Data input'!E$108)/('Data input'!E$109-'Data input'!E$108)+1)</f>
        <v/>
      </c>
      <c r="F5" s="19" t="str">
        <f>IF('Data input'!F5="","",4*('Data input'!F5-'Data input'!F$108)/('Data input'!F$109-'Data input'!F$108)+1)</f>
        <v/>
      </c>
      <c r="G5" s="19" t="str">
        <f>IF('Data input'!G5="","",4*('Data input'!G5-'Data input'!G$108)/('Data input'!G$109-'Data input'!G$108)+1)</f>
        <v/>
      </c>
      <c r="H5" s="61">
        <f>IF('Data input'!H5="","",4*('Data input'!H5-'Data input'!H$108)/('Data input'!H$109-'Data input'!H$108)+1)</f>
        <v>1.1061075103456683</v>
      </c>
      <c r="I5" s="19">
        <f>IF('Data input'!I5="","",4*('Data input'!I5-'Data input'!I$108)/('Data input'!I$109-'Data input'!I$108)+1)</f>
        <v>2.5637764883310754</v>
      </c>
      <c r="J5" s="19" t="str">
        <f>IF('Data input'!J5="","",4*('Data input'!J5-'Data input'!J$108)/('Data input'!J$109-'Data input'!J$108)+1)</f>
        <v/>
      </c>
      <c r="K5" s="19" t="str">
        <f>IF('Data input'!K5="","",4*('Data input'!K5-'Data input'!K$108)/('Data input'!K$109-'Data input'!K$108)+1)</f>
        <v/>
      </c>
      <c r="L5" s="19" t="str">
        <f>IF('Data input'!L5="","",4*('Data input'!L5-'Data input'!L$108)/('Data input'!L$109-'Data input'!L$108)+1)</f>
        <v/>
      </c>
      <c r="M5" s="19">
        <f>IF('Data input'!M5="","",4*('Data input'!M5-'Data input'!M$108)/('Data input'!M$109-'Data input'!M$108)+1)</f>
        <v>2.8724286115982567</v>
      </c>
      <c r="N5" s="16" t="str">
        <f>IF('Data input'!N5="","",4*('Data input'!N5-'Data input'!N$108)/('Data input'!N$109-'Data input'!N$108)+1)</f>
        <v/>
      </c>
      <c r="O5" s="19" t="str">
        <f>IF('Data input'!O5="","",4*('Data input'!O5-'Data input'!O$108)/('Data input'!O$109-'Data input'!O$108)+1)</f>
        <v/>
      </c>
      <c r="P5" s="19" t="str">
        <f>IF('Data input'!P5="","",4*('Data input'!P5-'Data input'!P$108)/('Data input'!P$109-'Data input'!P$108)+1)</f>
        <v/>
      </c>
      <c r="Q5" s="19" t="str">
        <f>IF('Data input'!Q5="","",4*('Data input'!Q5-'Data input'!Q$108)/('Data input'!Q$109-'Data input'!Q$108)+1)</f>
        <v/>
      </c>
      <c r="R5" s="19" t="str">
        <f>IF('Data input'!R5="","",4*('Data input'!R5-'Data input'!R$108)/('Data input'!R$109-'Data input'!R$108)+1)</f>
        <v/>
      </c>
      <c r="S5" s="16" t="str">
        <f>IF('Data input'!S5="","",4*('Data input'!S5-'Data input'!S$108)/('Data input'!S$109-'Data input'!S$108)+1)</f>
        <v/>
      </c>
      <c r="T5" s="19" t="str">
        <f>IF('Data input'!T5="","",4*('Data input'!T5-'Data input'!T$108)/('Data input'!T$109-'Data input'!T$108)+1)</f>
        <v/>
      </c>
      <c r="U5" s="19" t="str">
        <f>IF('Data input'!U5="","",4*('Data input'!U5-'Data input'!U$108)/('Data input'!U$109-'Data input'!U$108)+1)</f>
        <v/>
      </c>
      <c r="V5" s="19" t="str">
        <f>IF('Data input'!V5="","",4*('Data input'!V5-'Data input'!V$108)/('Data input'!V$109-'Data input'!V$108)+1)</f>
        <v/>
      </c>
      <c r="W5" s="16" t="str">
        <f>IF('Data input'!W5="","",4*('Data input'!W5-'Data input'!W$108)/('Data input'!W$109-'Data input'!W$108)+1)</f>
        <v/>
      </c>
      <c r="X5" s="16" t="str">
        <f>IF('Data input'!X5="","",4*('Data input'!X5-'Data input'!X$108)/('Data input'!X$109-'Data input'!X$108)+1)</f>
        <v/>
      </c>
      <c r="Y5" s="16" t="str">
        <f>IF('Data input'!Y5="","",4*('Data input'!Y5-'Data input'!Y$108)/('Data input'!Y$109-'Data input'!Y$108)+1)</f>
        <v/>
      </c>
      <c r="Z5" s="16" t="str">
        <f>IF('Data input'!Z5="","",4*('Data input'!Z5-'Data input'!Z$108)/('Data input'!Z$109-'Data input'!Z$108)+1)</f>
        <v/>
      </c>
      <c r="AA5" s="62" t="str">
        <f>IF('Data input'!AA5="","",4*('Data input'!AA5-'Data input'!AA$108)/('Data input'!AA$109-'Data input'!AA$108)+1)</f>
        <v/>
      </c>
      <c r="AB5" s="78"/>
      <c r="AC5" s="79">
        <v>0</v>
      </c>
      <c r="AD5" s="80" t="e">
        <f t="shared" si="13"/>
        <v>#DIV/0!</v>
      </c>
      <c r="AE5" s="4"/>
      <c r="AF5" s="59">
        <f t="shared" si="14"/>
        <v>3</v>
      </c>
      <c r="AG5" s="60" t="str">
        <f t="shared" si="14"/>
        <v>Arizona</v>
      </c>
      <c r="AH5">
        <v>0</v>
      </c>
      <c r="AI5" t="s">
        <v>69</v>
      </c>
      <c r="AJ5" t="s">
        <v>69</v>
      </c>
      <c r="AK5" t="s">
        <v>69</v>
      </c>
      <c r="AL5" t="s">
        <v>69</v>
      </c>
      <c r="AM5">
        <v>0.10529667591398993</v>
      </c>
      <c r="AN5">
        <v>1.5279325141747717</v>
      </c>
      <c r="AO5" t="s">
        <v>69</v>
      </c>
      <c r="AP5" t="s">
        <v>69</v>
      </c>
      <c r="AQ5" t="s">
        <v>69</v>
      </c>
      <c r="AR5">
        <v>0.65441741642061724</v>
      </c>
      <c r="AS5" s="71">
        <f t="shared" si="15"/>
        <v>4.819185868255027</v>
      </c>
      <c r="AT5" s="71" t="str">
        <f t="shared" si="4"/>
        <v/>
      </c>
      <c r="AU5" s="71" t="str">
        <f t="shared" si="4"/>
        <v/>
      </c>
      <c r="AV5" s="71" t="str">
        <f t="shared" si="4"/>
        <v/>
      </c>
      <c r="AW5" s="71" t="str">
        <f t="shared" si="4"/>
        <v/>
      </c>
      <c r="AX5" s="71">
        <f t="shared" si="16"/>
        <v>1.0008108344316784</v>
      </c>
      <c r="AY5" s="71">
        <f t="shared" si="5"/>
        <v>1.0358439741563037</v>
      </c>
      <c r="AZ5" s="71" t="str">
        <f t="shared" si="5"/>
        <v/>
      </c>
      <c r="BA5" s="71" t="str">
        <f t="shared" si="5"/>
        <v/>
      </c>
      <c r="BB5" s="71" t="str">
        <f t="shared" si="5"/>
        <v/>
      </c>
      <c r="BC5" s="18">
        <f>IF(C5&lt;&gt;"",(('Data input'!C$109-'Data input'!C$108)*(AS5-1)/4)+'Data input'!C$108,"")</f>
        <v>0.98972783176683632</v>
      </c>
      <c r="BD5" s="18" t="str">
        <f>IF(D5&lt;&gt;"",(('Data input'!D$109-'Data input'!D$108)*(AT5-1)/4)+'Data input'!D$108,"")</f>
        <v/>
      </c>
      <c r="BE5" s="18" t="str">
        <f>IF(E5&lt;&gt;"",(('Data input'!E$109-'Data input'!E$108)*(AU5-1)/4)+'Data input'!E$108,"")</f>
        <v/>
      </c>
      <c r="BF5" s="18" t="str">
        <f>IF(F5&lt;&gt;"",(('Data input'!F$109-'Data input'!F$108)*(AV5-1)/4)+'Data input'!F$108,"")</f>
        <v/>
      </c>
      <c r="BG5" s="18" t="str">
        <f>IF(G5&lt;&gt;"",(('Data input'!G$109-'Data input'!G$108)*(AW5-1)/4)+'Data input'!G$108,"")</f>
        <v/>
      </c>
      <c r="BH5" s="19">
        <f>IF(H5&lt;&gt;"",(('Data input'!H$109-'Data input'!H$108)*(AX5-1)/4)+'Data input'!H$108,"")</f>
        <v>0.31340090115918351</v>
      </c>
      <c r="BI5" s="18">
        <f>IF(I5&lt;&gt;"",(('Data input'!I$109-'Data input'!I$108)*(AY5-1)/4)+'Data input'!I$108,"")</f>
        <v>1.5738541528123452E-3</v>
      </c>
      <c r="BJ5" s="19" t="str">
        <f>IF(J5&lt;&gt;"",(('Data input'!J$109-'Data input'!J$108)*(AZ5-1)/4)+'Data input'!J$108,"")</f>
        <v/>
      </c>
      <c r="BK5" s="19" t="str">
        <f>IF(K5&lt;&gt;"",(('Data input'!K$109-'Data input'!K$108)*(BA5-1)/4)+'Data input'!K$108,"")</f>
        <v/>
      </c>
      <c r="BL5" s="19" t="str">
        <f>IF(L5&lt;&gt;"",(('Data input'!L$109-'Data input'!L$108)*(BB5-1)/4)+'Data input'!L$108,"")</f>
        <v/>
      </c>
      <c r="BM5" s="18">
        <f>IF(C5&lt;&gt;"",BC5-'Data input'!C5,"")</f>
        <v>0</v>
      </c>
      <c r="BN5" s="18" t="str">
        <f>IF(D5&lt;&gt;"",BD5-'Data input'!D5,"")</f>
        <v/>
      </c>
      <c r="BO5" s="18" t="str">
        <f>IF(E5&lt;&gt;"",BE5-'Data input'!E5,"")</f>
        <v/>
      </c>
      <c r="BP5" s="18" t="str">
        <f>IF(F5&lt;&gt;"",BF5-'Data input'!F5,"")</f>
        <v/>
      </c>
      <c r="BQ5" s="18" t="str">
        <f>IF(G5&lt;&gt;"",BG5-'Data input'!G5,"")</f>
        <v/>
      </c>
      <c r="BR5" s="19">
        <f>IF(H5&lt;&gt;"",BH5-'Data input'!H5,"")</f>
        <v>-2.293133193837714</v>
      </c>
      <c r="BS5" s="18">
        <f>IF(I5&lt;&gt;"",BI5-'Data input'!I5,"")</f>
        <v>-6.7089182749788992E-2</v>
      </c>
      <c r="BT5" s="18" t="str">
        <f>IF(J5&lt;&gt;"",BJ5-'Data input'!J5,"")</f>
        <v/>
      </c>
      <c r="BU5" s="18" t="str">
        <f>IF(K5&lt;&gt;"",BK5-'Data input'!K5,"")</f>
        <v/>
      </c>
      <c r="BV5" s="72" t="str">
        <f>IF(L5&lt;&gt;"",BL5-'Data input'!L5,"")</f>
        <v/>
      </c>
      <c r="BW5" s="121" t="str">
        <f t="shared" si="17"/>
        <v xml:space="preserve">Texas; Utah; 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0.98891215952347256</v>
      </c>
      <c r="DO5" s="1">
        <v>1.1087840476527588E-2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FT5" s="1" t="str">
        <f t="shared" si="18"/>
        <v/>
      </c>
      <c r="FU5" s="1" t="str">
        <f t="shared" si="6"/>
        <v/>
      </c>
      <c r="FV5" s="1" t="str">
        <f t="shared" si="6"/>
        <v/>
      </c>
      <c r="FW5" s="1" t="str">
        <f t="shared" si="6"/>
        <v/>
      </c>
      <c r="FX5" s="1" t="str">
        <f t="shared" si="6"/>
        <v/>
      </c>
      <c r="FY5" s="1" t="str">
        <f t="shared" si="6"/>
        <v/>
      </c>
      <c r="FZ5" s="1" t="str">
        <f t="shared" si="6"/>
        <v/>
      </c>
      <c r="GA5" s="1" t="str">
        <f t="shared" si="6"/>
        <v/>
      </c>
      <c r="GB5" s="1" t="str">
        <f t="shared" si="6"/>
        <v/>
      </c>
      <c r="GC5" s="1" t="str">
        <f t="shared" si="6"/>
        <v/>
      </c>
      <c r="GD5" s="1" t="str">
        <f t="shared" si="6"/>
        <v/>
      </c>
      <c r="GE5" s="1" t="str">
        <f t="shared" si="6"/>
        <v/>
      </c>
      <c r="GF5" s="1" t="str">
        <f t="shared" si="6"/>
        <v/>
      </c>
      <c r="GG5" s="1" t="str">
        <f t="shared" si="6"/>
        <v/>
      </c>
      <c r="GH5" s="1" t="str">
        <f t="shared" si="6"/>
        <v/>
      </c>
      <c r="GI5" s="1" t="str">
        <f t="shared" si="6"/>
        <v/>
      </c>
      <c r="GJ5" s="1" t="str">
        <f t="shared" si="6"/>
        <v/>
      </c>
      <c r="GK5" s="1" t="str">
        <f t="shared" si="7"/>
        <v/>
      </c>
      <c r="GL5" s="1" t="str">
        <f t="shared" si="7"/>
        <v/>
      </c>
      <c r="GM5" s="1" t="str">
        <f t="shared" si="7"/>
        <v/>
      </c>
      <c r="GN5" s="1" t="str">
        <f t="shared" si="7"/>
        <v/>
      </c>
      <c r="GO5" s="1" t="str">
        <f t="shared" si="7"/>
        <v/>
      </c>
      <c r="GP5" s="1" t="str">
        <f t="shared" si="7"/>
        <v/>
      </c>
      <c r="GQ5" s="1" t="str">
        <f t="shared" si="7"/>
        <v/>
      </c>
      <c r="GR5" s="1" t="str">
        <f t="shared" si="7"/>
        <v/>
      </c>
      <c r="GS5" s="1" t="str">
        <f t="shared" si="7"/>
        <v/>
      </c>
      <c r="GT5" s="1" t="str">
        <f t="shared" si="7"/>
        <v/>
      </c>
      <c r="GU5" s="1" t="str">
        <f t="shared" si="7"/>
        <v/>
      </c>
      <c r="GV5" s="1" t="str">
        <f t="shared" si="7"/>
        <v/>
      </c>
      <c r="GW5" s="1" t="str">
        <f t="shared" si="7"/>
        <v/>
      </c>
      <c r="GX5" s="1" t="str">
        <f t="shared" si="7"/>
        <v/>
      </c>
      <c r="GY5" s="1" t="str">
        <f t="shared" si="7"/>
        <v/>
      </c>
      <c r="GZ5" s="1" t="str">
        <f t="shared" si="7"/>
        <v/>
      </c>
      <c r="HA5" s="1" t="str">
        <f t="shared" si="8"/>
        <v/>
      </c>
      <c r="HB5" s="1" t="str">
        <f t="shared" si="8"/>
        <v/>
      </c>
      <c r="HC5" s="1" t="str">
        <f t="shared" si="8"/>
        <v/>
      </c>
      <c r="HD5" s="1" t="str">
        <f t="shared" si="8"/>
        <v/>
      </c>
      <c r="HE5" s="1" t="str">
        <f t="shared" si="8"/>
        <v/>
      </c>
      <c r="HF5" s="1" t="str">
        <f t="shared" si="8"/>
        <v/>
      </c>
      <c r="HG5" s="1" t="str">
        <f t="shared" si="8"/>
        <v/>
      </c>
      <c r="HH5" s="1" t="str">
        <f t="shared" si="8"/>
        <v/>
      </c>
      <c r="HI5" s="1" t="str">
        <f t="shared" si="8"/>
        <v/>
      </c>
      <c r="HJ5" s="1" t="str">
        <f t="shared" si="8"/>
        <v xml:space="preserve">Texas; </v>
      </c>
      <c r="HK5" s="1" t="str">
        <f t="shared" si="8"/>
        <v xml:space="preserve">Utah; </v>
      </c>
      <c r="HL5" s="1" t="str">
        <f t="shared" si="8"/>
        <v/>
      </c>
      <c r="HM5" s="1" t="str">
        <f t="shared" si="8"/>
        <v/>
      </c>
      <c r="HN5" s="1" t="str">
        <f t="shared" si="8"/>
        <v/>
      </c>
      <c r="HO5" s="1" t="str">
        <f t="shared" si="8"/>
        <v/>
      </c>
      <c r="HP5" s="1" t="str">
        <f t="shared" si="8"/>
        <v/>
      </c>
      <c r="HQ5" s="1" t="str">
        <f t="shared" si="9"/>
        <v/>
      </c>
      <c r="HR5" s="1" t="str">
        <f t="shared" si="9"/>
        <v/>
      </c>
      <c r="HS5" s="1" t="str">
        <f t="shared" si="9"/>
        <v/>
      </c>
      <c r="HT5" s="1" t="str">
        <f t="shared" si="9"/>
        <v/>
      </c>
      <c r="HU5" s="1" t="str">
        <f t="shared" si="9"/>
        <v/>
      </c>
      <c r="HV5" s="1" t="str">
        <f t="shared" si="9"/>
        <v/>
      </c>
      <c r="HW5" s="1" t="str">
        <f t="shared" si="9"/>
        <v/>
      </c>
      <c r="HX5" s="1" t="str">
        <f t="shared" si="9"/>
        <v/>
      </c>
      <c r="HY5" s="1" t="str">
        <f t="shared" si="9"/>
        <v/>
      </c>
      <c r="HZ5" s="1" t="str">
        <f t="shared" si="9"/>
        <v/>
      </c>
      <c r="IA5" s="1" t="str">
        <f t="shared" si="9"/>
        <v/>
      </c>
      <c r="IB5" s="1" t="str">
        <f t="shared" si="9"/>
        <v/>
      </c>
      <c r="IC5" s="1" t="str">
        <f t="shared" si="9"/>
        <v/>
      </c>
      <c r="ID5" s="1" t="str">
        <f t="shared" si="9"/>
        <v/>
      </c>
      <c r="IE5" s="1" t="str">
        <f t="shared" si="9"/>
        <v/>
      </c>
      <c r="IF5" s="1" t="str">
        <f t="shared" si="9"/>
        <v/>
      </c>
      <c r="IG5" s="1" t="str">
        <f t="shared" si="10"/>
        <v/>
      </c>
      <c r="IH5" s="1" t="str">
        <f t="shared" si="10"/>
        <v/>
      </c>
      <c r="II5" s="1" t="str">
        <f t="shared" si="10"/>
        <v/>
      </c>
      <c r="IJ5" s="1" t="str">
        <f t="shared" si="10"/>
        <v/>
      </c>
      <c r="IK5" s="1" t="str">
        <f t="shared" si="10"/>
        <v/>
      </c>
      <c r="IL5" s="1" t="str">
        <f t="shared" si="10"/>
        <v/>
      </c>
      <c r="IM5" s="1" t="str">
        <f t="shared" si="10"/>
        <v/>
      </c>
      <c r="IN5" s="1" t="str">
        <f t="shared" si="10"/>
        <v/>
      </c>
      <c r="IO5" s="1" t="str">
        <f t="shared" si="10"/>
        <v/>
      </c>
      <c r="IP5" s="1" t="str">
        <f t="shared" si="10"/>
        <v/>
      </c>
      <c r="IQ5" s="1" t="str">
        <f t="shared" si="10"/>
        <v/>
      </c>
      <c r="IR5" s="1" t="str">
        <f t="shared" si="10"/>
        <v/>
      </c>
      <c r="IS5" s="1" t="str">
        <f t="shared" si="10"/>
        <v/>
      </c>
      <c r="IT5" s="1" t="str">
        <f t="shared" si="10"/>
        <v/>
      </c>
      <c r="IU5" s="1" t="str">
        <f t="shared" si="10"/>
        <v/>
      </c>
      <c r="IV5" s="1" t="str">
        <f t="shared" si="10"/>
        <v/>
      </c>
      <c r="IW5" s="1" t="str">
        <f t="shared" si="11"/>
        <v/>
      </c>
      <c r="IX5" s="1" t="str">
        <f t="shared" si="11"/>
        <v/>
      </c>
      <c r="IY5" s="1" t="str">
        <f t="shared" si="11"/>
        <v/>
      </c>
      <c r="IZ5" s="1" t="str">
        <f t="shared" si="11"/>
        <v/>
      </c>
      <c r="JA5" s="1" t="str">
        <f t="shared" si="11"/>
        <v/>
      </c>
      <c r="JB5" s="1" t="str">
        <f t="shared" si="11"/>
        <v/>
      </c>
      <c r="JC5" s="1" t="str">
        <f t="shared" si="11"/>
        <v/>
      </c>
      <c r="JD5" s="1" t="str">
        <f t="shared" si="11"/>
        <v/>
      </c>
      <c r="JE5" s="1" t="str">
        <f t="shared" si="11"/>
        <v/>
      </c>
      <c r="JF5" s="1" t="str">
        <f t="shared" si="11"/>
        <v/>
      </c>
      <c r="JG5" s="1" t="str">
        <f t="shared" si="11"/>
        <v/>
      </c>
      <c r="JH5" s="1" t="str">
        <f t="shared" si="11"/>
        <v/>
      </c>
      <c r="JI5" s="1" t="str">
        <f t="shared" si="11"/>
        <v/>
      </c>
      <c r="JJ5" s="1" t="str">
        <f t="shared" si="11"/>
        <v/>
      </c>
      <c r="JK5" s="1" t="str">
        <f t="shared" si="11"/>
        <v/>
      </c>
      <c r="JL5" s="1" t="str">
        <f t="shared" si="11"/>
        <v/>
      </c>
      <c r="JM5" s="1" t="str">
        <f t="shared" si="12"/>
        <v/>
      </c>
      <c r="JN5" s="1" t="str">
        <f t="shared" si="12"/>
        <v/>
      </c>
      <c r="JO5" s="1" t="str">
        <f t="shared" si="12"/>
        <v/>
      </c>
    </row>
    <row r="6" spans="1:275" ht="14.5" x14ac:dyDescent="0.35">
      <c r="A6" s="59">
        <f>IF('Data input'!A6&lt;&gt;"",'Data input'!A6,"")</f>
        <v>4</v>
      </c>
      <c r="B6" s="60" t="str">
        <f>IF('Data input'!B6&lt;&gt;"",'Data input'!B6,"")</f>
        <v>Arkansas</v>
      </c>
      <c r="C6" s="19">
        <f>IF('Data input'!C6="","",4*('Data input'!C6-'Data input'!C$108)/('Data input'!C$109-'Data input'!C$108)+1)</f>
        <v>4.1829003096333714</v>
      </c>
      <c r="D6" s="19" t="str">
        <f>IF('Data input'!D6="","",4*('Data input'!D6-'Data input'!D$108)/('Data input'!D$109-'Data input'!D$108)+1)</f>
        <v/>
      </c>
      <c r="E6" s="19" t="str">
        <f>IF('Data input'!E6="","",4*('Data input'!E6-'Data input'!E$108)/('Data input'!E$109-'Data input'!E$108)+1)</f>
        <v/>
      </c>
      <c r="F6" s="19" t="str">
        <f>IF('Data input'!F6="","",4*('Data input'!F6-'Data input'!F$108)/('Data input'!F$109-'Data input'!F$108)+1)</f>
        <v/>
      </c>
      <c r="G6" s="19" t="str">
        <f>IF('Data input'!G6="","",4*('Data input'!G6-'Data input'!G$108)/('Data input'!G$109-'Data input'!G$108)+1)</f>
        <v/>
      </c>
      <c r="H6" s="61">
        <f>IF('Data input'!H6="","",4*('Data input'!H6-'Data input'!H$108)/('Data input'!H$109-'Data input'!H$108)+1)</f>
        <v>1.1016430551244414</v>
      </c>
      <c r="I6" s="19">
        <f>IF('Data input'!I6="","",4*('Data input'!I6-'Data input'!I$108)/('Data input'!I$109-'Data input'!I$108)+1)</f>
        <v>2.2471124006096552</v>
      </c>
      <c r="J6" s="19" t="str">
        <f>IF('Data input'!J6="","",4*('Data input'!J6-'Data input'!J$108)/('Data input'!J$109-'Data input'!J$108)+1)</f>
        <v/>
      </c>
      <c r="K6" s="19" t="str">
        <f>IF('Data input'!K6="","",4*('Data input'!K6-'Data input'!K$108)/('Data input'!K$109-'Data input'!K$108)+1)</f>
        <v/>
      </c>
      <c r="L6" s="19" t="str">
        <f>IF('Data input'!L6="","",4*('Data input'!L6-'Data input'!L$108)/('Data input'!L$109-'Data input'!L$108)+1)</f>
        <v/>
      </c>
      <c r="M6" s="19">
        <f>IF('Data input'!M6="","",4*('Data input'!M6-'Data input'!M$108)/('Data input'!M$109-'Data input'!M$108)+1)</f>
        <v>1.4639950126164525</v>
      </c>
      <c r="N6" s="16" t="str">
        <f>IF('Data input'!N6="","",4*('Data input'!N6-'Data input'!N$108)/('Data input'!N$109-'Data input'!N$108)+1)</f>
        <v/>
      </c>
      <c r="O6" s="19" t="str">
        <f>IF('Data input'!O6="","",4*('Data input'!O6-'Data input'!O$108)/('Data input'!O$109-'Data input'!O$108)+1)</f>
        <v/>
      </c>
      <c r="P6" s="19" t="str">
        <f>IF('Data input'!P6="","",4*('Data input'!P6-'Data input'!P$108)/('Data input'!P$109-'Data input'!P$108)+1)</f>
        <v/>
      </c>
      <c r="Q6" s="19" t="str">
        <f>IF('Data input'!Q6="","",4*('Data input'!Q6-'Data input'!Q$108)/('Data input'!Q$109-'Data input'!Q$108)+1)</f>
        <v/>
      </c>
      <c r="R6" s="19" t="str">
        <f>IF('Data input'!R6="","",4*('Data input'!R6-'Data input'!R$108)/('Data input'!R$109-'Data input'!R$108)+1)</f>
        <v/>
      </c>
      <c r="S6" s="16" t="str">
        <f>IF('Data input'!S6="","",4*('Data input'!S6-'Data input'!S$108)/('Data input'!S$109-'Data input'!S$108)+1)</f>
        <v/>
      </c>
      <c r="T6" s="19" t="str">
        <f>IF('Data input'!T6="","",4*('Data input'!T6-'Data input'!T$108)/('Data input'!T$109-'Data input'!T$108)+1)</f>
        <v/>
      </c>
      <c r="U6" s="19" t="str">
        <f>IF('Data input'!U6="","",4*('Data input'!U6-'Data input'!U$108)/('Data input'!U$109-'Data input'!U$108)+1)</f>
        <v/>
      </c>
      <c r="V6" s="19" t="str">
        <f>IF('Data input'!V6="","",4*('Data input'!V6-'Data input'!V$108)/('Data input'!V$109-'Data input'!V$108)+1)</f>
        <v/>
      </c>
      <c r="W6" s="16" t="str">
        <f>IF('Data input'!W6="","",4*('Data input'!W6-'Data input'!W$108)/('Data input'!W$109-'Data input'!W$108)+1)</f>
        <v/>
      </c>
      <c r="X6" s="16" t="str">
        <f>IF('Data input'!X6="","",4*('Data input'!X6-'Data input'!X$108)/('Data input'!X$109-'Data input'!X$108)+1)</f>
        <v/>
      </c>
      <c r="Y6" s="16" t="str">
        <f>IF('Data input'!Y6="","",4*('Data input'!Y6-'Data input'!Y$108)/('Data input'!Y$109-'Data input'!Y$108)+1)</f>
        <v/>
      </c>
      <c r="Z6" s="16" t="str">
        <f>IF('Data input'!Z6="","",4*('Data input'!Z6-'Data input'!Z$108)/('Data input'!Z$109-'Data input'!Z$108)+1)</f>
        <v/>
      </c>
      <c r="AA6" s="62" t="str">
        <f>IF('Data input'!AA6="","",4*('Data input'!AA6-'Data input'!AA$108)/('Data input'!AA$109-'Data input'!AA$108)+1)</f>
        <v/>
      </c>
      <c r="AB6" s="78"/>
      <c r="AC6" s="79">
        <v>0</v>
      </c>
      <c r="AD6" s="80" t="e">
        <f t="shared" si="13"/>
        <v>#DIV/0!</v>
      </c>
      <c r="AE6" s="4"/>
      <c r="AF6" s="59">
        <f t="shared" si="14"/>
        <v>4</v>
      </c>
      <c r="AG6" s="60" t="str">
        <f t="shared" si="14"/>
        <v>Arkansas</v>
      </c>
      <c r="AH6">
        <v>0</v>
      </c>
      <c r="AI6" t="s">
        <v>69</v>
      </c>
      <c r="AJ6" t="s">
        <v>69</v>
      </c>
      <c r="AK6" t="s">
        <v>69</v>
      </c>
      <c r="AL6" t="s">
        <v>69</v>
      </c>
      <c r="AM6">
        <v>0</v>
      </c>
      <c r="AN6">
        <v>1.0739783354687764</v>
      </c>
      <c r="AO6" t="s">
        <v>69</v>
      </c>
      <c r="AP6" t="s">
        <v>69</v>
      </c>
      <c r="AQ6" t="s">
        <v>69</v>
      </c>
      <c r="AR6">
        <v>0.76103146082559125</v>
      </c>
      <c r="AS6" s="71">
        <f t="shared" si="15"/>
        <v>4.1829003096333714</v>
      </c>
      <c r="AT6" s="71" t="str">
        <f t="shared" si="4"/>
        <v/>
      </c>
      <c r="AU6" s="71" t="str">
        <f t="shared" si="4"/>
        <v/>
      </c>
      <c r="AV6" s="71" t="str">
        <f t="shared" si="4"/>
        <v/>
      </c>
      <c r="AW6" s="71" t="str">
        <f t="shared" si="4"/>
        <v/>
      </c>
      <c r="AX6" s="71">
        <f t="shared" si="16"/>
        <v>1.1016430551244414</v>
      </c>
      <c r="AY6" s="71">
        <f t="shared" si="5"/>
        <v>1.1731340651408788</v>
      </c>
      <c r="AZ6" s="71" t="str">
        <f t="shared" si="5"/>
        <v/>
      </c>
      <c r="BA6" s="71" t="str">
        <f t="shared" si="5"/>
        <v/>
      </c>
      <c r="BB6" s="71" t="str">
        <f t="shared" si="5"/>
        <v/>
      </c>
      <c r="BC6" s="18">
        <f>IF(C6&lt;&gt;"",(('Data input'!C$109-'Data input'!C$108)*(AS6-1)/4)+'Data input'!C$108,"")</f>
        <v>0.96662610449523723</v>
      </c>
      <c r="BD6" s="18" t="str">
        <f>IF(D6&lt;&gt;"",(('Data input'!D$109-'Data input'!D$108)*(AT6-1)/4)+'Data input'!D$108,"")</f>
        <v/>
      </c>
      <c r="BE6" s="18" t="str">
        <f>IF(E6&lt;&gt;"",(('Data input'!E$109-'Data input'!E$108)*(AU6-1)/4)+'Data input'!E$108,"")</f>
        <v/>
      </c>
      <c r="BF6" s="18" t="str">
        <f>IF(F6&lt;&gt;"",(('Data input'!F$109-'Data input'!F$108)*(AV6-1)/4)+'Data input'!F$108,"")</f>
        <v/>
      </c>
      <c r="BG6" s="18" t="str">
        <f>IF(G6&lt;&gt;"",(('Data input'!G$109-'Data input'!G$108)*(AW6-1)/4)+'Data input'!G$108,"")</f>
        <v/>
      </c>
      <c r="BH6" s="19">
        <f>IF(H6&lt;&gt;"",(('Data input'!H$109-'Data input'!H$108)*(AX6-1)/4)+'Data input'!H$108,"")</f>
        <v>2.5093079444908737</v>
      </c>
      <c r="BI6" s="18">
        <f>IF(I6&lt;&gt;"",(('Data input'!I$109-'Data input'!I$108)*(AY6-1)/4)+'Data input'!I$108,"")</f>
        <v>7.602052334571674E-3</v>
      </c>
      <c r="BJ6" s="19" t="str">
        <f>IF(J6&lt;&gt;"",(('Data input'!J$109-'Data input'!J$108)*(AZ6-1)/4)+'Data input'!J$108,"")</f>
        <v/>
      </c>
      <c r="BK6" s="19" t="str">
        <f>IF(K6&lt;&gt;"",(('Data input'!K$109-'Data input'!K$108)*(BA6-1)/4)+'Data input'!K$108,"")</f>
        <v/>
      </c>
      <c r="BL6" s="19" t="str">
        <f>IF(L6&lt;&gt;"",(('Data input'!L$109-'Data input'!L$108)*(BB6-1)/4)+'Data input'!L$108,"")</f>
        <v/>
      </c>
      <c r="BM6" s="18">
        <f>IF(C6&lt;&gt;"",BC6-'Data input'!C6,"")</f>
        <v>0</v>
      </c>
      <c r="BN6" s="18" t="str">
        <f>IF(D6&lt;&gt;"",BD6-'Data input'!D6,"")</f>
        <v/>
      </c>
      <c r="BO6" s="18" t="str">
        <f>IF(E6&lt;&gt;"",BE6-'Data input'!E6,"")</f>
        <v/>
      </c>
      <c r="BP6" s="18" t="str">
        <f>IF(F6&lt;&gt;"",BF6-'Data input'!F6,"")</f>
        <v/>
      </c>
      <c r="BQ6" s="18" t="str">
        <f>IF(G6&lt;&gt;"",BG6-'Data input'!G6,"")</f>
        <v/>
      </c>
      <c r="BR6" s="19">
        <f>IF(H6&lt;&gt;"",BH6-'Data input'!H6,"")</f>
        <v>-1.3322676295501878E-15</v>
      </c>
      <c r="BS6" s="18">
        <f>IF(I6&lt;&gt;"",BI6-'Data input'!I6,"")</f>
        <v>-4.7156748186940711E-2</v>
      </c>
      <c r="BT6" s="18" t="str">
        <f>IF(J6&lt;&gt;"",BJ6-'Data input'!J6,"")</f>
        <v/>
      </c>
      <c r="BU6" s="18" t="str">
        <f>IF(K6&lt;&gt;"",BK6-'Data input'!K6,"")</f>
        <v/>
      </c>
      <c r="BV6" s="72" t="str">
        <f>IF(L6&lt;&gt;"",BL6-'Data input'!L6,"")</f>
        <v/>
      </c>
      <c r="BW6" s="121" t="str">
        <f t="shared" si="17"/>
        <v xml:space="preserve">Kansas; Louisiana; New York; Texas; 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0.5448163259456148</v>
      </c>
      <c r="CO6" s="1">
        <v>0</v>
      </c>
      <c r="CP6" s="1">
        <v>0.13672937403092755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7.3436574898931822E-2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0.24501772512452596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FT6" s="1" t="str">
        <f t="shared" si="18"/>
        <v/>
      </c>
      <c r="FU6" s="1" t="str">
        <f t="shared" si="6"/>
        <v/>
      </c>
      <c r="FV6" s="1" t="str">
        <f t="shared" si="6"/>
        <v/>
      </c>
      <c r="FW6" s="1" t="str">
        <f t="shared" si="6"/>
        <v/>
      </c>
      <c r="FX6" s="1" t="str">
        <f t="shared" si="6"/>
        <v/>
      </c>
      <c r="FY6" s="1" t="str">
        <f t="shared" si="6"/>
        <v/>
      </c>
      <c r="FZ6" s="1" t="str">
        <f t="shared" si="6"/>
        <v/>
      </c>
      <c r="GA6" s="1" t="str">
        <f t="shared" si="6"/>
        <v/>
      </c>
      <c r="GB6" s="1" t="str">
        <f t="shared" si="6"/>
        <v/>
      </c>
      <c r="GC6" s="1" t="str">
        <f t="shared" si="6"/>
        <v/>
      </c>
      <c r="GD6" s="1" t="str">
        <f t="shared" si="6"/>
        <v/>
      </c>
      <c r="GE6" s="1" t="str">
        <f t="shared" si="6"/>
        <v/>
      </c>
      <c r="GF6" s="1" t="str">
        <f t="shared" si="6"/>
        <v/>
      </c>
      <c r="GG6" s="1" t="str">
        <f t="shared" si="6"/>
        <v/>
      </c>
      <c r="GH6" s="1" t="str">
        <f t="shared" si="6"/>
        <v/>
      </c>
      <c r="GI6" s="1" t="str">
        <f t="shared" si="6"/>
        <v/>
      </c>
      <c r="GJ6" s="1" t="str">
        <f t="shared" si="6"/>
        <v xml:space="preserve">Kansas; </v>
      </c>
      <c r="GK6" s="1" t="str">
        <f t="shared" si="7"/>
        <v/>
      </c>
      <c r="GL6" s="1" t="str">
        <f t="shared" si="7"/>
        <v xml:space="preserve">Louisiana; </v>
      </c>
      <c r="GM6" s="1" t="str">
        <f t="shared" si="7"/>
        <v/>
      </c>
      <c r="GN6" s="1" t="str">
        <f t="shared" si="7"/>
        <v/>
      </c>
      <c r="GO6" s="1" t="str">
        <f t="shared" si="7"/>
        <v/>
      </c>
      <c r="GP6" s="1" t="str">
        <f t="shared" si="7"/>
        <v/>
      </c>
      <c r="GQ6" s="1" t="str">
        <f t="shared" si="7"/>
        <v/>
      </c>
      <c r="GR6" s="1" t="str">
        <f t="shared" si="7"/>
        <v/>
      </c>
      <c r="GS6" s="1" t="str">
        <f t="shared" si="7"/>
        <v/>
      </c>
      <c r="GT6" s="1" t="str">
        <f t="shared" si="7"/>
        <v/>
      </c>
      <c r="GU6" s="1" t="str">
        <f t="shared" si="7"/>
        <v/>
      </c>
      <c r="GV6" s="1" t="str">
        <f t="shared" si="7"/>
        <v/>
      </c>
      <c r="GW6" s="1" t="str">
        <f t="shared" si="7"/>
        <v/>
      </c>
      <c r="GX6" s="1" t="str">
        <f t="shared" si="7"/>
        <v/>
      </c>
      <c r="GY6" s="1" t="str">
        <f t="shared" si="7"/>
        <v/>
      </c>
      <c r="GZ6" s="1" t="str">
        <f t="shared" si="7"/>
        <v xml:space="preserve">New York; </v>
      </c>
      <c r="HA6" s="1" t="str">
        <f t="shared" si="8"/>
        <v/>
      </c>
      <c r="HB6" s="1" t="str">
        <f t="shared" si="8"/>
        <v/>
      </c>
      <c r="HC6" s="1" t="str">
        <f t="shared" si="8"/>
        <v/>
      </c>
      <c r="HD6" s="1" t="str">
        <f t="shared" si="8"/>
        <v/>
      </c>
      <c r="HE6" s="1" t="str">
        <f t="shared" si="8"/>
        <v/>
      </c>
      <c r="HF6" s="1" t="str">
        <f t="shared" si="8"/>
        <v/>
      </c>
      <c r="HG6" s="1" t="str">
        <f t="shared" si="8"/>
        <v/>
      </c>
      <c r="HH6" s="1" t="str">
        <f t="shared" si="8"/>
        <v/>
      </c>
      <c r="HI6" s="1" t="str">
        <f t="shared" si="8"/>
        <v/>
      </c>
      <c r="HJ6" s="1" t="str">
        <f t="shared" si="8"/>
        <v xml:space="preserve">Texas; </v>
      </c>
      <c r="HK6" s="1" t="str">
        <f t="shared" si="8"/>
        <v/>
      </c>
      <c r="HL6" s="1" t="str">
        <f t="shared" si="8"/>
        <v/>
      </c>
      <c r="HM6" s="1" t="str">
        <f t="shared" si="8"/>
        <v/>
      </c>
      <c r="HN6" s="1" t="str">
        <f t="shared" si="8"/>
        <v/>
      </c>
      <c r="HO6" s="1" t="str">
        <f t="shared" si="8"/>
        <v/>
      </c>
      <c r="HP6" s="1" t="str">
        <f t="shared" si="8"/>
        <v/>
      </c>
      <c r="HQ6" s="1" t="str">
        <f t="shared" si="9"/>
        <v/>
      </c>
      <c r="HR6" s="1" t="str">
        <f t="shared" si="9"/>
        <v/>
      </c>
      <c r="HS6" s="1" t="str">
        <f t="shared" si="9"/>
        <v/>
      </c>
      <c r="HT6" s="1" t="str">
        <f t="shared" si="9"/>
        <v/>
      </c>
      <c r="HU6" s="1" t="str">
        <f t="shared" si="9"/>
        <v/>
      </c>
      <c r="HV6" s="1" t="str">
        <f t="shared" si="9"/>
        <v/>
      </c>
      <c r="HW6" s="1" t="str">
        <f t="shared" si="9"/>
        <v/>
      </c>
      <c r="HX6" s="1" t="str">
        <f t="shared" si="9"/>
        <v/>
      </c>
      <c r="HY6" s="1" t="str">
        <f t="shared" si="9"/>
        <v/>
      </c>
      <c r="HZ6" s="1" t="str">
        <f t="shared" si="9"/>
        <v/>
      </c>
      <c r="IA6" s="1" t="str">
        <f t="shared" si="9"/>
        <v/>
      </c>
      <c r="IB6" s="1" t="str">
        <f t="shared" si="9"/>
        <v/>
      </c>
      <c r="IC6" s="1" t="str">
        <f t="shared" si="9"/>
        <v/>
      </c>
      <c r="ID6" s="1" t="str">
        <f t="shared" si="9"/>
        <v/>
      </c>
      <c r="IE6" s="1" t="str">
        <f t="shared" si="9"/>
        <v/>
      </c>
      <c r="IF6" s="1" t="str">
        <f t="shared" si="9"/>
        <v/>
      </c>
      <c r="IG6" s="1" t="str">
        <f t="shared" si="10"/>
        <v/>
      </c>
      <c r="IH6" s="1" t="str">
        <f t="shared" si="10"/>
        <v/>
      </c>
      <c r="II6" s="1" t="str">
        <f t="shared" si="10"/>
        <v/>
      </c>
      <c r="IJ6" s="1" t="str">
        <f t="shared" si="10"/>
        <v/>
      </c>
      <c r="IK6" s="1" t="str">
        <f t="shared" si="10"/>
        <v/>
      </c>
      <c r="IL6" s="1" t="str">
        <f t="shared" si="10"/>
        <v/>
      </c>
      <c r="IM6" s="1" t="str">
        <f t="shared" si="10"/>
        <v/>
      </c>
      <c r="IN6" s="1" t="str">
        <f t="shared" si="10"/>
        <v/>
      </c>
      <c r="IO6" s="1" t="str">
        <f t="shared" si="10"/>
        <v/>
      </c>
      <c r="IP6" s="1" t="str">
        <f t="shared" si="10"/>
        <v/>
      </c>
      <c r="IQ6" s="1" t="str">
        <f t="shared" si="10"/>
        <v/>
      </c>
      <c r="IR6" s="1" t="str">
        <f t="shared" si="10"/>
        <v/>
      </c>
      <c r="IS6" s="1" t="str">
        <f t="shared" si="10"/>
        <v/>
      </c>
      <c r="IT6" s="1" t="str">
        <f t="shared" si="10"/>
        <v/>
      </c>
      <c r="IU6" s="1" t="str">
        <f t="shared" si="10"/>
        <v/>
      </c>
      <c r="IV6" s="1" t="str">
        <f t="shared" si="10"/>
        <v/>
      </c>
      <c r="IW6" s="1" t="str">
        <f t="shared" si="11"/>
        <v/>
      </c>
      <c r="IX6" s="1" t="str">
        <f t="shared" si="11"/>
        <v/>
      </c>
      <c r="IY6" s="1" t="str">
        <f t="shared" si="11"/>
        <v/>
      </c>
      <c r="IZ6" s="1" t="str">
        <f t="shared" si="11"/>
        <v/>
      </c>
      <c r="JA6" s="1" t="str">
        <f t="shared" si="11"/>
        <v/>
      </c>
      <c r="JB6" s="1" t="str">
        <f t="shared" si="11"/>
        <v/>
      </c>
      <c r="JC6" s="1" t="str">
        <f t="shared" si="11"/>
        <v/>
      </c>
      <c r="JD6" s="1" t="str">
        <f t="shared" si="11"/>
        <v/>
      </c>
      <c r="JE6" s="1" t="str">
        <f t="shared" si="11"/>
        <v/>
      </c>
      <c r="JF6" s="1" t="str">
        <f t="shared" si="11"/>
        <v/>
      </c>
      <c r="JG6" s="1" t="str">
        <f t="shared" si="11"/>
        <v/>
      </c>
      <c r="JH6" s="1" t="str">
        <f t="shared" si="11"/>
        <v/>
      </c>
      <c r="JI6" s="1" t="str">
        <f t="shared" si="11"/>
        <v/>
      </c>
      <c r="JJ6" s="1" t="str">
        <f t="shared" si="11"/>
        <v/>
      </c>
      <c r="JK6" s="1" t="str">
        <f t="shared" si="11"/>
        <v/>
      </c>
      <c r="JL6" s="1" t="str">
        <f t="shared" si="11"/>
        <v/>
      </c>
      <c r="JM6" s="1" t="str">
        <f t="shared" si="12"/>
        <v/>
      </c>
      <c r="JN6" s="1" t="str">
        <f t="shared" si="12"/>
        <v/>
      </c>
      <c r="JO6" s="1" t="str">
        <f t="shared" si="12"/>
        <v/>
      </c>
    </row>
    <row r="7" spans="1:275" ht="14.5" x14ac:dyDescent="0.35">
      <c r="A7" s="59">
        <f>IF('Data input'!A7&lt;&gt;"",'Data input'!A7,"")</f>
        <v>5</v>
      </c>
      <c r="B7" s="60" t="str">
        <f>IF('Data input'!B7&lt;&gt;"",'Data input'!B7,"")</f>
        <v>California</v>
      </c>
      <c r="C7" s="19">
        <f>IF('Data input'!C7="","",4*('Data input'!C7-'Data input'!C$108)/('Data input'!C$109-'Data input'!C$108)+1)</f>
        <v>3.7988984154989511</v>
      </c>
      <c r="D7" s="19" t="str">
        <f>IF('Data input'!D7="","",4*('Data input'!D7-'Data input'!D$108)/('Data input'!D$109-'Data input'!D$108)+1)</f>
        <v/>
      </c>
      <c r="E7" s="19" t="str">
        <f>IF('Data input'!E7="","",4*('Data input'!E7-'Data input'!E$108)/('Data input'!E$109-'Data input'!E$108)+1)</f>
        <v/>
      </c>
      <c r="F7" s="19" t="str">
        <f>IF('Data input'!F7="","",4*('Data input'!F7-'Data input'!F$108)/('Data input'!F$109-'Data input'!F$108)+1)</f>
        <v/>
      </c>
      <c r="G7" s="19" t="str">
        <f>IF('Data input'!G7="","",4*('Data input'!G7-'Data input'!G$108)/('Data input'!G$109-'Data input'!G$108)+1)</f>
        <v/>
      </c>
      <c r="H7" s="61">
        <f>IF('Data input'!H7="","",4*('Data input'!H7-'Data input'!H$108)/('Data input'!H$109-'Data input'!H$108)+1)</f>
        <v>1.0516179121481777</v>
      </c>
      <c r="I7" s="19">
        <f>IF('Data input'!I7="","",4*('Data input'!I7-'Data input'!I$108)/('Data input'!I$109-'Data input'!I$108)+1)</f>
        <v>3.3641282501950709</v>
      </c>
      <c r="J7" s="19" t="str">
        <f>IF('Data input'!J7="","",4*('Data input'!J7-'Data input'!J$108)/('Data input'!J$109-'Data input'!J$108)+1)</f>
        <v/>
      </c>
      <c r="K7" s="19" t="str">
        <f>IF('Data input'!K7="","",4*('Data input'!K7-'Data input'!K$108)/('Data input'!K$109-'Data input'!K$108)+1)</f>
        <v/>
      </c>
      <c r="L7" s="19" t="str">
        <f>IF('Data input'!L7="","",4*('Data input'!L7-'Data input'!L$108)/('Data input'!L$109-'Data input'!L$108)+1)</f>
        <v/>
      </c>
      <c r="M7" s="19">
        <f>IF('Data input'!M7="","",4*('Data input'!M7-'Data input'!M$108)/('Data input'!M$109-'Data input'!M$108)+1)</f>
        <v>3.3357724524755628</v>
      </c>
      <c r="N7" s="16" t="str">
        <f>IF('Data input'!N7="","",4*('Data input'!N7-'Data input'!N$108)/('Data input'!N$109-'Data input'!N$108)+1)</f>
        <v/>
      </c>
      <c r="O7" s="19" t="str">
        <f>IF('Data input'!O7="","",4*('Data input'!O7-'Data input'!O$108)/('Data input'!O$109-'Data input'!O$108)+1)</f>
        <v/>
      </c>
      <c r="P7" s="19" t="str">
        <f>IF('Data input'!P7="","",4*('Data input'!P7-'Data input'!P$108)/('Data input'!P$109-'Data input'!P$108)+1)</f>
        <v/>
      </c>
      <c r="Q7" s="19" t="str">
        <f>IF('Data input'!Q7="","",4*('Data input'!Q7-'Data input'!Q$108)/('Data input'!Q$109-'Data input'!Q$108)+1)</f>
        <v/>
      </c>
      <c r="R7" s="19" t="str">
        <f>IF('Data input'!R7="","",4*('Data input'!R7-'Data input'!R$108)/('Data input'!R$109-'Data input'!R$108)+1)</f>
        <v/>
      </c>
      <c r="S7" s="16" t="str">
        <f>IF('Data input'!S7="","",4*('Data input'!S7-'Data input'!S$108)/('Data input'!S$109-'Data input'!S$108)+1)</f>
        <v/>
      </c>
      <c r="T7" s="19" t="str">
        <f>IF('Data input'!T7="","",4*('Data input'!T7-'Data input'!T$108)/('Data input'!T$109-'Data input'!T$108)+1)</f>
        <v/>
      </c>
      <c r="U7" s="19" t="str">
        <f>IF('Data input'!U7="","",4*('Data input'!U7-'Data input'!U$108)/('Data input'!U$109-'Data input'!U$108)+1)</f>
        <v/>
      </c>
      <c r="V7" s="19" t="str">
        <f>IF('Data input'!V7="","",4*('Data input'!V7-'Data input'!V$108)/('Data input'!V$109-'Data input'!V$108)+1)</f>
        <v/>
      </c>
      <c r="W7" s="16" t="str">
        <f>IF('Data input'!W7="","",4*('Data input'!W7-'Data input'!W$108)/('Data input'!W$109-'Data input'!W$108)+1)</f>
        <v/>
      </c>
      <c r="X7" s="16" t="str">
        <f>IF('Data input'!X7="","",4*('Data input'!X7-'Data input'!X$108)/('Data input'!X$109-'Data input'!X$108)+1)</f>
        <v/>
      </c>
      <c r="Y7" s="16" t="str">
        <f>IF('Data input'!Y7="","",4*('Data input'!Y7-'Data input'!Y$108)/('Data input'!Y$109-'Data input'!Y$108)+1)</f>
        <v/>
      </c>
      <c r="Z7" s="16" t="str">
        <f>IF('Data input'!Z7="","",4*('Data input'!Z7-'Data input'!Z$108)/('Data input'!Z$109-'Data input'!Z$108)+1)</f>
        <v/>
      </c>
      <c r="AA7" s="62" t="str">
        <f>IF('Data input'!AA7="","",4*('Data input'!AA7-'Data input'!AA$108)/('Data input'!AA$109-'Data input'!AA$108)+1)</f>
        <v/>
      </c>
      <c r="AB7" s="78"/>
      <c r="AC7" s="79">
        <v>0</v>
      </c>
      <c r="AD7" s="80" t="e">
        <f t="shared" si="13"/>
        <v>#DIV/0!</v>
      </c>
      <c r="AE7" s="4"/>
      <c r="AF7" s="59">
        <f t="shared" si="14"/>
        <v>5</v>
      </c>
      <c r="AG7" s="60" t="str">
        <f t="shared" si="14"/>
        <v>California</v>
      </c>
      <c r="AH7">
        <v>0</v>
      </c>
      <c r="AI7" t="s">
        <v>69</v>
      </c>
      <c r="AJ7" t="s">
        <v>69</v>
      </c>
      <c r="AK7" t="s">
        <v>69</v>
      </c>
      <c r="AL7" t="s">
        <v>69</v>
      </c>
      <c r="AM7">
        <v>0</v>
      </c>
      <c r="AN7">
        <v>4.1912107363435755E-14</v>
      </c>
      <c r="AO7" t="s">
        <v>69</v>
      </c>
      <c r="AP7" t="s">
        <v>69</v>
      </c>
      <c r="AQ7" t="s">
        <v>69</v>
      </c>
      <c r="AR7">
        <v>0.99999999999999378</v>
      </c>
      <c r="AS7" s="71">
        <f t="shared" si="15"/>
        <v>3.7988984154989511</v>
      </c>
      <c r="AT7" s="71" t="str">
        <f t="shared" si="4"/>
        <v/>
      </c>
      <c r="AU7" s="71" t="str">
        <f t="shared" si="4"/>
        <v/>
      </c>
      <c r="AV7" s="71" t="str">
        <f t="shared" si="4"/>
        <v/>
      </c>
      <c r="AW7" s="71" t="str">
        <f t="shared" si="4"/>
        <v/>
      </c>
      <c r="AX7" s="71">
        <f t="shared" si="16"/>
        <v>1.0516179121481777</v>
      </c>
      <c r="AY7" s="71">
        <f t="shared" si="5"/>
        <v>3.3641282501950291</v>
      </c>
      <c r="AZ7" s="71" t="str">
        <f t="shared" si="5"/>
        <v/>
      </c>
      <c r="BA7" s="71" t="str">
        <f t="shared" si="5"/>
        <v/>
      </c>
      <c r="BB7" s="71" t="str">
        <f t="shared" si="5"/>
        <v/>
      </c>
      <c r="BC7" s="18">
        <f>IF(C7&lt;&gt;"",(('Data input'!C$109-'Data input'!C$108)*(AS7-1)/4)+'Data input'!C$108,"")</f>
        <v>0.95268408285123241</v>
      </c>
      <c r="BD7" s="18" t="str">
        <f>IF(D7&lt;&gt;"",(('Data input'!D$109-'Data input'!D$108)*(AT7-1)/4)+'Data input'!D$108,"")</f>
        <v/>
      </c>
      <c r="BE7" s="18" t="str">
        <f>IF(E7&lt;&gt;"",(('Data input'!E$109-'Data input'!E$108)*(AU7-1)/4)+'Data input'!E$108,"")</f>
        <v/>
      </c>
      <c r="BF7" s="18" t="str">
        <f>IF(F7&lt;&gt;"",(('Data input'!F$109-'Data input'!F$108)*(AV7-1)/4)+'Data input'!F$108,"")</f>
        <v/>
      </c>
      <c r="BG7" s="18" t="str">
        <f>IF(G7&lt;&gt;"",(('Data input'!G$109-'Data input'!G$108)*(AW7-1)/4)+'Data input'!G$108,"")</f>
        <v/>
      </c>
      <c r="BH7" s="19">
        <f>IF(H7&lt;&gt;"",(('Data input'!H$109-'Data input'!H$108)*(AX7-1)/4)+'Data input'!H$108,"")</f>
        <v>1.4198688440671281</v>
      </c>
      <c r="BI7" s="18">
        <f>IF(I7&lt;&gt;"",(('Data input'!I$109-'Data input'!I$108)*(AY7-1)/4)+'Data input'!I$108,"")</f>
        <v>0.10380526021264506</v>
      </c>
      <c r="BJ7" s="19" t="str">
        <f>IF(J7&lt;&gt;"",(('Data input'!J$109-'Data input'!J$108)*(AZ7-1)/4)+'Data input'!J$108,"")</f>
        <v/>
      </c>
      <c r="BK7" s="19" t="str">
        <f>IF(K7&lt;&gt;"",(('Data input'!K$109-'Data input'!K$108)*(BA7-1)/4)+'Data input'!K$108,"")</f>
        <v/>
      </c>
      <c r="BL7" s="19" t="str">
        <f>IF(L7&lt;&gt;"",(('Data input'!L$109-'Data input'!L$108)*(BB7-1)/4)+'Data input'!L$108,"")</f>
        <v/>
      </c>
      <c r="BM7" s="18">
        <f>IF(C7&lt;&gt;"",BC7-'Data input'!C7,"")</f>
        <v>0</v>
      </c>
      <c r="BN7" s="18" t="str">
        <f>IF(D7&lt;&gt;"",BD7-'Data input'!D7,"")</f>
        <v/>
      </c>
      <c r="BO7" s="18" t="str">
        <f>IF(E7&lt;&gt;"",BE7-'Data input'!E7,"")</f>
        <v/>
      </c>
      <c r="BP7" s="18" t="str">
        <f>IF(F7&lt;&gt;"",BF7-'Data input'!F7,"")</f>
        <v/>
      </c>
      <c r="BQ7" s="18" t="str">
        <f>IF(G7&lt;&gt;"",BG7-'Data input'!G7,"")</f>
        <v/>
      </c>
      <c r="BR7" s="19">
        <f>IF(H7&lt;&gt;"",BH7-'Data input'!H7,"")</f>
        <v>-6.6613381477509392E-16</v>
      </c>
      <c r="BS7" s="18">
        <f>IF(I7&lt;&gt;"",BI7-'Data input'!I7,"")</f>
        <v>-1.8318679906315083E-15</v>
      </c>
      <c r="BT7" s="18" t="str">
        <f>IF(J7&lt;&gt;"",BJ7-'Data input'!J7,"")</f>
        <v/>
      </c>
      <c r="BU7" s="18" t="str">
        <f>IF(K7&lt;&gt;"",BK7-'Data input'!K7,"")</f>
        <v/>
      </c>
      <c r="BV7" s="72" t="str">
        <f>IF(L7&lt;&gt;"",BL7-'Data input'!L7,"")</f>
        <v/>
      </c>
      <c r="BW7" s="121" t="str">
        <f t="shared" si="17"/>
        <v xml:space="preserve">California; </v>
      </c>
      <c r="BX7" s="1">
        <v>0</v>
      </c>
      <c r="BY7" s="1">
        <v>0</v>
      </c>
      <c r="BZ7" s="1">
        <v>0</v>
      </c>
      <c r="CA7" s="1">
        <v>0</v>
      </c>
      <c r="CB7" s="1">
        <v>0.99999999999998113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-7.9923572092371542E-16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1.6370609139800044E-14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FT7" s="1" t="str">
        <f t="shared" si="18"/>
        <v/>
      </c>
      <c r="FU7" s="1" t="str">
        <f t="shared" si="6"/>
        <v/>
      </c>
      <c r="FV7" s="1" t="str">
        <f t="shared" si="6"/>
        <v/>
      </c>
      <c r="FW7" s="1" t="str">
        <f t="shared" si="6"/>
        <v/>
      </c>
      <c r="FX7" s="1" t="str">
        <f t="shared" si="6"/>
        <v xml:space="preserve">California; </v>
      </c>
      <c r="FY7" s="1" t="str">
        <f t="shared" si="6"/>
        <v/>
      </c>
      <c r="FZ7" s="1" t="str">
        <f t="shared" si="6"/>
        <v/>
      </c>
      <c r="GA7" s="1" t="str">
        <f t="shared" si="6"/>
        <v/>
      </c>
      <c r="GB7" s="1" t="str">
        <f t="shared" si="6"/>
        <v/>
      </c>
      <c r="GC7" s="1" t="str">
        <f t="shared" si="6"/>
        <v/>
      </c>
      <c r="GD7" s="1" t="str">
        <f t="shared" si="6"/>
        <v/>
      </c>
      <c r="GE7" s="1" t="str">
        <f t="shared" si="6"/>
        <v/>
      </c>
      <c r="GF7" s="1" t="str">
        <f t="shared" si="6"/>
        <v/>
      </c>
      <c r="GG7" s="1" t="str">
        <f t="shared" si="6"/>
        <v/>
      </c>
      <c r="GH7" s="1" t="str">
        <f t="shared" si="6"/>
        <v/>
      </c>
      <c r="GI7" s="1" t="str">
        <f t="shared" si="6"/>
        <v/>
      </c>
      <c r="GJ7" s="1" t="str">
        <f t="shared" si="6"/>
        <v/>
      </c>
      <c r="GK7" s="1" t="str">
        <f t="shared" si="7"/>
        <v/>
      </c>
      <c r="GL7" s="1" t="str">
        <f t="shared" si="7"/>
        <v/>
      </c>
      <c r="GM7" s="1" t="str">
        <f t="shared" si="7"/>
        <v/>
      </c>
      <c r="GN7" s="1" t="str">
        <f t="shared" si="7"/>
        <v/>
      </c>
      <c r="GO7" s="1" t="str">
        <f t="shared" si="7"/>
        <v/>
      </c>
      <c r="GP7" s="1" t="str">
        <f t="shared" si="7"/>
        <v/>
      </c>
      <c r="GQ7" s="1" t="str">
        <f t="shared" si="7"/>
        <v/>
      </c>
      <c r="GR7" s="1" t="str">
        <f t="shared" si="7"/>
        <v/>
      </c>
      <c r="GS7" s="1" t="str">
        <f t="shared" si="7"/>
        <v/>
      </c>
      <c r="GT7" s="1" t="str">
        <f t="shared" si="7"/>
        <v/>
      </c>
      <c r="GU7" s="1" t="str">
        <f t="shared" si="7"/>
        <v/>
      </c>
      <c r="GV7" s="1" t="str">
        <f t="shared" si="7"/>
        <v/>
      </c>
      <c r="GW7" s="1" t="str">
        <f t="shared" si="7"/>
        <v/>
      </c>
      <c r="GX7" s="1" t="str">
        <f t="shared" si="7"/>
        <v/>
      </c>
      <c r="GY7" s="1" t="str">
        <f t="shared" si="7"/>
        <v/>
      </c>
      <c r="GZ7" s="1" t="str">
        <f t="shared" si="7"/>
        <v/>
      </c>
      <c r="HA7" s="1" t="str">
        <f t="shared" si="8"/>
        <v/>
      </c>
      <c r="HB7" s="1" t="str">
        <f t="shared" si="8"/>
        <v/>
      </c>
      <c r="HC7" s="1" t="str">
        <f t="shared" si="8"/>
        <v/>
      </c>
      <c r="HD7" s="1" t="str">
        <f t="shared" si="8"/>
        <v/>
      </c>
      <c r="HE7" s="1" t="str">
        <f t="shared" si="8"/>
        <v/>
      </c>
      <c r="HF7" s="1" t="str">
        <f t="shared" si="8"/>
        <v/>
      </c>
      <c r="HG7" s="1" t="str">
        <f t="shared" si="8"/>
        <v/>
      </c>
      <c r="HH7" s="1" t="str">
        <f t="shared" si="8"/>
        <v/>
      </c>
      <c r="HI7" s="1" t="str">
        <f t="shared" si="8"/>
        <v/>
      </c>
      <c r="HJ7" s="1" t="str">
        <f t="shared" si="8"/>
        <v/>
      </c>
      <c r="HK7" s="1" t="str">
        <f t="shared" si="8"/>
        <v/>
      </c>
      <c r="HL7" s="1" t="str">
        <f t="shared" si="8"/>
        <v/>
      </c>
      <c r="HM7" s="1" t="str">
        <f t="shared" si="8"/>
        <v/>
      </c>
      <c r="HN7" s="1" t="str">
        <f t="shared" si="8"/>
        <v/>
      </c>
      <c r="HO7" s="1" t="str">
        <f t="shared" si="8"/>
        <v/>
      </c>
      <c r="HP7" s="1" t="str">
        <f t="shared" si="8"/>
        <v/>
      </c>
      <c r="HQ7" s="1" t="str">
        <f t="shared" si="9"/>
        <v/>
      </c>
      <c r="HR7" s="1" t="str">
        <f t="shared" si="9"/>
        <v/>
      </c>
      <c r="HS7" s="1" t="str">
        <f t="shared" si="9"/>
        <v/>
      </c>
      <c r="HT7" s="1" t="str">
        <f t="shared" si="9"/>
        <v/>
      </c>
      <c r="HU7" s="1" t="str">
        <f t="shared" si="9"/>
        <v/>
      </c>
      <c r="HV7" s="1" t="str">
        <f t="shared" si="9"/>
        <v/>
      </c>
      <c r="HW7" s="1" t="str">
        <f t="shared" si="9"/>
        <v/>
      </c>
      <c r="HX7" s="1" t="str">
        <f t="shared" si="9"/>
        <v/>
      </c>
      <c r="HY7" s="1" t="str">
        <f t="shared" si="9"/>
        <v/>
      </c>
      <c r="HZ7" s="1" t="str">
        <f t="shared" si="9"/>
        <v/>
      </c>
      <c r="IA7" s="1" t="str">
        <f t="shared" si="9"/>
        <v/>
      </c>
      <c r="IB7" s="1" t="str">
        <f t="shared" si="9"/>
        <v/>
      </c>
      <c r="IC7" s="1" t="str">
        <f t="shared" si="9"/>
        <v/>
      </c>
      <c r="ID7" s="1" t="str">
        <f t="shared" si="9"/>
        <v/>
      </c>
      <c r="IE7" s="1" t="str">
        <f t="shared" si="9"/>
        <v/>
      </c>
      <c r="IF7" s="1" t="str">
        <f t="shared" si="9"/>
        <v/>
      </c>
      <c r="IG7" s="1" t="str">
        <f t="shared" si="10"/>
        <v/>
      </c>
      <c r="IH7" s="1" t="str">
        <f t="shared" si="10"/>
        <v/>
      </c>
      <c r="II7" s="1" t="str">
        <f t="shared" si="10"/>
        <v/>
      </c>
      <c r="IJ7" s="1" t="str">
        <f t="shared" si="10"/>
        <v/>
      </c>
      <c r="IK7" s="1" t="str">
        <f t="shared" si="10"/>
        <v/>
      </c>
      <c r="IL7" s="1" t="str">
        <f t="shared" si="10"/>
        <v/>
      </c>
      <c r="IM7" s="1" t="str">
        <f t="shared" si="10"/>
        <v/>
      </c>
      <c r="IN7" s="1" t="str">
        <f t="shared" si="10"/>
        <v/>
      </c>
      <c r="IO7" s="1" t="str">
        <f t="shared" si="10"/>
        <v/>
      </c>
      <c r="IP7" s="1" t="str">
        <f t="shared" si="10"/>
        <v/>
      </c>
      <c r="IQ7" s="1" t="str">
        <f t="shared" si="10"/>
        <v/>
      </c>
      <c r="IR7" s="1" t="str">
        <f t="shared" si="10"/>
        <v/>
      </c>
      <c r="IS7" s="1" t="str">
        <f t="shared" si="10"/>
        <v/>
      </c>
      <c r="IT7" s="1" t="str">
        <f t="shared" si="10"/>
        <v/>
      </c>
      <c r="IU7" s="1" t="str">
        <f t="shared" si="10"/>
        <v/>
      </c>
      <c r="IV7" s="1" t="str">
        <f t="shared" si="10"/>
        <v/>
      </c>
      <c r="IW7" s="1" t="str">
        <f t="shared" si="11"/>
        <v/>
      </c>
      <c r="IX7" s="1" t="str">
        <f t="shared" si="11"/>
        <v/>
      </c>
      <c r="IY7" s="1" t="str">
        <f t="shared" si="11"/>
        <v/>
      </c>
      <c r="IZ7" s="1" t="str">
        <f t="shared" si="11"/>
        <v/>
      </c>
      <c r="JA7" s="1" t="str">
        <f t="shared" si="11"/>
        <v/>
      </c>
      <c r="JB7" s="1" t="str">
        <f t="shared" si="11"/>
        <v/>
      </c>
      <c r="JC7" s="1" t="str">
        <f t="shared" si="11"/>
        <v/>
      </c>
      <c r="JD7" s="1" t="str">
        <f t="shared" si="11"/>
        <v/>
      </c>
      <c r="JE7" s="1" t="str">
        <f t="shared" si="11"/>
        <v/>
      </c>
      <c r="JF7" s="1" t="str">
        <f t="shared" si="11"/>
        <v/>
      </c>
      <c r="JG7" s="1" t="str">
        <f t="shared" si="11"/>
        <v/>
      </c>
      <c r="JH7" s="1" t="str">
        <f t="shared" si="11"/>
        <v/>
      </c>
      <c r="JI7" s="1" t="str">
        <f t="shared" si="11"/>
        <v/>
      </c>
      <c r="JJ7" s="1" t="str">
        <f t="shared" si="11"/>
        <v/>
      </c>
      <c r="JK7" s="1" t="str">
        <f t="shared" si="11"/>
        <v/>
      </c>
      <c r="JL7" s="1" t="str">
        <f t="shared" si="11"/>
        <v/>
      </c>
      <c r="JM7" s="1" t="str">
        <f t="shared" si="12"/>
        <v/>
      </c>
      <c r="JN7" s="1" t="str">
        <f t="shared" si="12"/>
        <v/>
      </c>
      <c r="JO7" s="1" t="str">
        <f t="shared" si="12"/>
        <v/>
      </c>
    </row>
    <row r="8" spans="1:275" ht="14.5" x14ac:dyDescent="0.35">
      <c r="A8" s="59">
        <f>IF('Data input'!A8&lt;&gt;"",'Data input'!A8,"")</f>
        <v>6</v>
      </c>
      <c r="B8" s="60" t="str">
        <f>IF('Data input'!B8&lt;&gt;"",'Data input'!B8,"")</f>
        <v>Colorado</v>
      </c>
      <c r="C8" s="19">
        <f>IF('Data input'!C8="","",4*('Data input'!C8-'Data input'!C$108)/('Data input'!C$109-'Data input'!C$108)+1)</f>
        <v>3.5018753066740449</v>
      </c>
      <c r="D8" s="19" t="str">
        <f>IF('Data input'!D8="","",4*('Data input'!D8-'Data input'!D$108)/('Data input'!D$109-'Data input'!D$108)+1)</f>
        <v/>
      </c>
      <c r="E8" s="19" t="str">
        <f>IF('Data input'!E8="","",4*('Data input'!E8-'Data input'!E$108)/('Data input'!E$109-'Data input'!E$108)+1)</f>
        <v/>
      </c>
      <c r="F8" s="19" t="str">
        <f>IF('Data input'!F8="","",4*('Data input'!F8-'Data input'!F$108)/('Data input'!F$109-'Data input'!F$108)+1)</f>
        <v/>
      </c>
      <c r="G8" s="19" t="str">
        <f>IF('Data input'!G8="","",4*('Data input'!G8-'Data input'!G$108)/('Data input'!G$109-'Data input'!G$108)+1)</f>
        <v/>
      </c>
      <c r="H8" s="61">
        <f>IF('Data input'!H8="","",4*('Data input'!H8-'Data input'!H$108)/('Data input'!H$109-'Data input'!H$108)+1)</f>
        <v>1.1231233463491117</v>
      </c>
      <c r="I8" s="19">
        <f>IF('Data input'!I8="","",4*('Data input'!I8-'Data input'!I$108)/('Data input'!I$109-'Data input'!I$108)+1)</f>
        <v>3.3058578140547095</v>
      </c>
      <c r="J8" s="19" t="str">
        <f>IF('Data input'!J8="","",4*('Data input'!J8-'Data input'!J$108)/('Data input'!J$109-'Data input'!J$108)+1)</f>
        <v/>
      </c>
      <c r="K8" s="19" t="str">
        <f>IF('Data input'!K8="","",4*('Data input'!K8-'Data input'!K$108)/('Data input'!K$109-'Data input'!K$108)+1)</f>
        <v/>
      </c>
      <c r="L8" s="19" t="str">
        <f>IF('Data input'!L8="","",4*('Data input'!L8-'Data input'!L$108)/('Data input'!L$109-'Data input'!L$108)+1)</f>
        <v/>
      </c>
      <c r="M8" s="19">
        <f>IF('Data input'!M8="","",4*('Data input'!M8-'Data input'!M$108)/('Data input'!M$109-'Data input'!M$108)+1)</f>
        <v>3.0942043865296247</v>
      </c>
      <c r="N8" s="16" t="str">
        <f>IF('Data input'!N8="","",4*('Data input'!N8-'Data input'!N$108)/('Data input'!N$109-'Data input'!N$108)+1)</f>
        <v/>
      </c>
      <c r="O8" s="19" t="str">
        <f>IF('Data input'!O8="","",4*('Data input'!O8-'Data input'!O$108)/('Data input'!O$109-'Data input'!O$108)+1)</f>
        <v/>
      </c>
      <c r="P8" s="19" t="str">
        <f>IF('Data input'!P8="","",4*('Data input'!P8-'Data input'!P$108)/('Data input'!P$109-'Data input'!P$108)+1)</f>
        <v/>
      </c>
      <c r="Q8" s="19" t="str">
        <f>IF('Data input'!Q8="","",4*('Data input'!Q8-'Data input'!Q$108)/('Data input'!Q$109-'Data input'!Q$108)+1)</f>
        <v/>
      </c>
      <c r="R8" s="19" t="str">
        <f>IF('Data input'!R8="","",4*('Data input'!R8-'Data input'!R$108)/('Data input'!R$109-'Data input'!R$108)+1)</f>
        <v/>
      </c>
      <c r="S8" s="16" t="str">
        <f>IF('Data input'!S8="","",4*('Data input'!S8-'Data input'!S$108)/('Data input'!S$109-'Data input'!S$108)+1)</f>
        <v/>
      </c>
      <c r="T8" s="19" t="str">
        <f>IF('Data input'!T8="","",4*('Data input'!T8-'Data input'!T$108)/('Data input'!T$109-'Data input'!T$108)+1)</f>
        <v/>
      </c>
      <c r="U8" s="19" t="str">
        <f>IF('Data input'!U8="","",4*('Data input'!U8-'Data input'!U$108)/('Data input'!U$109-'Data input'!U$108)+1)</f>
        <v/>
      </c>
      <c r="V8" s="19" t="str">
        <f>IF('Data input'!V8="","",4*('Data input'!V8-'Data input'!V$108)/('Data input'!V$109-'Data input'!V$108)+1)</f>
        <v/>
      </c>
      <c r="W8" s="16" t="str">
        <f>IF('Data input'!W8="","",4*('Data input'!W8-'Data input'!W$108)/('Data input'!W$109-'Data input'!W$108)+1)</f>
        <v/>
      </c>
      <c r="X8" s="16" t="str">
        <f>IF('Data input'!X8="","",4*('Data input'!X8-'Data input'!X$108)/('Data input'!X$109-'Data input'!X$108)+1)</f>
        <v/>
      </c>
      <c r="Y8" s="16" t="str">
        <f>IF('Data input'!Y8="","",4*('Data input'!Y8-'Data input'!Y$108)/('Data input'!Y$109-'Data input'!Y$108)+1)</f>
        <v/>
      </c>
      <c r="Z8" s="16" t="str">
        <f>IF('Data input'!Z8="","",4*('Data input'!Z8-'Data input'!Z$108)/('Data input'!Z$109-'Data input'!Z$108)+1)</f>
        <v/>
      </c>
      <c r="AA8" s="62" t="str">
        <f>IF('Data input'!AA8="","",4*('Data input'!AA8-'Data input'!AA$108)/('Data input'!AA$109-'Data input'!AA$108)+1)</f>
        <v/>
      </c>
      <c r="AB8" s="78"/>
      <c r="AC8" s="79">
        <v>0</v>
      </c>
      <c r="AD8" s="80" t="e">
        <f t="shared" si="13"/>
        <v>#DIV/0!</v>
      </c>
      <c r="AE8" s="4"/>
      <c r="AF8" s="59">
        <f t="shared" si="14"/>
        <v>6</v>
      </c>
      <c r="AG8" s="60" t="str">
        <f t="shared" si="14"/>
        <v>Colorado</v>
      </c>
      <c r="AH8">
        <v>0</v>
      </c>
      <c r="AI8" t="s">
        <v>69</v>
      </c>
      <c r="AJ8" t="s">
        <v>69</v>
      </c>
      <c r="AK8" t="s">
        <v>69</v>
      </c>
      <c r="AL8" t="s">
        <v>69</v>
      </c>
      <c r="AM8">
        <v>1.2893026765697637E-3</v>
      </c>
      <c r="AN8">
        <v>2.2812898588279871</v>
      </c>
      <c r="AO8" t="s">
        <v>69</v>
      </c>
      <c r="AP8" t="s">
        <v>69</v>
      </c>
      <c r="AQ8" t="s">
        <v>69</v>
      </c>
      <c r="AR8">
        <v>0.65438851490589478</v>
      </c>
      <c r="AS8" s="71">
        <f t="shared" si="15"/>
        <v>3.5018753066740449</v>
      </c>
      <c r="AT8" s="71" t="str">
        <f t="shared" si="4"/>
        <v/>
      </c>
      <c r="AU8" s="71" t="str">
        <f t="shared" si="4"/>
        <v/>
      </c>
      <c r="AV8" s="71" t="str">
        <f t="shared" si="4"/>
        <v/>
      </c>
      <c r="AW8" s="71" t="str">
        <f t="shared" si="4"/>
        <v/>
      </c>
      <c r="AX8" s="71">
        <f t="shared" si="16"/>
        <v>1.121834043672542</v>
      </c>
      <c r="AY8" s="71">
        <f t="shared" si="5"/>
        <v>1.0245679552267224</v>
      </c>
      <c r="AZ8" s="71" t="str">
        <f t="shared" si="5"/>
        <v/>
      </c>
      <c r="BA8" s="71" t="str">
        <f t="shared" si="5"/>
        <v/>
      </c>
      <c r="BB8" s="71" t="str">
        <f t="shared" si="5"/>
        <v/>
      </c>
      <c r="BC8" s="18">
        <f>IF(C8&lt;&gt;"",(('Data input'!C$109-'Data input'!C$108)*(AS8-1)/4)+'Data input'!C$108,"")</f>
        <v>0.9419000146597436</v>
      </c>
      <c r="BD8" s="18" t="str">
        <f>IF(D8&lt;&gt;"",(('Data input'!D$109-'Data input'!D$108)*(AT8-1)/4)+'Data input'!D$108,"")</f>
        <v/>
      </c>
      <c r="BE8" s="18" t="str">
        <f>IF(E8&lt;&gt;"",(('Data input'!E$109-'Data input'!E$108)*(AU8-1)/4)+'Data input'!E$108,"")</f>
        <v/>
      </c>
      <c r="BF8" s="18" t="str">
        <f>IF(F8&lt;&gt;"",(('Data input'!F$109-'Data input'!F$108)*(AV8-1)/4)+'Data input'!F$108,"")</f>
        <v/>
      </c>
      <c r="BG8" s="18" t="str">
        <f>IF(G8&lt;&gt;"",(('Data input'!G$109-'Data input'!G$108)*(AW8-1)/4)+'Data input'!G$108,"")</f>
        <v/>
      </c>
      <c r="BH8" s="19">
        <f>IF(H8&lt;&gt;"",(('Data input'!H$109-'Data input'!H$108)*(AX8-1)/4)+'Data input'!H$108,"")</f>
        <v>2.9490238771558963</v>
      </c>
      <c r="BI8" s="18">
        <f>IF(I8&lt;&gt;"",(('Data input'!I$109-'Data input'!I$108)*(AY8-1)/4)+'Data input'!I$108,"")</f>
        <v>1.0787413859599815E-3</v>
      </c>
      <c r="BJ8" s="19" t="str">
        <f>IF(J8&lt;&gt;"",(('Data input'!J$109-'Data input'!J$108)*(AZ8-1)/4)+'Data input'!J$108,"")</f>
        <v/>
      </c>
      <c r="BK8" s="19" t="str">
        <f>IF(K8&lt;&gt;"",(('Data input'!K$109-'Data input'!K$108)*(BA8-1)/4)+'Data input'!K$108,"")</f>
        <v/>
      </c>
      <c r="BL8" s="19" t="str">
        <f>IF(L8&lt;&gt;"",(('Data input'!L$109-'Data input'!L$108)*(BB8-1)/4)+'Data input'!L$108,"")</f>
        <v/>
      </c>
      <c r="BM8" s="18">
        <f>IF(C8&lt;&gt;"",BC8-'Data input'!C8,"")</f>
        <v>0</v>
      </c>
      <c r="BN8" s="18" t="str">
        <f>IF(D8&lt;&gt;"",BD8-'Data input'!D8,"")</f>
        <v/>
      </c>
      <c r="BO8" s="18" t="str">
        <f>IF(E8&lt;&gt;"",BE8-'Data input'!E8,"")</f>
        <v/>
      </c>
      <c r="BP8" s="18" t="str">
        <f>IF(F8&lt;&gt;"",BF8-'Data input'!F8,"")</f>
        <v/>
      </c>
      <c r="BQ8" s="18" t="str">
        <f>IF(G8&lt;&gt;"",BG8-'Data input'!G8,"")</f>
        <v/>
      </c>
      <c r="BR8" s="19">
        <f>IF(H8&lt;&gt;"",BH8-'Data input'!H8,"")</f>
        <v>-2.8078215564569131E-2</v>
      </c>
      <c r="BS8" s="18">
        <f>IF(I8&lt;&gt;"",BI8-'Data input'!I8,"")</f>
        <v>-0.10016795298502604</v>
      </c>
      <c r="BT8" s="18" t="str">
        <f>IF(J8&lt;&gt;"",BJ8-'Data input'!J8,"")</f>
        <v/>
      </c>
      <c r="BU8" s="18" t="str">
        <f>IF(K8&lt;&gt;"",BK8-'Data input'!K8,"")</f>
        <v/>
      </c>
      <c r="BV8" s="72" t="str">
        <f>IF(L8&lt;&gt;"",BL8-'Data input'!L8,"")</f>
        <v/>
      </c>
      <c r="BW8" s="121" t="str">
        <f t="shared" si="17"/>
        <v xml:space="preserve">New York; Texas; 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0.45310036242868951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0.54689963757131077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FT8" s="1" t="str">
        <f t="shared" si="18"/>
        <v/>
      </c>
      <c r="FU8" s="1" t="str">
        <f t="shared" si="6"/>
        <v/>
      </c>
      <c r="FV8" s="1" t="str">
        <f t="shared" si="6"/>
        <v/>
      </c>
      <c r="FW8" s="1" t="str">
        <f t="shared" si="6"/>
        <v/>
      </c>
      <c r="FX8" s="1" t="str">
        <f t="shared" si="6"/>
        <v/>
      </c>
      <c r="FY8" s="1" t="str">
        <f t="shared" si="6"/>
        <v/>
      </c>
      <c r="FZ8" s="1" t="str">
        <f t="shared" si="6"/>
        <v/>
      </c>
      <c r="GA8" s="1" t="str">
        <f t="shared" si="6"/>
        <v/>
      </c>
      <c r="GB8" s="1" t="str">
        <f t="shared" si="6"/>
        <v/>
      </c>
      <c r="GC8" s="1" t="str">
        <f t="shared" si="6"/>
        <v/>
      </c>
      <c r="GD8" s="1" t="str">
        <f t="shared" si="6"/>
        <v/>
      </c>
      <c r="GE8" s="1" t="str">
        <f t="shared" si="6"/>
        <v/>
      </c>
      <c r="GF8" s="1" t="str">
        <f t="shared" si="6"/>
        <v/>
      </c>
      <c r="GG8" s="1" t="str">
        <f t="shared" si="6"/>
        <v/>
      </c>
      <c r="GH8" s="1" t="str">
        <f t="shared" si="6"/>
        <v/>
      </c>
      <c r="GI8" s="1" t="str">
        <f t="shared" si="6"/>
        <v/>
      </c>
      <c r="GJ8" s="1" t="str">
        <f t="shared" si="6"/>
        <v/>
      </c>
      <c r="GK8" s="1" t="str">
        <f t="shared" si="7"/>
        <v/>
      </c>
      <c r="GL8" s="1" t="str">
        <f t="shared" si="7"/>
        <v/>
      </c>
      <c r="GM8" s="1" t="str">
        <f t="shared" si="7"/>
        <v/>
      </c>
      <c r="GN8" s="1" t="str">
        <f t="shared" si="7"/>
        <v/>
      </c>
      <c r="GO8" s="1" t="str">
        <f t="shared" si="7"/>
        <v/>
      </c>
      <c r="GP8" s="1" t="str">
        <f t="shared" si="7"/>
        <v/>
      </c>
      <c r="GQ8" s="1" t="str">
        <f t="shared" si="7"/>
        <v/>
      </c>
      <c r="GR8" s="1" t="str">
        <f t="shared" si="7"/>
        <v/>
      </c>
      <c r="GS8" s="1" t="str">
        <f t="shared" si="7"/>
        <v/>
      </c>
      <c r="GT8" s="1" t="str">
        <f t="shared" si="7"/>
        <v/>
      </c>
      <c r="GU8" s="1" t="str">
        <f t="shared" si="7"/>
        <v/>
      </c>
      <c r="GV8" s="1" t="str">
        <f t="shared" si="7"/>
        <v/>
      </c>
      <c r="GW8" s="1" t="str">
        <f t="shared" si="7"/>
        <v/>
      </c>
      <c r="GX8" s="1" t="str">
        <f t="shared" si="7"/>
        <v/>
      </c>
      <c r="GY8" s="1" t="str">
        <f t="shared" si="7"/>
        <v/>
      </c>
      <c r="GZ8" s="1" t="str">
        <f t="shared" si="7"/>
        <v xml:space="preserve">New York; </v>
      </c>
      <c r="HA8" s="1" t="str">
        <f t="shared" si="8"/>
        <v/>
      </c>
      <c r="HB8" s="1" t="str">
        <f t="shared" si="8"/>
        <v/>
      </c>
      <c r="HC8" s="1" t="str">
        <f t="shared" si="8"/>
        <v/>
      </c>
      <c r="HD8" s="1" t="str">
        <f t="shared" si="8"/>
        <v/>
      </c>
      <c r="HE8" s="1" t="str">
        <f t="shared" si="8"/>
        <v/>
      </c>
      <c r="HF8" s="1" t="str">
        <f t="shared" si="8"/>
        <v/>
      </c>
      <c r="HG8" s="1" t="str">
        <f t="shared" si="8"/>
        <v/>
      </c>
      <c r="HH8" s="1" t="str">
        <f t="shared" si="8"/>
        <v/>
      </c>
      <c r="HI8" s="1" t="str">
        <f t="shared" si="8"/>
        <v/>
      </c>
      <c r="HJ8" s="1" t="str">
        <f t="shared" si="8"/>
        <v xml:space="preserve">Texas; </v>
      </c>
      <c r="HK8" s="1" t="str">
        <f t="shared" si="8"/>
        <v/>
      </c>
      <c r="HL8" s="1" t="str">
        <f t="shared" si="8"/>
        <v/>
      </c>
      <c r="HM8" s="1" t="str">
        <f t="shared" si="8"/>
        <v/>
      </c>
      <c r="HN8" s="1" t="str">
        <f t="shared" si="8"/>
        <v/>
      </c>
      <c r="HO8" s="1" t="str">
        <f t="shared" si="8"/>
        <v/>
      </c>
      <c r="HP8" s="1" t="str">
        <f t="shared" si="8"/>
        <v/>
      </c>
      <c r="HQ8" s="1" t="str">
        <f t="shared" si="9"/>
        <v/>
      </c>
      <c r="HR8" s="1" t="str">
        <f t="shared" si="9"/>
        <v/>
      </c>
      <c r="HS8" s="1" t="str">
        <f t="shared" si="9"/>
        <v/>
      </c>
      <c r="HT8" s="1" t="str">
        <f t="shared" si="9"/>
        <v/>
      </c>
      <c r="HU8" s="1" t="str">
        <f t="shared" si="9"/>
        <v/>
      </c>
      <c r="HV8" s="1" t="str">
        <f t="shared" si="9"/>
        <v/>
      </c>
      <c r="HW8" s="1" t="str">
        <f t="shared" si="9"/>
        <v/>
      </c>
      <c r="HX8" s="1" t="str">
        <f t="shared" si="9"/>
        <v/>
      </c>
      <c r="HY8" s="1" t="str">
        <f t="shared" si="9"/>
        <v/>
      </c>
      <c r="HZ8" s="1" t="str">
        <f t="shared" si="9"/>
        <v/>
      </c>
      <c r="IA8" s="1" t="str">
        <f t="shared" si="9"/>
        <v/>
      </c>
      <c r="IB8" s="1" t="str">
        <f t="shared" si="9"/>
        <v/>
      </c>
      <c r="IC8" s="1" t="str">
        <f t="shared" si="9"/>
        <v/>
      </c>
      <c r="ID8" s="1" t="str">
        <f t="shared" si="9"/>
        <v/>
      </c>
      <c r="IE8" s="1" t="str">
        <f t="shared" si="9"/>
        <v/>
      </c>
      <c r="IF8" s="1" t="str">
        <f t="shared" si="9"/>
        <v/>
      </c>
      <c r="IG8" s="1" t="str">
        <f t="shared" si="10"/>
        <v/>
      </c>
      <c r="IH8" s="1" t="str">
        <f t="shared" si="10"/>
        <v/>
      </c>
      <c r="II8" s="1" t="str">
        <f t="shared" si="10"/>
        <v/>
      </c>
      <c r="IJ8" s="1" t="str">
        <f t="shared" si="10"/>
        <v/>
      </c>
      <c r="IK8" s="1" t="str">
        <f t="shared" si="10"/>
        <v/>
      </c>
      <c r="IL8" s="1" t="str">
        <f t="shared" si="10"/>
        <v/>
      </c>
      <c r="IM8" s="1" t="str">
        <f t="shared" si="10"/>
        <v/>
      </c>
      <c r="IN8" s="1" t="str">
        <f t="shared" si="10"/>
        <v/>
      </c>
      <c r="IO8" s="1" t="str">
        <f t="shared" si="10"/>
        <v/>
      </c>
      <c r="IP8" s="1" t="str">
        <f t="shared" si="10"/>
        <v/>
      </c>
      <c r="IQ8" s="1" t="str">
        <f t="shared" si="10"/>
        <v/>
      </c>
      <c r="IR8" s="1" t="str">
        <f t="shared" si="10"/>
        <v/>
      </c>
      <c r="IS8" s="1" t="str">
        <f t="shared" si="10"/>
        <v/>
      </c>
      <c r="IT8" s="1" t="str">
        <f t="shared" si="10"/>
        <v/>
      </c>
      <c r="IU8" s="1" t="str">
        <f t="shared" si="10"/>
        <v/>
      </c>
      <c r="IV8" s="1" t="str">
        <f t="shared" si="10"/>
        <v/>
      </c>
      <c r="IW8" s="1" t="str">
        <f t="shared" si="11"/>
        <v/>
      </c>
      <c r="IX8" s="1" t="str">
        <f t="shared" si="11"/>
        <v/>
      </c>
      <c r="IY8" s="1" t="str">
        <f t="shared" si="11"/>
        <v/>
      </c>
      <c r="IZ8" s="1" t="str">
        <f t="shared" si="11"/>
        <v/>
      </c>
      <c r="JA8" s="1" t="str">
        <f t="shared" si="11"/>
        <v/>
      </c>
      <c r="JB8" s="1" t="str">
        <f t="shared" si="11"/>
        <v/>
      </c>
      <c r="JC8" s="1" t="str">
        <f t="shared" si="11"/>
        <v/>
      </c>
      <c r="JD8" s="1" t="str">
        <f t="shared" si="11"/>
        <v/>
      </c>
      <c r="JE8" s="1" t="str">
        <f t="shared" si="11"/>
        <v/>
      </c>
      <c r="JF8" s="1" t="str">
        <f t="shared" si="11"/>
        <v/>
      </c>
      <c r="JG8" s="1" t="str">
        <f t="shared" si="11"/>
        <v/>
      </c>
      <c r="JH8" s="1" t="str">
        <f t="shared" si="11"/>
        <v/>
      </c>
      <c r="JI8" s="1" t="str">
        <f t="shared" si="11"/>
        <v/>
      </c>
      <c r="JJ8" s="1" t="str">
        <f t="shared" si="11"/>
        <v/>
      </c>
      <c r="JK8" s="1" t="str">
        <f t="shared" si="11"/>
        <v/>
      </c>
      <c r="JL8" s="1" t="str">
        <f t="shared" si="11"/>
        <v/>
      </c>
      <c r="JM8" s="1" t="str">
        <f t="shared" si="12"/>
        <v/>
      </c>
      <c r="JN8" s="1" t="str">
        <f t="shared" si="12"/>
        <v/>
      </c>
      <c r="JO8" s="1" t="str">
        <f t="shared" si="12"/>
        <v/>
      </c>
    </row>
    <row r="9" spans="1:275" ht="14.5" x14ac:dyDescent="0.35">
      <c r="A9" s="59">
        <f>IF('Data input'!A9&lt;&gt;"",'Data input'!A9,"")</f>
        <v>7</v>
      </c>
      <c r="B9" s="60" t="str">
        <f>IF('Data input'!B9&lt;&gt;"",'Data input'!B9,"")</f>
        <v>Connecticut</v>
      </c>
      <c r="C9" s="19">
        <f>IF('Data input'!C9="","",4*('Data input'!C9-'Data input'!C$108)/('Data input'!C$109-'Data input'!C$108)+1)</f>
        <v>2.8518667275457994</v>
      </c>
      <c r="D9" s="19" t="str">
        <f>IF('Data input'!D9="","",4*('Data input'!D9-'Data input'!D$108)/('Data input'!D$109-'Data input'!D$108)+1)</f>
        <v/>
      </c>
      <c r="E9" s="19" t="str">
        <f>IF('Data input'!E9="","",4*('Data input'!E9-'Data input'!E$108)/('Data input'!E$109-'Data input'!E$108)+1)</f>
        <v/>
      </c>
      <c r="F9" s="19" t="str">
        <f>IF('Data input'!F9="","",4*('Data input'!F9-'Data input'!F$108)/('Data input'!F$109-'Data input'!F$108)+1)</f>
        <v/>
      </c>
      <c r="G9" s="19" t="str">
        <f>IF('Data input'!G9="","",4*('Data input'!G9-'Data input'!G$108)/('Data input'!G$109-'Data input'!G$108)+1)</f>
        <v/>
      </c>
      <c r="H9" s="61">
        <f>IF('Data input'!H9="","",4*('Data input'!H9-'Data input'!H$108)/('Data input'!H$109-'Data input'!H$108)+1)</f>
        <v>1.9151118853608993</v>
      </c>
      <c r="I9" s="19">
        <f>IF('Data input'!I9="","",4*('Data input'!I9-'Data input'!I$108)/('Data input'!I$109-'Data input'!I$108)+1)</f>
        <v>1.5371968508803784</v>
      </c>
      <c r="J9" s="19" t="str">
        <f>IF('Data input'!J9="","",4*('Data input'!J9-'Data input'!J$108)/('Data input'!J$109-'Data input'!J$108)+1)</f>
        <v/>
      </c>
      <c r="K9" s="19" t="str">
        <f>IF('Data input'!K9="","",4*('Data input'!K9-'Data input'!K$108)/('Data input'!K$109-'Data input'!K$108)+1)</f>
        <v/>
      </c>
      <c r="L9" s="19" t="str">
        <f>IF('Data input'!L9="","",4*('Data input'!L9-'Data input'!L$108)/('Data input'!L$109-'Data input'!L$108)+1)</f>
        <v/>
      </c>
      <c r="M9" s="19">
        <f>IF('Data input'!M9="","",4*('Data input'!M9-'Data input'!M$108)/('Data input'!M$109-'Data input'!M$108)+1)</f>
        <v>3.1617181314330955</v>
      </c>
      <c r="N9" s="16" t="str">
        <f>IF('Data input'!N9="","",4*('Data input'!N9-'Data input'!N$108)/('Data input'!N$109-'Data input'!N$108)+1)</f>
        <v/>
      </c>
      <c r="O9" s="19" t="str">
        <f>IF('Data input'!O9="","",4*('Data input'!O9-'Data input'!O$108)/('Data input'!O$109-'Data input'!O$108)+1)</f>
        <v/>
      </c>
      <c r="P9" s="19" t="str">
        <f>IF('Data input'!P9="","",4*('Data input'!P9-'Data input'!P$108)/('Data input'!P$109-'Data input'!P$108)+1)</f>
        <v/>
      </c>
      <c r="Q9" s="19" t="str">
        <f>IF('Data input'!Q9="","",4*('Data input'!Q9-'Data input'!Q$108)/('Data input'!Q$109-'Data input'!Q$108)+1)</f>
        <v/>
      </c>
      <c r="R9" s="19" t="str">
        <f>IF('Data input'!R9="","",4*('Data input'!R9-'Data input'!R$108)/('Data input'!R$109-'Data input'!R$108)+1)</f>
        <v/>
      </c>
      <c r="S9" s="16" t="str">
        <f>IF('Data input'!S9="","",4*('Data input'!S9-'Data input'!S$108)/('Data input'!S$109-'Data input'!S$108)+1)</f>
        <v/>
      </c>
      <c r="T9" s="19" t="str">
        <f>IF('Data input'!T9="","",4*('Data input'!T9-'Data input'!T$108)/('Data input'!T$109-'Data input'!T$108)+1)</f>
        <v/>
      </c>
      <c r="U9" s="19" t="str">
        <f>IF('Data input'!U9="","",4*('Data input'!U9-'Data input'!U$108)/('Data input'!U$109-'Data input'!U$108)+1)</f>
        <v/>
      </c>
      <c r="V9" s="19" t="str">
        <f>IF('Data input'!V9="","",4*('Data input'!V9-'Data input'!V$108)/('Data input'!V$109-'Data input'!V$108)+1)</f>
        <v/>
      </c>
      <c r="W9" s="16" t="str">
        <f>IF('Data input'!W9="","",4*('Data input'!W9-'Data input'!W$108)/('Data input'!W$109-'Data input'!W$108)+1)</f>
        <v/>
      </c>
      <c r="X9" s="16" t="str">
        <f>IF('Data input'!X9="","",4*('Data input'!X9-'Data input'!X$108)/('Data input'!X$109-'Data input'!X$108)+1)</f>
        <v/>
      </c>
      <c r="Y9" s="16" t="str">
        <f>IF('Data input'!Y9="","",4*('Data input'!Y9-'Data input'!Y$108)/('Data input'!Y$109-'Data input'!Y$108)+1)</f>
        <v/>
      </c>
      <c r="Z9" s="16" t="str">
        <f>IF('Data input'!Z9="","",4*('Data input'!Z9-'Data input'!Z$108)/('Data input'!Z$109-'Data input'!Z$108)+1)</f>
        <v/>
      </c>
      <c r="AA9" s="62" t="str">
        <f>IF('Data input'!AA9="","",4*('Data input'!AA9-'Data input'!AA$108)/('Data input'!AA$109-'Data input'!AA$108)+1)</f>
        <v/>
      </c>
      <c r="AB9" s="78"/>
      <c r="AC9" s="79">
        <v>0</v>
      </c>
      <c r="AD9" s="80" t="e">
        <f t="shared" si="13"/>
        <v>#DIV/0!</v>
      </c>
      <c r="AE9" s="4"/>
      <c r="AF9" s="59">
        <f t="shared" si="14"/>
        <v>7</v>
      </c>
      <c r="AG9" s="60" t="str">
        <f t="shared" si="14"/>
        <v>Connecticut</v>
      </c>
      <c r="AH9">
        <v>1.3456414016024814</v>
      </c>
      <c r="AI9" t="s">
        <v>69</v>
      </c>
      <c r="AJ9" t="s">
        <v>69</v>
      </c>
      <c r="AK9" t="s">
        <v>69</v>
      </c>
      <c r="AL9" t="s">
        <v>69</v>
      </c>
      <c r="AM9">
        <v>0.16616203598590609</v>
      </c>
      <c r="AN9">
        <v>2.2411477345518668E-2</v>
      </c>
      <c r="AO9" t="s">
        <v>69</v>
      </c>
      <c r="AP9" t="s">
        <v>69</v>
      </c>
      <c r="AQ9" t="s">
        <v>69</v>
      </c>
      <c r="AR9">
        <v>0.6416124738476835</v>
      </c>
      <c r="AS9" s="71">
        <f t="shared" si="15"/>
        <v>4.1975081291482805</v>
      </c>
      <c r="AT9" s="71" t="str">
        <f t="shared" si="4"/>
        <v/>
      </c>
      <c r="AU9" s="71" t="str">
        <f t="shared" si="4"/>
        <v/>
      </c>
      <c r="AV9" s="71" t="str">
        <f t="shared" si="4"/>
        <v/>
      </c>
      <c r="AW9" s="71" t="str">
        <f t="shared" si="4"/>
        <v/>
      </c>
      <c r="AX9" s="71">
        <f t="shared" si="16"/>
        <v>1.7489498493749931</v>
      </c>
      <c r="AY9" s="71">
        <f t="shared" si="5"/>
        <v>1.5147853735348598</v>
      </c>
      <c r="AZ9" s="71" t="str">
        <f t="shared" si="5"/>
        <v/>
      </c>
      <c r="BA9" s="71" t="str">
        <f t="shared" si="5"/>
        <v/>
      </c>
      <c r="BB9" s="71" t="str">
        <f t="shared" si="5"/>
        <v/>
      </c>
      <c r="BC9" s="18">
        <f>IF(C9&lt;&gt;"",(('Data input'!C$109-'Data input'!C$108)*(AS9-1)/4)+'Data input'!C$108,"")</f>
        <v>0.96715647306622476</v>
      </c>
      <c r="BD9" s="18" t="str">
        <f>IF(D9&lt;&gt;"",(('Data input'!D$109-'Data input'!D$108)*(AT9-1)/4)+'Data input'!D$108,"")</f>
        <v/>
      </c>
      <c r="BE9" s="18" t="str">
        <f>IF(E9&lt;&gt;"",(('Data input'!E$109-'Data input'!E$108)*(AU9-1)/4)+'Data input'!E$108,"")</f>
        <v/>
      </c>
      <c r="BF9" s="18" t="str">
        <f>IF(F9&lt;&gt;"",(('Data input'!F$109-'Data input'!F$108)*(AV9-1)/4)+'Data input'!F$108,"")</f>
        <v/>
      </c>
      <c r="BG9" s="18" t="str">
        <f>IF(G9&lt;&gt;"",(('Data input'!G$109-'Data input'!G$108)*(AW9-1)/4)+'Data input'!G$108,"")</f>
        <v/>
      </c>
      <c r="BH9" s="19">
        <f>IF(H9&lt;&gt;"",(('Data input'!H$109-'Data input'!H$108)*(AX9-1)/4)+'Data input'!H$108,"")</f>
        <v>16.606245797544261</v>
      </c>
      <c r="BI9" s="18">
        <f>IF(I9&lt;&gt;"",(('Data input'!I$109-'Data input'!I$108)*(AY9-1)/4)+'Data input'!I$108,"")</f>
        <v>2.2603439406910973E-2</v>
      </c>
      <c r="BJ9" s="19" t="str">
        <f>IF(J9&lt;&gt;"",(('Data input'!J$109-'Data input'!J$108)*(AZ9-1)/4)+'Data input'!J$108,"")</f>
        <v/>
      </c>
      <c r="BK9" s="19" t="str">
        <f>IF(K9&lt;&gt;"",(('Data input'!K$109-'Data input'!K$108)*(BA9-1)/4)+'Data input'!K$108,"")</f>
        <v/>
      </c>
      <c r="BL9" s="19" t="str">
        <f>IF(L9&lt;&gt;"",(('Data input'!L$109-'Data input'!L$108)*(BB9-1)/4)+'Data input'!L$108,"")</f>
        <v/>
      </c>
      <c r="BM9" s="18">
        <f>IF(C9&lt;&gt;"",BC9-'Data input'!C9,"")</f>
        <v>4.8856429701993886E-2</v>
      </c>
      <c r="BN9" s="18" t="str">
        <f>IF(D9&lt;&gt;"",BD9-'Data input'!D9,"")</f>
        <v/>
      </c>
      <c r="BO9" s="18" t="str">
        <f>IF(E9&lt;&gt;"",BE9-'Data input'!E9,"")</f>
        <v/>
      </c>
      <c r="BP9" s="18" t="str">
        <f>IF(F9&lt;&gt;"",BF9-'Data input'!F9,"")</f>
        <v/>
      </c>
      <c r="BQ9" s="18" t="str">
        <f>IF(G9&lt;&gt;"",BG9-'Data input'!G9,"")</f>
        <v/>
      </c>
      <c r="BR9" s="19">
        <f>IF(H9&lt;&gt;"",BH9-'Data input'!H9,"")</f>
        <v>-3.6186487082097294</v>
      </c>
      <c r="BS9" s="18">
        <f>IF(I9&lt;&gt;"",BI9-'Data input'!I9,"")</f>
        <v>-9.8405373625962481E-4</v>
      </c>
      <c r="BT9" s="18" t="str">
        <f>IF(J9&lt;&gt;"",BJ9-'Data input'!J9,"")</f>
        <v/>
      </c>
      <c r="BU9" s="18" t="str">
        <f>IF(K9&lt;&gt;"",BK9-'Data input'!K9,"")</f>
        <v/>
      </c>
      <c r="BV9" s="72" t="str">
        <f>IF(L9&lt;&gt;"",BL9-'Data input'!L9,"")</f>
        <v/>
      </c>
      <c r="BW9" s="121" t="str">
        <f t="shared" si="17"/>
        <v xml:space="preserve">New York; Texas; 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1.0017189168216503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0.47787898234634196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FT9" s="1" t="str">
        <f t="shared" si="18"/>
        <v/>
      </c>
      <c r="FU9" s="1" t="str">
        <f t="shared" si="6"/>
        <v/>
      </c>
      <c r="FV9" s="1" t="str">
        <f t="shared" si="6"/>
        <v/>
      </c>
      <c r="FW9" s="1" t="str">
        <f t="shared" si="6"/>
        <v/>
      </c>
      <c r="FX9" s="1" t="str">
        <f t="shared" si="6"/>
        <v/>
      </c>
      <c r="FY9" s="1" t="str">
        <f t="shared" si="6"/>
        <v/>
      </c>
      <c r="FZ9" s="1" t="str">
        <f t="shared" si="6"/>
        <v/>
      </c>
      <c r="GA9" s="1" t="str">
        <f t="shared" si="6"/>
        <v/>
      </c>
      <c r="GB9" s="1" t="str">
        <f t="shared" si="6"/>
        <v/>
      </c>
      <c r="GC9" s="1" t="str">
        <f t="shared" si="6"/>
        <v/>
      </c>
      <c r="GD9" s="1" t="str">
        <f t="shared" si="6"/>
        <v/>
      </c>
      <c r="GE9" s="1" t="str">
        <f t="shared" si="6"/>
        <v/>
      </c>
      <c r="GF9" s="1" t="str">
        <f t="shared" si="6"/>
        <v/>
      </c>
      <c r="GG9" s="1" t="str">
        <f t="shared" si="6"/>
        <v/>
      </c>
      <c r="GH9" s="1" t="str">
        <f t="shared" si="6"/>
        <v/>
      </c>
      <c r="GI9" s="1" t="str">
        <f t="shared" si="6"/>
        <v/>
      </c>
      <c r="GJ9" s="1" t="str">
        <f t="shared" si="6"/>
        <v/>
      </c>
      <c r="GK9" s="1" t="str">
        <f t="shared" si="7"/>
        <v/>
      </c>
      <c r="GL9" s="1" t="str">
        <f t="shared" si="7"/>
        <v/>
      </c>
      <c r="GM9" s="1" t="str">
        <f t="shared" si="7"/>
        <v/>
      </c>
      <c r="GN9" s="1" t="str">
        <f t="shared" si="7"/>
        <v/>
      </c>
      <c r="GO9" s="1" t="str">
        <f t="shared" si="7"/>
        <v/>
      </c>
      <c r="GP9" s="1" t="str">
        <f t="shared" si="7"/>
        <v/>
      </c>
      <c r="GQ9" s="1" t="str">
        <f t="shared" si="7"/>
        <v/>
      </c>
      <c r="GR9" s="1" t="str">
        <f t="shared" si="7"/>
        <v/>
      </c>
      <c r="GS9" s="1" t="str">
        <f t="shared" si="7"/>
        <v/>
      </c>
      <c r="GT9" s="1" t="str">
        <f t="shared" si="7"/>
        <v/>
      </c>
      <c r="GU9" s="1" t="str">
        <f t="shared" si="7"/>
        <v/>
      </c>
      <c r="GV9" s="1" t="str">
        <f t="shared" si="7"/>
        <v/>
      </c>
      <c r="GW9" s="1" t="str">
        <f t="shared" si="7"/>
        <v/>
      </c>
      <c r="GX9" s="1" t="str">
        <f t="shared" si="7"/>
        <v/>
      </c>
      <c r="GY9" s="1" t="str">
        <f t="shared" si="7"/>
        <v/>
      </c>
      <c r="GZ9" s="1" t="str">
        <f t="shared" si="7"/>
        <v xml:space="preserve">New York; </v>
      </c>
      <c r="HA9" s="1" t="str">
        <f t="shared" si="8"/>
        <v/>
      </c>
      <c r="HB9" s="1" t="str">
        <f t="shared" si="8"/>
        <v/>
      </c>
      <c r="HC9" s="1" t="str">
        <f t="shared" si="8"/>
        <v/>
      </c>
      <c r="HD9" s="1" t="str">
        <f t="shared" si="8"/>
        <v/>
      </c>
      <c r="HE9" s="1" t="str">
        <f t="shared" si="8"/>
        <v/>
      </c>
      <c r="HF9" s="1" t="str">
        <f t="shared" si="8"/>
        <v/>
      </c>
      <c r="HG9" s="1" t="str">
        <f t="shared" si="8"/>
        <v/>
      </c>
      <c r="HH9" s="1" t="str">
        <f t="shared" si="8"/>
        <v/>
      </c>
      <c r="HI9" s="1" t="str">
        <f t="shared" si="8"/>
        <v/>
      </c>
      <c r="HJ9" s="1" t="str">
        <f t="shared" si="8"/>
        <v xml:space="preserve">Texas; </v>
      </c>
      <c r="HK9" s="1" t="str">
        <f t="shared" si="8"/>
        <v/>
      </c>
      <c r="HL9" s="1" t="str">
        <f t="shared" si="8"/>
        <v/>
      </c>
      <c r="HM9" s="1" t="str">
        <f t="shared" si="8"/>
        <v/>
      </c>
      <c r="HN9" s="1" t="str">
        <f t="shared" si="8"/>
        <v/>
      </c>
      <c r="HO9" s="1" t="str">
        <f t="shared" si="8"/>
        <v/>
      </c>
      <c r="HP9" s="1" t="str">
        <f t="shared" si="8"/>
        <v/>
      </c>
      <c r="HQ9" s="1" t="str">
        <f t="shared" si="9"/>
        <v/>
      </c>
      <c r="HR9" s="1" t="str">
        <f t="shared" si="9"/>
        <v/>
      </c>
      <c r="HS9" s="1" t="str">
        <f t="shared" si="9"/>
        <v/>
      </c>
      <c r="HT9" s="1" t="str">
        <f t="shared" si="9"/>
        <v/>
      </c>
      <c r="HU9" s="1" t="str">
        <f t="shared" si="9"/>
        <v/>
      </c>
      <c r="HV9" s="1" t="str">
        <f t="shared" si="9"/>
        <v/>
      </c>
      <c r="HW9" s="1" t="str">
        <f t="shared" si="9"/>
        <v/>
      </c>
      <c r="HX9" s="1" t="str">
        <f t="shared" si="9"/>
        <v/>
      </c>
      <c r="HY9" s="1" t="str">
        <f t="shared" si="9"/>
        <v/>
      </c>
      <c r="HZ9" s="1" t="str">
        <f t="shared" si="9"/>
        <v/>
      </c>
      <c r="IA9" s="1" t="str">
        <f t="shared" si="9"/>
        <v/>
      </c>
      <c r="IB9" s="1" t="str">
        <f t="shared" si="9"/>
        <v/>
      </c>
      <c r="IC9" s="1" t="str">
        <f t="shared" si="9"/>
        <v/>
      </c>
      <c r="ID9" s="1" t="str">
        <f t="shared" si="9"/>
        <v/>
      </c>
      <c r="IE9" s="1" t="str">
        <f t="shared" si="9"/>
        <v/>
      </c>
      <c r="IF9" s="1" t="str">
        <f t="shared" si="9"/>
        <v/>
      </c>
      <c r="IG9" s="1" t="str">
        <f t="shared" si="10"/>
        <v/>
      </c>
      <c r="IH9" s="1" t="str">
        <f t="shared" si="10"/>
        <v/>
      </c>
      <c r="II9" s="1" t="str">
        <f t="shared" si="10"/>
        <v/>
      </c>
      <c r="IJ9" s="1" t="str">
        <f t="shared" si="10"/>
        <v/>
      </c>
      <c r="IK9" s="1" t="str">
        <f t="shared" si="10"/>
        <v/>
      </c>
      <c r="IL9" s="1" t="str">
        <f t="shared" si="10"/>
        <v/>
      </c>
      <c r="IM9" s="1" t="str">
        <f t="shared" si="10"/>
        <v/>
      </c>
      <c r="IN9" s="1" t="str">
        <f t="shared" si="10"/>
        <v/>
      </c>
      <c r="IO9" s="1" t="str">
        <f t="shared" si="10"/>
        <v/>
      </c>
      <c r="IP9" s="1" t="str">
        <f t="shared" si="10"/>
        <v/>
      </c>
      <c r="IQ9" s="1" t="str">
        <f t="shared" si="10"/>
        <v/>
      </c>
      <c r="IR9" s="1" t="str">
        <f t="shared" si="10"/>
        <v/>
      </c>
      <c r="IS9" s="1" t="str">
        <f t="shared" si="10"/>
        <v/>
      </c>
      <c r="IT9" s="1" t="str">
        <f t="shared" si="10"/>
        <v/>
      </c>
      <c r="IU9" s="1" t="str">
        <f t="shared" si="10"/>
        <v/>
      </c>
      <c r="IV9" s="1" t="str">
        <f t="shared" si="10"/>
        <v/>
      </c>
      <c r="IW9" s="1" t="str">
        <f t="shared" si="11"/>
        <v/>
      </c>
      <c r="IX9" s="1" t="str">
        <f t="shared" si="11"/>
        <v/>
      </c>
      <c r="IY9" s="1" t="str">
        <f t="shared" si="11"/>
        <v/>
      </c>
      <c r="IZ9" s="1" t="str">
        <f t="shared" si="11"/>
        <v/>
      </c>
      <c r="JA9" s="1" t="str">
        <f t="shared" si="11"/>
        <v/>
      </c>
      <c r="JB9" s="1" t="str">
        <f t="shared" si="11"/>
        <v/>
      </c>
      <c r="JC9" s="1" t="str">
        <f t="shared" si="11"/>
        <v/>
      </c>
      <c r="JD9" s="1" t="str">
        <f t="shared" si="11"/>
        <v/>
      </c>
      <c r="JE9" s="1" t="str">
        <f t="shared" si="11"/>
        <v/>
      </c>
      <c r="JF9" s="1" t="str">
        <f t="shared" si="11"/>
        <v/>
      </c>
      <c r="JG9" s="1" t="str">
        <f t="shared" si="11"/>
        <v/>
      </c>
      <c r="JH9" s="1" t="str">
        <f t="shared" si="11"/>
        <v/>
      </c>
      <c r="JI9" s="1" t="str">
        <f t="shared" si="11"/>
        <v/>
      </c>
      <c r="JJ9" s="1" t="str">
        <f t="shared" si="11"/>
        <v/>
      </c>
      <c r="JK9" s="1" t="str">
        <f t="shared" si="11"/>
        <v/>
      </c>
      <c r="JL9" s="1" t="str">
        <f t="shared" si="11"/>
        <v/>
      </c>
      <c r="JM9" s="1" t="str">
        <f t="shared" si="12"/>
        <v/>
      </c>
      <c r="JN9" s="1" t="str">
        <f t="shared" si="12"/>
        <v/>
      </c>
      <c r="JO9" s="1" t="str">
        <f t="shared" si="12"/>
        <v/>
      </c>
    </row>
    <row r="10" spans="1:275" ht="14.5" x14ac:dyDescent="0.35">
      <c r="A10" s="59">
        <f>IF('Data input'!A10&lt;&gt;"",'Data input'!A10,"")</f>
        <v>8</v>
      </c>
      <c r="B10" s="60" t="str">
        <f>IF('Data input'!B10&lt;&gt;"",'Data input'!B10,"")</f>
        <v>Delaware</v>
      </c>
      <c r="C10" s="19">
        <f>IF('Data input'!C10="","",4*('Data input'!C10-'Data input'!C$108)/('Data input'!C$109-'Data input'!C$108)+1)</f>
        <v>3.9192672575677636</v>
      </c>
      <c r="D10" s="19" t="str">
        <f>IF('Data input'!D10="","",4*('Data input'!D10-'Data input'!D$108)/('Data input'!D$109-'Data input'!D$108)+1)</f>
        <v/>
      </c>
      <c r="E10" s="19" t="str">
        <f>IF('Data input'!E10="","",4*('Data input'!E10-'Data input'!E$108)/('Data input'!E$109-'Data input'!E$108)+1)</f>
        <v/>
      </c>
      <c r="F10" s="19" t="str">
        <f>IF('Data input'!F10="","",4*('Data input'!F10-'Data input'!F$108)/('Data input'!F$109-'Data input'!F$108)+1)</f>
        <v/>
      </c>
      <c r="G10" s="19" t="str">
        <f>IF('Data input'!G10="","",4*('Data input'!G10-'Data input'!G$108)/('Data input'!G$109-'Data input'!G$108)+1)</f>
        <v/>
      </c>
      <c r="H10" s="61">
        <f>IF('Data input'!H10="","",4*('Data input'!H10-'Data input'!H$108)/('Data input'!H$109-'Data input'!H$108)+1)</f>
        <v>3.3141611703667095</v>
      </c>
      <c r="I10" s="19">
        <f>IF('Data input'!I10="","",4*('Data input'!I10-'Data input'!I$108)/('Data input'!I$109-'Data input'!I$108)+1)</f>
        <v>1.0910985915492957</v>
      </c>
      <c r="J10" s="19" t="str">
        <f>IF('Data input'!J10="","",4*('Data input'!J10-'Data input'!J$108)/('Data input'!J$109-'Data input'!J$108)+1)</f>
        <v/>
      </c>
      <c r="K10" s="19" t="str">
        <f>IF('Data input'!K10="","",4*('Data input'!K10-'Data input'!K$108)/('Data input'!K$109-'Data input'!K$108)+1)</f>
        <v/>
      </c>
      <c r="L10" s="19" t="str">
        <f>IF('Data input'!L10="","",4*('Data input'!L10-'Data input'!L$108)/('Data input'!L$109-'Data input'!L$108)+1)</f>
        <v/>
      </c>
      <c r="M10" s="19">
        <f>IF('Data input'!M10="","",4*('Data input'!M10-'Data input'!M$108)/('Data input'!M$109-'Data input'!M$108)+1)</f>
        <v>2.08056030368282</v>
      </c>
      <c r="N10" s="16" t="str">
        <f>IF('Data input'!N10="","",4*('Data input'!N10-'Data input'!N$108)/('Data input'!N$109-'Data input'!N$108)+1)</f>
        <v/>
      </c>
      <c r="O10" s="19" t="str">
        <f>IF('Data input'!O10="","",4*('Data input'!O10-'Data input'!O$108)/('Data input'!O$109-'Data input'!O$108)+1)</f>
        <v/>
      </c>
      <c r="P10" s="19" t="str">
        <f>IF('Data input'!P10="","",4*('Data input'!P10-'Data input'!P$108)/('Data input'!P$109-'Data input'!P$108)+1)</f>
        <v/>
      </c>
      <c r="Q10" s="19" t="str">
        <f>IF('Data input'!Q10="","",4*('Data input'!Q10-'Data input'!Q$108)/('Data input'!Q$109-'Data input'!Q$108)+1)</f>
        <v/>
      </c>
      <c r="R10" s="19" t="str">
        <f>IF('Data input'!R10="","",4*('Data input'!R10-'Data input'!R$108)/('Data input'!R$109-'Data input'!R$108)+1)</f>
        <v/>
      </c>
      <c r="S10" s="16" t="str">
        <f>IF('Data input'!S10="","",4*('Data input'!S10-'Data input'!S$108)/('Data input'!S$109-'Data input'!S$108)+1)</f>
        <v/>
      </c>
      <c r="T10" s="19" t="str">
        <f>IF('Data input'!T10="","",4*('Data input'!T10-'Data input'!T$108)/('Data input'!T$109-'Data input'!T$108)+1)</f>
        <v/>
      </c>
      <c r="U10" s="19" t="str">
        <f>IF('Data input'!U10="","",4*('Data input'!U10-'Data input'!U$108)/('Data input'!U$109-'Data input'!U$108)+1)</f>
        <v/>
      </c>
      <c r="V10" s="19" t="str">
        <f>IF('Data input'!V10="","",4*('Data input'!V10-'Data input'!V$108)/('Data input'!V$109-'Data input'!V$108)+1)</f>
        <v/>
      </c>
      <c r="W10" s="16" t="str">
        <f>IF('Data input'!W10="","",4*('Data input'!W10-'Data input'!W$108)/('Data input'!W$109-'Data input'!W$108)+1)</f>
        <v/>
      </c>
      <c r="X10" s="16" t="str">
        <f>IF('Data input'!X10="","",4*('Data input'!X10-'Data input'!X$108)/('Data input'!X$109-'Data input'!X$108)+1)</f>
        <v/>
      </c>
      <c r="Y10" s="16" t="str">
        <f>IF('Data input'!Y10="","",4*('Data input'!Y10-'Data input'!Y$108)/('Data input'!Y$109-'Data input'!Y$108)+1)</f>
        <v/>
      </c>
      <c r="Z10" s="16" t="str">
        <f>IF('Data input'!Z10="","",4*('Data input'!Z10-'Data input'!Z$108)/('Data input'!Z$109-'Data input'!Z$108)+1)</f>
        <v/>
      </c>
      <c r="AA10" s="62" t="str">
        <f>IF('Data input'!AA10="","",4*('Data input'!AA10-'Data input'!AA$108)/('Data input'!AA$109-'Data input'!AA$108)+1)</f>
        <v/>
      </c>
      <c r="AB10" s="78"/>
      <c r="AC10" s="79">
        <v>0</v>
      </c>
      <c r="AD10" s="80" t="e">
        <f t="shared" si="13"/>
        <v>#DIV/0!</v>
      </c>
      <c r="AE10" s="4"/>
      <c r="AF10" s="59">
        <f t="shared" si="14"/>
        <v>8</v>
      </c>
      <c r="AG10" s="60" t="str">
        <f t="shared" si="14"/>
        <v>Delaware</v>
      </c>
      <c r="AH10">
        <v>1.9352349662051728E-3</v>
      </c>
      <c r="AI10" t="s">
        <v>69</v>
      </c>
      <c r="AJ10" t="s">
        <v>69</v>
      </c>
      <c r="AK10" t="s">
        <v>69</v>
      </c>
      <c r="AL10" t="s">
        <v>69</v>
      </c>
      <c r="AM10">
        <v>2.1899187419282078</v>
      </c>
      <c r="AN10">
        <v>8.9271318397890903E-2</v>
      </c>
      <c r="AO10" t="s">
        <v>69</v>
      </c>
      <c r="AP10" t="s">
        <v>69</v>
      </c>
      <c r="AQ10" t="s">
        <v>69</v>
      </c>
      <c r="AR10">
        <v>0.62838685466542077</v>
      </c>
      <c r="AS10" s="71">
        <f t="shared" si="15"/>
        <v>3.9212024925339688</v>
      </c>
      <c r="AT10" s="71" t="str">
        <f t="shared" si="4"/>
        <v/>
      </c>
      <c r="AU10" s="71" t="str">
        <f t="shared" si="4"/>
        <v/>
      </c>
      <c r="AV10" s="71" t="str">
        <f t="shared" si="4"/>
        <v/>
      </c>
      <c r="AW10" s="71" t="str">
        <f t="shared" si="4"/>
        <v/>
      </c>
      <c r="AX10" s="71">
        <f t="shared" si="16"/>
        <v>1.1242424284385018</v>
      </c>
      <c r="AY10" s="71">
        <f t="shared" si="5"/>
        <v>1.0018272731514049</v>
      </c>
      <c r="AZ10" s="71" t="str">
        <f t="shared" si="5"/>
        <v/>
      </c>
      <c r="BA10" s="71" t="str">
        <f t="shared" si="5"/>
        <v/>
      </c>
      <c r="BB10" s="71" t="str">
        <f t="shared" si="5"/>
        <v/>
      </c>
      <c r="BC10" s="18">
        <f>IF(C10&lt;&gt;"",(('Data input'!C$109-'Data input'!C$108)*(AS10-1)/4)+'Data input'!C$108,"")</f>
        <v>0.9571245976383167</v>
      </c>
      <c r="BD10" s="18" t="str">
        <f>IF(D10&lt;&gt;"",(('Data input'!D$109-'Data input'!D$108)*(AT10-1)/4)+'Data input'!D$108,"")</f>
        <v/>
      </c>
      <c r="BE10" s="18" t="str">
        <f>IF(E10&lt;&gt;"",(('Data input'!E$109-'Data input'!E$108)*(AU10-1)/4)+'Data input'!E$108,"")</f>
        <v/>
      </c>
      <c r="BF10" s="18" t="str">
        <f>IF(F10&lt;&gt;"",(('Data input'!F$109-'Data input'!F$108)*(AV10-1)/4)+'Data input'!F$108,"")</f>
        <v/>
      </c>
      <c r="BG10" s="18" t="str">
        <f>IF(G10&lt;&gt;"",(('Data input'!G$109-'Data input'!G$108)*(AW10-1)/4)+'Data input'!G$108,"")</f>
        <v/>
      </c>
      <c r="BH10" s="19">
        <f>IF(H10&lt;&gt;"",(('Data input'!H$109-'Data input'!H$108)*(AX10-1)/4)+'Data input'!H$108,"")</f>
        <v>3.0014732731355616</v>
      </c>
      <c r="BI10" s="18">
        <f>IF(I10&lt;&gt;"",(('Data input'!I$109-'Data input'!I$108)*(AY10-1)/4)+'Data input'!I$108,"")</f>
        <v>8.0232772881721988E-5</v>
      </c>
      <c r="BJ10" s="19" t="str">
        <f>IF(J10&lt;&gt;"",(('Data input'!J$109-'Data input'!J$108)*(AZ10-1)/4)+'Data input'!J$108,"")</f>
        <v/>
      </c>
      <c r="BK10" s="19" t="str">
        <f>IF(K10&lt;&gt;"",(('Data input'!K$109-'Data input'!K$108)*(BA10-1)/4)+'Data input'!K$108,"")</f>
        <v/>
      </c>
      <c r="BL10" s="19" t="str">
        <f>IF(L10&lt;&gt;"",(('Data input'!L$109-'Data input'!L$108)*(BB10-1)/4)+'Data input'!L$108,"")</f>
        <v/>
      </c>
      <c r="BM10" s="18">
        <f>IF(C10&lt;&gt;"",BC10-'Data input'!C10,"")</f>
        <v>7.0262902858608811E-5</v>
      </c>
      <c r="BN10" s="18" t="str">
        <f>IF(D10&lt;&gt;"",BD10-'Data input'!D10,"")</f>
        <v/>
      </c>
      <c r="BO10" s="18" t="str">
        <f>IF(E10&lt;&gt;"",BE10-'Data input'!E10,"")</f>
        <v/>
      </c>
      <c r="BP10" s="18" t="str">
        <f>IF(F10&lt;&gt;"",BF10-'Data input'!F10,"")</f>
        <v/>
      </c>
      <c r="BQ10" s="18" t="str">
        <f>IF(G10&lt;&gt;"",BG10-'Data input'!G10,"")</f>
        <v/>
      </c>
      <c r="BR10" s="19">
        <f>IF(H10&lt;&gt;"",BH10-'Data input'!H10,"")</f>
        <v>-47.691679868649075</v>
      </c>
      <c r="BS10" s="18">
        <f>IF(I10&lt;&gt;"",BI10-'Data input'!I10,"")</f>
        <v>-3.9197672271182784E-3</v>
      </c>
      <c r="BT10" s="18" t="str">
        <f>IF(J10&lt;&gt;"",BJ10-'Data input'!J10,"")</f>
        <v/>
      </c>
      <c r="BU10" s="18" t="str">
        <f>IF(K10&lt;&gt;"",BK10-'Data input'!K10,"")</f>
        <v/>
      </c>
      <c r="BV10" s="72" t="str">
        <f>IF(L10&lt;&gt;"",BL10-'Data input'!L10,"")</f>
        <v/>
      </c>
      <c r="BW10" s="121" t="str">
        <f t="shared" si="17"/>
        <v xml:space="preserve">Kentucky; New York; 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0.94203520082632886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5.8467901803706437E-2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FT10" s="1" t="str">
        <f t="shared" si="18"/>
        <v/>
      </c>
      <c r="FU10" s="1" t="str">
        <f t="shared" si="6"/>
        <v/>
      </c>
      <c r="FV10" s="1" t="str">
        <f t="shared" si="6"/>
        <v/>
      </c>
      <c r="FW10" s="1" t="str">
        <f t="shared" si="6"/>
        <v/>
      </c>
      <c r="FX10" s="1" t="str">
        <f t="shared" si="6"/>
        <v/>
      </c>
      <c r="FY10" s="1" t="str">
        <f t="shared" si="6"/>
        <v/>
      </c>
      <c r="FZ10" s="1" t="str">
        <f t="shared" si="6"/>
        <v/>
      </c>
      <c r="GA10" s="1" t="str">
        <f t="shared" si="6"/>
        <v/>
      </c>
      <c r="GB10" s="1" t="str">
        <f t="shared" si="6"/>
        <v/>
      </c>
      <c r="GC10" s="1" t="str">
        <f t="shared" si="6"/>
        <v/>
      </c>
      <c r="GD10" s="1" t="str">
        <f t="shared" si="6"/>
        <v/>
      </c>
      <c r="GE10" s="1" t="str">
        <f t="shared" si="6"/>
        <v/>
      </c>
      <c r="GF10" s="1" t="str">
        <f t="shared" si="6"/>
        <v/>
      </c>
      <c r="GG10" s="1" t="str">
        <f t="shared" si="6"/>
        <v/>
      </c>
      <c r="GH10" s="1" t="str">
        <f t="shared" si="6"/>
        <v/>
      </c>
      <c r="GI10" s="1" t="str">
        <f t="shared" si="6"/>
        <v/>
      </c>
      <c r="GJ10" s="1" t="str">
        <f t="shared" si="6"/>
        <v/>
      </c>
      <c r="GK10" s="1" t="str">
        <f t="shared" si="7"/>
        <v xml:space="preserve">Kentucky; </v>
      </c>
      <c r="GL10" s="1" t="str">
        <f t="shared" si="7"/>
        <v/>
      </c>
      <c r="GM10" s="1" t="str">
        <f t="shared" si="7"/>
        <v/>
      </c>
      <c r="GN10" s="1" t="str">
        <f t="shared" si="7"/>
        <v/>
      </c>
      <c r="GO10" s="1" t="str">
        <f t="shared" si="7"/>
        <v/>
      </c>
      <c r="GP10" s="1" t="str">
        <f t="shared" si="7"/>
        <v/>
      </c>
      <c r="GQ10" s="1" t="str">
        <f t="shared" si="7"/>
        <v/>
      </c>
      <c r="GR10" s="1" t="str">
        <f t="shared" si="7"/>
        <v/>
      </c>
      <c r="GS10" s="1" t="str">
        <f t="shared" si="7"/>
        <v/>
      </c>
      <c r="GT10" s="1" t="str">
        <f t="shared" si="7"/>
        <v/>
      </c>
      <c r="GU10" s="1" t="str">
        <f t="shared" si="7"/>
        <v/>
      </c>
      <c r="GV10" s="1" t="str">
        <f t="shared" si="7"/>
        <v/>
      </c>
      <c r="GW10" s="1" t="str">
        <f t="shared" si="7"/>
        <v/>
      </c>
      <c r="GX10" s="1" t="str">
        <f t="shared" si="7"/>
        <v/>
      </c>
      <c r="GY10" s="1" t="str">
        <f t="shared" si="7"/>
        <v/>
      </c>
      <c r="GZ10" s="1" t="str">
        <f t="shared" si="7"/>
        <v xml:space="preserve">New York; </v>
      </c>
      <c r="HA10" s="1" t="str">
        <f t="shared" si="8"/>
        <v/>
      </c>
      <c r="HB10" s="1" t="str">
        <f t="shared" si="8"/>
        <v/>
      </c>
      <c r="HC10" s="1" t="str">
        <f t="shared" si="8"/>
        <v/>
      </c>
      <c r="HD10" s="1" t="str">
        <f t="shared" si="8"/>
        <v/>
      </c>
      <c r="HE10" s="1" t="str">
        <f t="shared" si="8"/>
        <v/>
      </c>
      <c r="HF10" s="1" t="str">
        <f t="shared" si="8"/>
        <v/>
      </c>
      <c r="HG10" s="1" t="str">
        <f t="shared" si="8"/>
        <v/>
      </c>
      <c r="HH10" s="1" t="str">
        <f t="shared" si="8"/>
        <v/>
      </c>
      <c r="HI10" s="1" t="str">
        <f t="shared" si="8"/>
        <v/>
      </c>
      <c r="HJ10" s="1" t="str">
        <f t="shared" si="8"/>
        <v/>
      </c>
      <c r="HK10" s="1" t="str">
        <f t="shared" si="8"/>
        <v/>
      </c>
      <c r="HL10" s="1" t="str">
        <f t="shared" si="8"/>
        <v/>
      </c>
      <c r="HM10" s="1" t="str">
        <f t="shared" si="8"/>
        <v/>
      </c>
      <c r="HN10" s="1" t="str">
        <f t="shared" si="8"/>
        <v/>
      </c>
      <c r="HO10" s="1" t="str">
        <f t="shared" si="8"/>
        <v/>
      </c>
      <c r="HP10" s="1" t="str">
        <f t="shared" si="8"/>
        <v/>
      </c>
      <c r="HQ10" s="1" t="str">
        <f t="shared" si="9"/>
        <v/>
      </c>
      <c r="HR10" s="1" t="str">
        <f t="shared" si="9"/>
        <v/>
      </c>
      <c r="HS10" s="1" t="str">
        <f t="shared" si="9"/>
        <v/>
      </c>
      <c r="HT10" s="1" t="str">
        <f t="shared" si="9"/>
        <v/>
      </c>
      <c r="HU10" s="1" t="str">
        <f t="shared" si="9"/>
        <v/>
      </c>
      <c r="HV10" s="1" t="str">
        <f t="shared" si="9"/>
        <v/>
      </c>
      <c r="HW10" s="1" t="str">
        <f t="shared" si="9"/>
        <v/>
      </c>
      <c r="HX10" s="1" t="str">
        <f t="shared" si="9"/>
        <v/>
      </c>
      <c r="HY10" s="1" t="str">
        <f t="shared" si="9"/>
        <v/>
      </c>
      <c r="HZ10" s="1" t="str">
        <f t="shared" si="9"/>
        <v/>
      </c>
      <c r="IA10" s="1" t="str">
        <f t="shared" si="9"/>
        <v/>
      </c>
      <c r="IB10" s="1" t="str">
        <f t="shared" si="9"/>
        <v/>
      </c>
      <c r="IC10" s="1" t="str">
        <f t="shared" si="9"/>
        <v/>
      </c>
      <c r="ID10" s="1" t="str">
        <f t="shared" si="9"/>
        <v/>
      </c>
      <c r="IE10" s="1" t="str">
        <f t="shared" si="9"/>
        <v/>
      </c>
      <c r="IF10" s="1" t="str">
        <f t="shared" si="9"/>
        <v/>
      </c>
      <c r="IG10" s="1" t="str">
        <f t="shared" si="10"/>
        <v/>
      </c>
      <c r="IH10" s="1" t="str">
        <f t="shared" si="10"/>
        <v/>
      </c>
      <c r="II10" s="1" t="str">
        <f t="shared" si="10"/>
        <v/>
      </c>
      <c r="IJ10" s="1" t="str">
        <f t="shared" si="10"/>
        <v/>
      </c>
      <c r="IK10" s="1" t="str">
        <f t="shared" si="10"/>
        <v/>
      </c>
      <c r="IL10" s="1" t="str">
        <f t="shared" si="10"/>
        <v/>
      </c>
      <c r="IM10" s="1" t="str">
        <f t="shared" si="10"/>
        <v/>
      </c>
      <c r="IN10" s="1" t="str">
        <f t="shared" si="10"/>
        <v/>
      </c>
      <c r="IO10" s="1" t="str">
        <f t="shared" si="10"/>
        <v/>
      </c>
      <c r="IP10" s="1" t="str">
        <f t="shared" si="10"/>
        <v/>
      </c>
      <c r="IQ10" s="1" t="str">
        <f t="shared" si="10"/>
        <v/>
      </c>
      <c r="IR10" s="1" t="str">
        <f t="shared" si="10"/>
        <v/>
      </c>
      <c r="IS10" s="1" t="str">
        <f t="shared" si="10"/>
        <v/>
      </c>
      <c r="IT10" s="1" t="str">
        <f t="shared" si="10"/>
        <v/>
      </c>
      <c r="IU10" s="1" t="str">
        <f t="shared" si="10"/>
        <v/>
      </c>
      <c r="IV10" s="1" t="str">
        <f t="shared" si="10"/>
        <v/>
      </c>
      <c r="IW10" s="1" t="str">
        <f t="shared" si="11"/>
        <v/>
      </c>
      <c r="IX10" s="1" t="str">
        <f t="shared" si="11"/>
        <v/>
      </c>
      <c r="IY10" s="1" t="str">
        <f t="shared" si="11"/>
        <v/>
      </c>
      <c r="IZ10" s="1" t="str">
        <f t="shared" si="11"/>
        <v/>
      </c>
      <c r="JA10" s="1" t="str">
        <f t="shared" si="11"/>
        <v/>
      </c>
      <c r="JB10" s="1" t="str">
        <f t="shared" si="11"/>
        <v/>
      </c>
      <c r="JC10" s="1" t="str">
        <f t="shared" si="11"/>
        <v/>
      </c>
      <c r="JD10" s="1" t="str">
        <f t="shared" si="11"/>
        <v/>
      </c>
      <c r="JE10" s="1" t="str">
        <f t="shared" si="11"/>
        <v/>
      </c>
      <c r="JF10" s="1" t="str">
        <f t="shared" si="11"/>
        <v/>
      </c>
      <c r="JG10" s="1" t="str">
        <f t="shared" si="11"/>
        <v/>
      </c>
      <c r="JH10" s="1" t="str">
        <f t="shared" si="11"/>
        <v/>
      </c>
      <c r="JI10" s="1" t="str">
        <f t="shared" si="11"/>
        <v/>
      </c>
      <c r="JJ10" s="1" t="str">
        <f t="shared" si="11"/>
        <v/>
      </c>
      <c r="JK10" s="1" t="str">
        <f t="shared" si="11"/>
        <v/>
      </c>
      <c r="JL10" s="1" t="str">
        <f t="shared" si="11"/>
        <v/>
      </c>
      <c r="JM10" s="1" t="str">
        <f t="shared" si="12"/>
        <v/>
      </c>
      <c r="JN10" s="1" t="str">
        <f t="shared" si="12"/>
        <v/>
      </c>
      <c r="JO10" s="1" t="str">
        <f t="shared" si="12"/>
        <v/>
      </c>
    </row>
    <row r="11" spans="1:275" ht="14.5" x14ac:dyDescent="0.35">
      <c r="A11" s="59">
        <f>IF('Data input'!A11&lt;&gt;"",'Data input'!A11,"")</f>
        <v>9</v>
      </c>
      <c r="B11" s="60" t="str">
        <f>IF('Data input'!B11&lt;&gt;"",'Data input'!B11,"")</f>
        <v>District Of Columbia</v>
      </c>
      <c r="C11" s="19">
        <f>IF('Data input'!C11="","",4*('Data input'!C11-'Data input'!C$108)/('Data input'!C$109-'Data input'!C$108)+1)</f>
        <v>2.9992256030233326</v>
      </c>
      <c r="D11" s="19" t="str">
        <f>IF('Data input'!D11="","",4*('Data input'!D11-'Data input'!D$108)/('Data input'!D$109-'Data input'!D$108)+1)</f>
        <v/>
      </c>
      <c r="E11" s="19" t="str">
        <f>IF('Data input'!E11="","",4*('Data input'!E11-'Data input'!E$108)/('Data input'!E$109-'Data input'!E$108)+1)</f>
        <v/>
      </c>
      <c r="F11" s="19" t="str">
        <f>IF('Data input'!F11="","",4*('Data input'!F11-'Data input'!F$108)/('Data input'!F$109-'Data input'!F$108)+1)</f>
        <v/>
      </c>
      <c r="G11" s="19" t="str">
        <f>IF('Data input'!G11="","",4*('Data input'!G11-'Data input'!G$108)/('Data input'!G$109-'Data input'!G$108)+1)</f>
        <v/>
      </c>
      <c r="H11" s="61">
        <f>IF('Data input'!H11="","",4*('Data input'!H11-'Data input'!H$108)/('Data input'!H$109-'Data input'!H$108)+1)</f>
        <v>1.8395082606333266</v>
      </c>
      <c r="I11" s="19">
        <f>IF('Data input'!I11="","",4*('Data input'!I11-'Data input'!I$108)/('Data input'!I$109-'Data input'!I$108)+1)</f>
        <v>2.7277319086935403</v>
      </c>
      <c r="J11" s="19" t="str">
        <f>IF('Data input'!J11="","",4*('Data input'!J11-'Data input'!J$108)/('Data input'!J$109-'Data input'!J$108)+1)</f>
        <v/>
      </c>
      <c r="K11" s="19" t="str">
        <f>IF('Data input'!K11="","",4*('Data input'!K11-'Data input'!K$108)/('Data input'!K$109-'Data input'!K$108)+1)</f>
        <v/>
      </c>
      <c r="L11" s="19" t="str">
        <f>IF('Data input'!L11="","",4*('Data input'!L11-'Data input'!L$108)/('Data input'!L$109-'Data input'!L$108)+1)</f>
        <v/>
      </c>
      <c r="M11" s="19">
        <f>IF('Data input'!M11="","",4*('Data input'!M11-'Data input'!M$108)/('Data input'!M$109-'Data input'!M$108)+1)</f>
        <v>1.8682801666407678</v>
      </c>
      <c r="N11" s="16" t="str">
        <f>IF('Data input'!N11="","",4*('Data input'!N11-'Data input'!N$108)/('Data input'!N$109-'Data input'!N$108)+1)</f>
        <v/>
      </c>
      <c r="O11" s="19" t="str">
        <f>IF('Data input'!O11="","",4*('Data input'!O11-'Data input'!O$108)/('Data input'!O$109-'Data input'!O$108)+1)</f>
        <v/>
      </c>
      <c r="P11" s="19" t="str">
        <f>IF('Data input'!P11="","",4*('Data input'!P11-'Data input'!P$108)/('Data input'!P$109-'Data input'!P$108)+1)</f>
        <v/>
      </c>
      <c r="Q11" s="19" t="str">
        <f>IF('Data input'!Q11="","",4*('Data input'!Q11-'Data input'!Q$108)/('Data input'!Q$109-'Data input'!Q$108)+1)</f>
        <v/>
      </c>
      <c r="R11" s="19" t="str">
        <f>IF('Data input'!R11="","",4*('Data input'!R11-'Data input'!R$108)/('Data input'!R$109-'Data input'!R$108)+1)</f>
        <v/>
      </c>
      <c r="S11" s="16" t="str">
        <f>IF('Data input'!S11="","",4*('Data input'!S11-'Data input'!S$108)/('Data input'!S$109-'Data input'!S$108)+1)</f>
        <v/>
      </c>
      <c r="T11" s="19" t="str">
        <f>IF('Data input'!T11="","",4*('Data input'!T11-'Data input'!T$108)/('Data input'!T$109-'Data input'!T$108)+1)</f>
        <v/>
      </c>
      <c r="U11" s="19" t="str">
        <f>IF('Data input'!U11="","",4*('Data input'!U11-'Data input'!U$108)/('Data input'!U$109-'Data input'!U$108)+1)</f>
        <v/>
      </c>
      <c r="V11" s="19" t="str">
        <f>IF('Data input'!V11="","",4*('Data input'!V11-'Data input'!V$108)/('Data input'!V$109-'Data input'!V$108)+1)</f>
        <v/>
      </c>
      <c r="W11" s="16" t="str">
        <f>IF('Data input'!W11="","",4*('Data input'!W11-'Data input'!W$108)/('Data input'!W$109-'Data input'!W$108)+1)</f>
        <v/>
      </c>
      <c r="X11" s="16" t="str">
        <f>IF('Data input'!X11="","",4*('Data input'!X11-'Data input'!X$108)/('Data input'!X$109-'Data input'!X$108)+1)</f>
        <v/>
      </c>
      <c r="Y11" s="16" t="str">
        <f>IF('Data input'!Y11="","",4*('Data input'!Y11-'Data input'!Y$108)/('Data input'!Y$109-'Data input'!Y$108)+1)</f>
        <v/>
      </c>
      <c r="Z11" s="16" t="str">
        <f>IF('Data input'!Z11="","",4*('Data input'!Z11-'Data input'!Z$108)/('Data input'!Z$109-'Data input'!Z$108)+1)</f>
        <v/>
      </c>
      <c r="AA11" s="62" t="str">
        <f>IF('Data input'!AA11="","",4*('Data input'!AA11-'Data input'!AA$108)/('Data input'!AA$109-'Data input'!AA$108)+1)</f>
        <v/>
      </c>
      <c r="AB11" s="78"/>
      <c r="AC11" s="79">
        <v>0</v>
      </c>
      <c r="AD11" s="80" t="e">
        <f t="shared" si="13"/>
        <v>#DIV/0!</v>
      </c>
      <c r="AE11" s="4"/>
      <c r="AF11" s="59">
        <f t="shared" si="14"/>
        <v>9</v>
      </c>
      <c r="AG11" s="60" t="str">
        <f t="shared" si="14"/>
        <v>District Of Columbia</v>
      </c>
      <c r="AH11">
        <v>0</v>
      </c>
      <c r="AI11" t="s">
        <v>69</v>
      </c>
      <c r="AJ11" t="s">
        <v>69</v>
      </c>
      <c r="AK11" t="s">
        <v>69</v>
      </c>
      <c r="AL11" t="s">
        <v>69</v>
      </c>
      <c r="AM11">
        <v>0.64260340788514925</v>
      </c>
      <c r="AN11">
        <v>1.7037033010326774</v>
      </c>
      <c r="AO11" t="s">
        <v>69</v>
      </c>
      <c r="AP11" t="s">
        <v>69</v>
      </c>
      <c r="AQ11" t="s">
        <v>69</v>
      </c>
      <c r="AR11">
        <v>0.51303980348642886</v>
      </c>
      <c r="AS11" s="71">
        <f t="shared" si="15"/>
        <v>2.9992256030233326</v>
      </c>
      <c r="AT11" s="71" t="str">
        <f t="shared" si="4"/>
        <v/>
      </c>
      <c r="AU11" s="71" t="str">
        <f t="shared" si="4"/>
        <v/>
      </c>
      <c r="AV11" s="71" t="str">
        <f t="shared" si="4"/>
        <v/>
      </c>
      <c r="AW11" s="71" t="str">
        <f t="shared" si="4"/>
        <v/>
      </c>
      <c r="AX11" s="71">
        <f t="shared" si="16"/>
        <v>1.1969048527481774</v>
      </c>
      <c r="AY11" s="71">
        <f t="shared" si="5"/>
        <v>1.0240286076608629</v>
      </c>
      <c r="AZ11" s="71" t="str">
        <f t="shared" si="5"/>
        <v/>
      </c>
      <c r="BA11" s="71" t="str">
        <f t="shared" si="5"/>
        <v/>
      </c>
      <c r="BB11" s="71" t="str">
        <f t="shared" si="5"/>
        <v/>
      </c>
      <c r="BC11" s="18">
        <f>IF(C11&lt;&gt;"",(('Data input'!C$109-'Data input'!C$108)*(AS11-1)/4)+'Data input'!C$108,"")</f>
        <v>0.9236502269511504</v>
      </c>
      <c r="BD11" s="18" t="str">
        <f>IF(D11&lt;&gt;"",(('Data input'!D$109-'Data input'!D$108)*(AT11-1)/4)+'Data input'!D$108,"")</f>
        <v/>
      </c>
      <c r="BE11" s="18" t="str">
        <f>IF(E11&lt;&gt;"",(('Data input'!E$109-'Data input'!E$108)*(AU11-1)/4)+'Data input'!E$108,"")</f>
        <v/>
      </c>
      <c r="BF11" s="18" t="str">
        <f>IF(F11&lt;&gt;"",(('Data input'!F$109-'Data input'!F$108)*(AV11-1)/4)+'Data input'!F$108,"")</f>
        <v/>
      </c>
      <c r="BG11" s="18" t="str">
        <f>IF(G11&lt;&gt;"",(('Data input'!G$109-'Data input'!G$108)*(AW11-1)/4)+'Data input'!G$108,"")</f>
        <v/>
      </c>
      <c r="BH11" s="19">
        <f>IF(H11&lt;&gt;"",(('Data input'!H$109-'Data input'!H$108)*(AX11-1)/4)+'Data input'!H$108,"")</f>
        <v>4.58390325663611</v>
      </c>
      <c r="BI11" s="18">
        <f>IF(I11&lt;&gt;"",(('Data input'!I$109-'Data input'!I$108)*(AY11-1)/4)+'Data input'!I$108,"")</f>
        <v>1.0550594582073383E-3</v>
      </c>
      <c r="BJ11" s="19" t="str">
        <f>IF(J11&lt;&gt;"",(('Data input'!J$109-'Data input'!J$108)*(AZ11-1)/4)+'Data input'!J$108,"")</f>
        <v/>
      </c>
      <c r="BK11" s="19" t="str">
        <f>IF(K11&lt;&gt;"",(('Data input'!K$109-'Data input'!K$108)*(BA11-1)/4)+'Data input'!K$108,"")</f>
        <v/>
      </c>
      <c r="BL11" s="19" t="str">
        <f>IF(L11&lt;&gt;"",(('Data input'!L$109-'Data input'!L$108)*(BB11-1)/4)+'Data input'!L$108,"")</f>
        <v/>
      </c>
      <c r="BM11" s="18">
        <f>IF(C11&lt;&gt;"",BC11-'Data input'!C11,"")</f>
        <v>0</v>
      </c>
      <c r="BN11" s="18" t="str">
        <f>IF(D11&lt;&gt;"",BD11-'Data input'!D11,"")</f>
        <v/>
      </c>
      <c r="BO11" s="18" t="str">
        <f>IF(E11&lt;&gt;"",BE11-'Data input'!E11,"")</f>
        <v/>
      </c>
      <c r="BP11" s="18" t="str">
        <f>IF(F11&lt;&gt;"",BF11-'Data input'!F11,"")</f>
        <v/>
      </c>
      <c r="BQ11" s="18" t="str">
        <f>IF(G11&lt;&gt;"",BG11-'Data input'!G11,"")</f>
        <v/>
      </c>
      <c r="BR11" s="19">
        <f>IF(H11&lt;&gt;"",BH11-'Data input'!H11,"")</f>
        <v>-13.994508300512166</v>
      </c>
      <c r="BS11" s="18">
        <f>IF(I11&lt;&gt;"",BI11-'Data input'!I11,"")</f>
        <v>-7.4807009507309896E-2</v>
      </c>
      <c r="BT11" s="18" t="str">
        <f>IF(J11&lt;&gt;"",BJ11-'Data input'!J11,"")</f>
        <v/>
      </c>
      <c r="BU11" s="18" t="str">
        <f>IF(K11&lt;&gt;"",BK11-'Data input'!K11,"")</f>
        <v/>
      </c>
      <c r="BV11" s="72" t="str">
        <f>IF(L11&lt;&gt;"",BL11-'Data input'!L11,"")</f>
        <v/>
      </c>
      <c r="BW11" s="121" t="str">
        <f t="shared" si="17"/>
        <v xml:space="preserve">Kansas; New York; Texas; 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0.33257607984723886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0.58685718427878286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8.0566735873977668E-2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FT11" s="1" t="str">
        <f t="shared" si="18"/>
        <v/>
      </c>
      <c r="FU11" s="1" t="str">
        <f t="shared" si="6"/>
        <v/>
      </c>
      <c r="FV11" s="1" t="str">
        <f t="shared" si="6"/>
        <v/>
      </c>
      <c r="FW11" s="1" t="str">
        <f t="shared" si="6"/>
        <v/>
      </c>
      <c r="FX11" s="1" t="str">
        <f t="shared" si="6"/>
        <v/>
      </c>
      <c r="FY11" s="1" t="str">
        <f t="shared" si="6"/>
        <v/>
      </c>
      <c r="FZ11" s="1" t="str">
        <f t="shared" si="6"/>
        <v/>
      </c>
      <c r="GA11" s="1" t="str">
        <f t="shared" si="6"/>
        <v/>
      </c>
      <c r="GB11" s="1" t="str">
        <f t="shared" si="6"/>
        <v/>
      </c>
      <c r="GC11" s="1" t="str">
        <f t="shared" si="6"/>
        <v/>
      </c>
      <c r="GD11" s="1" t="str">
        <f t="shared" si="6"/>
        <v/>
      </c>
      <c r="GE11" s="1" t="str">
        <f t="shared" si="6"/>
        <v/>
      </c>
      <c r="GF11" s="1" t="str">
        <f t="shared" si="6"/>
        <v/>
      </c>
      <c r="GG11" s="1" t="str">
        <f t="shared" si="6"/>
        <v/>
      </c>
      <c r="GH11" s="1" t="str">
        <f t="shared" si="6"/>
        <v/>
      </c>
      <c r="GI11" s="1" t="str">
        <f t="shared" si="6"/>
        <v/>
      </c>
      <c r="GJ11" s="1" t="str">
        <f t="shared" si="6"/>
        <v xml:space="preserve">Kansas; </v>
      </c>
      <c r="GK11" s="1" t="str">
        <f t="shared" si="7"/>
        <v/>
      </c>
      <c r="GL11" s="1" t="str">
        <f t="shared" si="7"/>
        <v/>
      </c>
      <c r="GM11" s="1" t="str">
        <f t="shared" si="7"/>
        <v/>
      </c>
      <c r="GN11" s="1" t="str">
        <f t="shared" si="7"/>
        <v/>
      </c>
      <c r="GO11" s="1" t="str">
        <f t="shared" si="7"/>
        <v/>
      </c>
      <c r="GP11" s="1" t="str">
        <f t="shared" si="7"/>
        <v/>
      </c>
      <c r="GQ11" s="1" t="str">
        <f t="shared" si="7"/>
        <v/>
      </c>
      <c r="GR11" s="1" t="str">
        <f t="shared" si="7"/>
        <v/>
      </c>
      <c r="GS11" s="1" t="str">
        <f t="shared" si="7"/>
        <v/>
      </c>
      <c r="GT11" s="1" t="str">
        <f t="shared" si="7"/>
        <v/>
      </c>
      <c r="GU11" s="1" t="str">
        <f t="shared" si="7"/>
        <v/>
      </c>
      <c r="GV11" s="1" t="str">
        <f t="shared" si="7"/>
        <v/>
      </c>
      <c r="GW11" s="1" t="str">
        <f t="shared" si="7"/>
        <v/>
      </c>
      <c r="GX11" s="1" t="str">
        <f t="shared" si="7"/>
        <v/>
      </c>
      <c r="GY11" s="1" t="str">
        <f t="shared" si="7"/>
        <v/>
      </c>
      <c r="GZ11" s="1" t="str">
        <f t="shared" si="7"/>
        <v xml:space="preserve">New York; </v>
      </c>
      <c r="HA11" s="1" t="str">
        <f t="shared" si="8"/>
        <v/>
      </c>
      <c r="HB11" s="1" t="str">
        <f t="shared" si="8"/>
        <v/>
      </c>
      <c r="HC11" s="1" t="str">
        <f t="shared" si="8"/>
        <v/>
      </c>
      <c r="HD11" s="1" t="str">
        <f t="shared" si="8"/>
        <v/>
      </c>
      <c r="HE11" s="1" t="str">
        <f t="shared" si="8"/>
        <v/>
      </c>
      <c r="HF11" s="1" t="str">
        <f t="shared" si="8"/>
        <v/>
      </c>
      <c r="HG11" s="1" t="str">
        <f t="shared" si="8"/>
        <v/>
      </c>
      <c r="HH11" s="1" t="str">
        <f t="shared" si="8"/>
        <v/>
      </c>
      <c r="HI11" s="1" t="str">
        <f t="shared" si="8"/>
        <v/>
      </c>
      <c r="HJ11" s="1" t="str">
        <f t="shared" si="8"/>
        <v xml:space="preserve">Texas; </v>
      </c>
      <c r="HK11" s="1" t="str">
        <f t="shared" si="8"/>
        <v/>
      </c>
      <c r="HL11" s="1" t="str">
        <f t="shared" si="8"/>
        <v/>
      </c>
      <c r="HM11" s="1" t="str">
        <f t="shared" si="8"/>
        <v/>
      </c>
      <c r="HN11" s="1" t="str">
        <f t="shared" si="8"/>
        <v/>
      </c>
      <c r="HO11" s="1" t="str">
        <f t="shared" si="8"/>
        <v/>
      </c>
      <c r="HP11" s="1" t="str">
        <f t="shared" si="8"/>
        <v/>
      </c>
      <c r="HQ11" s="1" t="str">
        <f t="shared" si="9"/>
        <v/>
      </c>
      <c r="HR11" s="1" t="str">
        <f t="shared" si="9"/>
        <v/>
      </c>
      <c r="HS11" s="1" t="str">
        <f t="shared" si="9"/>
        <v/>
      </c>
      <c r="HT11" s="1" t="str">
        <f t="shared" si="9"/>
        <v/>
      </c>
      <c r="HU11" s="1" t="str">
        <f t="shared" si="9"/>
        <v/>
      </c>
      <c r="HV11" s="1" t="str">
        <f t="shared" si="9"/>
        <v/>
      </c>
      <c r="HW11" s="1" t="str">
        <f t="shared" si="9"/>
        <v/>
      </c>
      <c r="HX11" s="1" t="str">
        <f t="shared" si="9"/>
        <v/>
      </c>
      <c r="HY11" s="1" t="str">
        <f t="shared" si="9"/>
        <v/>
      </c>
      <c r="HZ11" s="1" t="str">
        <f t="shared" si="9"/>
        <v/>
      </c>
      <c r="IA11" s="1" t="str">
        <f t="shared" si="9"/>
        <v/>
      </c>
      <c r="IB11" s="1" t="str">
        <f t="shared" si="9"/>
        <v/>
      </c>
      <c r="IC11" s="1" t="str">
        <f t="shared" si="9"/>
        <v/>
      </c>
      <c r="ID11" s="1" t="str">
        <f t="shared" si="9"/>
        <v/>
      </c>
      <c r="IE11" s="1" t="str">
        <f t="shared" si="9"/>
        <v/>
      </c>
      <c r="IF11" s="1" t="str">
        <f t="shared" si="9"/>
        <v/>
      </c>
      <c r="IG11" s="1" t="str">
        <f t="shared" si="10"/>
        <v/>
      </c>
      <c r="IH11" s="1" t="str">
        <f t="shared" si="10"/>
        <v/>
      </c>
      <c r="II11" s="1" t="str">
        <f t="shared" si="10"/>
        <v/>
      </c>
      <c r="IJ11" s="1" t="str">
        <f t="shared" si="10"/>
        <v/>
      </c>
      <c r="IK11" s="1" t="str">
        <f t="shared" si="10"/>
        <v/>
      </c>
      <c r="IL11" s="1" t="str">
        <f t="shared" si="10"/>
        <v/>
      </c>
      <c r="IM11" s="1" t="str">
        <f t="shared" si="10"/>
        <v/>
      </c>
      <c r="IN11" s="1" t="str">
        <f t="shared" si="10"/>
        <v/>
      </c>
      <c r="IO11" s="1" t="str">
        <f t="shared" si="10"/>
        <v/>
      </c>
      <c r="IP11" s="1" t="str">
        <f t="shared" si="10"/>
        <v/>
      </c>
      <c r="IQ11" s="1" t="str">
        <f t="shared" si="10"/>
        <v/>
      </c>
      <c r="IR11" s="1" t="str">
        <f t="shared" si="10"/>
        <v/>
      </c>
      <c r="IS11" s="1" t="str">
        <f t="shared" si="10"/>
        <v/>
      </c>
      <c r="IT11" s="1" t="str">
        <f t="shared" si="10"/>
        <v/>
      </c>
      <c r="IU11" s="1" t="str">
        <f t="shared" si="10"/>
        <v/>
      </c>
      <c r="IV11" s="1" t="str">
        <f t="shared" si="10"/>
        <v/>
      </c>
      <c r="IW11" s="1" t="str">
        <f t="shared" si="11"/>
        <v/>
      </c>
      <c r="IX11" s="1" t="str">
        <f t="shared" si="11"/>
        <v/>
      </c>
      <c r="IY11" s="1" t="str">
        <f t="shared" si="11"/>
        <v/>
      </c>
      <c r="IZ11" s="1" t="str">
        <f t="shared" si="11"/>
        <v/>
      </c>
      <c r="JA11" s="1" t="str">
        <f t="shared" si="11"/>
        <v/>
      </c>
      <c r="JB11" s="1" t="str">
        <f t="shared" si="11"/>
        <v/>
      </c>
      <c r="JC11" s="1" t="str">
        <f t="shared" si="11"/>
        <v/>
      </c>
      <c r="JD11" s="1" t="str">
        <f t="shared" si="11"/>
        <v/>
      </c>
      <c r="JE11" s="1" t="str">
        <f t="shared" si="11"/>
        <v/>
      </c>
      <c r="JF11" s="1" t="str">
        <f t="shared" si="11"/>
        <v/>
      </c>
      <c r="JG11" s="1" t="str">
        <f t="shared" si="11"/>
        <v/>
      </c>
      <c r="JH11" s="1" t="str">
        <f t="shared" si="11"/>
        <v/>
      </c>
      <c r="JI11" s="1" t="str">
        <f t="shared" si="11"/>
        <v/>
      </c>
      <c r="JJ11" s="1" t="str">
        <f t="shared" si="11"/>
        <v/>
      </c>
      <c r="JK11" s="1" t="str">
        <f t="shared" si="11"/>
        <v/>
      </c>
      <c r="JL11" s="1" t="str">
        <f t="shared" si="11"/>
        <v/>
      </c>
      <c r="JM11" s="1" t="str">
        <f t="shared" si="12"/>
        <v/>
      </c>
      <c r="JN11" s="1" t="str">
        <f t="shared" si="12"/>
        <v/>
      </c>
      <c r="JO11" s="1" t="str">
        <f t="shared" si="12"/>
        <v/>
      </c>
    </row>
    <row r="12" spans="1:275" ht="14.5" x14ac:dyDescent="0.35">
      <c r="A12" s="59">
        <f>IF('Data input'!A12&lt;&gt;"",'Data input'!A12,"")</f>
        <v>10</v>
      </c>
      <c r="B12" s="60" t="str">
        <f>IF('Data input'!B12&lt;&gt;"",'Data input'!B12,"")</f>
        <v>Florida</v>
      </c>
      <c r="C12" s="19">
        <f>IF('Data input'!C12="","",4*('Data input'!C12-'Data input'!C$108)/('Data input'!C$109-'Data input'!C$108)+1)</f>
        <v>4.6152181450335998</v>
      </c>
      <c r="D12" s="19" t="str">
        <f>IF('Data input'!D12="","",4*('Data input'!D12-'Data input'!D$108)/('Data input'!D$109-'Data input'!D$108)+1)</f>
        <v/>
      </c>
      <c r="E12" s="19" t="str">
        <f>IF('Data input'!E12="","",4*('Data input'!E12-'Data input'!E$108)/('Data input'!E$109-'Data input'!E$108)+1)</f>
        <v/>
      </c>
      <c r="F12" s="19" t="str">
        <f>IF('Data input'!F12="","",4*('Data input'!F12-'Data input'!F$108)/('Data input'!F$109-'Data input'!F$108)+1)</f>
        <v/>
      </c>
      <c r="G12" s="19" t="str">
        <f>IF('Data input'!G12="","",4*('Data input'!G12-'Data input'!G$108)/('Data input'!G$109-'Data input'!G$108)+1)</f>
        <v/>
      </c>
      <c r="H12" s="61">
        <f>IF('Data input'!H12="","",4*('Data input'!H12-'Data input'!H$108)/('Data input'!H$109-'Data input'!H$108)+1)</f>
        <v>1.026933359673768</v>
      </c>
      <c r="I12" s="19">
        <f>IF('Data input'!I12="","",4*('Data input'!I12-'Data input'!I$108)/('Data input'!I$109-'Data input'!I$108)+1)</f>
        <v>2.3297131006555736</v>
      </c>
      <c r="J12" s="19" t="str">
        <f>IF('Data input'!J12="","",4*('Data input'!J12-'Data input'!J$108)/('Data input'!J$109-'Data input'!J$108)+1)</f>
        <v/>
      </c>
      <c r="K12" s="19" t="str">
        <f>IF('Data input'!K12="","",4*('Data input'!K12-'Data input'!K$108)/('Data input'!K$109-'Data input'!K$108)+1)</f>
        <v/>
      </c>
      <c r="L12" s="19" t="str">
        <f>IF('Data input'!L12="","",4*('Data input'!L12-'Data input'!L$108)/('Data input'!L$109-'Data input'!L$108)+1)</f>
        <v/>
      </c>
      <c r="M12" s="19">
        <f>IF('Data input'!M12="","",4*('Data input'!M12-'Data input'!M$108)/('Data input'!M$109-'Data input'!M$108)+1)</f>
        <v>1.9667458432304037</v>
      </c>
      <c r="N12" s="16" t="str">
        <f>IF('Data input'!N12="","",4*('Data input'!N12-'Data input'!N$108)/('Data input'!N$109-'Data input'!N$108)+1)</f>
        <v/>
      </c>
      <c r="O12" s="19" t="str">
        <f>IF('Data input'!O12="","",4*('Data input'!O12-'Data input'!O$108)/('Data input'!O$109-'Data input'!O$108)+1)</f>
        <v/>
      </c>
      <c r="P12" s="19" t="str">
        <f>IF('Data input'!P12="","",4*('Data input'!P12-'Data input'!P$108)/('Data input'!P$109-'Data input'!P$108)+1)</f>
        <v/>
      </c>
      <c r="Q12" s="19" t="str">
        <f>IF('Data input'!Q12="","",4*('Data input'!Q12-'Data input'!Q$108)/('Data input'!Q$109-'Data input'!Q$108)+1)</f>
        <v/>
      </c>
      <c r="R12" s="19" t="str">
        <f>IF('Data input'!R12="","",4*('Data input'!R12-'Data input'!R$108)/('Data input'!R$109-'Data input'!R$108)+1)</f>
        <v/>
      </c>
      <c r="S12" s="16" t="str">
        <f>IF('Data input'!S12="","",4*('Data input'!S12-'Data input'!S$108)/('Data input'!S$109-'Data input'!S$108)+1)</f>
        <v/>
      </c>
      <c r="T12" s="19" t="str">
        <f>IF('Data input'!T12="","",4*('Data input'!T12-'Data input'!T$108)/('Data input'!T$109-'Data input'!T$108)+1)</f>
        <v/>
      </c>
      <c r="U12" s="19" t="str">
        <f>IF('Data input'!U12="","",4*('Data input'!U12-'Data input'!U$108)/('Data input'!U$109-'Data input'!U$108)+1)</f>
        <v/>
      </c>
      <c r="V12" s="19" t="str">
        <f>IF('Data input'!V12="","",4*('Data input'!V12-'Data input'!V$108)/('Data input'!V$109-'Data input'!V$108)+1)</f>
        <v/>
      </c>
      <c r="W12" s="16" t="str">
        <f>IF('Data input'!W12="","",4*('Data input'!W12-'Data input'!W$108)/('Data input'!W$109-'Data input'!W$108)+1)</f>
        <v/>
      </c>
      <c r="X12" s="16" t="str">
        <f>IF('Data input'!X12="","",4*('Data input'!X12-'Data input'!X$108)/('Data input'!X$109-'Data input'!X$108)+1)</f>
        <v/>
      </c>
      <c r="Y12" s="16" t="str">
        <f>IF('Data input'!Y12="","",4*('Data input'!Y12-'Data input'!Y$108)/('Data input'!Y$109-'Data input'!Y$108)+1)</f>
        <v/>
      </c>
      <c r="Z12" s="16" t="str">
        <f>IF('Data input'!Z12="","",4*('Data input'!Z12-'Data input'!Z$108)/('Data input'!Z$109-'Data input'!Z$108)+1)</f>
        <v/>
      </c>
      <c r="AA12" s="62" t="str">
        <f>IF('Data input'!AA12="","",4*('Data input'!AA12-'Data input'!AA$108)/('Data input'!AA$109-'Data input'!AA$108)+1)</f>
        <v/>
      </c>
      <c r="AB12" s="78"/>
      <c r="AC12" s="79">
        <v>0</v>
      </c>
      <c r="AD12" s="80" t="e">
        <f t="shared" si="13"/>
        <v>#DIV/0!</v>
      </c>
      <c r="AE12" s="4"/>
      <c r="AF12" s="59">
        <f t="shared" si="14"/>
        <v>10</v>
      </c>
      <c r="AG12" s="60" t="str">
        <f t="shared" si="14"/>
        <v>Florida</v>
      </c>
      <c r="AH12">
        <v>0</v>
      </c>
      <c r="AI12" t="s">
        <v>69</v>
      </c>
      <c r="AJ12" t="s">
        <v>69</v>
      </c>
      <c r="AK12" t="s">
        <v>69</v>
      </c>
      <c r="AL12" t="s">
        <v>69</v>
      </c>
      <c r="AM12">
        <v>3.7298010309394563E-3</v>
      </c>
      <c r="AN12">
        <v>1.3037877554826931</v>
      </c>
      <c r="AO12" t="s">
        <v>69</v>
      </c>
      <c r="AP12" t="s">
        <v>69</v>
      </c>
      <c r="AQ12" t="s">
        <v>69</v>
      </c>
      <c r="AR12">
        <v>0.71836677537465854</v>
      </c>
      <c r="AS12" s="71">
        <f t="shared" si="15"/>
        <v>4.6152181450335998</v>
      </c>
      <c r="AT12" s="71" t="str">
        <f t="shared" si="4"/>
        <v/>
      </c>
      <c r="AU12" s="71" t="str">
        <f t="shared" si="4"/>
        <v/>
      </c>
      <c r="AV12" s="71" t="str">
        <f t="shared" si="4"/>
        <v/>
      </c>
      <c r="AW12" s="71" t="str">
        <f t="shared" si="4"/>
        <v/>
      </c>
      <c r="AX12" s="71">
        <f t="shared" si="16"/>
        <v>1.0232035586428285</v>
      </c>
      <c r="AY12" s="71">
        <f t="shared" si="5"/>
        <v>1.0259253451728805</v>
      </c>
      <c r="AZ12" s="71" t="str">
        <f t="shared" si="5"/>
        <v/>
      </c>
      <c r="BA12" s="71" t="str">
        <f t="shared" si="5"/>
        <v/>
      </c>
      <c r="BB12" s="71" t="str">
        <f t="shared" si="5"/>
        <v/>
      </c>
      <c r="BC12" s="18">
        <f>IF(C12&lt;&gt;"",(('Data input'!C$109-'Data input'!C$108)*(AS12-1)/4)+'Data input'!C$108,"")</f>
        <v>0.98232234118132356</v>
      </c>
      <c r="BD12" s="18" t="str">
        <f>IF(D12&lt;&gt;"",(('Data input'!D$109-'Data input'!D$108)*(AT12-1)/4)+'Data input'!D$108,"")</f>
        <v/>
      </c>
      <c r="BE12" s="18" t="str">
        <f>IF(E12&lt;&gt;"",(('Data input'!E$109-'Data input'!E$108)*(AU12-1)/4)+'Data input'!E$108,"")</f>
        <v/>
      </c>
      <c r="BF12" s="18" t="str">
        <f>IF(F12&lt;&gt;"",(('Data input'!F$109-'Data input'!F$108)*(AV12-1)/4)+'Data input'!F$108,"")</f>
        <v/>
      </c>
      <c r="BG12" s="18" t="str">
        <f>IF(G12&lt;&gt;"",(('Data input'!G$109-'Data input'!G$108)*(AW12-1)/4)+'Data input'!G$108,"")</f>
        <v/>
      </c>
      <c r="BH12" s="19">
        <f>IF(H12&lt;&gt;"",(('Data input'!H$109-'Data input'!H$108)*(AX12-1)/4)+'Data input'!H$108,"")</f>
        <v>0.80106586060183393</v>
      </c>
      <c r="BI12" s="18">
        <f>IF(I12&lt;&gt;"",(('Data input'!I$109-'Data input'!I$108)*(AY12-1)/4)+'Data input'!I$108,"")</f>
        <v>1.138342305055358E-3</v>
      </c>
      <c r="BJ12" s="19" t="str">
        <f>IF(J12&lt;&gt;"",(('Data input'!J$109-'Data input'!J$108)*(AZ12-1)/4)+'Data input'!J$108,"")</f>
        <v/>
      </c>
      <c r="BK12" s="19" t="str">
        <f>IF(K12&lt;&gt;"",(('Data input'!K$109-'Data input'!K$108)*(BA12-1)/4)+'Data input'!K$108,"")</f>
        <v/>
      </c>
      <c r="BL12" s="19" t="str">
        <f>IF(L12&lt;&gt;"",(('Data input'!L$109-'Data input'!L$108)*(BB12-1)/4)+'Data input'!L$108,"")</f>
        <v/>
      </c>
      <c r="BM12" s="18">
        <f>IF(C12&lt;&gt;"",BC12-'Data input'!C12,"")</f>
        <v>0</v>
      </c>
      <c r="BN12" s="18" t="str">
        <f>IF(D12&lt;&gt;"",BD12-'Data input'!D12,"")</f>
        <v/>
      </c>
      <c r="BO12" s="18" t="str">
        <f>IF(E12&lt;&gt;"",BE12-'Data input'!E12,"")</f>
        <v/>
      </c>
      <c r="BP12" s="18" t="str">
        <f>IF(F12&lt;&gt;"",BF12-'Data input'!F12,"")</f>
        <v/>
      </c>
      <c r="BQ12" s="18" t="str">
        <f>IF(G12&lt;&gt;"",BG12-'Data input'!G12,"")</f>
        <v/>
      </c>
      <c r="BR12" s="19">
        <f>IF(H12&lt;&gt;"",BH12-'Data input'!H12,"")</f>
        <v>-8.1226975839613247E-2</v>
      </c>
      <c r="BS12" s="18">
        <f>IF(I12&lt;&gt;"",BI12-'Data input'!I12,"")</f>
        <v>-5.7247328781243785E-2</v>
      </c>
      <c r="BT12" s="18" t="str">
        <f>IF(J12&lt;&gt;"",BJ12-'Data input'!J12,"")</f>
        <v/>
      </c>
      <c r="BU12" s="18" t="str">
        <f>IF(K12&lt;&gt;"",BK12-'Data input'!K12,"")</f>
        <v/>
      </c>
      <c r="BV12" s="72" t="str">
        <f>IF(L12&lt;&gt;"",BL12-'Data input'!L12,"")</f>
        <v/>
      </c>
      <c r="BW12" s="121" t="str">
        <f t="shared" si="17"/>
        <v xml:space="preserve">Kansas; New York; Texas; 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5.2468173796602624E-2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6.3350292070253805E-2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0.88418153413313827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FT12" s="1" t="str">
        <f t="shared" si="18"/>
        <v/>
      </c>
      <c r="FU12" s="1" t="str">
        <f t="shared" si="6"/>
        <v/>
      </c>
      <c r="FV12" s="1" t="str">
        <f t="shared" si="6"/>
        <v/>
      </c>
      <c r="FW12" s="1" t="str">
        <f t="shared" si="6"/>
        <v/>
      </c>
      <c r="FX12" s="1" t="str">
        <f t="shared" si="6"/>
        <v/>
      </c>
      <c r="FY12" s="1" t="str">
        <f t="shared" si="6"/>
        <v/>
      </c>
      <c r="FZ12" s="1" t="str">
        <f t="shared" si="6"/>
        <v/>
      </c>
      <c r="GA12" s="1" t="str">
        <f t="shared" si="6"/>
        <v/>
      </c>
      <c r="GB12" s="1" t="str">
        <f t="shared" si="6"/>
        <v/>
      </c>
      <c r="GC12" s="1" t="str">
        <f t="shared" si="6"/>
        <v/>
      </c>
      <c r="GD12" s="1" t="str">
        <f t="shared" si="6"/>
        <v/>
      </c>
      <c r="GE12" s="1" t="str">
        <f t="shared" si="6"/>
        <v/>
      </c>
      <c r="GF12" s="1" t="str">
        <f t="shared" si="6"/>
        <v/>
      </c>
      <c r="GG12" s="1" t="str">
        <f t="shared" si="6"/>
        <v/>
      </c>
      <c r="GH12" s="1" t="str">
        <f t="shared" si="6"/>
        <v/>
      </c>
      <c r="GI12" s="1" t="str">
        <f t="shared" si="6"/>
        <v/>
      </c>
      <c r="GJ12" s="1" t="str">
        <f t="shared" si="6"/>
        <v xml:space="preserve">Kansas; </v>
      </c>
      <c r="GK12" s="1" t="str">
        <f t="shared" si="7"/>
        <v/>
      </c>
      <c r="GL12" s="1" t="str">
        <f t="shared" si="7"/>
        <v/>
      </c>
      <c r="GM12" s="1" t="str">
        <f t="shared" si="7"/>
        <v/>
      </c>
      <c r="GN12" s="1" t="str">
        <f t="shared" si="7"/>
        <v/>
      </c>
      <c r="GO12" s="1" t="str">
        <f t="shared" si="7"/>
        <v/>
      </c>
      <c r="GP12" s="1" t="str">
        <f t="shared" si="7"/>
        <v/>
      </c>
      <c r="GQ12" s="1" t="str">
        <f t="shared" si="7"/>
        <v/>
      </c>
      <c r="GR12" s="1" t="str">
        <f t="shared" si="7"/>
        <v/>
      </c>
      <c r="GS12" s="1" t="str">
        <f t="shared" si="7"/>
        <v/>
      </c>
      <c r="GT12" s="1" t="str">
        <f t="shared" si="7"/>
        <v/>
      </c>
      <c r="GU12" s="1" t="str">
        <f t="shared" si="7"/>
        <v/>
      </c>
      <c r="GV12" s="1" t="str">
        <f t="shared" si="7"/>
        <v/>
      </c>
      <c r="GW12" s="1" t="str">
        <f t="shared" si="7"/>
        <v/>
      </c>
      <c r="GX12" s="1" t="str">
        <f t="shared" si="7"/>
        <v/>
      </c>
      <c r="GY12" s="1" t="str">
        <f t="shared" si="7"/>
        <v/>
      </c>
      <c r="GZ12" s="1" t="str">
        <f t="shared" si="7"/>
        <v xml:space="preserve">New York; </v>
      </c>
      <c r="HA12" s="1" t="str">
        <f t="shared" si="8"/>
        <v/>
      </c>
      <c r="HB12" s="1" t="str">
        <f t="shared" si="8"/>
        <v/>
      </c>
      <c r="HC12" s="1" t="str">
        <f t="shared" si="8"/>
        <v/>
      </c>
      <c r="HD12" s="1" t="str">
        <f t="shared" si="8"/>
        <v/>
      </c>
      <c r="HE12" s="1" t="str">
        <f t="shared" si="8"/>
        <v/>
      </c>
      <c r="HF12" s="1" t="str">
        <f t="shared" si="8"/>
        <v/>
      </c>
      <c r="HG12" s="1" t="str">
        <f t="shared" si="8"/>
        <v/>
      </c>
      <c r="HH12" s="1" t="str">
        <f t="shared" si="8"/>
        <v/>
      </c>
      <c r="HI12" s="1" t="str">
        <f t="shared" si="8"/>
        <v/>
      </c>
      <c r="HJ12" s="1" t="str">
        <f t="shared" si="8"/>
        <v xml:space="preserve">Texas; </v>
      </c>
      <c r="HK12" s="1" t="str">
        <f t="shared" si="8"/>
        <v/>
      </c>
      <c r="HL12" s="1" t="str">
        <f t="shared" si="8"/>
        <v/>
      </c>
      <c r="HM12" s="1" t="str">
        <f t="shared" si="8"/>
        <v/>
      </c>
      <c r="HN12" s="1" t="str">
        <f t="shared" si="8"/>
        <v/>
      </c>
      <c r="HO12" s="1" t="str">
        <f t="shared" si="8"/>
        <v/>
      </c>
      <c r="HP12" s="1" t="str">
        <f t="shared" si="8"/>
        <v/>
      </c>
      <c r="HQ12" s="1" t="str">
        <f t="shared" si="9"/>
        <v/>
      </c>
      <c r="HR12" s="1" t="str">
        <f t="shared" si="9"/>
        <v/>
      </c>
      <c r="HS12" s="1" t="str">
        <f t="shared" si="9"/>
        <v/>
      </c>
      <c r="HT12" s="1" t="str">
        <f t="shared" si="9"/>
        <v/>
      </c>
      <c r="HU12" s="1" t="str">
        <f t="shared" si="9"/>
        <v/>
      </c>
      <c r="HV12" s="1" t="str">
        <f t="shared" si="9"/>
        <v/>
      </c>
      <c r="HW12" s="1" t="str">
        <f t="shared" si="9"/>
        <v/>
      </c>
      <c r="HX12" s="1" t="str">
        <f t="shared" si="9"/>
        <v/>
      </c>
      <c r="HY12" s="1" t="str">
        <f t="shared" si="9"/>
        <v/>
      </c>
      <c r="HZ12" s="1" t="str">
        <f t="shared" si="9"/>
        <v/>
      </c>
      <c r="IA12" s="1" t="str">
        <f t="shared" si="9"/>
        <v/>
      </c>
      <c r="IB12" s="1" t="str">
        <f t="shared" si="9"/>
        <v/>
      </c>
      <c r="IC12" s="1" t="str">
        <f t="shared" si="9"/>
        <v/>
      </c>
      <c r="ID12" s="1" t="str">
        <f t="shared" si="9"/>
        <v/>
      </c>
      <c r="IE12" s="1" t="str">
        <f t="shared" si="9"/>
        <v/>
      </c>
      <c r="IF12" s="1" t="str">
        <f t="shared" si="9"/>
        <v/>
      </c>
      <c r="IG12" s="1" t="str">
        <f t="shared" si="10"/>
        <v/>
      </c>
      <c r="IH12" s="1" t="str">
        <f t="shared" si="10"/>
        <v/>
      </c>
      <c r="II12" s="1" t="str">
        <f t="shared" si="10"/>
        <v/>
      </c>
      <c r="IJ12" s="1" t="str">
        <f t="shared" si="10"/>
        <v/>
      </c>
      <c r="IK12" s="1" t="str">
        <f t="shared" si="10"/>
        <v/>
      </c>
      <c r="IL12" s="1" t="str">
        <f t="shared" si="10"/>
        <v/>
      </c>
      <c r="IM12" s="1" t="str">
        <f t="shared" si="10"/>
        <v/>
      </c>
      <c r="IN12" s="1" t="str">
        <f t="shared" si="10"/>
        <v/>
      </c>
      <c r="IO12" s="1" t="str">
        <f t="shared" si="10"/>
        <v/>
      </c>
      <c r="IP12" s="1" t="str">
        <f t="shared" si="10"/>
        <v/>
      </c>
      <c r="IQ12" s="1" t="str">
        <f t="shared" si="10"/>
        <v/>
      </c>
      <c r="IR12" s="1" t="str">
        <f t="shared" si="10"/>
        <v/>
      </c>
      <c r="IS12" s="1" t="str">
        <f t="shared" si="10"/>
        <v/>
      </c>
      <c r="IT12" s="1" t="str">
        <f t="shared" si="10"/>
        <v/>
      </c>
      <c r="IU12" s="1" t="str">
        <f t="shared" si="10"/>
        <v/>
      </c>
      <c r="IV12" s="1" t="str">
        <f t="shared" si="10"/>
        <v/>
      </c>
      <c r="IW12" s="1" t="str">
        <f t="shared" si="11"/>
        <v/>
      </c>
      <c r="IX12" s="1" t="str">
        <f t="shared" si="11"/>
        <v/>
      </c>
      <c r="IY12" s="1" t="str">
        <f t="shared" si="11"/>
        <v/>
      </c>
      <c r="IZ12" s="1" t="str">
        <f t="shared" si="11"/>
        <v/>
      </c>
      <c r="JA12" s="1" t="str">
        <f t="shared" si="11"/>
        <v/>
      </c>
      <c r="JB12" s="1" t="str">
        <f t="shared" si="11"/>
        <v/>
      </c>
      <c r="JC12" s="1" t="str">
        <f t="shared" si="11"/>
        <v/>
      </c>
      <c r="JD12" s="1" t="str">
        <f t="shared" si="11"/>
        <v/>
      </c>
      <c r="JE12" s="1" t="str">
        <f t="shared" si="11"/>
        <v/>
      </c>
      <c r="JF12" s="1" t="str">
        <f t="shared" si="11"/>
        <v/>
      </c>
      <c r="JG12" s="1" t="str">
        <f t="shared" si="11"/>
        <v/>
      </c>
      <c r="JH12" s="1" t="str">
        <f t="shared" si="11"/>
        <v/>
      </c>
      <c r="JI12" s="1" t="str">
        <f t="shared" si="11"/>
        <v/>
      </c>
      <c r="JJ12" s="1" t="str">
        <f t="shared" si="11"/>
        <v/>
      </c>
      <c r="JK12" s="1" t="str">
        <f t="shared" si="11"/>
        <v/>
      </c>
      <c r="JL12" s="1" t="str">
        <f t="shared" si="11"/>
        <v/>
      </c>
      <c r="JM12" s="1" t="str">
        <f t="shared" si="12"/>
        <v/>
      </c>
      <c r="JN12" s="1" t="str">
        <f t="shared" si="12"/>
        <v/>
      </c>
      <c r="JO12" s="1" t="str">
        <f t="shared" si="12"/>
        <v/>
      </c>
    </row>
    <row r="13" spans="1:275" ht="14.5" x14ac:dyDescent="0.35">
      <c r="A13" s="59">
        <f>IF('Data input'!A13&lt;&gt;"",'Data input'!A13,"")</f>
        <v>11</v>
      </c>
      <c r="B13" s="60" t="str">
        <f>IF('Data input'!B13&lt;&gt;"",'Data input'!B13,"")</f>
        <v>Georgia</v>
      </c>
      <c r="C13" s="19">
        <f>IF('Data input'!C13="","",4*('Data input'!C13-'Data input'!C$108)/('Data input'!C$109-'Data input'!C$108)+1)</f>
        <v>4.9419842989735852</v>
      </c>
      <c r="D13" s="19" t="str">
        <f>IF('Data input'!D13="","",4*('Data input'!D13-'Data input'!D$108)/('Data input'!D$109-'Data input'!D$108)+1)</f>
        <v/>
      </c>
      <c r="E13" s="19" t="str">
        <f>IF('Data input'!E13="","",4*('Data input'!E13-'Data input'!E$108)/('Data input'!E$109-'Data input'!E$108)+1)</f>
        <v/>
      </c>
      <c r="F13" s="19" t="str">
        <f>IF('Data input'!F13="","",4*('Data input'!F13-'Data input'!F$108)/('Data input'!F$109-'Data input'!F$108)+1)</f>
        <v/>
      </c>
      <c r="G13" s="19" t="str">
        <f>IF('Data input'!G13="","",4*('Data input'!G13-'Data input'!G$108)/('Data input'!G$109-'Data input'!G$108)+1)</f>
        <v/>
      </c>
      <c r="H13" s="61">
        <f>IF('Data input'!H13="","",4*('Data input'!H13-'Data input'!H$108)/('Data input'!H$109-'Data input'!H$108)+1)</f>
        <v>1.0499246162978573</v>
      </c>
      <c r="I13" s="19">
        <f>IF('Data input'!I13="","",4*('Data input'!I13-'Data input'!I$108)/('Data input'!I$109-'Data input'!I$108)+1)</f>
        <v>2.1013646646719697</v>
      </c>
      <c r="J13" s="19" t="str">
        <f>IF('Data input'!J13="","",4*('Data input'!J13-'Data input'!J$108)/('Data input'!J$109-'Data input'!J$108)+1)</f>
        <v/>
      </c>
      <c r="K13" s="19" t="str">
        <f>IF('Data input'!K13="","",4*('Data input'!K13-'Data input'!K$108)/('Data input'!K$109-'Data input'!K$108)+1)</f>
        <v/>
      </c>
      <c r="L13" s="19" t="str">
        <f>IF('Data input'!L13="","",4*('Data input'!L13-'Data input'!L$108)/('Data input'!L$109-'Data input'!L$108)+1)</f>
        <v/>
      </c>
      <c r="M13" s="19">
        <f>IF('Data input'!M13="","",4*('Data input'!M13-'Data input'!M$108)/('Data input'!M$109-'Data input'!M$108)+1)</f>
        <v>2.1983844651142137</v>
      </c>
      <c r="N13" s="16" t="str">
        <f>IF('Data input'!N13="","",4*('Data input'!N13-'Data input'!N$108)/('Data input'!N$109-'Data input'!N$108)+1)</f>
        <v/>
      </c>
      <c r="O13" s="19" t="str">
        <f>IF('Data input'!O13="","",4*('Data input'!O13-'Data input'!O$108)/('Data input'!O$109-'Data input'!O$108)+1)</f>
        <v/>
      </c>
      <c r="P13" s="19" t="str">
        <f>IF('Data input'!P13="","",4*('Data input'!P13-'Data input'!P$108)/('Data input'!P$109-'Data input'!P$108)+1)</f>
        <v/>
      </c>
      <c r="Q13" s="19" t="str">
        <f>IF('Data input'!Q13="","",4*('Data input'!Q13-'Data input'!Q$108)/('Data input'!Q$109-'Data input'!Q$108)+1)</f>
        <v/>
      </c>
      <c r="R13" s="19" t="str">
        <f>IF('Data input'!R13="","",4*('Data input'!R13-'Data input'!R$108)/('Data input'!R$109-'Data input'!R$108)+1)</f>
        <v/>
      </c>
      <c r="S13" s="16" t="str">
        <f>IF('Data input'!S13="","",4*('Data input'!S13-'Data input'!S$108)/('Data input'!S$109-'Data input'!S$108)+1)</f>
        <v/>
      </c>
      <c r="T13" s="19" t="str">
        <f>IF('Data input'!T13="","",4*('Data input'!T13-'Data input'!T$108)/('Data input'!T$109-'Data input'!T$108)+1)</f>
        <v/>
      </c>
      <c r="U13" s="19" t="str">
        <f>IF('Data input'!U13="","",4*('Data input'!U13-'Data input'!U$108)/('Data input'!U$109-'Data input'!U$108)+1)</f>
        <v/>
      </c>
      <c r="V13" s="19" t="str">
        <f>IF('Data input'!V13="","",4*('Data input'!V13-'Data input'!V$108)/('Data input'!V$109-'Data input'!V$108)+1)</f>
        <v/>
      </c>
      <c r="W13" s="16" t="str">
        <f>IF('Data input'!W13="","",4*('Data input'!W13-'Data input'!W$108)/('Data input'!W$109-'Data input'!W$108)+1)</f>
        <v/>
      </c>
      <c r="X13" s="16" t="str">
        <f>IF('Data input'!X13="","",4*('Data input'!X13-'Data input'!X$108)/('Data input'!X$109-'Data input'!X$108)+1)</f>
        <v/>
      </c>
      <c r="Y13" s="16" t="str">
        <f>IF('Data input'!Y13="","",4*('Data input'!Y13-'Data input'!Y$108)/('Data input'!Y$109-'Data input'!Y$108)+1)</f>
        <v/>
      </c>
      <c r="Z13" s="16" t="str">
        <f>IF('Data input'!Z13="","",4*('Data input'!Z13-'Data input'!Z$108)/('Data input'!Z$109-'Data input'!Z$108)+1)</f>
        <v/>
      </c>
      <c r="AA13" s="62" t="str">
        <f>IF('Data input'!AA13="","",4*('Data input'!AA13-'Data input'!AA$108)/('Data input'!AA$109-'Data input'!AA$108)+1)</f>
        <v/>
      </c>
      <c r="AB13" s="78"/>
      <c r="AC13" s="79">
        <v>0</v>
      </c>
      <c r="AD13" s="80" t="e">
        <f t="shared" si="13"/>
        <v>#DIV/0!</v>
      </c>
      <c r="AE13" s="4"/>
      <c r="AF13" s="59">
        <f t="shared" si="14"/>
        <v>11</v>
      </c>
      <c r="AG13" s="60" t="str">
        <f t="shared" si="14"/>
        <v>Georgia</v>
      </c>
      <c r="AH13">
        <v>0</v>
      </c>
      <c r="AI13" t="s">
        <v>69</v>
      </c>
      <c r="AJ13" t="s">
        <v>69</v>
      </c>
      <c r="AK13" t="s">
        <v>69</v>
      </c>
      <c r="AL13" t="s">
        <v>69</v>
      </c>
      <c r="AM13">
        <v>-5.9874815782063888E-16</v>
      </c>
      <c r="AN13">
        <v>9.0810073731385518E-15</v>
      </c>
      <c r="AO13" t="s">
        <v>69</v>
      </c>
      <c r="AP13" t="s">
        <v>69</v>
      </c>
      <c r="AQ13" t="s">
        <v>69</v>
      </c>
      <c r="AR13">
        <v>0.99999999999999811</v>
      </c>
      <c r="AS13" s="71">
        <f t="shared" si="15"/>
        <v>4.9419842989735852</v>
      </c>
      <c r="AT13" s="71" t="str">
        <f t="shared" si="4"/>
        <v/>
      </c>
      <c r="AU13" s="71" t="str">
        <f t="shared" si="4"/>
        <v/>
      </c>
      <c r="AV13" s="71" t="str">
        <f t="shared" si="4"/>
        <v/>
      </c>
      <c r="AW13" s="71" t="str">
        <f t="shared" si="4"/>
        <v/>
      </c>
      <c r="AX13" s="71">
        <f t="shared" si="16"/>
        <v>1.0499246162978579</v>
      </c>
      <c r="AY13" s="71">
        <f t="shared" si="5"/>
        <v>2.1013646646719608</v>
      </c>
      <c r="AZ13" s="71" t="str">
        <f t="shared" si="5"/>
        <v/>
      </c>
      <c r="BA13" s="71" t="str">
        <f t="shared" si="5"/>
        <v/>
      </c>
      <c r="BB13" s="71" t="str">
        <f t="shared" si="5"/>
        <v/>
      </c>
      <c r="BC13" s="18">
        <f>IF(C13&lt;&gt;"",(('Data input'!C$109-'Data input'!C$108)*(AS13-1)/4)+'Data input'!C$108,"")</f>
        <v>0.99418629513662549</v>
      </c>
      <c r="BD13" s="18" t="str">
        <f>IF(D13&lt;&gt;"",(('Data input'!D$109-'Data input'!D$108)*(AT13-1)/4)+'Data input'!D$108,"")</f>
        <v/>
      </c>
      <c r="BE13" s="18" t="str">
        <f>IF(E13&lt;&gt;"",(('Data input'!E$109-'Data input'!E$108)*(AU13-1)/4)+'Data input'!E$108,"")</f>
        <v/>
      </c>
      <c r="BF13" s="18" t="str">
        <f>IF(F13&lt;&gt;"",(('Data input'!F$109-'Data input'!F$108)*(AV13-1)/4)+'Data input'!F$108,"")</f>
        <v/>
      </c>
      <c r="BG13" s="18" t="str">
        <f>IF(G13&lt;&gt;"",(('Data input'!G$109-'Data input'!G$108)*(AW13-1)/4)+'Data input'!G$108,"")</f>
        <v/>
      </c>
      <c r="BH13" s="19">
        <f>IF(H13&lt;&gt;"",(('Data input'!H$109-'Data input'!H$108)*(AX13-1)/4)+'Data input'!H$108,"")</f>
        <v>1.3829925335126751</v>
      </c>
      <c r="BI13" s="18">
        <f>IF(I13&lt;&gt;"",(('Data input'!I$109-'Data input'!I$108)*(AY13-1)/4)+'Data input'!I$108,"")</f>
        <v>4.8359240069084243E-2</v>
      </c>
      <c r="BJ13" s="19" t="str">
        <f>IF(J13&lt;&gt;"",(('Data input'!J$109-'Data input'!J$108)*(AZ13-1)/4)+'Data input'!J$108,"")</f>
        <v/>
      </c>
      <c r="BK13" s="19" t="str">
        <f>IF(K13&lt;&gt;"",(('Data input'!K$109-'Data input'!K$108)*(BA13-1)/4)+'Data input'!K$108,"")</f>
        <v/>
      </c>
      <c r="BL13" s="19" t="str">
        <f>IF(L13&lt;&gt;"",(('Data input'!L$109-'Data input'!L$108)*(BB13-1)/4)+'Data input'!L$108,"")</f>
        <v/>
      </c>
      <c r="BM13" s="18">
        <f>IF(C13&lt;&gt;"",BC13-'Data input'!C13,"")</f>
        <v>0</v>
      </c>
      <c r="BN13" s="18" t="str">
        <f>IF(D13&lt;&gt;"",BD13-'Data input'!D13,"")</f>
        <v/>
      </c>
      <c r="BO13" s="18" t="str">
        <f>IF(E13&lt;&gt;"",BE13-'Data input'!E13,"")</f>
        <v/>
      </c>
      <c r="BP13" s="18" t="str">
        <f>IF(F13&lt;&gt;"",BF13-'Data input'!F13,"")</f>
        <v/>
      </c>
      <c r="BQ13" s="18" t="str">
        <f>IF(G13&lt;&gt;"",BG13-'Data input'!G13,"")</f>
        <v/>
      </c>
      <c r="BR13" s="19">
        <f>IF(H13&lt;&gt;"",BH13-'Data input'!H13,"")</f>
        <v>1.2878587085651816E-14</v>
      </c>
      <c r="BS13" s="18">
        <f>IF(I13&lt;&gt;"",BI13-'Data input'!I13,"")</f>
        <v>-3.8857805861880479E-16</v>
      </c>
      <c r="BT13" s="18" t="str">
        <f>IF(J13&lt;&gt;"",BJ13-'Data input'!J13,"")</f>
        <v/>
      </c>
      <c r="BU13" s="18" t="str">
        <f>IF(K13&lt;&gt;"",BK13-'Data input'!K13,"")</f>
        <v/>
      </c>
      <c r="BV13" s="72" t="str">
        <f>IF(L13&lt;&gt;"",BL13-'Data input'!L13,"")</f>
        <v/>
      </c>
      <c r="BW13" s="121" t="str">
        <f t="shared" si="17"/>
        <v xml:space="preserve">Georgia; 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0.99999999999999745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2.3776061395454338E-15</v>
      </c>
      <c r="DO13" s="1">
        <v>9.0772085584091461E-16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FT13" s="1" t="str">
        <f t="shared" si="18"/>
        <v/>
      </c>
      <c r="FU13" s="1" t="str">
        <f t="shared" si="6"/>
        <v/>
      </c>
      <c r="FV13" s="1" t="str">
        <f t="shared" si="6"/>
        <v/>
      </c>
      <c r="FW13" s="1" t="str">
        <f t="shared" si="6"/>
        <v/>
      </c>
      <c r="FX13" s="1" t="str">
        <f t="shared" si="6"/>
        <v/>
      </c>
      <c r="FY13" s="1" t="str">
        <f t="shared" si="6"/>
        <v/>
      </c>
      <c r="FZ13" s="1" t="str">
        <f t="shared" si="6"/>
        <v/>
      </c>
      <c r="GA13" s="1" t="str">
        <f t="shared" si="6"/>
        <v/>
      </c>
      <c r="GB13" s="1" t="str">
        <f t="shared" si="6"/>
        <v/>
      </c>
      <c r="GC13" s="1" t="str">
        <f t="shared" si="6"/>
        <v/>
      </c>
      <c r="GD13" s="1" t="str">
        <f t="shared" si="6"/>
        <v xml:space="preserve">Georgia; </v>
      </c>
      <c r="GE13" s="1" t="str">
        <f t="shared" si="6"/>
        <v/>
      </c>
      <c r="GF13" s="1" t="str">
        <f t="shared" si="6"/>
        <v/>
      </c>
      <c r="GG13" s="1" t="str">
        <f t="shared" si="6"/>
        <v/>
      </c>
      <c r="GH13" s="1" t="str">
        <f t="shared" si="6"/>
        <v/>
      </c>
      <c r="GI13" s="1" t="str">
        <f t="shared" si="6"/>
        <v/>
      </c>
      <c r="GJ13" s="1" t="str">
        <f t="shared" si="6"/>
        <v/>
      </c>
      <c r="GK13" s="1" t="str">
        <f t="shared" si="7"/>
        <v/>
      </c>
      <c r="GL13" s="1" t="str">
        <f t="shared" si="7"/>
        <v/>
      </c>
      <c r="GM13" s="1" t="str">
        <f t="shared" si="7"/>
        <v/>
      </c>
      <c r="GN13" s="1" t="str">
        <f t="shared" si="7"/>
        <v/>
      </c>
      <c r="GO13" s="1" t="str">
        <f t="shared" si="7"/>
        <v/>
      </c>
      <c r="GP13" s="1" t="str">
        <f t="shared" si="7"/>
        <v/>
      </c>
      <c r="GQ13" s="1" t="str">
        <f t="shared" si="7"/>
        <v/>
      </c>
      <c r="GR13" s="1" t="str">
        <f t="shared" si="7"/>
        <v/>
      </c>
      <c r="GS13" s="1" t="str">
        <f t="shared" si="7"/>
        <v/>
      </c>
      <c r="GT13" s="1" t="str">
        <f t="shared" si="7"/>
        <v/>
      </c>
      <c r="GU13" s="1" t="str">
        <f t="shared" si="7"/>
        <v/>
      </c>
      <c r="GV13" s="1" t="str">
        <f t="shared" si="7"/>
        <v/>
      </c>
      <c r="GW13" s="1" t="str">
        <f t="shared" si="7"/>
        <v/>
      </c>
      <c r="GX13" s="1" t="str">
        <f t="shared" si="7"/>
        <v/>
      </c>
      <c r="GY13" s="1" t="str">
        <f t="shared" si="7"/>
        <v/>
      </c>
      <c r="GZ13" s="1" t="str">
        <f t="shared" si="7"/>
        <v/>
      </c>
      <c r="HA13" s="1" t="str">
        <f t="shared" si="8"/>
        <v/>
      </c>
      <c r="HB13" s="1" t="str">
        <f t="shared" si="8"/>
        <v/>
      </c>
      <c r="HC13" s="1" t="str">
        <f t="shared" si="8"/>
        <v/>
      </c>
      <c r="HD13" s="1" t="str">
        <f t="shared" si="8"/>
        <v/>
      </c>
      <c r="HE13" s="1" t="str">
        <f t="shared" si="8"/>
        <v/>
      </c>
      <c r="HF13" s="1" t="str">
        <f t="shared" si="8"/>
        <v/>
      </c>
      <c r="HG13" s="1" t="str">
        <f t="shared" si="8"/>
        <v/>
      </c>
      <c r="HH13" s="1" t="str">
        <f t="shared" si="8"/>
        <v/>
      </c>
      <c r="HI13" s="1" t="str">
        <f t="shared" si="8"/>
        <v/>
      </c>
      <c r="HJ13" s="1" t="str">
        <f t="shared" si="8"/>
        <v/>
      </c>
      <c r="HK13" s="1" t="str">
        <f t="shared" si="8"/>
        <v/>
      </c>
      <c r="HL13" s="1" t="str">
        <f t="shared" si="8"/>
        <v/>
      </c>
      <c r="HM13" s="1" t="str">
        <f t="shared" si="8"/>
        <v/>
      </c>
      <c r="HN13" s="1" t="str">
        <f t="shared" si="8"/>
        <v/>
      </c>
      <c r="HO13" s="1" t="str">
        <f t="shared" si="8"/>
        <v/>
      </c>
      <c r="HP13" s="1" t="str">
        <f t="shared" si="8"/>
        <v/>
      </c>
      <c r="HQ13" s="1" t="str">
        <f t="shared" si="9"/>
        <v/>
      </c>
      <c r="HR13" s="1" t="str">
        <f t="shared" si="9"/>
        <v/>
      </c>
      <c r="HS13" s="1" t="str">
        <f t="shared" si="9"/>
        <v/>
      </c>
      <c r="HT13" s="1" t="str">
        <f t="shared" si="9"/>
        <v/>
      </c>
      <c r="HU13" s="1" t="str">
        <f t="shared" si="9"/>
        <v/>
      </c>
      <c r="HV13" s="1" t="str">
        <f t="shared" si="9"/>
        <v/>
      </c>
      <c r="HW13" s="1" t="str">
        <f t="shared" si="9"/>
        <v/>
      </c>
      <c r="HX13" s="1" t="str">
        <f t="shared" si="9"/>
        <v/>
      </c>
      <c r="HY13" s="1" t="str">
        <f t="shared" si="9"/>
        <v/>
      </c>
      <c r="HZ13" s="1" t="str">
        <f t="shared" si="9"/>
        <v/>
      </c>
      <c r="IA13" s="1" t="str">
        <f t="shared" si="9"/>
        <v/>
      </c>
      <c r="IB13" s="1" t="str">
        <f t="shared" si="9"/>
        <v/>
      </c>
      <c r="IC13" s="1" t="str">
        <f t="shared" si="9"/>
        <v/>
      </c>
      <c r="ID13" s="1" t="str">
        <f t="shared" si="9"/>
        <v/>
      </c>
      <c r="IE13" s="1" t="str">
        <f t="shared" si="9"/>
        <v/>
      </c>
      <c r="IF13" s="1" t="str">
        <f t="shared" si="9"/>
        <v/>
      </c>
      <c r="IG13" s="1" t="str">
        <f t="shared" si="10"/>
        <v/>
      </c>
      <c r="IH13" s="1" t="str">
        <f t="shared" si="10"/>
        <v/>
      </c>
      <c r="II13" s="1" t="str">
        <f t="shared" si="10"/>
        <v/>
      </c>
      <c r="IJ13" s="1" t="str">
        <f t="shared" si="10"/>
        <v/>
      </c>
      <c r="IK13" s="1" t="str">
        <f t="shared" si="10"/>
        <v/>
      </c>
      <c r="IL13" s="1" t="str">
        <f t="shared" si="10"/>
        <v/>
      </c>
      <c r="IM13" s="1" t="str">
        <f t="shared" si="10"/>
        <v/>
      </c>
      <c r="IN13" s="1" t="str">
        <f t="shared" si="10"/>
        <v/>
      </c>
      <c r="IO13" s="1" t="str">
        <f t="shared" si="10"/>
        <v/>
      </c>
      <c r="IP13" s="1" t="str">
        <f t="shared" si="10"/>
        <v/>
      </c>
      <c r="IQ13" s="1" t="str">
        <f t="shared" si="10"/>
        <v/>
      </c>
      <c r="IR13" s="1" t="str">
        <f t="shared" si="10"/>
        <v/>
      </c>
      <c r="IS13" s="1" t="str">
        <f t="shared" si="10"/>
        <v/>
      </c>
      <c r="IT13" s="1" t="str">
        <f t="shared" si="10"/>
        <v/>
      </c>
      <c r="IU13" s="1" t="str">
        <f t="shared" si="10"/>
        <v/>
      </c>
      <c r="IV13" s="1" t="str">
        <f t="shared" si="10"/>
        <v/>
      </c>
      <c r="IW13" s="1" t="str">
        <f t="shared" si="11"/>
        <v/>
      </c>
      <c r="IX13" s="1" t="str">
        <f t="shared" si="11"/>
        <v/>
      </c>
      <c r="IY13" s="1" t="str">
        <f t="shared" si="11"/>
        <v/>
      </c>
      <c r="IZ13" s="1" t="str">
        <f t="shared" si="11"/>
        <v/>
      </c>
      <c r="JA13" s="1" t="str">
        <f t="shared" si="11"/>
        <v/>
      </c>
      <c r="JB13" s="1" t="str">
        <f t="shared" si="11"/>
        <v/>
      </c>
      <c r="JC13" s="1" t="str">
        <f t="shared" si="11"/>
        <v/>
      </c>
      <c r="JD13" s="1" t="str">
        <f t="shared" si="11"/>
        <v/>
      </c>
      <c r="JE13" s="1" t="str">
        <f t="shared" si="11"/>
        <v/>
      </c>
      <c r="JF13" s="1" t="str">
        <f t="shared" si="11"/>
        <v/>
      </c>
      <c r="JG13" s="1" t="str">
        <f t="shared" si="11"/>
        <v/>
      </c>
      <c r="JH13" s="1" t="str">
        <f t="shared" si="11"/>
        <v/>
      </c>
      <c r="JI13" s="1" t="str">
        <f t="shared" si="11"/>
        <v/>
      </c>
      <c r="JJ13" s="1" t="str">
        <f t="shared" si="11"/>
        <v/>
      </c>
      <c r="JK13" s="1" t="str">
        <f t="shared" si="11"/>
        <v/>
      </c>
      <c r="JL13" s="1" t="str">
        <f t="shared" si="11"/>
        <v/>
      </c>
      <c r="JM13" s="1" t="str">
        <f t="shared" si="12"/>
        <v/>
      </c>
      <c r="JN13" s="1" t="str">
        <f t="shared" si="12"/>
        <v/>
      </c>
      <c r="JO13" s="1" t="str">
        <f t="shared" si="12"/>
        <v/>
      </c>
    </row>
    <row r="14" spans="1:275" ht="14.5" x14ac:dyDescent="0.35">
      <c r="A14" s="59">
        <f>IF('Data input'!A14&lt;&gt;"",'Data input'!A14,"")</f>
        <v>12</v>
      </c>
      <c r="B14" s="60" t="str">
        <f>IF('Data input'!B14&lt;&gt;"",'Data input'!B14,"")</f>
        <v>Hawaii</v>
      </c>
      <c r="C14" s="19">
        <f>IF('Data input'!C14="","",4*('Data input'!C14-'Data input'!C$108)/('Data input'!C$109-'Data input'!C$108)+1)</f>
        <v>4.4766986984894128</v>
      </c>
      <c r="D14" s="19" t="str">
        <f>IF('Data input'!D14="","",4*('Data input'!D14-'Data input'!D$108)/('Data input'!D$109-'Data input'!D$108)+1)</f>
        <v/>
      </c>
      <c r="E14" s="19" t="str">
        <f>IF('Data input'!E14="","",4*('Data input'!E14-'Data input'!E$108)/('Data input'!E$109-'Data input'!E$108)+1)</f>
        <v/>
      </c>
      <c r="F14" s="19" t="str">
        <f>IF('Data input'!F14="","",4*('Data input'!F14-'Data input'!F$108)/('Data input'!F$109-'Data input'!F$108)+1)</f>
        <v/>
      </c>
      <c r="G14" s="19" t="str">
        <f>IF('Data input'!G14="","",4*('Data input'!G14-'Data input'!G$108)/('Data input'!G$109-'Data input'!G$108)+1)</f>
        <v/>
      </c>
      <c r="H14" s="61">
        <f>IF('Data input'!H14="","",4*('Data input'!H14-'Data input'!H$108)/('Data input'!H$109-'Data input'!H$108)+1)</f>
        <v>1.3340970950036934</v>
      </c>
      <c r="I14" s="19">
        <f>IF('Data input'!I14="","",4*('Data input'!I14-'Data input'!I$108)/('Data input'!I$109-'Data input'!I$108)+1)</f>
        <v>2.6076222038111019</v>
      </c>
      <c r="J14" s="19" t="str">
        <f>IF('Data input'!J14="","",4*('Data input'!J14-'Data input'!J$108)/('Data input'!J$109-'Data input'!J$108)+1)</f>
        <v/>
      </c>
      <c r="K14" s="19" t="str">
        <f>IF('Data input'!K14="","",4*('Data input'!K14-'Data input'!K$108)/('Data input'!K$109-'Data input'!K$108)+1)</f>
        <v/>
      </c>
      <c r="L14" s="19" t="str">
        <f>IF('Data input'!L14="","",4*('Data input'!L14-'Data input'!L$108)/('Data input'!L$109-'Data input'!L$108)+1)</f>
        <v/>
      </c>
      <c r="M14" s="19">
        <f>IF('Data input'!M14="","",4*('Data input'!M14-'Data input'!M$108)/('Data input'!M$109-'Data input'!M$108)+1)</f>
        <v>2.4569181447525179</v>
      </c>
      <c r="N14" s="16" t="str">
        <f>IF('Data input'!N14="","",4*('Data input'!N14-'Data input'!N$108)/('Data input'!N$109-'Data input'!N$108)+1)</f>
        <v/>
      </c>
      <c r="O14" s="19" t="str">
        <f>IF('Data input'!O14="","",4*('Data input'!O14-'Data input'!O$108)/('Data input'!O$109-'Data input'!O$108)+1)</f>
        <v/>
      </c>
      <c r="P14" s="19" t="str">
        <f>IF('Data input'!P14="","",4*('Data input'!P14-'Data input'!P$108)/('Data input'!P$109-'Data input'!P$108)+1)</f>
        <v/>
      </c>
      <c r="Q14" s="19" t="str">
        <f>IF('Data input'!Q14="","",4*('Data input'!Q14-'Data input'!Q$108)/('Data input'!Q$109-'Data input'!Q$108)+1)</f>
        <v/>
      </c>
      <c r="R14" s="19" t="str">
        <f>IF('Data input'!R14="","",4*('Data input'!R14-'Data input'!R$108)/('Data input'!R$109-'Data input'!R$108)+1)</f>
        <v/>
      </c>
      <c r="S14" s="16" t="str">
        <f>IF('Data input'!S14="","",4*('Data input'!S14-'Data input'!S$108)/('Data input'!S$109-'Data input'!S$108)+1)</f>
        <v/>
      </c>
      <c r="T14" s="19" t="str">
        <f>IF('Data input'!T14="","",4*('Data input'!T14-'Data input'!T$108)/('Data input'!T$109-'Data input'!T$108)+1)</f>
        <v/>
      </c>
      <c r="U14" s="19" t="str">
        <f>IF('Data input'!U14="","",4*('Data input'!U14-'Data input'!U$108)/('Data input'!U$109-'Data input'!U$108)+1)</f>
        <v/>
      </c>
      <c r="V14" s="19" t="str">
        <f>IF('Data input'!V14="","",4*('Data input'!V14-'Data input'!V$108)/('Data input'!V$109-'Data input'!V$108)+1)</f>
        <v/>
      </c>
      <c r="W14" s="16" t="str">
        <f>IF('Data input'!W14="","",4*('Data input'!W14-'Data input'!W$108)/('Data input'!W$109-'Data input'!W$108)+1)</f>
        <v/>
      </c>
      <c r="X14" s="16" t="str">
        <f>IF('Data input'!X14="","",4*('Data input'!X14-'Data input'!X$108)/('Data input'!X$109-'Data input'!X$108)+1)</f>
        <v/>
      </c>
      <c r="Y14" s="16" t="str">
        <f>IF('Data input'!Y14="","",4*('Data input'!Y14-'Data input'!Y$108)/('Data input'!Y$109-'Data input'!Y$108)+1)</f>
        <v/>
      </c>
      <c r="Z14" s="16" t="str">
        <f>IF('Data input'!Z14="","",4*('Data input'!Z14-'Data input'!Z$108)/('Data input'!Z$109-'Data input'!Z$108)+1)</f>
        <v/>
      </c>
      <c r="AA14" s="62" t="str">
        <f>IF('Data input'!AA14="","",4*('Data input'!AA14-'Data input'!AA$108)/('Data input'!AA$109-'Data input'!AA$108)+1)</f>
        <v/>
      </c>
      <c r="AB14" s="78"/>
      <c r="AC14" s="79">
        <v>0</v>
      </c>
      <c r="AD14" s="80" t="e">
        <f t="shared" si="13"/>
        <v>#DIV/0!</v>
      </c>
      <c r="AE14" s="4"/>
      <c r="AF14" s="59">
        <f t="shared" si="14"/>
        <v>12</v>
      </c>
      <c r="AG14" s="60" t="str">
        <f t="shared" si="14"/>
        <v>Hawaii</v>
      </c>
      <c r="AH14">
        <v>0</v>
      </c>
      <c r="AI14" t="s">
        <v>69</v>
      </c>
      <c r="AJ14" t="s">
        <v>69</v>
      </c>
      <c r="AK14" t="s">
        <v>69</v>
      </c>
      <c r="AL14" t="s">
        <v>69</v>
      </c>
      <c r="AM14">
        <v>0.30256046533987935</v>
      </c>
      <c r="AN14">
        <v>1.5818752175899102</v>
      </c>
      <c r="AO14" t="s">
        <v>69</v>
      </c>
      <c r="AP14" t="s">
        <v>69</v>
      </c>
      <c r="AQ14" t="s">
        <v>69</v>
      </c>
      <c r="AR14">
        <v>0.58328721895070657</v>
      </c>
      <c r="AS14" s="71">
        <f t="shared" si="15"/>
        <v>4.4766986984894128</v>
      </c>
      <c r="AT14" s="71" t="str">
        <f t="shared" si="4"/>
        <v/>
      </c>
      <c r="AU14" s="71" t="str">
        <f t="shared" si="4"/>
        <v/>
      </c>
      <c r="AV14" s="71" t="str">
        <f t="shared" si="4"/>
        <v/>
      </c>
      <c r="AW14" s="71" t="str">
        <f t="shared" si="4"/>
        <v/>
      </c>
      <c r="AX14" s="71">
        <f t="shared" si="16"/>
        <v>1.031536629663814</v>
      </c>
      <c r="AY14" s="71">
        <f t="shared" si="5"/>
        <v>1.0257469862211916</v>
      </c>
      <c r="AZ14" s="71" t="str">
        <f t="shared" si="5"/>
        <v/>
      </c>
      <c r="BA14" s="71" t="str">
        <f t="shared" si="5"/>
        <v/>
      </c>
      <c r="BB14" s="71" t="str">
        <f t="shared" si="5"/>
        <v/>
      </c>
      <c r="BC14" s="18">
        <f>IF(C14&lt;&gt;"",(('Data input'!C$109-'Data input'!C$108)*(AS14-1)/4)+'Data input'!C$108,"")</f>
        <v>0.97729309223402905</v>
      </c>
      <c r="BD14" s="18" t="str">
        <f>IF(D14&lt;&gt;"",(('Data input'!D$109-'Data input'!D$108)*(AT14-1)/4)+'Data input'!D$108,"")</f>
        <v/>
      </c>
      <c r="BE14" s="18" t="str">
        <f>IF(E14&lt;&gt;"",(('Data input'!E$109-'Data input'!E$108)*(AU14-1)/4)+'Data input'!E$108,"")</f>
        <v/>
      </c>
      <c r="BF14" s="18" t="str">
        <f>IF(F14&lt;&gt;"",(('Data input'!F$109-'Data input'!F$108)*(AV14-1)/4)+'Data input'!F$108,"")</f>
        <v/>
      </c>
      <c r="BG14" s="18" t="str">
        <f>IF(G14&lt;&gt;"",(('Data input'!G$109-'Data input'!G$108)*(AW14-1)/4)+'Data input'!G$108,"")</f>
        <v/>
      </c>
      <c r="BH14" s="19">
        <f>IF(H14&lt;&gt;"",(('Data input'!H$109-'Data input'!H$108)*(AX14-1)/4)+'Data input'!H$108,"")</f>
        <v>0.9825420714979658</v>
      </c>
      <c r="BI14" s="18">
        <f>IF(I14&lt;&gt;"",(('Data input'!I$109-'Data input'!I$108)*(AY14-1)/4)+'Data input'!I$108,"")</f>
        <v>1.1305108359335851E-3</v>
      </c>
      <c r="BJ14" s="19" t="str">
        <f>IF(J14&lt;&gt;"",(('Data input'!J$109-'Data input'!J$108)*(AZ14-1)/4)+'Data input'!J$108,"")</f>
        <v/>
      </c>
      <c r="BK14" s="19" t="str">
        <f>IF(K14&lt;&gt;"",(('Data input'!K$109-'Data input'!K$108)*(BA14-1)/4)+'Data input'!K$108,"")</f>
        <v/>
      </c>
      <c r="BL14" s="19" t="str">
        <f>IF(L14&lt;&gt;"",(('Data input'!L$109-'Data input'!L$108)*(BB14-1)/4)+'Data input'!L$108,"")</f>
        <v/>
      </c>
      <c r="BM14" s="18">
        <f>IF(C14&lt;&gt;"",BC14-'Data input'!C14,"")</f>
        <v>0</v>
      </c>
      <c r="BN14" s="18" t="str">
        <f>IF(D14&lt;&gt;"",BD14-'Data input'!D14,"")</f>
        <v/>
      </c>
      <c r="BO14" s="18" t="str">
        <f>IF(E14&lt;&gt;"",BE14-'Data input'!E14,"")</f>
        <v/>
      </c>
      <c r="BP14" s="18" t="str">
        <f>IF(F14&lt;&gt;"",BF14-'Data input'!F14,"")</f>
        <v/>
      </c>
      <c r="BQ14" s="18" t="str">
        <f>IF(G14&lt;&gt;"",BG14-'Data input'!G14,"")</f>
        <v/>
      </c>
      <c r="BR14" s="19">
        <f>IF(H14&lt;&gt;"",BH14-'Data input'!H14,"")</f>
        <v>-6.5891106266316779</v>
      </c>
      <c r="BS14" s="18">
        <f>IF(I14&lt;&gt;"",BI14-'Data input'!I14,"")</f>
        <v>-6.9457724458184059E-2</v>
      </c>
      <c r="BT14" s="18" t="str">
        <f>IF(J14&lt;&gt;"",BJ14-'Data input'!J14,"")</f>
        <v/>
      </c>
      <c r="BU14" s="18" t="str">
        <f>IF(K14&lt;&gt;"",BK14-'Data input'!K14,"")</f>
        <v/>
      </c>
      <c r="BV14" s="72" t="str">
        <f>IF(L14&lt;&gt;"",BL14-'Data input'!L14,"")</f>
        <v/>
      </c>
      <c r="BW14" s="121" t="str">
        <f t="shared" si="17"/>
        <v xml:space="preserve">New York; Texas; 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0.11728461027577335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0.88271538972422769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FT14" s="1" t="str">
        <f t="shared" si="18"/>
        <v/>
      </c>
      <c r="FU14" s="1" t="str">
        <f t="shared" si="6"/>
        <v/>
      </c>
      <c r="FV14" s="1" t="str">
        <f t="shared" si="6"/>
        <v/>
      </c>
      <c r="FW14" s="1" t="str">
        <f t="shared" si="6"/>
        <v/>
      </c>
      <c r="FX14" s="1" t="str">
        <f t="shared" si="6"/>
        <v/>
      </c>
      <c r="FY14" s="1" t="str">
        <f t="shared" si="6"/>
        <v/>
      </c>
      <c r="FZ14" s="1" t="str">
        <f t="shared" si="6"/>
        <v/>
      </c>
      <c r="GA14" s="1" t="str">
        <f t="shared" si="6"/>
        <v/>
      </c>
      <c r="GB14" s="1" t="str">
        <f t="shared" si="6"/>
        <v/>
      </c>
      <c r="GC14" s="1" t="str">
        <f t="shared" si="6"/>
        <v/>
      </c>
      <c r="GD14" s="1" t="str">
        <f t="shared" si="6"/>
        <v/>
      </c>
      <c r="GE14" s="1" t="str">
        <f t="shared" si="6"/>
        <v/>
      </c>
      <c r="GF14" s="1" t="str">
        <f t="shared" si="6"/>
        <v/>
      </c>
      <c r="GG14" s="1" t="str">
        <f t="shared" si="6"/>
        <v/>
      </c>
      <c r="GH14" s="1" t="str">
        <f t="shared" si="6"/>
        <v/>
      </c>
      <c r="GI14" s="1" t="str">
        <f t="shared" si="6"/>
        <v/>
      </c>
      <c r="GJ14" s="1" t="str">
        <f t="shared" si="6"/>
        <v/>
      </c>
      <c r="GK14" s="1" t="str">
        <f t="shared" si="7"/>
        <v/>
      </c>
      <c r="GL14" s="1" t="str">
        <f t="shared" si="7"/>
        <v/>
      </c>
      <c r="GM14" s="1" t="str">
        <f t="shared" si="7"/>
        <v/>
      </c>
      <c r="GN14" s="1" t="str">
        <f t="shared" si="7"/>
        <v/>
      </c>
      <c r="GO14" s="1" t="str">
        <f t="shared" si="7"/>
        <v/>
      </c>
      <c r="GP14" s="1" t="str">
        <f t="shared" si="7"/>
        <v/>
      </c>
      <c r="GQ14" s="1" t="str">
        <f t="shared" si="7"/>
        <v/>
      </c>
      <c r="GR14" s="1" t="str">
        <f t="shared" si="7"/>
        <v/>
      </c>
      <c r="GS14" s="1" t="str">
        <f t="shared" si="7"/>
        <v/>
      </c>
      <c r="GT14" s="1" t="str">
        <f t="shared" si="7"/>
        <v/>
      </c>
      <c r="GU14" s="1" t="str">
        <f t="shared" si="7"/>
        <v/>
      </c>
      <c r="GV14" s="1" t="str">
        <f t="shared" si="7"/>
        <v/>
      </c>
      <c r="GW14" s="1" t="str">
        <f t="shared" si="7"/>
        <v/>
      </c>
      <c r="GX14" s="1" t="str">
        <f t="shared" si="7"/>
        <v/>
      </c>
      <c r="GY14" s="1" t="str">
        <f t="shared" si="7"/>
        <v/>
      </c>
      <c r="GZ14" s="1" t="str">
        <f t="shared" si="7"/>
        <v xml:space="preserve">New York; </v>
      </c>
      <c r="HA14" s="1" t="str">
        <f t="shared" si="8"/>
        <v/>
      </c>
      <c r="HB14" s="1" t="str">
        <f t="shared" si="8"/>
        <v/>
      </c>
      <c r="HC14" s="1" t="str">
        <f t="shared" si="8"/>
        <v/>
      </c>
      <c r="HD14" s="1" t="str">
        <f t="shared" si="8"/>
        <v/>
      </c>
      <c r="HE14" s="1" t="str">
        <f t="shared" si="8"/>
        <v/>
      </c>
      <c r="HF14" s="1" t="str">
        <f t="shared" si="8"/>
        <v/>
      </c>
      <c r="HG14" s="1" t="str">
        <f t="shared" si="8"/>
        <v/>
      </c>
      <c r="HH14" s="1" t="str">
        <f t="shared" si="8"/>
        <v/>
      </c>
      <c r="HI14" s="1" t="str">
        <f t="shared" si="8"/>
        <v/>
      </c>
      <c r="HJ14" s="1" t="str">
        <f t="shared" si="8"/>
        <v xml:space="preserve">Texas; </v>
      </c>
      <c r="HK14" s="1" t="str">
        <f t="shared" si="8"/>
        <v/>
      </c>
      <c r="HL14" s="1" t="str">
        <f t="shared" si="8"/>
        <v/>
      </c>
      <c r="HM14" s="1" t="str">
        <f t="shared" si="8"/>
        <v/>
      </c>
      <c r="HN14" s="1" t="str">
        <f t="shared" si="8"/>
        <v/>
      </c>
      <c r="HO14" s="1" t="str">
        <f t="shared" si="8"/>
        <v/>
      </c>
      <c r="HP14" s="1" t="str">
        <f t="shared" si="8"/>
        <v/>
      </c>
      <c r="HQ14" s="1" t="str">
        <f t="shared" si="9"/>
        <v/>
      </c>
      <c r="HR14" s="1" t="str">
        <f t="shared" si="9"/>
        <v/>
      </c>
      <c r="HS14" s="1" t="str">
        <f t="shared" si="9"/>
        <v/>
      </c>
      <c r="HT14" s="1" t="str">
        <f t="shared" si="9"/>
        <v/>
      </c>
      <c r="HU14" s="1" t="str">
        <f t="shared" si="9"/>
        <v/>
      </c>
      <c r="HV14" s="1" t="str">
        <f t="shared" si="9"/>
        <v/>
      </c>
      <c r="HW14" s="1" t="str">
        <f t="shared" si="9"/>
        <v/>
      </c>
      <c r="HX14" s="1" t="str">
        <f t="shared" si="9"/>
        <v/>
      </c>
      <c r="HY14" s="1" t="str">
        <f t="shared" si="9"/>
        <v/>
      </c>
      <c r="HZ14" s="1" t="str">
        <f t="shared" si="9"/>
        <v/>
      </c>
      <c r="IA14" s="1" t="str">
        <f t="shared" si="9"/>
        <v/>
      </c>
      <c r="IB14" s="1" t="str">
        <f t="shared" si="9"/>
        <v/>
      </c>
      <c r="IC14" s="1" t="str">
        <f t="shared" si="9"/>
        <v/>
      </c>
      <c r="ID14" s="1" t="str">
        <f t="shared" si="9"/>
        <v/>
      </c>
      <c r="IE14" s="1" t="str">
        <f t="shared" si="9"/>
        <v/>
      </c>
      <c r="IF14" s="1" t="str">
        <f t="shared" si="9"/>
        <v/>
      </c>
      <c r="IG14" s="1" t="str">
        <f t="shared" si="10"/>
        <v/>
      </c>
      <c r="IH14" s="1" t="str">
        <f t="shared" si="10"/>
        <v/>
      </c>
      <c r="II14" s="1" t="str">
        <f t="shared" si="10"/>
        <v/>
      </c>
      <c r="IJ14" s="1" t="str">
        <f t="shared" si="10"/>
        <v/>
      </c>
      <c r="IK14" s="1" t="str">
        <f t="shared" si="10"/>
        <v/>
      </c>
      <c r="IL14" s="1" t="str">
        <f t="shared" si="10"/>
        <v/>
      </c>
      <c r="IM14" s="1" t="str">
        <f t="shared" si="10"/>
        <v/>
      </c>
      <c r="IN14" s="1" t="str">
        <f t="shared" si="10"/>
        <v/>
      </c>
      <c r="IO14" s="1" t="str">
        <f t="shared" si="10"/>
        <v/>
      </c>
      <c r="IP14" s="1" t="str">
        <f t="shared" si="10"/>
        <v/>
      </c>
      <c r="IQ14" s="1" t="str">
        <f t="shared" si="10"/>
        <v/>
      </c>
      <c r="IR14" s="1" t="str">
        <f t="shared" si="10"/>
        <v/>
      </c>
      <c r="IS14" s="1" t="str">
        <f t="shared" si="10"/>
        <v/>
      </c>
      <c r="IT14" s="1" t="str">
        <f t="shared" si="10"/>
        <v/>
      </c>
      <c r="IU14" s="1" t="str">
        <f t="shared" si="10"/>
        <v/>
      </c>
      <c r="IV14" s="1" t="str">
        <f t="shared" si="10"/>
        <v/>
      </c>
      <c r="IW14" s="1" t="str">
        <f t="shared" si="11"/>
        <v/>
      </c>
      <c r="IX14" s="1" t="str">
        <f t="shared" si="11"/>
        <v/>
      </c>
      <c r="IY14" s="1" t="str">
        <f t="shared" si="11"/>
        <v/>
      </c>
      <c r="IZ14" s="1" t="str">
        <f t="shared" si="11"/>
        <v/>
      </c>
      <c r="JA14" s="1" t="str">
        <f t="shared" si="11"/>
        <v/>
      </c>
      <c r="JB14" s="1" t="str">
        <f t="shared" si="11"/>
        <v/>
      </c>
      <c r="JC14" s="1" t="str">
        <f t="shared" si="11"/>
        <v/>
      </c>
      <c r="JD14" s="1" t="str">
        <f t="shared" si="11"/>
        <v/>
      </c>
      <c r="JE14" s="1" t="str">
        <f t="shared" si="11"/>
        <v/>
      </c>
      <c r="JF14" s="1" t="str">
        <f t="shared" si="11"/>
        <v/>
      </c>
      <c r="JG14" s="1" t="str">
        <f t="shared" si="11"/>
        <v/>
      </c>
      <c r="JH14" s="1" t="str">
        <f t="shared" si="11"/>
        <v/>
      </c>
      <c r="JI14" s="1" t="str">
        <f t="shared" si="11"/>
        <v/>
      </c>
      <c r="JJ14" s="1" t="str">
        <f t="shared" si="11"/>
        <v/>
      </c>
      <c r="JK14" s="1" t="str">
        <f t="shared" si="11"/>
        <v/>
      </c>
      <c r="JL14" s="1" t="str">
        <f t="shared" si="11"/>
        <v/>
      </c>
      <c r="JM14" s="1" t="str">
        <f t="shared" si="12"/>
        <v/>
      </c>
      <c r="JN14" s="1" t="str">
        <f t="shared" si="12"/>
        <v/>
      </c>
      <c r="JO14" s="1" t="str">
        <f t="shared" si="12"/>
        <v/>
      </c>
    </row>
    <row r="15" spans="1:275" ht="14.5" x14ac:dyDescent="0.35">
      <c r="A15" s="59">
        <f>IF('Data input'!A15&lt;&gt;"",'Data input'!A15,"")</f>
        <v>13</v>
      </c>
      <c r="B15" s="60" t="str">
        <f>IF('Data input'!B15&lt;&gt;"",'Data input'!B15,"")</f>
        <v>Idaho</v>
      </c>
      <c r="C15" s="19">
        <f>IF('Data input'!C15="","",4*('Data input'!C15-'Data input'!C$108)/('Data input'!C$109-'Data input'!C$108)+1)</f>
        <v>4.4320769937331592</v>
      </c>
      <c r="D15" s="19" t="str">
        <f>IF('Data input'!D15="","",4*('Data input'!D15-'Data input'!D$108)/('Data input'!D$109-'Data input'!D$108)+1)</f>
        <v/>
      </c>
      <c r="E15" s="19" t="str">
        <f>IF('Data input'!E15="","",4*('Data input'!E15-'Data input'!E$108)/('Data input'!E$109-'Data input'!E$108)+1)</f>
        <v/>
      </c>
      <c r="F15" s="19" t="str">
        <f>IF('Data input'!F15="","",4*('Data input'!F15-'Data input'!F$108)/('Data input'!F$109-'Data input'!F$108)+1)</f>
        <v/>
      </c>
      <c r="G15" s="19" t="str">
        <f>IF('Data input'!G15="","",4*('Data input'!G15-'Data input'!G$108)/('Data input'!G$109-'Data input'!G$108)+1)</f>
        <v/>
      </c>
      <c r="H15" s="61">
        <f>IF('Data input'!H15="","",4*('Data input'!H15-'Data input'!H$108)/('Data input'!H$109-'Data input'!H$108)+1)</f>
        <v>1.4879116861040735</v>
      </c>
      <c r="I15" s="19">
        <f>IF('Data input'!I15="","",4*('Data input'!I15-'Data input'!I$108)/('Data input'!I$109-'Data input'!I$108)+1)</f>
        <v>1.9902020820575625</v>
      </c>
      <c r="J15" s="19" t="str">
        <f>IF('Data input'!J15="","",4*('Data input'!J15-'Data input'!J$108)/('Data input'!J$109-'Data input'!J$108)+1)</f>
        <v/>
      </c>
      <c r="K15" s="19" t="str">
        <f>IF('Data input'!K15="","",4*('Data input'!K15-'Data input'!K$108)/('Data input'!K$109-'Data input'!K$108)+1)</f>
        <v/>
      </c>
      <c r="L15" s="19" t="str">
        <f>IF('Data input'!L15="","",4*('Data input'!L15-'Data input'!L$108)/('Data input'!L$109-'Data input'!L$108)+1)</f>
        <v/>
      </c>
      <c r="M15" s="19">
        <f>IF('Data input'!M15="","",4*('Data input'!M15-'Data input'!M$108)/('Data input'!M$109-'Data input'!M$108)+1)</f>
        <v>1.6006874301655307</v>
      </c>
      <c r="N15" s="16" t="str">
        <f>IF('Data input'!N15="","",4*('Data input'!N15-'Data input'!N$108)/('Data input'!N$109-'Data input'!N$108)+1)</f>
        <v/>
      </c>
      <c r="O15" s="19" t="str">
        <f>IF('Data input'!O15="","",4*('Data input'!O15-'Data input'!O$108)/('Data input'!O$109-'Data input'!O$108)+1)</f>
        <v/>
      </c>
      <c r="P15" s="19" t="str">
        <f>IF('Data input'!P15="","",4*('Data input'!P15-'Data input'!P$108)/('Data input'!P$109-'Data input'!P$108)+1)</f>
        <v/>
      </c>
      <c r="Q15" s="19" t="str">
        <f>IF('Data input'!Q15="","",4*('Data input'!Q15-'Data input'!Q$108)/('Data input'!Q$109-'Data input'!Q$108)+1)</f>
        <v/>
      </c>
      <c r="R15" s="19" t="str">
        <f>IF('Data input'!R15="","",4*('Data input'!R15-'Data input'!R$108)/('Data input'!R$109-'Data input'!R$108)+1)</f>
        <v/>
      </c>
      <c r="S15" s="16" t="str">
        <f>IF('Data input'!S15="","",4*('Data input'!S15-'Data input'!S$108)/('Data input'!S$109-'Data input'!S$108)+1)</f>
        <v/>
      </c>
      <c r="T15" s="19" t="str">
        <f>IF('Data input'!T15="","",4*('Data input'!T15-'Data input'!T$108)/('Data input'!T$109-'Data input'!T$108)+1)</f>
        <v/>
      </c>
      <c r="U15" s="19" t="str">
        <f>IF('Data input'!U15="","",4*('Data input'!U15-'Data input'!U$108)/('Data input'!U$109-'Data input'!U$108)+1)</f>
        <v/>
      </c>
      <c r="V15" s="19" t="str">
        <f>IF('Data input'!V15="","",4*('Data input'!V15-'Data input'!V$108)/('Data input'!V$109-'Data input'!V$108)+1)</f>
        <v/>
      </c>
      <c r="W15" s="16" t="str">
        <f>IF('Data input'!W15="","",4*('Data input'!W15-'Data input'!W$108)/('Data input'!W$109-'Data input'!W$108)+1)</f>
        <v/>
      </c>
      <c r="X15" s="16" t="str">
        <f>IF('Data input'!X15="","",4*('Data input'!X15-'Data input'!X$108)/('Data input'!X$109-'Data input'!X$108)+1)</f>
        <v/>
      </c>
      <c r="Y15" s="16" t="str">
        <f>IF('Data input'!Y15="","",4*('Data input'!Y15-'Data input'!Y$108)/('Data input'!Y$109-'Data input'!Y$108)+1)</f>
        <v/>
      </c>
      <c r="Z15" s="16" t="str">
        <f>IF('Data input'!Z15="","",4*('Data input'!Z15-'Data input'!Z$108)/('Data input'!Z$109-'Data input'!Z$108)+1)</f>
        <v/>
      </c>
      <c r="AA15" s="62" t="str">
        <f>IF('Data input'!AA15="","",4*('Data input'!AA15-'Data input'!AA$108)/('Data input'!AA$109-'Data input'!AA$108)+1)</f>
        <v/>
      </c>
      <c r="AB15" s="78"/>
      <c r="AC15" s="79">
        <v>0</v>
      </c>
      <c r="AD15" s="80" t="e">
        <f t="shared" si="13"/>
        <v>#DIV/0!</v>
      </c>
      <c r="AE15" s="4"/>
      <c r="AF15" s="59">
        <f t="shared" si="14"/>
        <v>13</v>
      </c>
      <c r="AG15" s="60" t="str">
        <f t="shared" si="14"/>
        <v>Idaho</v>
      </c>
      <c r="AH15">
        <v>0</v>
      </c>
      <c r="AI15" t="s">
        <v>69</v>
      </c>
      <c r="AJ15" t="s">
        <v>69</v>
      </c>
      <c r="AK15" t="s">
        <v>69</v>
      </c>
      <c r="AL15" t="s">
        <v>69</v>
      </c>
      <c r="AM15">
        <v>0.405770050319394</v>
      </c>
      <c r="AN15">
        <v>0.96439725158758516</v>
      </c>
      <c r="AO15" t="s">
        <v>69</v>
      </c>
      <c r="AP15" t="s">
        <v>69</v>
      </c>
      <c r="AQ15" t="s">
        <v>69</v>
      </c>
      <c r="AR15">
        <v>0.6213581806919809</v>
      </c>
      <c r="AS15" s="71">
        <f t="shared" si="15"/>
        <v>4.4320769937331592</v>
      </c>
      <c r="AT15" s="71" t="str">
        <f t="shared" si="4"/>
        <v/>
      </c>
      <c r="AU15" s="71" t="str">
        <f t="shared" si="4"/>
        <v/>
      </c>
      <c r="AV15" s="71" t="str">
        <f t="shared" si="4"/>
        <v/>
      </c>
      <c r="AW15" s="71" t="str">
        <f t="shared" si="4"/>
        <v/>
      </c>
      <c r="AX15" s="71">
        <f t="shared" si="16"/>
        <v>1.0821416357846796</v>
      </c>
      <c r="AY15" s="71">
        <f t="shared" si="5"/>
        <v>1.0258048304699774</v>
      </c>
      <c r="AZ15" s="71" t="str">
        <f t="shared" si="5"/>
        <v/>
      </c>
      <c r="BA15" s="71" t="str">
        <f t="shared" si="5"/>
        <v/>
      </c>
      <c r="BB15" s="71" t="str">
        <f t="shared" si="5"/>
        <v/>
      </c>
      <c r="BC15" s="18">
        <f>IF(C15&lt;&gt;"",(('Data input'!C$109-'Data input'!C$108)*(AS15-1)/4)+'Data input'!C$108,"")</f>
        <v>0.97567300446100802</v>
      </c>
      <c r="BD15" s="18" t="str">
        <f>IF(D15&lt;&gt;"",(('Data input'!D$109-'Data input'!D$108)*(AT15-1)/4)+'Data input'!D$108,"")</f>
        <v/>
      </c>
      <c r="BE15" s="18" t="str">
        <f>IF(E15&lt;&gt;"",(('Data input'!E$109-'Data input'!E$108)*(AU15-1)/4)+'Data input'!E$108,"")</f>
        <v/>
      </c>
      <c r="BF15" s="18" t="str">
        <f>IF(F15&lt;&gt;"",(('Data input'!F$109-'Data input'!F$108)*(AV15-1)/4)+'Data input'!F$108,"")</f>
        <v/>
      </c>
      <c r="BG15" s="18" t="str">
        <f>IF(G15&lt;&gt;"",(('Data input'!G$109-'Data input'!G$108)*(AW15-1)/4)+'Data input'!G$108,"")</f>
        <v/>
      </c>
      <c r="BH15" s="19">
        <f>IF(H15&lt;&gt;"",(('Data input'!H$109-'Data input'!H$108)*(AX15-1)/4)+'Data input'!H$108,"")</f>
        <v>2.0846093333829137</v>
      </c>
      <c r="BI15" s="18">
        <f>IF(I15&lt;&gt;"",(('Data input'!I$109-'Data input'!I$108)*(AY15-1)/4)+'Data input'!I$108,"")</f>
        <v>1.1330506885395145E-3</v>
      </c>
      <c r="BJ15" s="19" t="str">
        <f>IF(J15&lt;&gt;"",(('Data input'!J$109-'Data input'!J$108)*(AZ15-1)/4)+'Data input'!J$108,"")</f>
        <v/>
      </c>
      <c r="BK15" s="19" t="str">
        <f>IF(K15&lt;&gt;"",(('Data input'!K$109-'Data input'!K$108)*(BA15-1)/4)+'Data input'!K$108,"")</f>
        <v/>
      </c>
      <c r="BL15" s="19" t="str">
        <f>IF(L15&lt;&gt;"",(('Data input'!L$109-'Data input'!L$108)*(BB15-1)/4)+'Data input'!L$108,"")</f>
        <v/>
      </c>
      <c r="BM15" s="18">
        <f>IF(C15&lt;&gt;"",BC15-'Data input'!C15,"")</f>
        <v>0</v>
      </c>
      <c r="BN15" s="18" t="str">
        <f>IF(D15&lt;&gt;"",BD15-'Data input'!D15,"")</f>
        <v/>
      </c>
      <c r="BO15" s="18" t="str">
        <f>IF(E15&lt;&gt;"",BE15-'Data input'!E15,"")</f>
        <v/>
      </c>
      <c r="BP15" s="18" t="str">
        <f>IF(F15&lt;&gt;"",BF15-'Data input'!F15,"")</f>
        <v/>
      </c>
      <c r="BQ15" s="18" t="str">
        <f>IF(G15&lt;&gt;"",BG15-'Data input'!G15,"")</f>
        <v/>
      </c>
      <c r="BR15" s="19">
        <f>IF(H15&lt;&gt;"",BH15-'Data input'!H15,"")</f>
        <v>-8.836791507194917</v>
      </c>
      <c r="BS15" s="18">
        <f>IF(I15&lt;&gt;"",BI15-'Data input'!I15,"")</f>
        <v>-4.2345210181025703E-2</v>
      </c>
      <c r="BT15" s="18" t="str">
        <f>IF(J15&lt;&gt;"",BJ15-'Data input'!J15,"")</f>
        <v/>
      </c>
      <c r="BU15" s="18" t="str">
        <f>IF(K15&lt;&gt;"",BK15-'Data input'!K15,"")</f>
        <v/>
      </c>
      <c r="BV15" s="72" t="str">
        <f>IF(L15&lt;&gt;"",BL15-'Data input'!L15,"")</f>
        <v/>
      </c>
      <c r="BW15" s="121" t="str">
        <f t="shared" si="17"/>
        <v xml:space="preserve">Kansas; New York; Texas; 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0.54209224982632853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6.8434474054153024E-2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0.3894732761195186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FT15" s="1" t="str">
        <f t="shared" si="18"/>
        <v/>
      </c>
      <c r="FU15" s="1" t="str">
        <f t="shared" si="6"/>
        <v/>
      </c>
      <c r="FV15" s="1" t="str">
        <f t="shared" si="6"/>
        <v/>
      </c>
      <c r="FW15" s="1" t="str">
        <f t="shared" si="6"/>
        <v/>
      </c>
      <c r="FX15" s="1" t="str">
        <f t="shared" si="6"/>
        <v/>
      </c>
      <c r="FY15" s="1" t="str">
        <f t="shared" si="6"/>
        <v/>
      </c>
      <c r="FZ15" s="1" t="str">
        <f t="shared" si="6"/>
        <v/>
      </c>
      <c r="GA15" s="1" t="str">
        <f t="shared" si="6"/>
        <v/>
      </c>
      <c r="GB15" s="1" t="str">
        <f t="shared" si="6"/>
        <v/>
      </c>
      <c r="GC15" s="1" t="str">
        <f t="shared" si="6"/>
        <v/>
      </c>
      <c r="GD15" s="1" t="str">
        <f t="shared" si="6"/>
        <v/>
      </c>
      <c r="GE15" s="1" t="str">
        <f t="shared" si="6"/>
        <v/>
      </c>
      <c r="GF15" s="1" t="str">
        <f t="shared" si="6"/>
        <v/>
      </c>
      <c r="GG15" s="1" t="str">
        <f t="shared" si="6"/>
        <v/>
      </c>
      <c r="GH15" s="1" t="str">
        <f t="shared" si="6"/>
        <v/>
      </c>
      <c r="GI15" s="1" t="str">
        <f t="shared" si="6"/>
        <v/>
      </c>
      <c r="GJ15" s="1" t="str">
        <f t="shared" si="6"/>
        <v xml:space="preserve">Kansas; </v>
      </c>
      <c r="GK15" s="1" t="str">
        <f t="shared" si="7"/>
        <v/>
      </c>
      <c r="GL15" s="1" t="str">
        <f t="shared" si="7"/>
        <v/>
      </c>
      <c r="GM15" s="1" t="str">
        <f t="shared" si="7"/>
        <v/>
      </c>
      <c r="GN15" s="1" t="str">
        <f t="shared" si="7"/>
        <v/>
      </c>
      <c r="GO15" s="1" t="str">
        <f t="shared" si="7"/>
        <v/>
      </c>
      <c r="GP15" s="1" t="str">
        <f t="shared" si="7"/>
        <v/>
      </c>
      <c r="GQ15" s="1" t="str">
        <f t="shared" si="7"/>
        <v/>
      </c>
      <c r="GR15" s="1" t="str">
        <f t="shared" si="7"/>
        <v/>
      </c>
      <c r="GS15" s="1" t="str">
        <f t="shared" si="7"/>
        <v/>
      </c>
      <c r="GT15" s="1" t="str">
        <f t="shared" si="7"/>
        <v/>
      </c>
      <c r="GU15" s="1" t="str">
        <f t="shared" si="7"/>
        <v/>
      </c>
      <c r="GV15" s="1" t="str">
        <f t="shared" si="7"/>
        <v/>
      </c>
      <c r="GW15" s="1" t="str">
        <f t="shared" si="7"/>
        <v/>
      </c>
      <c r="GX15" s="1" t="str">
        <f t="shared" si="7"/>
        <v/>
      </c>
      <c r="GY15" s="1" t="str">
        <f t="shared" si="7"/>
        <v/>
      </c>
      <c r="GZ15" s="1" t="str">
        <f t="shared" si="7"/>
        <v xml:space="preserve">New York; </v>
      </c>
      <c r="HA15" s="1" t="str">
        <f t="shared" si="8"/>
        <v/>
      </c>
      <c r="HB15" s="1" t="str">
        <f t="shared" si="8"/>
        <v/>
      </c>
      <c r="HC15" s="1" t="str">
        <f t="shared" si="8"/>
        <v/>
      </c>
      <c r="HD15" s="1" t="str">
        <f t="shared" si="8"/>
        <v/>
      </c>
      <c r="HE15" s="1" t="str">
        <f t="shared" si="8"/>
        <v/>
      </c>
      <c r="HF15" s="1" t="str">
        <f t="shared" si="8"/>
        <v/>
      </c>
      <c r="HG15" s="1" t="str">
        <f t="shared" si="8"/>
        <v/>
      </c>
      <c r="HH15" s="1" t="str">
        <f t="shared" si="8"/>
        <v/>
      </c>
      <c r="HI15" s="1" t="str">
        <f t="shared" si="8"/>
        <v/>
      </c>
      <c r="HJ15" s="1" t="str">
        <f t="shared" si="8"/>
        <v xml:space="preserve">Texas; </v>
      </c>
      <c r="HK15" s="1" t="str">
        <f t="shared" si="8"/>
        <v/>
      </c>
      <c r="HL15" s="1" t="str">
        <f t="shared" si="8"/>
        <v/>
      </c>
      <c r="HM15" s="1" t="str">
        <f t="shared" si="8"/>
        <v/>
      </c>
      <c r="HN15" s="1" t="str">
        <f t="shared" si="8"/>
        <v/>
      </c>
      <c r="HO15" s="1" t="str">
        <f t="shared" si="8"/>
        <v/>
      </c>
      <c r="HP15" s="1" t="str">
        <f t="shared" si="8"/>
        <v/>
      </c>
      <c r="HQ15" s="1" t="str">
        <f t="shared" si="9"/>
        <v/>
      </c>
      <c r="HR15" s="1" t="str">
        <f t="shared" si="9"/>
        <v/>
      </c>
      <c r="HS15" s="1" t="str">
        <f t="shared" si="9"/>
        <v/>
      </c>
      <c r="HT15" s="1" t="str">
        <f t="shared" si="9"/>
        <v/>
      </c>
      <c r="HU15" s="1" t="str">
        <f t="shared" si="9"/>
        <v/>
      </c>
      <c r="HV15" s="1" t="str">
        <f t="shared" si="9"/>
        <v/>
      </c>
      <c r="HW15" s="1" t="str">
        <f t="shared" si="9"/>
        <v/>
      </c>
      <c r="HX15" s="1" t="str">
        <f t="shared" si="9"/>
        <v/>
      </c>
      <c r="HY15" s="1" t="str">
        <f t="shared" si="9"/>
        <v/>
      </c>
      <c r="HZ15" s="1" t="str">
        <f t="shared" si="9"/>
        <v/>
      </c>
      <c r="IA15" s="1" t="str">
        <f t="shared" si="9"/>
        <v/>
      </c>
      <c r="IB15" s="1" t="str">
        <f t="shared" si="9"/>
        <v/>
      </c>
      <c r="IC15" s="1" t="str">
        <f t="shared" si="9"/>
        <v/>
      </c>
      <c r="ID15" s="1" t="str">
        <f t="shared" si="9"/>
        <v/>
      </c>
      <c r="IE15" s="1" t="str">
        <f t="shared" si="9"/>
        <v/>
      </c>
      <c r="IF15" s="1" t="str">
        <f t="shared" si="9"/>
        <v/>
      </c>
      <c r="IG15" s="1" t="str">
        <f t="shared" si="10"/>
        <v/>
      </c>
      <c r="IH15" s="1" t="str">
        <f t="shared" si="10"/>
        <v/>
      </c>
      <c r="II15" s="1" t="str">
        <f t="shared" si="10"/>
        <v/>
      </c>
      <c r="IJ15" s="1" t="str">
        <f t="shared" si="10"/>
        <v/>
      </c>
      <c r="IK15" s="1" t="str">
        <f t="shared" si="10"/>
        <v/>
      </c>
      <c r="IL15" s="1" t="str">
        <f t="shared" si="10"/>
        <v/>
      </c>
      <c r="IM15" s="1" t="str">
        <f t="shared" si="10"/>
        <v/>
      </c>
      <c r="IN15" s="1" t="str">
        <f t="shared" si="10"/>
        <v/>
      </c>
      <c r="IO15" s="1" t="str">
        <f t="shared" si="10"/>
        <v/>
      </c>
      <c r="IP15" s="1" t="str">
        <f t="shared" si="10"/>
        <v/>
      </c>
      <c r="IQ15" s="1" t="str">
        <f t="shared" si="10"/>
        <v/>
      </c>
      <c r="IR15" s="1" t="str">
        <f t="shared" si="10"/>
        <v/>
      </c>
      <c r="IS15" s="1" t="str">
        <f t="shared" si="10"/>
        <v/>
      </c>
      <c r="IT15" s="1" t="str">
        <f t="shared" si="10"/>
        <v/>
      </c>
      <c r="IU15" s="1" t="str">
        <f t="shared" si="10"/>
        <v/>
      </c>
      <c r="IV15" s="1" t="str">
        <f t="shared" si="10"/>
        <v/>
      </c>
      <c r="IW15" s="1" t="str">
        <f t="shared" si="11"/>
        <v/>
      </c>
      <c r="IX15" s="1" t="str">
        <f t="shared" si="11"/>
        <v/>
      </c>
      <c r="IY15" s="1" t="str">
        <f t="shared" si="11"/>
        <v/>
      </c>
      <c r="IZ15" s="1" t="str">
        <f t="shared" si="11"/>
        <v/>
      </c>
      <c r="JA15" s="1" t="str">
        <f t="shared" si="11"/>
        <v/>
      </c>
      <c r="JB15" s="1" t="str">
        <f t="shared" si="11"/>
        <v/>
      </c>
      <c r="JC15" s="1" t="str">
        <f t="shared" si="11"/>
        <v/>
      </c>
      <c r="JD15" s="1" t="str">
        <f t="shared" si="11"/>
        <v/>
      </c>
      <c r="JE15" s="1" t="str">
        <f t="shared" si="11"/>
        <v/>
      </c>
      <c r="JF15" s="1" t="str">
        <f t="shared" si="11"/>
        <v/>
      </c>
      <c r="JG15" s="1" t="str">
        <f t="shared" si="11"/>
        <v/>
      </c>
      <c r="JH15" s="1" t="str">
        <f t="shared" si="11"/>
        <v/>
      </c>
      <c r="JI15" s="1" t="str">
        <f t="shared" si="11"/>
        <v/>
      </c>
      <c r="JJ15" s="1" t="str">
        <f t="shared" si="11"/>
        <v/>
      </c>
      <c r="JK15" s="1" t="str">
        <f t="shared" si="11"/>
        <v/>
      </c>
      <c r="JL15" s="1" t="str">
        <f t="shared" si="11"/>
        <v/>
      </c>
      <c r="JM15" s="1" t="str">
        <f t="shared" si="12"/>
        <v/>
      </c>
      <c r="JN15" s="1" t="str">
        <f t="shared" si="12"/>
        <v/>
      </c>
      <c r="JO15" s="1" t="str">
        <f t="shared" si="12"/>
        <v/>
      </c>
    </row>
    <row r="16" spans="1:275" ht="14.5" x14ac:dyDescent="0.35">
      <c r="A16" s="59">
        <f>IF('Data input'!A16&lt;&gt;"",'Data input'!A16,"")</f>
        <v>14</v>
      </c>
      <c r="B16" s="60" t="str">
        <f>IF('Data input'!B16&lt;&gt;"",'Data input'!B16,"")</f>
        <v>Illinois</v>
      </c>
      <c r="C16" s="19">
        <f>IF('Data input'!C16="","",4*('Data input'!C16-'Data input'!C$108)/('Data input'!C$109-'Data input'!C$108)+1)</f>
        <v>1</v>
      </c>
      <c r="D16" s="19" t="str">
        <f>IF('Data input'!D16="","",4*('Data input'!D16-'Data input'!D$108)/('Data input'!D$109-'Data input'!D$108)+1)</f>
        <v/>
      </c>
      <c r="E16" s="19" t="str">
        <f>IF('Data input'!E16="","",4*('Data input'!E16-'Data input'!E$108)/('Data input'!E$109-'Data input'!E$108)+1)</f>
        <v/>
      </c>
      <c r="F16" s="19" t="str">
        <f>IF('Data input'!F16="","",4*('Data input'!F16-'Data input'!F$108)/('Data input'!F$109-'Data input'!F$108)+1)</f>
        <v/>
      </c>
      <c r="G16" s="19" t="str">
        <f>IF('Data input'!G16="","",4*('Data input'!G16-'Data input'!G$108)/('Data input'!G$109-'Data input'!G$108)+1)</f>
        <v/>
      </c>
      <c r="H16" s="61">
        <f>IF('Data input'!H16="","",4*('Data input'!H16-'Data input'!H$108)/('Data input'!H$109-'Data input'!H$108)+1)</f>
        <v>1.3408510130276674</v>
      </c>
      <c r="I16" s="19">
        <f>IF('Data input'!I16="","",4*('Data input'!I16-'Data input'!I$108)/('Data input'!I$109-'Data input'!I$108)+1)</f>
        <v>2.6136626522419539</v>
      </c>
      <c r="J16" s="19" t="str">
        <f>IF('Data input'!J16="","",4*('Data input'!J16-'Data input'!J$108)/('Data input'!J$109-'Data input'!J$108)+1)</f>
        <v/>
      </c>
      <c r="K16" s="19" t="str">
        <f>IF('Data input'!K16="","",4*('Data input'!K16-'Data input'!K$108)/('Data input'!K$109-'Data input'!K$108)+1)</f>
        <v/>
      </c>
      <c r="L16" s="19" t="str">
        <f>IF('Data input'!L16="","",4*('Data input'!L16-'Data input'!L$108)/('Data input'!L$109-'Data input'!L$108)+1)</f>
        <v/>
      </c>
      <c r="M16" s="19">
        <f>IF('Data input'!M16="","",4*('Data input'!M16-'Data input'!M$108)/('Data input'!M$109-'Data input'!M$108)+1)</f>
        <v>1.764535744148704</v>
      </c>
      <c r="N16" s="16" t="str">
        <f>IF('Data input'!N16="","",4*('Data input'!N16-'Data input'!N$108)/('Data input'!N$109-'Data input'!N$108)+1)</f>
        <v/>
      </c>
      <c r="O16" s="19" t="str">
        <f>IF('Data input'!O16="","",4*('Data input'!O16-'Data input'!O$108)/('Data input'!O$109-'Data input'!O$108)+1)</f>
        <v/>
      </c>
      <c r="P16" s="19" t="str">
        <f>IF('Data input'!P16="","",4*('Data input'!P16-'Data input'!P$108)/('Data input'!P$109-'Data input'!P$108)+1)</f>
        <v/>
      </c>
      <c r="Q16" s="19" t="str">
        <f>IF('Data input'!Q16="","",4*('Data input'!Q16-'Data input'!Q$108)/('Data input'!Q$109-'Data input'!Q$108)+1)</f>
        <v/>
      </c>
      <c r="R16" s="19" t="str">
        <f>IF('Data input'!R16="","",4*('Data input'!R16-'Data input'!R$108)/('Data input'!R$109-'Data input'!R$108)+1)</f>
        <v/>
      </c>
      <c r="S16" s="16" t="str">
        <f>IF('Data input'!S16="","",4*('Data input'!S16-'Data input'!S$108)/('Data input'!S$109-'Data input'!S$108)+1)</f>
        <v/>
      </c>
      <c r="T16" s="19" t="str">
        <f>IF('Data input'!T16="","",4*('Data input'!T16-'Data input'!T$108)/('Data input'!T$109-'Data input'!T$108)+1)</f>
        <v/>
      </c>
      <c r="U16" s="19" t="str">
        <f>IF('Data input'!U16="","",4*('Data input'!U16-'Data input'!U$108)/('Data input'!U$109-'Data input'!U$108)+1)</f>
        <v/>
      </c>
      <c r="V16" s="19" t="str">
        <f>IF('Data input'!V16="","",4*('Data input'!V16-'Data input'!V$108)/('Data input'!V$109-'Data input'!V$108)+1)</f>
        <v/>
      </c>
      <c r="W16" s="16" t="str">
        <f>IF('Data input'!W16="","",4*('Data input'!W16-'Data input'!W$108)/('Data input'!W$109-'Data input'!W$108)+1)</f>
        <v/>
      </c>
      <c r="X16" s="16" t="str">
        <f>IF('Data input'!X16="","",4*('Data input'!X16-'Data input'!X$108)/('Data input'!X$109-'Data input'!X$108)+1)</f>
        <v/>
      </c>
      <c r="Y16" s="16" t="str">
        <f>IF('Data input'!Y16="","",4*('Data input'!Y16-'Data input'!Y$108)/('Data input'!Y$109-'Data input'!Y$108)+1)</f>
        <v/>
      </c>
      <c r="Z16" s="16" t="str">
        <f>IF('Data input'!Z16="","",4*('Data input'!Z16-'Data input'!Z$108)/('Data input'!Z$109-'Data input'!Z$108)+1)</f>
        <v/>
      </c>
      <c r="AA16" s="62" t="str">
        <f>IF('Data input'!AA16="","",4*('Data input'!AA16-'Data input'!AA$108)/('Data input'!AA$109-'Data input'!AA$108)+1)</f>
        <v/>
      </c>
      <c r="AB16" s="78"/>
      <c r="AC16" s="79">
        <v>0</v>
      </c>
      <c r="AD16" s="80" t="e">
        <f t="shared" si="13"/>
        <v>#DIV/0!</v>
      </c>
      <c r="AE16" s="4"/>
      <c r="AF16" s="59">
        <f t="shared" si="14"/>
        <v>14</v>
      </c>
      <c r="AG16" s="60" t="str">
        <f t="shared" si="14"/>
        <v>Illinois</v>
      </c>
      <c r="AH16">
        <v>4.2499908379370888E-16</v>
      </c>
      <c r="AI16" t="s">
        <v>69</v>
      </c>
      <c r="AJ16" t="s">
        <v>69</v>
      </c>
      <c r="AK16" t="s">
        <v>69</v>
      </c>
      <c r="AL16" t="s">
        <v>69</v>
      </c>
      <c r="AM16">
        <v>5.9419329346131065E-15</v>
      </c>
      <c r="AN16">
        <v>1.6519411767144939E-15</v>
      </c>
      <c r="AO16" t="s">
        <v>69</v>
      </c>
      <c r="AP16" t="s">
        <v>69</v>
      </c>
      <c r="AQ16" t="s">
        <v>69</v>
      </c>
      <c r="AR16">
        <v>0.99999999999999634</v>
      </c>
      <c r="AS16" s="71">
        <f t="shared" si="15"/>
        <v>1.0000000000000004</v>
      </c>
      <c r="AT16" s="71" t="str">
        <f t="shared" si="4"/>
        <v/>
      </c>
      <c r="AU16" s="71" t="str">
        <f t="shared" si="4"/>
        <v/>
      </c>
      <c r="AV16" s="71" t="str">
        <f t="shared" si="4"/>
        <v/>
      </c>
      <c r="AW16" s="71" t="str">
        <f t="shared" si="4"/>
        <v/>
      </c>
      <c r="AX16" s="71">
        <f t="shared" si="16"/>
        <v>1.3408510130276614</v>
      </c>
      <c r="AY16" s="71">
        <f t="shared" si="5"/>
        <v>2.6136626522419522</v>
      </c>
      <c r="AZ16" s="71" t="str">
        <f t="shared" si="5"/>
        <v/>
      </c>
      <c r="BA16" s="71" t="str">
        <f t="shared" si="5"/>
        <v/>
      </c>
      <c r="BB16" s="71" t="str">
        <f t="shared" si="5"/>
        <v/>
      </c>
      <c r="BC16" s="18">
        <f>IF(C16&lt;&gt;"",(('Data input'!C$109-'Data input'!C$108)*(AS16-1)/4)+'Data input'!C$108,"")</f>
        <v>0.8510640052309969</v>
      </c>
      <c r="BD16" s="18" t="str">
        <f>IF(D16&lt;&gt;"",(('Data input'!D$109-'Data input'!D$108)*(AT16-1)/4)+'Data input'!D$108,"")</f>
        <v/>
      </c>
      <c r="BE16" s="18" t="str">
        <f>IF(E16&lt;&gt;"",(('Data input'!E$109-'Data input'!E$108)*(AU16-1)/4)+'Data input'!E$108,"")</f>
        <v/>
      </c>
      <c r="BF16" s="18" t="str">
        <f>IF(F16&lt;&gt;"",(('Data input'!F$109-'Data input'!F$108)*(AV16-1)/4)+'Data input'!F$108,"")</f>
        <v/>
      </c>
      <c r="BG16" s="18" t="str">
        <f>IF(G16&lt;&gt;"",(('Data input'!G$109-'Data input'!G$108)*(AW16-1)/4)+'Data input'!G$108,"")</f>
        <v/>
      </c>
      <c r="BH16" s="19">
        <f>IF(H16&lt;&gt;"",(('Data input'!H$109-'Data input'!H$108)*(AX16-1)/4)+'Data input'!H$108,"")</f>
        <v>7.7187383822197138</v>
      </c>
      <c r="BI16" s="18">
        <f>IF(I16&lt;&gt;"",(('Data input'!I$109-'Data input'!I$108)*(AY16-1)/4)+'Data input'!I$108,"")</f>
        <v>7.0853462157809896E-2</v>
      </c>
      <c r="BJ16" s="19" t="str">
        <f>IF(J16&lt;&gt;"",(('Data input'!J$109-'Data input'!J$108)*(AZ16-1)/4)+'Data input'!J$108,"")</f>
        <v/>
      </c>
      <c r="BK16" s="19" t="str">
        <f>IF(K16&lt;&gt;"",(('Data input'!K$109-'Data input'!K$108)*(BA16-1)/4)+'Data input'!K$108,"")</f>
        <v/>
      </c>
      <c r="BL16" s="19" t="str">
        <f>IF(L16&lt;&gt;"",(('Data input'!L$109-'Data input'!L$108)*(BB16-1)/4)+'Data input'!L$108,"")</f>
        <v/>
      </c>
      <c r="BM16" s="18">
        <f>IF(C16&lt;&gt;"",BC16-'Data input'!C16,"")</f>
        <v>0</v>
      </c>
      <c r="BN16" s="18" t="str">
        <f>IF(D16&lt;&gt;"",BD16-'Data input'!D16,"")</f>
        <v/>
      </c>
      <c r="BO16" s="18" t="str">
        <f>IF(E16&lt;&gt;"",BE16-'Data input'!E16,"")</f>
        <v/>
      </c>
      <c r="BP16" s="18" t="str">
        <f>IF(F16&lt;&gt;"",BF16-'Data input'!F16,"")</f>
        <v/>
      </c>
      <c r="BQ16" s="18" t="str">
        <f>IF(G16&lt;&gt;"",BG16-'Data input'!G16,"")</f>
        <v/>
      </c>
      <c r="BR16" s="19">
        <f>IF(H16&lt;&gt;"",BH16-'Data input'!H16,"")</f>
        <v>-1.3233858453531866E-13</v>
      </c>
      <c r="BS16" s="18">
        <f>IF(I16&lt;&gt;"",BI16-'Data input'!I16,"")</f>
        <v>-8.3266726846886741E-17</v>
      </c>
      <c r="BT16" s="18" t="str">
        <f>IF(J16&lt;&gt;"",BJ16-'Data input'!J16,"")</f>
        <v/>
      </c>
      <c r="BU16" s="18" t="str">
        <f>IF(K16&lt;&gt;"",BK16-'Data input'!K16,"")</f>
        <v/>
      </c>
      <c r="BV16" s="72" t="str">
        <f>IF(L16&lt;&gt;"",BL16-'Data input'!L16,"")</f>
        <v/>
      </c>
      <c r="BW16" s="121" t="str">
        <f t="shared" si="17"/>
        <v xml:space="preserve">Illinois; 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0.99999999999999956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5.5564849438404985E-16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FT16" s="1" t="str">
        <f t="shared" si="18"/>
        <v/>
      </c>
      <c r="FU16" s="1" t="str">
        <f t="shared" si="6"/>
        <v/>
      </c>
      <c r="FV16" s="1" t="str">
        <f t="shared" si="6"/>
        <v/>
      </c>
      <c r="FW16" s="1" t="str">
        <f t="shared" si="6"/>
        <v/>
      </c>
      <c r="FX16" s="1" t="str">
        <f t="shared" si="6"/>
        <v/>
      </c>
      <c r="FY16" s="1" t="str">
        <f t="shared" si="6"/>
        <v/>
      </c>
      <c r="FZ16" s="1" t="str">
        <f t="shared" si="6"/>
        <v/>
      </c>
      <c r="GA16" s="1" t="str">
        <f t="shared" si="6"/>
        <v/>
      </c>
      <c r="GB16" s="1" t="str">
        <f t="shared" si="6"/>
        <v/>
      </c>
      <c r="GC16" s="1" t="str">
        <f t="shared" si="6"/>
        <v/>
      </c>
      <c r="GD16" s="1" t="str">
        <f t="shared" si="6"/>
        <v/>
      </c>
      <c r="GE16" s="1" t="str">
        <f t="shared" si="6"/>
        <v/>
      </c>
      <c r="GF16" s="1" t="str">
        <f t="shared" si="6"/>
        <v/>
      </c>
      <c r="GG16" s="1" t="str">
        <f t="shared" si="6"/>
        <v xml:space="preserve">Illinois; </v>
      </c>
      <c r="GH16" s="1" t="str">
        <f t="shared" si="6"/>
        <v/>
      </c>
      <c r="GI16" s="1" t="str">
        <f t="shared" si="6"/>
        <v/>
      </c>
      <c r="GJ16" s="1" t="str">
        <f t="shared" si="6"/>
        <v/>
      </c>
      <c r="GK16" s="1" t="str">
        <f t="shared" si="7"/>
        <v/>
      </c>
      <c r="GL16" s="1" t="str">
        <f t="shared" si="7"/>
        <v/>
      </c>
      <c r="GM16" s="1" t="str">
        <f t="shared" si="7"/>
        <v/>
      </c>
      <c r="GN16" s="1" t="str">
        <f t="shared" si="7"/>
        <v/>
      </c>
      <c r="GO16" s="1" t="str">
        <f t="shared" si="7"/>
        <v/>
      </c>
      <c r="GP16" s="1" t="str">
        <f t="shared" si="7"/>
        <v/>
      </c>
      <c r="GQ16" s="1" t="str">
        <f t="shared" si="7"/>
        <v/>
      </c>
      <c r="GR16" s="1" t="str">
        <f t="shared" si="7"/>
        <v/>
      </c>
      <c r="GS16" s="1" t="str">
        <f t="shared" si="7"/>
        <v/>
      </c>
      <c r="GT16" s="1" t="str">
        <f t="shared" si="7"/>
        <v/>
      </c>
      <c r="GU16" s="1" t="str">
        <f t="shared" si="7"/>
        <v/>
      </c>
      <c r="GV16" s="1" t="str">
        <f t="shared" si="7"/>
        <v/>
      </c>
      <c r="GW16" s="1" t="str">
        <f t="shared" si="7"/>
        <v/>
      </c>
      <c r="GX16" s="1" t="str">
        <f t="shared" si="7"/>
        <v/>
      </c>
      <c r="GY16" s="1" t="str">
        <f t="shared" si="7"/>
        <v/>
      </c>
      <c r="GZ16" s="1" t="str">
        <f t="shared" si="7"/>
        <v/>
      </c>
      <c r="HA16" s="1" t="str">
        <f t="shared" si="8"/>
        <v/>
      </c>
      <c r="HB16" s="1" t="str">
        <f t="shared" si="8"/>
        <v/>
      </c>
      <c r="HC16" s="1" t="str">
        <f t="shared" si="8"/>
        <v/>
      </c>
      <c r="HD16" s="1" t="str">
        <f t="shared" si="8"/>
        <v/>
      </c>
      <c r="HE16" s="1" t="str">
        <f t="shared" si="8"/>
        <v/>
      </c>
      <c r="HF16" s="1" t="str">
        <f t="shared" si="8"/>
        <v/>
      </c>
      <c r="HG16" s="1" t="str">
        <f t="shared" si="8"/>
        <v/>
      </c>
      <c r="HH16" s="1" t="str">
        <f t="shared" si="8"/>
        <v/>
      </c>
      <c r="HI16" s="1" t="str">
        <f t="shared" si="8"/>
        <v/>
      </c>
      <c r="HJ16" s="1" t="str">
        <f t="shared" si="8"/>
        <v/>
      </c>
      <c r="HK16" s="1" t="str">
        <f t="shared" si="8"/>
        <v/>
      </c>
      <c r="HL16" s="1" t="str">
        <f t="shared" si="8"/>
        <v/>
      </c>
      <c r="HM16" s="1" t="str">
        <f t="shared" si="8"/>
        <v/>
      </c>
      <c r="HN16" s="1" t="str">
        <f t="shared" si="8"/>
        <v/>
      </c>
      <c r="HO16" s="1" t="str">
        <f t="shared" si="8"/>
        <v/>
      </c>
      <c r="HP16" s="1" t="str">
        <f t="shared" si="8"/>
        <v/>
      </c>
      <c r="HQ16" s="1" t="str">
        <f t="shared" si="9"/>
        <v/>
      </c>
      <c r="HR16" s="1" t="str">
        <f t="shared" si="9"/>
        <v/>
      </c>
      <c r="HS16" s="1" t="str">
        <f t="shared" si="9"/>
        <v/>
      </c>
      <c r="HT16" s="1" t="str">
        <f t="shared" si="9"/>
        <v/>
      </c>
      <c r="HU16" s="1" t="str">
        <f t="shared" si="9"/>
        <v/>
      </c>
      <c r="HV16" s="1" t="str">
        <f t="shared" si="9"/>
        <v/>
      </c>
      <c r="HW16" s="1" t="str">
        <f t="shared" si="9"/>
        <v/>
      </c>
      <c r="HX16" s="1" t="str">
        <f t="shared" si="9"/>
        <v/>
      </c>
      <c r="HY16" s="1" t="str">
        <f t="shared" si="9"/>
        <v/>
      </c>
      <c r="HZ16" s="1" t="str">
        <f t="shared" si="9"/>
        <v/>
      </c>
      <c r="IA16" s="1" t="str">
        <f t="shared" si="9"/>
        <v/>
      </c>
      <c r="IB16" s="1" t="str">
        <f t="shared" si="9"/>
        <v/>
      </c>
      <c r="IC16" s="1" t="str">
        <f t="shared" si="9"/>
        <v/>
      </c>
      <c r="ID16" s="1" t="str">
        <f t="shared" si="9"/>
        <v/>
      </c>
      <c r="IE16" s="1" t="str">
        <f t="shared" si="9"/>
        <v/>
      </c>
      <c r="IF16" s="1" t="str">
        <f t="shared" si="9"/>
        <v/>
      </c>
      <c r="IG16" s="1" t="str">
        <f t="shared" si="10"/>
        <v/>
      </c>
      <c r="IH16" s="1" t="str">
        <f t="shared" si="10"/>
        <v/>
      </c>
      <c r="II16" s="1" t="str">
        <f t="shared" si="10"/>
        <v/>
      </c>
      <c r="IJ16" s="1" t="str">
        <f t="shared" si="10"/>
        <v/>
      </c>
      <c r="IK16" s="1" t="str">
        <f t="shared" si="10"/>
        <v/>
      </c>
      <c r="IL16" s="1" t="str">
        <f t="shared" si="10"/>
        <v/>
      </c>
      <c r="IM16" s="1" t="str">
        <f t="shared" si="10"/>
        <v/>
      </c>
      <c r="IN16" s="1" t="str">
        <f t="shared" si="10"/>
        <v/>
      </c>
      <c r="IO16" s="1" t="str">
        <f t="shared" si="10"/>
        <v/>
      </c>
      <c r="IP16" s="1" t="str">
        <f t="shared" si="10"/>
        <v/>
      </c>
      <c r="IQ16" s="1" t="str">
        <f t="shared" si="10"/>
        <v/>
      </c>
      <c r="IR16" s="1" t="str">
        <f t="shared" si="10"/>
        <v/>
      </c>
      <c r="IS16" s="1" t="str">
        <f t="shared" si="10"/>
        <v/>
      </c>
      <c r="IT16" s="1" t="str">
        <f t="shared" si="10"/>
        <v/>
      </c>
      <c r="IU16" s="1" t="str">
        <f t="shared" si="10"/>
        <v/>
      </c>
      <c r="IV16" s="1" t="str">
        <f t="shared" si="10"/>
        <v/>
      </c>
      <c r="IW16" s="1" t="str">
        <f t="shared" si="11"/>
        <v/>
      </c>
      <c r="IX16" s="1" t="str">
        <f t="shared" si="11"/>
        <v/>
      </c>
      <c r="IY16" s="1" t="str">
        <f t="shared" si="11"/>
        <v/>
      </c>
      <c r="IZ16" s="1" t="str">
        <f t="shared" si="11"/>
        <v/>
      </c>
      <c r="JA16" s="1" t="str">
        <f t="shared" si="11"/>
        <v/>
      </c>
      <c r="JB16" s="1" t="str">
        <f t="shared" si="11"/>
        <v/>
      </c>
      <c r="JC16" s="1" t="str">
        <f t="shared" si="11"/>
        <v/>
      </c>
      <c r="JD16" s="1" t="str">
        <f t="shared" si="11"/>
        <v/>
      </c>
      <c r="JE16" s="1" t="str">
        <f t="shared" si="11"/>
        <v/>
      </c>
      <c r="JF16" s="1" t="str">
        <f t="shared" si="11"/>
        <v/>
      </c>
      <c r="JG16" s="1" t="str">
        <f t="shared" si="11"/>
        <v/>
      </c>
      <c r="JH16" s="1" t="str">
        <f t="shared" si="11"/>
        <v/>
      </c>
      <c r="JI16" s="1" t="str">
        <f t="shared" si="11"/>
        <v/>
      </c>
      <c r="JJ16" s="1" t="str">
        <f t="shared" si="11"/>
        <v/>
      </c>
      <c r="JK16" s="1" t="str">
        <f t="shared" si="11"/>
        <v/>
      </c>
      <c r="JL16" s="1" t="str">
        <f t="shared" si="11"/>
        <v/>
      </c>
      <c r="JM16" s="1" t="str">
        <f t="shared" si="12"/>
        <v/>
      </c>
      <c r="JN16" s="1" t="str">
        <f t="shared" si="12"/>
        <v/>
      </c>
      <c r="JO16" s="1" t="str">
        <f t="shared" si="12"/>
        <v/>
      </c>
    </row>
    <row r="17" spans="1:275" ht="14.5" x14ac:dyDescent="0.35">
      <c r="A17" s="59">
        <f>IF('Data input'!A17&lt;&gt;"",'Data input'!A17,"")</f>
        <v>15</v>
      </c>
      <c r="B17" s="60" t="str">
        <f>IF('Data input'!B17&lt;&gt;"",'Data input'!B17,"")</f>
        <v>Indiana</v>
      </c>
      <c r="C17" s="19">
        <f>IF('Data input'!C17="","",4*('Data input'!C17-'Data input'!C$108)/('Data input'!C$109-'Data input'!C$108)+1)</f>
        <v>4.5476923595191288</v>
      </c>
      <c r="D17" s="19" t="str">
        <f>IF('Data input'!D17="","",4*('Data input'!D17-'Data input'!D$108)/('Data input'!D$109-'Data input'!D$108)+1)</f>
        <v/>
      </c>
      <c r="E17" s="19" t="str">
        <f>IF('Data input'!E17="","",4*('Data input'!E17-'Data input'!E$108)/('Data input'!E$109-'Data input'!E$108)+1)</f>
        <v/>
      </c>
      <c r="F17" s="19" t="str">
        <f>IF('Data input'!F17="","",4*('Data input'!F17-'Data input'!F$108)/('Data input'!F$109-'Data input'!F$108)+1)</f>
        <v/>
      </c>
      <c r="G17" s="19" t="str">
        <f>IF('Data input'!G17="","",4*('Data input'!G17-'Data input'!G$108)/('Data input'!G$109-'Data input'!G$108)+1)</f>
        <v/>
      </c>
      <c r="H17" s="61">
        <f>IF('Data input'!H17="","",4*('Data input'!H17-'Data input'!H$108)/('Data input'!H$109-'Data input'!H$108)+1)</f>
        <v>1.1157100160213387</v>
      </c>
      <c r="I17" s="19">
        <f>IF('Data input'!I17="","",4*('Data input'!I17-'Data input'!I$108)/('Data input'!I$109-'Data input'!I$108)+1)</f>
        <v>2.397168115073419</v>
      </c>
      <c r="J17" s="19" t="str">
        <f>IF('Data input'!J17="","",4*('Data input'!J17-'Data input'!J$108)/('Data input'!J$109-'Data input'!J$108)+1)</f>
        <v/>
      </c>
      <c r="K17" s="19" t="str">
        <f>IF('Data input'!K17="","",4*('Data input'!K17-'Data input'!K$108)/('Data input'!K$109-'Data input'!K$108)+1)</f>
        <v/>
      </c>
      <c r="L17" s="19" t="str">
        <f>IF('Data input'!L17="","",4*('Data input'!L17-'Data input'!L$108)/('Data input'!L$109-'Data input'!L$108)+1)</f>
        <v/>
      </c>
      <c r="M17" s="19">
        <f>IF('Data input'!M17="","",4*('Data input'!M17-'Data input'!M$108)/('Data input'!M$109-'Data input'!M$108)+1)</f>
        <v>2.3882777987435344</v>
      </c>
      <c r="N17" s="16" t="str">
        <f>IF('Data input'!N17="","",4*('Data input'!N17-'Data input'!N$108)/('Data input'!N$109-'Data input'!N$108)+1)</f>
        <v/>
      </c>
      <c r="O17" s="19" t="str">
        <f>IF('Data input'!O17="","",4*('Data input'!O17-'Data input'!O$108)/('Data input'!O$109-'Data input'!O$108)+1)</f>
        <v/>
      </c>
      <c r="P17" s="19" t="str">
        <f>IF('Data input'!P17="","",4*('Data input'!P17-'Data input'!P$108)/('Data input'!P$109-'Data input'!P$108)+1)</f>
        <v/>
      </c>
      <c r="Q17" s="19" t="str">
        <f>IF('Data input'!Q17="","",4*('Data input'!Q17-'Data input'!Q$108)/('Data input'!Q$109-'Data input'!Q$108)+1)</f>
        <v/>
      </c>
      <c r="R17" s="19" t="str">
        <f>IF('Data input'!R17="","",4*('Data input'!R17-'Data input'!R$108)/('Data input'!R$109-'Data input'!R$108)+1)</f>
        <v/>
      </c>
      <c r="S17" s="16" t="str">
        <f>IF('Data input'!S17="","",4*('Data input'!S17-'Data input'!S$108)/('Data input'!S$109-'Data input'!S$108)+1)</f>
        <v/>
      </c>
      <c r="T17" s="19" t="str">
        <f>IF('Data input'!T17="","",4*('Data input'!T17-'Data input'!T$108)/('Data input'!T$109-'Data input'!T$108)+1)</f>
        <v/>
      </c>
      <c r="U17" s="19" t="str">
        <f>IF('Data input'!U17="","",4*('Data input'!U17-'Data input'!U$108)/('Data input'!U$109-'Data input'!U$108)+1)</f>
        <v/>
      </c>
      <c r="V17" s="19" t="str">
        <f>IF('Data input'!V17="","",4*('Data input'!V17-'Data input'!V$108)/('Data input'!V$109-'Data input'!V$108)+1)</f>
        <v/>
      </c>
      <c r="W17" s="16" t="str">
        <f>IF('Data input'!W17="","",4*('Data input'!W17-'Data input'!W$108)/('Data input'!W$109-'Data input'!W$108)+1)</f>
        <v/>
      </c>
      <c r="X17" s="16" t="str">
        <f>IF('Data input'!X17="","",4*('Data input'!X17-'Data input'!X$108)/('Data input'!X$109-'Data input'!X$108)+1)</f>
        <v/>
      </c>
      <c r="Y17" s="16" t="str">
        <f>IF('Data input'!Y17="","",4*('Data input'!Y17-'Data input'!Y$108)/('Data input'!Y$109-'Data input'!Y$108)+1)</f>
        <v/>
      </c>
      <c r="Z17" s="16" t="str">
        <f>IF('Data input'!Z17="","",4*('Data input'!Z17-'Data input'!Z$108)/('Data input'!Z$109-'Data input'!Z$108)+1)</f>
        <v/>
      </c>
      <c r="AA17" s="62" t="str">
        <f>IF('Data input'!AA17="","",4*('Data input'!AA17-'Data input'!AA$108)/('Data input'!AA$109-'Data input'!AA$108)+1)</f>
        <v/>
      </c>
      <c r="AB17" s="78"/>
      <c r="AC17" s="79">
        <v>0</v>
      </c>
      <c r="AD17" s="80" t="e">
        <f t="shared" si="13"/>
        <v>#DIV/0!</v>
      </c>
      <c r="AE17" s="4"/>
      <c r="AF17" s="59">
        <f t="shared" si="14"/>
        <v>15</v>
      </c>
      <c r="AG17" s="60" t="str">
        <f t="shared" si="14"/>
        <v>Indiana</v>
      </c>
      <c r="AH17">
        <v>0</v>
      </c>
      <c r="AI17" t="s">
        <v>69</v>
      </c>
      <c r="AJ17" t="s">
        <v>69</v>
      </c>
      <c r="AK17" t="s">
        <v>69</v>
      </c>
      <c r="AL17" t="s">
        <v>69</v>
      </c>
      <c r="AM17">
        <v>9.0749494456500129E-2</v>
      </c>
      <c r="AN17">
        <v>1.3713352633226554</v>
      </c>
      <c r="AO17" t="s">
        <v>69</v>
      </c>
      <c r="AP17" t="s">
        <v>69</v>
      </c>
      <c r="AQ17" t="s">
        <v>69</v>
      </c>
      <c r="AR17">
        <v>0.67329870585149276</v>
      </c>
      <c r="AS17" s="71">
        <f t="shared" si="15"/>
        <v>4.5476923595191288</v>
      </c>
      <c r="AT17" s="71" t="str">
        <f t="shared" si="4"/>
        <v/>
      </c>
      <c r="AU17" s="71" t="str">
        <f t="shared" si="4"/>
        <v/>
      </c>
      <c r="AV17" s="71" t="str">
        <f t="shared" si="4"/>
        <v/>
      </c>
      <c r="AW17" s="71" t="str">
        <f t="shared" si="4"/>
        <v/>
      </c>
      <c r="AX17" s="71">
        <f t="shared" si="16"/>
        <v>1.0249605215648385</v>
      </c>
      <c r="AY17" s="71">
        <f t="shared" si="5"/>
        <v>1.0258328517507636</v>
      </c>
      <c r="AZ17" s="71" t="str">
        <f t="shared" si="5"/>
        <v/>
      </c>
      <c r="BA17" s="71" t="str">
        <f t="shared" si="5"/>
        <v/>
      </c>
      <c r="BB17" s="71" t="str">
        <f t="shared" si="5"/>
        <v/>
      </c>
      <c r="BC17" s="18">
        <f>IF(C17&lt;&gt;"",(('Data input'!C$109-'Data input'!C$108)*(AS17-1)/4)+'Data input'!C$108,"")</f>
        <v>0.97987067107877546</v>
      </c>
      <c r="BD17" s="18" t="str">
        <f>IF(D17&lt;&gt;"",(('Data input'!D$109-'Data input'!D$108)*(AT17-1)/4)+'Data input'!D$108,"")</f>
        <v/>
      </c>
      <c r="BE17" s="18" t="str">
        <f>IF(E17&lt;&gt;"",(('Data input'!E$109-'Data input'!E$108)*(AU17-1)/4)+'Data input'!E$108,"")</f>
        <v/>
      </c>
      <c r="BF17" s="18" t="str">
        <f>IF(F17&lt;&gt;"",(('Data input'!F$109-'Data input'!F$108)*(AV17-1)/4)+'Data input'!F$108,"")</f>
        <v/>
      </c>
      <c r="BG17" s="18" t="str">
        <f>IF(G17&lt;&gt;"",(('Data input'!G$109-'Data input'!G$108)*(AW17-1)/4)+'Data input'!G$108,"")</f>
        <v/>
      </c>
      <c r="BH17" s="19">
        <f>IF(H17&lt;&gt;"",(('Data input'!H$109-'Data input'!H$108)*(AX17-1)/4)+'Data input'!H$108,"")</f>
        <v>0.83932870187228592</v>
      </c>
      <c r="BI17" s="18">
        <f>IF(I17&lt;&gt;"",(('Data input'!I$109-'Data input'!I$108)*(AY17-1)/4)+'Data input'!I$108,"")</f>
        <v>1.1342810601757652E-3</v>
      </c>
      <c r="BJ17" s="19" t="str">
        <f>IF(J17&lt;&gt;"",(('Data input'!J$109-'Data input'!J$108)*(AZ17-1)/4)+'Data input'!J$108,"")</f>
        <v/>
      </c>
      <c r="BK17" s="19" t="str">
        <f>IF(K17&lt;&gt;"",(('Data input'!K$109-'Data input'!K$108)*(BA17-1)/4)+'Data input'!K$108,"")</f>
        <v/>
      </c>
      <c r="BL17" s="19" t="str">
        <f>IF(L17&lt;&gt;"",(('Data input'!L$109-'Data input'!L$108)*(BB17-1)/4)+'Data input'!L$108,"")</f>
        <v/>
      </c>
      <c r="BM17" s="18">
        <f>IF(C17&lt;&gt;"",BC17-'Data input'!C17,"")</f>
        <v>0</v>
      </c>
      <c r="BN17" s="18" t="str">
        <f>IF(D17&lt;&gt;"",BD17-'Data input'!D17,"")</f>
        <v/>
      </c>
      <c r="BO17" s="18" t="str">
        <f>IF(E17&lt;&gt;"",BE17-'Data input'!E17,"")</f>
        <v/>
      </c>
      <c r="BP17" s="18" t="str">
        <f>IF(F17&lt;&gt;"",BF17-'Data input'!F17,"")</f>
        <v/>
      </c>
      <c r="BQ17" s="18" t="str">
        <f>IF(G17&lt;&gt;"",BG17-'Data input'!G17,"")</f>
        <v/>
      </c>
      <c r="BR17" s="19">
        <f>IF(H17&lt;&gt;"",BH17-'Data input'!H17,"")</f>
        <v>-1.9763271371660023</v>
      </c>
      <c r="BS17" s="18">
        <f>IF(I17&lt;&gt;"",BI17-'Data input'!I17,"")</f>
        <v>-6.0213236670320684E-2</v>
      </c>
      <c r="BT17" s="18" t="str">
        <f>IF(J17&lt;&gt;"",BJ17-'Data input'!J17,"")</f>
        <v/>
      </c>
      <c r="BU17" s="18" t="str">
        <f>IF(K17&lt;&gt;"",BK17-'Data input'!K17,"")</f>
        <v/>
      </c>
      <c r="BV17" s="72" t="str">
        <f>IF(L17&lt;&gt;"",BL17-'Data input'!L17,"")</f>
        <v/>
      </c>
      <c r="BW17" s="121" t="str">
        <f t="shared" si="17"/>
        <v xml:space="preserve">New York; Texas; 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9.2828088328366296E-2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0.9071719116716328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FT17" s="1" t="str">
        <f t="shared" si="18"/>
        <v/>
      </c>
      <c r="FU17" s="1" t="str">
        <f t="shared" si="6"/>
        <v/>
      </c>
      <c r="FV17" s="1" t="str">
        <f t="shared" si="6"/>
        <v/>
      </c>
      <c r="FW17" s="1" t="str">
        <f t="shared" si="6"/>
        <v/>
      </c>
      <c r="FX17" s="1" t="str">
        <f t="shared" si="6"/>
        <v/>
      </c>
      <c r="FY17" s="1" t="str">
        <f t="shared" si="6"/>
        <v/>
      </c>
      <c r="FZ17" s="1" t="str">
        <f t="shared" si="6"/>
        <v/>
      </c>
      <c r="GA17" s="1" t="str">
        <f t="shared" si="6"/>
        <v/>
      </c>
      <c r="GB17" s="1" t="str">
        <f t="shared" si="6"/>
        <v/>
      </c>
      <c r="GC17" s="1" t="str">
        <f t="shared" si="6"/>
        <v/>
      </c>
      <c r="GD17" s="1" t="str">
        <f t="shared" si="6"/>
        <v/>
      </c>
      <c r="GE17" s="1" t="str">
        <f t="shared" si="6"/>
        <v/>
      </c>
      <c r="GF17" s="1" t="str">
        <f t="shared" si="6"/>
        <v/>
      </c>
      <c r="GG17" s="1" t="str">
        <f t="shared" si="6"/>
        <v/>
      </c>
      <c r="GH17" s="1" t="str">
        <f t="shared" si="6"/>
        <v/>
      </c>
      <c r="GI17" s="1" t="str">
        <f t="shared" si="6"/>
        <v/>
      </c>
      <c r="GJ17" s="1" t="str">
        <f t="shared" si="6"/>
        <v/>
      </c>
      <c r="GK17" s="1" t="str">
        <f t="shared" si="7"/>
        <v/>
      </c>
      <c r="GL17" s="1" t="str">
        <f t="shared" si="7"/>
        <v/>
      </c>
      <c r="GM17" s="1" t="str">
        <f t="shared" si="7"/>
        <v/>
      </c>
      <c r="GN17" s="1" t="str">
        <f t="shared" si="7"/>
        <v/>
      </c>
      <c r="GO17" s="1" t="str">
        <f t="shared" si="7"/>
        <v/>
      </c>
      <c r="GP17" s="1" t="str">
        <f t="shared" si="7"/>
        <v/>
      </c>
      <c r="GQ17" s="1" t="str">
        <f t="shared" si="7"/>
        <v/>
      </c>
      <c r="GR17" s="1" t="str">
        <f t="shared" si="7"/>
        <v/>
      </c>
      <c r="GS17" s="1" t="str">
        <f t="shared" si="7"/>
        <v/>
      </c>
      <c r="GT17" s="1" t="str">
        <f t="shared" si="7"/>
        <v/>
      </c>
      <c r="GU17" s="1" t="str">
        <f t="shared" si="7"/>
        <v/>
      </c>
      <c r="GV17" s="1" t="str">
        <f t="shared" si="7"/>
        <v/>
      </c>
      <c r="GW17" s="1" t="str">
        <f t="shared" si="7"/>
        <v/>
      </c>
      <c r="GX17" s="1" t="str">
        <f t="shared" si="7"/>
        <v/>
      </c>
      <c r="GY17" s="1" t="str">
        <f t="shared" si="7"/>
        <v/>
      </c>
      <c r="GZ17" s="1" t="str">
        <f t="shared" si="7"/>
        <v xml:space="preserve">New York; </v>
      </c>
      <c r="HA17" s="1" t="str">
        <f t="shared" si="8"/>
        <v/>
      </c>
      <c r="HB17" s="1" t="str">
        <f t="shared" si="8"/>
        <v/>
      </c>
      <c r="HC17" s="1" t="str">
        <f t="shared" si="8"/>
        <v/>
      </c>
      <c r="HD17" s="1" t="str">
        <f t="shared" si="8"/>
        <v/>
      </c>
      <c r="HE17" s="1" t="str">
        <f t="shared" si="8"/>
        <v/>
      </c>
      <c r="HF17" s="1" t="str">
        <f t="shared" si="8"/>
        <v/>
      </c>
      <c r="HG17" s="1" t="str">
        <f t="shared" si="8"/>
        <v/>
      </c>
      <c r="HH17" s="1" t="str">
        <f t="shared" si="8"/>
        <v/>
      </c>
      <c r="HI17" s="1" t="str">
        <f t="shared" si="8"/>
        <v/>
      </c>
      <c r="HJ17" s="1" t="str">
        <f t="shared" si="8"/>
        <v xml:space="preserve">Texas; </v>
      </c>
      <c r="HK17" s="1" t="str">
        <f t="shared" si="8"/>
        <v/>
      </c>
      <c r="HL17" s="1" t="str">
        <f t="shared" si="8"/>
        <v/>
      </c>
      <c r="HM17" s="1" t="str">
        <f t="shared" si="8"/>
        <v/>
      </c>
      <c r="HN17" s="1" t="str">
        <f t="shared" si="8"/>
        <v/>
      </c>
      <c r="HO17" s="1" t="str">
        <f t="shared" si="8"/>
        <v/>
      </c>
      <c r="HP17" s="1" t="str">
        <f t="shared" si="8"/>
        <v/>
      </c>
      <c r="HQ17" s="1" t="str">
        <f t="shared" si="9"/>
        <v/>
      </c>
      <c r="HR17" s="1" t="str">
        <f t="shared" si="9"/>
        <v/>
      </c>
      <c r="HS17" s="1" t="str">
        <f t="shared" si="9"/>
        <v/>
      </c>
      <c r="HT17" s="1" t="str">
        <f t="shared" si="9"/>
        <v/>
      </c>
      <c r="HU17" s="1" t="str">
        <f t="shared" si="9"/>
        <v/>
      </c>
      <c r="HV17" s="1" t="str">
        <f t="shared" si="9"/>
        <v/>
      </c>
      <c r="HW17" s="1" t="str">
        <f t="shared" si="9"/>
        <v/>
      </c>
      <c r="HX17" s="1" t="str">
        <f t="shared" si="9"/>
        <v/>
      </c>
      <c r="HY17" s="1" t="str">
        <f t="shared" si="9"/>
        <v/>
      </c>
      <c r="HZ17" s="1" t="str">
        <f t="shared" si="9"/>
        <v/>
      </c>
      <c r="IA17" s="1" t="str">
        <f t="shared" si="9"/>
        <v/>
      </c>
      <c r="IB17" s="1" t="str">
        <f t="shared" si="9"/>
        <v/>
      </c>
      <c r="IC17" s="1" t="str">
        <f t="shared" si="9"/>
        <v/>
      </c>
      <c r="ID17" s="1" t="str">
        <f t="shared" si="9"/>
        <v/>
      </c>
      <c r="IE17" s="1" t="str">
        <f t="shared" si="9"/>
        <v/>
      </c>
      <c r="IF17" s="1" t="str">
        <f t="shared" si="9"/>
        <v/>
      </c>
      <c r="IG17" s="1" t="str">
        <f t="shared" si="10"/>
        <v/>
      </c>
      <c r="IH17" s="1" t="str">
        <f t="shared" si="10"/>
        <v/>
      </c>
      <c r="II17" s="1" t="str">
        <f t="shared" si="10"/>
        <v/>
      </c>
      <c r="IJ17" s="1" t="str">
        <f t="shared" si="10"/>
        <v/>
      </c>
      <c r="IK17" s="1" t="str">
        <f t="shared" si="10"/>
        <v/>
      </c>
      <c r="IL17" s="1" t="str">
        <f t="shared" si="10"/>
        <v/>
      </c>
      <c r="IM17" s="1" t="str">
        <f t="shared" si="10"/>
        <v/>
      </c>
      <c r="IN17" s="1" t="str">
        <f t="shared" si="10"/>
        <v/>
      </c>
      <c r="IO17" s="1" t="str">
        <f t="shared" si="10"/>
        <v/>
      </c>
      <c r="IP17" s="1" t="str">
        <f t="shared" si="10"/>
        <v/>
      </c>
      <c r="IQ17" s="1" t="str">
        <f t="shared" si="10"/>
        <v/>
      </c>
      <c r="IR17" s="1" t="str">
        <f t="shared" si="10"/>
        <v/>
      </c>
      <c r="IS17" s="1" t="str">
        <f t="shared" si="10"/>
        <v/>
      </c>
      <c r="IT17" s="1" t="str">
        <f t="shared" si="10"/>
        <v/>
      </c>
      <c r="IU17" s="1" t="str">
        <f t="shared" si="10"/>
        <v/>
      </c>
      <c r="IV17" s="1" t="str">
        <f t="shared" si="10"/>
        <v/>
      </c>
      <c r="IW17" s="1" t="str">
        <f t="shared" si="11"/>
        <v/>
      </c>
      <c r="IX17" s="1" t="str">
        <f t="shared" si="11"/>
        <v/>
      </c>
      <c r="IY17" s="1" t="str">
        <f t="shared" si="11"/>
        <v/>
      </c>
      <c r="IZ17" s="1" t="str">
        <f t="shared" si="11"/>
        <v/>
      </c>
      <c r="JA17" s="1" t="str">
        <f t="shared" si="11"/>
        <v/>
      </c>
      <c r="JB17" s="1" t="str">
        <f t="shared" si="11"/>
        <v/>
      </c>
      <c r="JC17" s="1" t="str">
        <f t="shared" si="11"/>
        <v/>
      </c>
      <c r="JD17" s="1" t="str">
        <f t="shared" si="11"/>
        <v/>
      </c>
      <c r="JE17" s="1" t="str">
        <f t="shared" si="11"/>
        <v/>
      </c>
      <c r="JF17" s="1" t="str">
        <f t="shared" si="11"/>
        <v/>
      </c>
      <c r="JG17" s="1" t="str">
        <f t="shared" si="11"/>
        <v/>
      </c>
      <c r="JH17" s="1" t="str">
        <f t="shared" si="11"/>
        <v/>
      </c>
      <c r="JI17" s="1" t="str">
        <f t="shared" si="11"/>
        <v/>
      </c>
      <c r="JJ17" s="1" t="str">
        <f t="shared" si="11"/>
        <v/>
      </c>
      <c r="JK17" s="1" t="str">
        <f t="shared" si="11"/>
        <v/>
      </c>
      <c r="JL17" s="1" t="str">
        <f t="shared" si="11"/>
        <v/>
      </c>
      <c r="JM17" s="1" t="str">
        <f t="shared" si="12"/>
        <v/>
      </c>
      <c r="JN17" s="1" t="str">
        <f t="shared" si="12"/>
        <v/>
      </c>
      <c r="JO17" s="1" t="str">
        <f t="shared" si="12"/>
        <v/>
      </c>
    </row>
    <row r="18" spans="1:275" ht="14.5" x14ac:dyDescent="0.35">
      <c r="A18" s="59">
        <f>IF('Data input'!A18&lt;&gt;"",'Data input'!A18,"")</f>
        <v>16</v>
      </c>
      <c r="B18" s="60" t="str">
        <f>IF('Data input'!B18&lt;&gt;"",'Data input'!B18,"")</f>
        <v>Iowa</v>
      </c>
      <c r="C18" s="19">
        <f>IF('Data input'!C18="","",4*('Data input'!C18-'Data input'!C$108)/('Data input'!C$109-'Data input'!C$108)+1)</f>
        <v>4.4317285054644895</v>
      </c>
      <c r="D18" s="19" t="str">
        <f>IF('Data input'!D18="","",4*('Data input'!D18-'Data input'!D$108)/('Data input'!D$109-'Data input'!D$108)+1)</f>
        <v/>
      </c>
      <c r="E18" s="19" t="str">
        <f>IF('Data input'!E18="","",4*('Data input'!E18-'Data input'!E$108)/('Data input'!E$109-'Data input'!E$108)+1)</f>
        <v/>
      </c>
      <c r="F18" s="19" t="str">
        <f>IF('Data input'!F18="","",4*('Data input'!F18-'Data input'!F$108)/('Data input'!F$109-'Data input'!F$108)+1)</f>
        <v/>
      </c>
      <c r="G18" s="19" t="str">
        <f>IF('Data input'!G18="","",4*('Data input'!G18-'Data input'!G$108)/('Data input'!G$109-'Data input'!G$108)+1)</f>
        <v/>
      </c>
      <c r="H18" s="61">
        <f>IF('Data input'!H18="","",4*('Data input'!H18-'Data input'!H$108)/('Data input'!H$109-'Data input'!H$108)+1)</f>
        <v>1.5985625383447717</v>
      </c>
      <c r="I18" s="19">
        <f>IF('Data input'!I18="","",4*('Data input'!I18-'Data input'!I$108)/('Data input'!I$109-'Data input'!I$108)+1)</f>
        <v>2.8057289106413901</v>
      </c>
      <c r="J18" s="19" t="str">
        <f>IF('Data input'!J18="","",4*('Data input'!J18-'Data input'!J$108)/('Data input'!J$109-'Data input'!J$108)+1)</f>
        <v/>
      </c>
      <c r="K18" s="19" t="str">
        <f>IF('Data input'!K18="","",4*('Data input'!K18-'Data input'!K$108)/('Data input'!K$109-'Data input'!K$108)+1)</f>
        <v/>
      </c>
      <c r="L18" s="19" t="str">
        <f>IF('Data input'!L18="","",4*('Data input'!L18-'Data input'!L$108)/('Data input'!L$109-'Data input'!L$108)+1)</f>
        <v/>
      </c>
      <c r="M18" s="19">
        <f>IF('Data input'!M18="","",4*('Data input'!M18-'Data input'!M$108)/('Data input'!M$109-'Data input'!M$108)+1)</f>
        <v>1.2535749698463086</v>
      </c>
      <c r="N18" s="16" t="str">
        <f>IF('Data input'!N18="","",4*('Data input'!N18-'Data input'!N$108)/('Data input'!N$109-'Data input'!N$108)+1)</f>
        <v/>
      </c>
      <c r="O18" s="19" t="str">
        <f>IF('Data input'!O18="","",4*('Data input'!O18-'Data input'!O$108)/('Data input'!O$109-'Data input'!O$108)+1)</f>
        <v/>
      </c>
      <c r="P18" s="19" t="str">
        <f>IF('Data input'!P18="","",4*('Data input'!P18-'Data input'!P$108)/('Data input'!P$109-'Data input'!P$108)+1)</f>
        <v/>
      </c>
      <c r="Q18" s="19" t="str">
        <f>IF('Data input'!Q18="","",4*('Data input'!Q18-'Data input'!Q$108)/('Data input'!Q$109-'Data input'!Q$108)+1)</f>
        <v/>
      </c>
      <c r="R18" s="19" t="str">
        <f>IF('Data input'!R18="","",4*('Data input'!R18-'Data input'!R$108)/('Data input'!R$109-'Data input'!R$108)+1)</f>
        <v/>
      </c>
      <c r="S18" s="16" t="str">
        <f>IF('Data input'!S18="","",4*('Data input'!S18-'Data input'!S$108)/('Data input'!S$109-'Data input'!S$108)+1)</f>
        <v/>
      </c>
      <c r="T18" s="19" t="str">
        <f>IF('Data input'!T18="","",4*('Data input'!T18-'Data input'!T$108)/('Data input'!T$109-'Data input'!T$108)+1)</f>
        <v/>
      </c>
      <c r="U18" s="19" t="str">
        <f>IF('Data input'!U18="","",4*('Data input'!U18-'Data input'!U$108)/('Data input'!U$109-'Data input'!U$108)+1)</f>
        <v/>
      </c>
      <c r="V18" s="19" t="str">
        <f>IF('Data input'!V18="","",4*('Data input'!V18-'Data input'!V$108)/('Data input'!V$109-'Data input'!V$108)+1)</f>
        <v/>
      </c>
      <c r="W18" s="16" t="str">
        <f>IF('Data input'!W18="","",4*('Data input'!W18-'Data input'!W$108)/('Data input'!W$109-'Data input'!W$108)+1)</f>
        <v/>
      </c>
      <c r="X18" s="16" t="str">
        <f>IF('Data input'!X18="","",4*('Data input'!X18-'Data input'!X$108)/('Data input'!X$109-'Data input'!X$108)+1)</f>
        <v/>
      </c>
      <c r="Y18" s="16" t="str">
        <f>IF('Data input'!Y18="","",4*('Data input'!Y18-'Data input'!Y$108)/('Data input'!Y$109-'Data input'!Y$108)+1)</f>
        <v/>
      </c>
      <c r="Z18" s="16" t="str">
        <f>IF('Data input'!Z18="","",4*('Data input'!Z18-'Data input'!Z$108)/('Data input'!Z$109-'Data input'!Z$108)+1)</f>
        <v/>
      </c>
      <c r="AA18" s="62" t="str">
        <f>IF('Data input'!AA18="","",4*('Data input'!AA18-'Data input'!AA$108)/('Data input'!AA$109-'Data input'!AA$108)+1)</f>
        <v/>
      </c>
      <c r="AB18" s="78"/>
      <c r="AC18" s="79">
        <v>0</v>
      </c>
      <c r="AD18" s="80" t="e">
        <f t="shared" si="13"/>
        <v>#DIV/0!</v>
      </c>
      <c r="AE18" s="4"/>
      <c r="AF18" s="59">
        <f t="shared" si="14"/>
        <v>16</v>
      </c>
      <c r="AG18" s="60" t="str">
        <f t="shared" si="14"/>
        <v>Iowa</v>
      </c>
      <c r="AH18">
        <v>0</v>
      </c>
      <c r="AI18" t="s">
        <v>69</v>
      </c>
      <c r="AJ18" t="s">
        <v>69</v>
      </c>
      <c r="AK18" t="s">
        <v>69</v>
      </c>
      <c r="AL18" t="s">
        <v>69</v>
      </c>
      <c r="AM18">
        <v>0.47547836791078207</v>
      </c>
      <c r="AN18">
        <v>1.7794624354913011</v>
      </c>
      <c r="AO18" t="s">
        <v>69</v>
      </c>
      <c r="AP18" t="s">
        <v>69</v>
      </c>
      <c r="AQ18" t="s">
        <v>69</v>
      </c>
      <c r="AR18">
        <v>0.53416707257805363</v>
      </c>
      <c r="AS18" s="71">
        <f t="shared" si="15"/>
        <v>4.4317285054644895</v>
      </c>
      <c r="AT18" s="71" t="str">
        <f t="shared" si="4"/>
        <v/>
      </c>
      <c r="AU18" s="71" t="str">
        <f t="shared" si="4"/>
        <v/>
      </c>
      <c r="AV18" s="71" t="str">
        <f t="shared" si="4"/>
        <v/>
      </c>
      <c r="AW18" s="71" t="str">
        <f t="shared" si="4"/>
        <v/>
      </c>
      <c r="AX18" s="71">
        <f t="shared" si="16"/>
        <v>1.1230841704339896</v>
      </c>
      <c r="AY18" s="71">
        <f t="shared" si="5"/>
        <v>1.026266475150089</v>
      </c>
      <c r="AZ18" s="71" t="str">
        <f t="shared" si="5"/>
        <v/>
      </c>
      <c r="BA18" s="71" t="str">
        <f t="shared" si="5"/>
        <v/>
      </c>
      <c r="BB18" s="71" t="str">
        <f t="shared" si="5"/>
        <v/>
      </c>
      <c r="BC18" s="18">
        <f>IF(C18&lt;&gt;"",(('Data input'!C$109-'Data input'!C$108)*(AS18-1)/4)+'Data input'!C$108,"")</f>
        <v>0.97566035183856348</v>
      </c>
      <c r="BD18" s="18" t="str">
        <f>IF(D18&lt;&gt;"",(('Data input'!D$109-'Data input'!D$108)*(AT18-1)/4)+'Data input'!D$108,"")</f>
        <v/>
      </c>
      <c r="BE18" s="18" t="str">
        <f>IF(E18&lt;&gt;"",(('Data input'!E$109-'Data input'!E$108)*(AU18-1)/4)+'Data input'!E$108,"")</f>
        <v/>
      </c>
      <c r="BF18" s="18" t="str">
        <f>IF(F18&lt;&gt;"",(('Data input'!F$109-'Data input'!F$108)*(AV18-1)/4)+'Data input'!F$108,"")</f>
        <v/>
      </c>
      <c r="BG18" s="18" t="str">
        <f>IF(G18&lt;&gt;"",(('Data input'!G$109-'Data input'!G$108)*(AW18-1)/4)+'Data input'!G$108,"")</f>
        <v/>
      </c>
      <c r="BH18" s="19">
        <f>IF(H18&lt;&gt;"",(('Data input'!H$109-'Data input'!H$108)*(AX18-1)/4)+'Data input'!H$108,"")</f>
        <v>2.9762489262687652</v>
      </c>
      <c r="BI18" s="18">
        <f>IF(I18&lt;&gt;"",(('Data input'!I$109-'Data input'!I$108)*(AY18-1)/4)+'Data input'!I$108,"")</f>
        <v>1.1533208012716857E-3</v>
      </c>
      <c r="BJ18" s="19" t="str">
        <f>IF(J18&lt;&gt;"",(('Data input'!J$109-'Data input'!J$108)*(AZ18-1)/4)+'Data input'!J$108,"")</f>
        <v/>
      </c>
      <c r="BK18" s="19" t="str">
        <f>IF(K18&lt;&gt;"",(('Data input'!K$109-'Data input'!K$108)*(BA18-1)/4)+'Data input'!K$108,"")</f>
        <v/>
      </c>
      <c r="BL18" s="19" t="str">
        <f>IF(L18&lt;&gt;"",(('Data input'!L$109-'Data input'!L$108)*(BB18-1)/4)+'Data input'!L$108,"")</f>
        <v/>
      </c>
      <c r="BM18" s="18">
        <f>IF(C18&lt;&gt;"",BC18-'Data input'!C18,"")</f>
        <v>0</v>
      </c>
      <c r="BN18" s="18" t="str">
        <f>IF(D18&lt;&gt;"",BD18-'Data input'!D18,"")</f>
        <v/>
      </c>
      <c r="BO18" s="18" t="str">
        <f>IF(E18&lt;&gt;"",BE18-'Data input'!E18,"")</f>
        <v/>
      </c>
      <c r="BP18" s="18" t="str">
        <f>IF(F18&lt;&gt;"",BF18-'Data input'!F18,"")</f>
        <v/>
      </c>
      <c r="BQ18" s="18" t="str">
        <f>IF(G18&lt;&gt;"",BG18-'Data input'!G18,"")</f>
        <v/>
      </c>
      <c r="BR18" s="19">
        <f>IF(H18&lt;&gt;"",BH18-'Data input'!H18,"")</f>
        <v>-10.354887454363901</v>
      </c>
      <c r="BS18" s="18">
        <f>IF(I18&lt;&gt;"",BI18-'Data input'!I18,"")</f>
        <v>-7.8133477377787489E-2</v>
      </c>
      <c r="BT18" s="18" t="str">
        <f>IF(J18&lt;&gt;"",BJ18-'Data input'!J18,"")</f>
        <v/>
      </c>
      <c r="BU18" s="18" t="str">
        <f>IF(K18&lt;&gt;"",BK18-'Data input'!K18,"")</f>
        <v/>
      </c>
      <c r="BV18" s="72" t="str">
        <f>IF(L18&lt;&gt;"",BL18-'Data input'!L18,"")</f>
        <v/>
      </c>
      <c r="BW18" s="121" t="str">
        <f t="shared" si="17"/>
        <v xml:space="preserve">Kansas; New York; West Virginia; 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0.98492572504957843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1.1074681610661925E-2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3.9995933397599217E-3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FT18" s="1" t="str">
        <f t="shared" si="18"/>
        <v/>
      </c>
      <c r="FU18" s="1" t="str">
        <f t="shared" si="6"/>
        <v/>
      </c>
      <c r="FV18" s="1" t="str">
        <f t="shared" si="6"/>
        <v/>
      </c>
      <c r="FW18" s="1" t="str">
        <f t="shared" si="6"/>
        <v/>
      </c>
      <c r="FX18" s="1" t="str">
        <f t="shared" si="6"/>
        <v/>
      </c>
      <c r="FY18" s="1" t="str">
        <f t="shared" si="6"/>
        <v/>
      </c>
      <c r="FZ18" s="1" t="str">
        <f t="shared" si="6"/>
        <v/>
      </c>
      <c r="GA18" s="1" t="str">
        <f t="shared" si="6"/>
        <v/>
      </c>
      <c r="GB18" s="1" t="str">
        <f t="shared" si="6"/>
        <v/>
      </c>
      <c r="GC18" s="1" t="str">
        <f t="shared" si="6"/>
        <v/>
      </c>
      <c r="GD18" s="1" t="str">
        <f t="shared" si="6"/>
        <v/>
      </c>
      <c r="GE18" s="1" t="str">
        <f t="shared" si="6"/>
        <v/>
      </c>
      <c r="GF18" s="1" t="str">
        <f t="shared" si="6"/>
        <v/>
      </c>
      <c r="GG18" s="1" t="str">
        <f t="shared" si="6"/>
        <v/>
      </c>
      <c r="GH18" s="1" t="str">
        <f t="shared" si="6"/>
        <v/>
      </c>
      <c r="GI18" s="1" t="str">
        <f t="shared" si="6"/>
        <v/>
      </c>
      <c r="GJ18" s="1" t="str">
        <f t="shared" ref="GJ18:GY34" si="19">IF(CN18&gt;0.0001,CONCATENATE(CN$2,"; "),"")</f>
        <v xml:space="preserve">Kansas; </v>
      </c>
      <c r="GK18" s="1" t="str">
        <f t="shared" si="7"/>
        <v/>
      </c>
      <c r="GL18" s="1" t="str">
        <f t="shared" si="7"/>
        <v/>
      </c>
      <c r="GM18" s="1" t="str">
        <f t="shared" si="7"/>
        <v/>
      </c>
      <c r="GN18" s="1" t="str">
        <f t="shared" si="7"/>
        <v/>
      </c>
      <c r="GO18" s="1" t="str">
        <f t="shared" si="7"/>
        <v/>
      </c>
      <c r="GP18" s="1" t="str">
        <f t="shared" si="7"/>
        <v/>
      </c>
      <c r="GQ18" s="1" t="str">
        <f t="shared" si="7"/>
        <v/>
      </c>
      <c r="GR18" s="1" t="str">
        <f t="shared" si="7"/>
        <v/>
      </c>
      <c r="GS18" s="1" t="str">
        <f t="shared" si="7"/>
        <v/>
      </c>
      <c r="GT18" s="1" t="str">
        <f t="shared" si="7"/>
        <v/>
      </c>
      <c r="GU18" s="1" t="str">
        <f t="shared" si="7"/>
        <v/>
      </c>
      <c r="GV18" s="1" t="str">
        <f t="shared" si="7"/>
        <v/>
      </c>
      <c r="GW18" s="1" t="str">
        <f t="shared" si="7"/>
        <v/>
      </c>
      <c r="GX18" s="1" t="str">
        <f t="shared" si="7"/>
        <v/>
      </c>
      <c r="GY18" s="1" t="str">
        <f t="shared" si="7"/>
        <v/>
      </c>
      <c r="GZ18" s="1" t="str">
        <f t="shared" ref="GZ18:HO34" si="20">IF(DD18&gt;0.0001,CONCATENATE(DD$2,"; "),"")</f>
        <v xml:space="preserve">New York; </v>
      </c>
      <c r="HA18" s="1" t="str">
        <f t="shared" si="8"/>
        <v/>
      </c>
      <c r="HB18" s="1" t="str">
        <f t="shared" si="8"/>
        <v/>
      </c>
      <c r="HC18" s="1" t="str">
        <f t="shared" si="8"/>
        <v/>
      </c>
      <c r="HD18" s="1" t="str">
        <f t="shared" si="8"/>
        <v/>
      </c>
      <c r="HE18" s="1" t="str">
        <f t="shared" si="8"/>
        <v/>
      </c>
      <c r="HF18" s="1" t="str">
        <f t="shared" si="8"/>
        <v/>
      </c>
      <c r="HG18" s="1" t="str">
        <f t="shared" si="8"/>
        <v/>
      </c>
      <c r="HH18" s="1" t="str">
        <f t="shared" si="8"/>
        <v/>
      </c>
      <c r="HI18" s="1" t="str">
        <f t="shared" si="8"/>
        <v/>
      </c>
      <c r="HJ18" s="1" t="str">
        <f t="shared" si="8"/>
        <v/>
      </c>
      <c r="HK18" s="1" t="str">
        <f t="shared" si="8"/>
        <v/>
      </c>
      <c r="HL18" s="1" t="str">
        <f t="shared" si="8"/>
        <v/>
      </c>
      <c r="HM18" s="1" t="str">
        <f t="shared" si="8"/>
        <v/>
      </c>
      <c r="HN18" s="1" t="str">
        <f t="shared" si="8"/>
        <v/>
      </c>
      <c r="HO18" s="1" t="str">
        <f t="shared" si="8"/>
        <v xml:space="preserve">West Virginia; </v>
      </c>
      <c r="HP18" s="1" t="str">
        <f t="shared" ref="HP18:IE34" si="21">IF(DT18&gt;0.0001,CONCATENATE(DT$2,"; "),"")</f>
        <v/>
      </c>
      <c r="HQ18" s="1" t="str">
        <f t="shared" si="9"/>
        <v/>
      </c>
      <c r="HR18" s="1" t="str">
        <f t="shared" si="9"/>
        <v/>
      </c>
      <c r="HS18" s="1" t="str">
        <f t="shared" si="9"/>
        <v/>
      </c>
      <c r="HT18" s="1" t="str">
        <f t="shared" si="9"/>
        <v/>
      </c>
      <c r="HU18" s="1" t="str">
        <f t="shared" si="9"/>
        <v/>
      </c>
      <c r="HV18" s="1" t="str">
        <f t="shared" si="9"/>
        <v/>
      </c>
      <c r="HW18" s="1" t="str">
        <f t="shared" si="9"/>
        <v/>
      </c>
      <c r="HX18" s="1" t="str">
        <f t="shared" si="9"/>
        <v/>
      </c>
      <c r="HY18" s="1" t="str">
        <f t="shared" si="9"/>
        <v/>
      </c>
      <c r="HZ18" s="1" t="str">
        <f t="shared" si="9"/>
        <v/>
      </c>
      <c r="IA18" s="1" t="str">
        <f t="shared" si="9"/>
        <v/>
      </c>
      <c r="IB18" s="1" t="str">
        <f t="shared" si="9"/>
        <v/>
      </c>
      <c r="IC18" s="1" t="str">
        <f t="shared" si="9"/>
        <v/>
      </c>
      <c r="ID18" s="1" t="str">
        <f t="shared" si="9"/>
        <v/>
      </c>
      <c r="IE18" s="1" t="str">
        <f t="shared" si="9"/>
        <v/>
      </c>
      <c r="IF18" s="1" t="str">
        <f t="shared" ref="IF18:IU34" si="22">IF(EJ18&gt;0.0001,CONCATENATE(EJ$2,"; "),"")</f>
        <v/>
      </c>
      <c r="IG18" s="1" t="str">
        <f t="shared" si="10"/>
        <v/>
      </c>
      <c r="IH18" s="1" t="str">
        <f t="shared" si="10"/>
        <v/>
      </c>
      <c r="II18" s="1" t="str">
        <f t="shared" si="10"/>
        <v/>
      </c>
      <c r="IJ18" s="1" t="str">
        <f t="shared" si="10"/>
        <v/>
      </c>
      <c r="IK18" s="1" t="str">
        <f t="shared" si="10"/>
        <v/>
      </c>
      <c r="IL18" s="1" t="str">
        <f t="shared" si="10"/>
        <v/>
      </c>
      <c r="IM18" s="1" t="str">
        <f t="shared" si="10"/>
        <v/>
      </c>
      <c r="IN18" s="1" t="str">
        <f t="shared" si="10"/>
        <v/>
      </c>
      <c r="IO18" s="1" t="str">
        <f t="shared" si="10"/>
        <v/>
      </c>
      <c r="IP18" s="1" t="str">
        <f t="shared" si="10"/>
        <v/>
      </c>
      <c r="IQ18" s="1" t="str">
        <f t="shared" si="10"/>
        <v/>
      </c>
      <c r="IR18" s="1" t="str">
        <f t="shared" si="10"/>
        <v/>
      </c>
      <c r="IS18" s="1" t="str">
        <f t="shared" si="10"/>
        <v/>
      </c>
      <c r="IT18" s="1" t="str">
        <f t="shared" si="10"/>
        <v/>
      </c>
      <c r="IU18" s="1" t="str">
        <f t="shared" si="10"/>
        <v/>
      </c>
      <c r="IV18" s="1" t="str">
        <f t="shared" ref="IV18:JK34" si="23">IF(EZ18&gt;0.0001,CONCATENATE(EZ$2,"; "),"")</f>
        <v/>
      </c>
      <c r="IW18" s="1" t="str">
        <f t="shared" si="11"/>
        <v/>
      </c>
      <c r="IX18" s="1" t="str">
        <f t="shared" si="11"/>
        <v/>
      </c>
      <c r="IY18" s="1" t="str">
        <f t="shared" si="11"/>
        <v/>
      </c>
      <c r="IZ18" s="1" t="str">
        <f t="shared" si="11"/>
        <v/>
      </c>
      <c r="JA18" s="1" t="str">
        <f t="shared" si="11"/>
        <v/>
      </c>
      <c r="JB18" s="1" t="str">
        <f t="shared" si="11"/>
        <v/>
      </c>
      <c r="JC18" s="1" t="str">
        <f t="shared" si="11"/>
        <v/>
      </c>
      <c r="JD18" s="1" t="str">
        <f t="shared" si="11"/>
        <v/>
      </c>
      <c r="JE18" s="1" t="str">
        <f t="shared" si="11"/>
        <v/>
      </c>
      <c r="JF18" s="1" t="str">
        <f t="shared" si="11"/>
        <v/>
      </c>
      <c r="JG18" s="1" t="str">
        <f t="shared" si="11"/>
        <v/>
      </c>
      <c r="JH18" s="1" t="str">
        <f t="shared" si="11"/>
        <v/>
      </c>
      <c r="JI18" s="1" t="str">
        <f t="shared" si="11"/>
        <v/>
      </c>
      <c r="JJ18" s="1" t="str">
        <f t="shared" si="11"/>
        <v/>
      </c>
      <c r="JK18" s="1" t="str">
        <f t="shared" si="11"/>
        <v/>
      </c>
      <c r="JL18" s="1" t="str">
        <f t="shared" ref="JL18:JO81" si="24">IF(FP18&gt;0.0001,CONCATENATE(FP$2,"; "),"")</f>
        <v/>
      </c>
      <c r="JM18" s="1" t="str">
        <f t="shared" si="12"/>
        <v/>
      </c>
      <c r="JN18" s="1" t="str">
        <f t="shared" si="12"/>
        <v/>
      </c>
      <c r="JO18" s="1" t="str">
        <f t="shared" si="12"/>
        <v/>
      </c>
    </row>
    <row r="19" spans="1:275" ht="14.5" x14ac:dyDescent="0.35">
      <c r="A19" s="59">
        <f>IF('Data input'!A19&lt;&gt;"",'Data input'!A19,"")</f>
        <v>17</v>
      </c>
      <c r="B19" s="60" t="str">
        <f>IF('Data input'!B19&lt;&gt;"",'Data input'!B19,"")</f>
        <v>Kansas</v>
      </c>
      <c r="C19" s="19">
        <f>IF('Data input'!C19="","",4*('Data input'!C19-'Data input'!C$108)/('Data input'!C$109-'Data input'!C$108)+1)</f>
        <v>4.4732569088382501</v>
      </c>
      <c r="D19" s="19" t="str">
        <f>IF('Data input'!D19="","",4*('Data input'!D19-'Data input'!D$108)/('Data input'!D$109-'Data input'!D$108)+1)</f>
        <v/>
      </c>
      <c r="E19" s="19" t="str">
        <f>IF('Data input'!E19="","",4*('Data input'!E19-'Data input'!E$108)/('Data input'!E$109-'Data input'!E$108)+1)</f>
        <v/>
      </c>
      <c r="F19" s="19" t="str">
        <f>IF('Data input'!F19="","",4*('Data input'!F19-'Data input'!F$108)/('Data input'!F$109-'Data input'!F$108)+1)</f>
        <v/>
      </c>
      <c r="G19" s="19" t="str">
        <f>IF('Data input'!G19="","",4*('Data input'!G19-'Data input'!G$108)/('Data input'!G$109-'Data input'!G$108)+1)</f>
        <v/>
      </c>
      <c r="H19" s="61">
        <f>IF('Data input'!H19="","",4*('Data input'!H19-'Data input'!H$108)/('Data input'!H$109-'Data input'!H$108)+1)</f>
        <v>1.1175820298309993</v>
      </c>
      <c r="I19" s="19">
        <f>IF('Data input'!I19="","",4*('Data input'!I19-'Data input'!I$108)/('Data input'!I$109-'Data input'!I$108)+1)</f>
        <v>1.0259490860850633</v>
      </c>
      <c r="J19" s="19" t="str">
        <f>IF('Data input'!J19="","",4*('Data input'!J19-'Data input'!J$108)/('Data input'!J$109-'Data input'!J$108)+1)</f>
        <v/>
      </c>
      <c r="K19" s="19" t="str">
        <f>IF('Data input'!K19="","",4*('Data input'!K19-'Data input'!K$108)/('Data input'!K$109-'Data input'!K$108)+1)</f>
        <v/>
      </c>
      <c r="L19" s="19" t="str">
        <f>IF('Data input'!L19="","",4*('Data input'!L19-'Data input'!L$108)/('Data input'!L$109-'Data input'!L$108)+1)</f>
        <v/>
      </c>
      <c r="M19" s="19">
        <f>IF('Data input'!M19="","",4*('Data input'!M19-'Data input'!M$108)/('Data input'!M$109-'Data input'!M$108)+1)</f>
        <v>1.2427427649640004</v>
      </c>
      <c r="N19" s="16" t="str">
        <f>IF('Data input'!N19="","",4*('Data input'!N19-'Data input'!N$108)/('Data input'!N$109-'Data input'!N$108)+1)</f>
        <v/>
      </c>
      <c r="O19" s="19" t="str">
        <f>IF('Data input'!O19="","",4*('Data input'!O19-'Data input'!O$108)/('Data input'!O$109-'Data input'!O$108)+1)</f>
        <v/>
      </c>
      <c r="P19" s="19" t="str">
        <f>IF('Data input'!P19="","",4*('Data input'!P19-'Data input'!P$108)/('Data input'!P$109-'Data input'!P$108)+1)</f>
        <v/>
      </c>
      <c r="Q19" s="19" t="str">
        <f>IF('Data input'!Q19="","",4*('Data input'!Q19-'Data input'!Q$108)/('Data input'!Q$109-'Data input'!Q$108)+1)</f>
        <v/>
      </c>
      <c r="R19" s="19" t="str">
        <f>IF('Data input'!R19="","",4*('Data input'!R19-'Data input'!R$108)/('Data input'!R$109-'Data input'!R$108)+1)</f>
        <v/>
      </c>
      <c r="S19" s="16" t="str">
        <f>IF('Data input'!S19="","",4*('Data input'!S19-'Data input'!S$108)/('Data input'!S$109-'Data input'!S$108)+1)</f>
        <v/>
      </c>
      <c r="T19" s="19" t="str">
        <f>IF('Data input'!T19="","",4*('Data input'!T19-'Data input'!T$108)/('Data input'!T$109-'Data input'!T$108)+1)</f>
        <v/>
      </c>
      <c r="U19" s="19" t="str">
        <f>IF('Data input'!U19="","",4*('Data input'!U19-'Data input'!U$108)/('Data input'!U$109-'Data input'!U$108)+1)</f>
        <v/>
      </c>
      <c r="V19" s="19" t="str">
        <f>IF('Data input'!V19="","",4*('Data input'!V19-'Data input'!V$108)/('Data input'!V$109-'Data input'!V$108)+1)</f>
        <v/>
      </c>
      <c r="W19" s="16" t="str">
        <f>IF('Data input'!W19="","",4*('Data input'!W19-'Data input'!W$108)/('Data input'!W$109-'Data input'!W$108)+1)</f>
        <v/>
      </c>
      <c r="X19" s="16" t="str">
        <f>IF('Data input'!X19="","",4*('Data input'!X19-'Data input'!X$108)/('Data input'!X$109-'Data input'!X$108)+1)</f>
        <v/>
      </c>
      <c r="Y19" s="16" t="str">
        <f>IF('Data input'!Y19="","",4*('Data input'!Y19-'Data input'!Y$108)/('Data input'!Y$109-'Data input'!Y$108)+1)</f>
        <v/>
      </c>
      <c r="Z19" s="16" t="str">
        <f>IF('Data input'!Z19="","",4*('Data input'!Z19-'Data input'!Z$108)/('Data input'!Z$109-'Data input'!Z$108)+1)</f>
        <v/>
      </c>
      <c r="AA19" s="62" t="str">
        <f>IF('Data input'!AA19="","",4*('Data input'!AA19-'Data input'!AA$108)/('Data input'!AA$109-'Data input'!AA$108)+1)</f>
        <v/>
      </c>
      <c r="AB19" s="78"/>
      <c r="AC19" s="79">
        <v>0</v>
      </c>
      <c r="AD19" s="80" t="e">
        <f t="shared" si="13"/>
        <v>#DIV/0!</v>
      </c>
      <c r="AE19" s="4"/>
      <c r="AF19" s="59">
        <f t="shared" si="14"/>
        <v>17</v>
      </c>
      <c r="AG19" s="60" t="str">
        <f t="shared" si="14"/>
        <v>Kansas</v>
      </c>
      <c r="AH19">
        <v>0</v>
      </c>
      <c r="AI19" t="s">
        <v>69</v>
      </c>
      <c r="AJ19" t="s">
        <v>69</v>
      </c>
      <c r="AK19" t="s">
        <v>69</v>
      </c>
      <c r="AL19" t="s">
        <v>69</v>
      </c>
      <c r="AM19">
        <v>1.2100749886352516E-15</v>
      </c>
      <c r="AN19">
        <v>1.8213455564374256E-15</v>
      </c>
      <c r="AO19" t="s">
        <v>69</v>
      </c>
      <c r="AP19" t="s">
        <v>69</v>
      </c>
      <c r="AQ19" t="s">
        <v>69</v>
      </c>
      <c r="AR19">
        <v>0.99999999999999856</v>
      </c>
      <c r="AS19" s="71">
        <f t="shared" si="15"/>
        <v>4.4732569088382501</v>
      </c>
      <c r="AT19" s="71" t="str">
        <f t="shared" si="15"/>
        <v/>
      </c>
      <c r="AU19" s="71" t="str">
        <f t="shared" si="15"/>
        <v/>
      </c>
      <c r="AV19" s="71" t="str">
        <f t="shared" si="15"/>
        <v/>
      </c>
      <c r="AW19" s="71" t="str">
        <f t="shared" si="15"/>
        <v/>
      </c>
      <c r="AX19" s="71">
        <f t="shared" si="16"/>
        <v>1.1175820298309982</v>
      </c>
      <c r="AY19" s="71">
        <f t="shared" si="16"/>
        <v>1.0259490860850615</v>
      </c>
      <c r="AZ19" s="71" t="str">
        <f t="shared" si="16"/>
        <v/>
      </c>
      <c r="BA19" s="71" t="str">
        <f t="shared" si="16"/>
        <v/>
      </c>
      <c r="BB19" s="71" t="str">
        <f t="shared" si="16"/>
        <v/>
      </c>
      <c r="BC19" s="18">
        <f>IF(C19&lt;&gt;"",(('Data input'!C$109-'Data input'!C$108)*(AS19-1)/4)+'Data input'!C$108,"")</f>
        <v>0.97716813059570484</v>
      </c>
      <c r="BD19" s="18" t="str">
        <f>IF(D19&lt;&gt;"",(('Data input'!D$109-'Data input'!D$108)*(AT19-1)/4)+'Data input'!D$108,"")</f>
        <v/>
      </c>
      <c r="BE19" s="18" t="str">
        <f>IF(E19&lt;&gt;"",(('Data input'!E$109-'Data input'!E$108)*(AU19-1)/4)+'Data input'!E$108,"")</f>
        <v/>
      </c>
      <c r="BF19" s="18" t="str">
        <f>IF(F19&lt;&gt;"",(('Data input'!F$109-'Data input'!F$108)*(AV19-1)/4)+'Data input'!F$108,"")</f>
        <v/>
      </c>
      <c r="BG19" s="18" t="str">
        <f>IF(G19&lt;&gt;"",(('Data input'!G$109-'Data input'!G$108)*(AW19-1)/4)+'Data input'!G$108,"")</f>
        <v/>
      </c>
      <c r="BH19" s="19">
        <f>IF(H19&lt;&gt;"",(('Data input'!H$109-'Data input'!H$108)*(AX19-1)/4)+'Data input'!H$108,"")</f>
        <v>2.8564242390755257</v>
      </c>
      <c r="BI19" s="18">
        <f>IF(I19&lt;&gt;"",(('Data input'!I$109-'Data input'!I$108)*(AY19-1)/4)+'Data input'!I$108,"")</f>
        <v>1.1393847322445072E-3</v>
      </c>
      <c r="BJ19" s="19" t="str">
        <f>IF(J19&lt;&gt;"",(('Data input'!J$109-'Data input'!J$108)*(AZ19-1)/4)+'Data input'!J$108,"")</f>
        <v/>
      </c>
      <c r="BK19" s="19" t="str">
        <f>IF(K19&lt;&gt;"",(('Data input'!K$109-'Data input'!K$108)*(BA19-1)/4)+'Data input'!K$108,"")</f>
        <v/>
      </c>
      <c r="BL19" s="19" t="str">
        <f>IF(L19&lt;&gt;"",(('Data input'!L$109-'Data input'!L$108)*(BB19-1)/4)+'Data input'!L$108,"")</f>
        <v/>
      </c>
      <c r="BM19" s="18">
        <f>IF(C19&lt;&gt;"",BC19-'Data input'!C19,"")</f>
        <v>0</v>
      </c>
      <c r="BN19" s="18" t="str">
        <f>IF(D19&lt;&gt;"",BD19-'Data input'!D19,"")</f>
        <v/>
      </c>
      <c r="BO19" s="18" t="str">
        <f>IF(E19&lt;&gt;"",BE19-'Data input'!E19,"")</f>
        <v/>
      </c>
      <c r="BP19" s="18" t="str">
        <f>IF(F19&lt;&gt;"",BF19-'Data input'!F19,"")</f>
        <v/>
      </c>
      <c r="BQ19" s="18" t="str">
        <f>IF(G19&lt;&gt;"",BG19-'Data input'!G19,"")</f>
        <v/>
      </c>
      <c r="BR19" s="19">
        <f>IF(H19&lt;&gt;"",BH19-'Data input'!H19,"")</f>
        <v>-2.3092638912203256E-14</v>
      </c>
      <c r="BS19" s="18">
        <f>IF(I19&lt;&gt;"",BI19-'Data input'!I19,"")</f>
        <v>-8.066464163292153E-17</v>
      </c>
      <c r="BT19" s="18" t="str">
        <f>IF(J19&lt;&gt;"",BJ19-'Data input'!J19,"")</f>
        <v/>
      </c>
      <c r="BU19" s="18" t="str">
        <f>IF(K19&lt;&gt;"",BK19-'Data input'!K19,"")</f>
        <v/>
      </c>
      <c r="BV19" s="72" t="str">
        <f>IF(L19&lt;&gt;"",BL19-'Data input'!L19,"")</f>
        <v/>
      </c>
      <c r="BW19" s="121" t="str">
        <f t="shared" si="17"/>
        <v xml:space="preserve">Kansas; 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0.99999999999999156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3.4638179938214248E-15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6.3919114885770384E-15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FT19" s="1" t="str">
        <f t="shared" si="18"/>
        <v/>
      </c>
      <c r="FU19" s="1" t="str">
        <f t="shared" si="18"/>
        <v/>
      </c>
      <c r="FV19" s="1" t="str">
        <f t="shared" si="18"/>
        <v/>
      </c>
      <c r="FW19" s="1" t="str">
        <f t="shared" si="18"/>
        <v/>
      </c>
      <c r="FX19" s="1" t="str">
        <f t="shared" si="18"/>
        <v/>
      </c>
      <c r="FY19" s="1" t="str">
        <f t="shared" si="18"/>
        <v/>
      </c>
      <c r="FZ19" s="1" t="str">
        <f t="shared" si="18"/>
        <v/>
      </c>
      <c r="GA19" s="1" t="str">
        <f t="shared" si="18"/>
        <v/>
      </c>
      <c r="GB19" s="1" t="str">
        <f t="shared" si="18"/>
        <v/>
      </c>
      <c r="GC19" s="1" t="str">
        <f t="shared" si="18"/>
        <v/>
      </c>
      <c r="GD19" s="1" t="str">
        <f t="shared" si="18"/>
        <v/>
      </c>
      <c r="GE19" s="1" t="str">
        <f t="shared" si="18"/>
        <v/>
      </c>
      <c r="GF19" s="1" t="str">
        <f t="shared" si="18"/>
        <v/>
      </c>
      <c r="GG19" s="1" t="str">
        <f t="shared" si="18"/>
        <v/>
      </c>
      <c r="GH19" s="1" t="str">
        <f t="shared" si="18"/>
        <v/>
      </c>
      <c r="GI19" s="1" t="str">
        <f t="shared" si="18"/>
        <v/>
      </c>
      <c r="GJ19" s="1" t="str">
        <f t="shared" si="19"/>
        <v xml:space="preserve">Kansas; </v>
      </c>
      <c r="GK19" s="1" t="str">
        <f t="shared" si="19"/>
        <v/>
      </c>
      <c r="GL19" s="1" t="str">
        <f t="shared" si="19"/>
        <v/>
      </c>
      <c r="GM19" s="1" t="str">
        <f t="shared" si="19"/>
        <v/>
      </c>
      <c r="GN19" s="1" t="str">
        <f t="shared" si="19"/>
        <v/>
      </c>
      <c r="GO19" s="1" t="str">
        <f t="shared" si="19"/>
        <v/>
      </c>
      <c r="GP19" s="1" t="str">
        <f t="shared" si="19"/>
        <v/>
      </c>
      <c r="GQ19" s="1" t="str">
        <f t="shared" si="19"/>
        <v/>
      </c>
      <c r="GR19" s="1" t="str">
        <f t="shared" si="19"/>
        <v/>
      </c>
      <c r="GS19" s="1" t="str">
        <f t="shared" si="19"/>
        <v/>
      </c>
      <c r="GT19" s="1" t="str">
        <f t="shared" si="19"/>
        <v/>
      </c>
      <c r="GU19" s="1" t="str">
        <f t="shared" si="19"/>
        <v/>
      </c>
      <c r="GV19" s="1" t="str">
        <f t="shared" si="19"/>
        <v/>
      </c>
      <c r="GW19" s="1" t="str">
        <f t="shared" si="19"/>
        <v/>
      </c>
      <c r="GX19" s="1" t="str">
        <f t="shared" si="19"/>
        <v/>
      </c>
      <c r="GY19" s="1" t="str">
        <f t="shared" si="19"/>
        <v/>
      </c>
      <c r="GZ19" s="1" t="str">
        <f t="shared" si="20"/>
        <v/>
      </c>
      <c r="HA19" s="1" t="str">
        <f t="shared" si="20"/>
        <v/>
      </c>
      <c r="HB19" s="1" t="str">
        <f t="shared" si="20"/>
        <v/>
      </c>
      <c r="HC19" s="1" t="str">
        <f t="shared" si="20"/>
        <v/>
      </c>
      <c r="HD19" s="1" t="str">
        <f t="shared" si="20"/>
        <v/>
      </c>
      <c r="HE19" s="1" t="str">
        <f t="shared" si="20"/>
        <v/>
      </c>
      <c r="HF19" s="1" t="str">
        <f t="shared" si="20"/>
        <v/>
      </c>
      <c r="HG19" s="1" t="str">
        <f t="shared" si="20"/>
        <v/>
      </c>
      <c r="HH19" s="1" t="str">
        <f t="shared" si="20"/>
        <v/>
      </c>
      <c r="HI19" s="1" t="str">
        <f t="shared" si="20"/>
        <v/>
      </c>
      <c r="HJ19" s="1" t="str">
        <f t="shared" si="20"/>
        <v/>
      </c>
      <c r="HK19" s="1" t="str">
        <f t="shared" si="20"/>
        <v/>
      </c>
      <c r="HL19" s="1" t="str">
        <f t="shared" si="20"/>
        <v/>
      </c>
      <c r="HM19" s="1" t="str">
        <f t="shared" si="20"/>
        <v/>
      </c>
      <c r="HN19" s="1" t="str">
        <f t="shared" si="20"/>
        <v/>
      </c>
      <c r="HO19" s="1" t="str">
        <f t="shared" si="20"/>
        <v/>
      </c>
      <c r="HP19" s="1" t="str">
        <f t="shared" si="21"/>
        <v/>
      </c>
      <c r="HQ19" s="1" t="str">
        <f t="shared" si="21"/>
        <v/>
      </c>
      <c r="HR19" s="1" t="str">
        <f t="shared" si="21"/>
        <v/>
      </c>
      <c r="HS19" s="1" t="str">
        <f t="shared" si="21"/>
        <v/>
      </c>
      <c r="HT19" s="1" t="str">
        <f t="shared" si="21"/>
        <v/>
      </c>
      <c r="HU19" s="1" t="str">
        <f t="shared" si="21"/>
        <v/>
      </c>
      <c r="HV19" s="1" t="str">
        <f t="shared" si="21"/>
        <v/>
      </c>
      <c r="HW19" s="1" t="str">
        <f t="shared" si="21"/>
        <v/>
      </c>
      <c r="HX19" s="1" t="str">
        <f t="shared" si="21"/>
        <v/>
      </c>
      <c r="HY19" s="1" t="str">
        <f t="shared" si="21"/>
        <v/>
      </c>
      <c r="HZ19" s="1" t="str">
        <f t="shared" si="21"/>
        <v/>
      </c>
      <c r="IA19" s="1" t="str">
        <f t="shared" si="21"/>
        <v/>
      </c>
      <c r="IB19" s="1" t="str">
        <f t="shared" si="21"/>
        <v/>
      </c>
      <c r="IC19" s="1" t="str">
        <f t="shared" si="21"/>
        <v/>
      </c>
      <c r="ID19" s="1" t="str">
        <f t="shared" si="21"/>
        <v/>
      </c>
      <c r="IE19" s="1" t="str">
        <f t="shared" si="21"/>
        <v/>
      </c>
      <c r="IF19" s="1" t="str">
        <f t="shared" si="22"/>
        <v/>
      </c>
      <c r="IG19" s="1" t="str">
        <f t="shared" si="22"/>
        <v/>
      </c>
      <c r="IH19" s="1" t="str">
        <f t="shared" si="22"/>
        <v/>
      </c>
      <c r="II19" s="1" t="str">
        <f t="shared" si="22"/>
        <v/>
      </c>
      <c r="IJ19" s="1" t="str">
        <f t="shared" si="22"/>
        <v/>
      </c>
      <c r="IK19" s="1" t="str">
        <f t="shared" si="22"/>
        <v/>
      </c>
      <c r="IL19" s="1" t="str">
        <f t="shared" si="22"/>
        <v/>
      </c>
      <c r="IM19" s="1" t="str">
        <f t="shared" si="22"/>
        <v/>
      </c>
      <c r="IN19" s="1" t="str">
        <f t="shared" si="22"/>
        <v/>
      </c>
      <c r="IO19" s="1" t="str">
        <f t="shared" si="22"/>
        <v/>
      </c>
      <c r="IP19" s="1" t="str">
        <f t="shared" si="22"/>
        <v/>
      </c>
      <c r="IQ19" s="1" t="str">
        <f t="shared" si="22"/>
        <v/>
      </c>
      <c r="IR19" s="1" t="str">
        <f t="shared" si="22"/>
        <v/>
      </c>
      <c r="IS19" s="1" t="str">
        <f t="shared" si="22"/>
        <v/>
      </c>
      <c r="IT19" s="1" t="str">
        <f t="shared" si="22"/>
        <v/>
      </c>
      <c r="IU19" s="1" t="str">
        <f t="shared" si="22"/>
        <v/>
      </c>
      <c r="IV19" s="1" t="str">
        <f t="shared" si="23"/>
        <v/>
      </c>
      <c r="IW19" s="1" t="str">
        <f t="shared" si="23"/>
        <v/>
      </c>
      <c r="IX19" s="1" t="str">
        <f t="shared" si="23"/>
        <v/>
      </c>
      <c r="IY19" s="1" t="str">
        <f t="shared" si="23"/>
        <v/>
      </c>
      <c r="IZ19" s="1" t="str">
        <f t="shared" si="23"/>
        <v/>
      </c>
      <c r="JA19" s="1" t="str">
        <f t="shared" si="23"/>
        <v/>
      </c>
      <c r="JB19" s="1" t="str">
        <f t="shared" si="23"/>
        <v/>
      </c>
      <c r="JC19" s="1" t="str">
        <f t="shared" si="23"/>
        <v/>
      </c>
      <c r="JD19" s="1" t="str">
        <f t="shared" si="23"/>
        <v/>
      </c>
      <c r="JE19" s="1" t="str">
        <f t="shared" si="23"/>
        <v/>
      </c>
      <c r="JF19" s="1" t="str">
        <f t="shared" si="23"/>
        <v/>
      </c>
      <c r="JG19" s="1" t="str">
        <f t="shared" si="23"/>
        <v/>
      </c>
      <c r="JH19" s="1" t="str">
        <f t="shared" si="23"/>
        <v/>
      </c>
      <c r="JI19" s="1" t="str">
        <f t="shared" si="23"/>
        <v/>
      </c>
      <c r="JJ19" s="1" t="str">
        <f t="shared" si="23"/>
        <v/>
      </c>
      <c r="JK19" s="1" t="str">
        <f t="shared" si="23"/>
        <v/>
      </c>
      <c r="JL19" s="1" t="str">
        <f t="shared" si="24"/>
        <v/>
      </c>
      <c r="JM19" s="1" t="str">
        <f t="shared" si="12"/>
        <v/>
      </c>
      <c r="JN19" s="1" t="str">
        <f t="shared" si="12"/>
        <v/>
      </c>
      <c r="JO19" s="1" t="str">
        <f t="shared" si="12"/>
        <v/>
      </c>
    </row>
    <row r="20" spans="1:275" ht="14.5" x14ac:dyDescent="0.35">
      <c r="A20" s="59">
        <f>IF('Data input'!A20&lt;&gt;"",'Data input'!A20,"")</f>
        <v>18</v>
      </c>
      <c r="B20" s="60" t="str">
        <f>IF('Data input'!B20&lt;&gt;"",'Data input'!B20,"")</f>
        <v>Kentucky</v>
      </c>
      <c r="C20" s="19">
        <f>IF('Data input'!C20="","",4*('Data input'!C20-'Data input'!C$108)/('Data input'!C$109-'Data input'!C$108)+1)</f>
        <v>4.0437061737819135</v>
      </c>
      <c r="D20" s="19" t="str">
        <f>IF('Data input'!D20="","",4*('Data input'!D20-'Data input'!D$108)/('Data input'!D$109-'Data input'!D$108)+1)</f>
        <v/>
      </c>
      <c r="E20" s="19" t="str">
        <f>IF('Data input'!E20="","",4*('Data input'!E20-'Data input'!E$108)/('Data input'!E$109-'Data input'!E$108)+1)</f>
        <v/>
      </c>
      <c r="F20" s="19" t="str">
        <f>IF('Data input'!F20="","",4*('Data input'!F20-'Data input'!F$108)/('Data input'!F$109-'Data input'!F$108)+1)</f>
        <v/>
      </c>
      <c r="G20" s="19" t="str">
        <f>IF('Data input'!G20="","",4*('Data input'!G20-'Data input'!G$108)/('Data input'!G$109-'Data input'!G$108)+1)</f>
        <v/>
      </c>
      <c r="H20" s="61">
        <f>IF('Data input'!H20="","",4*('Data input'!H20-'Data input'!H$108)/('Data input'!H$109-'Data input'!H$108)+1)</f>
        <v>1.1146644054817991</v>
      </c>
      <c r="I20" s="19">
        <f>IF('Data input'!I20="","",4*('Data input'!I20-'Data input'!I$108)/('Data input'!I$109-'Data input'!I$108)+1)</f>
        <v>1</v>
      </c>
      <c r="J20" s="19" t="str">
        <f>IF('Data input'!J20="","",4*('Data input'!J20-'Data input'!J$108)/('Data input'!J$109-'Data input'!J$108)+1)</f>
        <v/>
      </c>
      <c r="K20" s="19" t="str">
        <f>IF('Data input'!K20="","",4*('Data input'!K20-'Data input'!K$108)/('Data input'!K$109-'Data input'!K$108)+1)</f>
        <v/>
      </c>
      <c r="L20" s="19" t="str">
        <f>IF('Data input'!L20="","",4*('Data input'!L20-'Data input'!L$108)/('Data input'!L$109-'Data input'!L$108)+1)</f>
        <v/>
      </c>
      <c r="M20" s="19">
        <f>IF('Data input'!M20="","",4*('Data input'!M20-'Data input'!M$108)/('Data input'!M$109-'Data input'!M$108)+1)</f>
        <v>2.0716816140179519</v>
      </c>
      <c r="N20" s="16" t="str">
        <f>IF('Data input'!N20="","",4*('Data input'!N20-'Data input'!N$108)/('Data input'!N$109-'Data input'!N$108)+1)</f>
        <v/>
      </c>
      <c r="O20" s="19" t="str">
        <f>IF('Data input'!O20="","",4*('Data input'!O20-'Data input'!O$108)/('Data input'!O$109-'Data input'!O$108)+1)</f>
        <v/>
      </c>
      <c r="P20" s="19" t="str">
        <f>IF('Data input'!P20="","",4*('Data input'!P20-'Data input'!P$108)/('Data input'!P$109-'Data input'!P$108)+1)</f>
        <v/>
      </c>
      <c r="Q20" s="19" t="str">
        <f>IF('Data input'!Q20="","",4*('Data input'!Q20-'Data input'!Q$108)/('Data input'!Q$109-'Data input'!Q$108)+1)</f>
        <v/>
      </c>
      <c r="R20" s="19" t="str">
        <f>IF('Data input'!R20="","",4*('Data input'!R20-'Data input'!R$108)/('Data input'!R$109-'Data input'!R$108)+1)</f>
        <v/>
      </c>
      <c r="S20" s="16" t="str">
        <f>IF('Data input'!S20="","",4*('Data input'!S20-'Data input'!S$108)/('Data input'!S$109-'Data input'!S$108)+1)</f>
        <v/>
      </c>
      <c r="T20" s="19" t="str">
        <f>IF('Data input'!T20="","",4*('Data input'!T20-'Data input'!T$108)/('Data input'!T$109-'Data input'!T$108)+1)</f>
        <v/>
      </c>
      <c r="U20" s="19" t="str">
        <f>IF('Data input'!U20="","",4*('Data input'!U20-'Data input'!U$108)/('Data input'!U$109-'Data input'!U$108)+1)</f>
        <v/>
      </c>
      <c r="V20" s="19" t="str">
        <f>IF('Data input'!V20="","",4*('Data input'!V20-'Data input'!V$108)/('Data input'!V$109-'Data input'!V$108)+1)</f>
        <v/>
      </c>
      <c r="W20" s="16" t="str">
        <f>IF('Data input'!W20="","",4*('Data input'!W20-'Data input'!W$108)/('Data input'!W$109-'Data input'!W$108)+1)</f>
        <v/>
      </c>
      <c r="X20" s="16" t="str">
        <f>IF('Data input'!X20="","",4*('Data input'!X20-'Data input'!X$108)/('Data input'!X$109-'Data input'!X$108)+1)</f>
        <v/>
      </c>
      <c r="Y20" s="16" t="str">
        <f>IF('Data input'!Y20="","",4*('Data input'!Y20-'Data input'!Y$108)/('Data input'!Y$109-'Data input'!Y$108)+1)</f>
        <v/>
      </c>
      <c r="Z20" s="16" t="str">
        <f>IF('Data input'!Z20="","",4*('Data input'!Z20-'Data input'!Z$108)/('Data input'!Z$109-'Data input'!Z$108)+1)</f>
        <v/>
      </c>
      <c r="AA20" s="62" t="str">
        <f>IF('Data input'!AA20="","",4*('Data input'!AA20-'Data input'!AA$108)/('Data input'!AA$109-'Data input'!AA$108)+1)</f>
        <v/>
      </c>
      <c r="AB20" s="78"/>
      <c r="AC20" s="79">
        <v>0</v>
      </c>
      <c r="AD20" s="80" t="e">
        <f t="shared" si="13"/>
        <v>#DIV/0!</v>
      </c>
      <c r="AE20" s="4"/>
      <c r="AF20" s="59">
        <f t="shared" si="14"/>
        <v>18</v>
      </c>
      <c r="AG20" s="60" t="str">
        <f t="shared" si="14"/>
        <v>Kentucky</v>
      </c>
      <c r="AH20">
        <v>0</v>
      </c>
      <c r="AI20" t="s">
        <v>69</v>
      </c>
      <c r="AJ20" t="s">
        <v>69</v>
      </c>
      <c r="AK20" t="s">
        <v>69</v>
      </c>
      <c r="AL20" t="s">
        <v>69</v>
      </c>
      <c r="AM20">
        <v>6.4119716480792732E-16</v>
      </c>
      <c r="AN20">
        <v>0</v>
      </c>
      <c r="AO20" t="s">
        <v>69</v>
      </c>
      <c r="AP20" t="s">
        <v>69</v>
      </c>
      <c r="AQ20" t="s">
        <v>69</v>
      </c>
      <c r="AR20">
        <v>0.99999999999999967</v>
      </c>
      <c r="AS20" s="71">
        <f t="shared" si="15"/>
        <v>4.0437061737819135</v>
      </c>
      <c r="AT20" s="71" t="str">
        <f t="shared" si="15"/>
        <v/>
      </c>
      <c r="AU20" s="71" t="str">
        <f t="shared" si="15"/>
        <v/>
      </c>
      <c r="AV20" s="71" t="str">
        <f t="shared" si="15"/>
        <v/>
      </c>
      <c r="AW20" s="71" t="str">
        <f t="shared" si="15"/>
        <v/>
      </c>
      <c r="AX20" s="71">
        <f t="shared" si="16"/>
        <v>1.1146644054817985</v>
      </c>
      <c r="AY20" s="71">
        <f t="shared" si="16"/>
        <v>1</v>
      </c>
      <c r="AZ20" s="71" t="str">
        <f t="shared" si="16"/>
        <v/>
      </c>
      <c r="BA20" s="71" t="str">
        <f t="shared" si="16"/>
        <v/>
      </c>
      <c r="BB20" s="71" t="str">
        <f t="shared" si="16"/>
        <v/>
      </c>
      <c r="BC20" s="18">
        <f>IF(C20&lt;&gt;"",(('Data input'!C$109-'Data input'!C$108)*(AS20-1)/4)+'Data input'!C$108,"")</f>
        <v>0.96157235948928099</v>
      </c>
      <c r="BD20" s="18" t="str">
        <f>IF(D20&lt;&gt;"",(('Data input'!D$109-'Data input'!D$108)*(AT20-1)/4)+'Data input'!D$108,"")</f>
        <v/>
      </c>
      <c r="BE20" s="18" t="str">
        <f>IF(E20&lt;&gt;"",(('Data input'!E$109-'Data input'!E$108)*(AU20-1)/4)+'Data input'!E$108,"")</f>
        <v/>
      </c>
      <c r="BF20" s="18" t="str">
        <f>IF(F20&lt;&gt;"",(('Data input'!F$109-'Data input'!F$108)*(AV20-1)/4)+'Data input'!F$108,"")</f>
        <v/>
      </c>
      <c r="BG20" s="18" t="str">
        <f>IF(G20&lt;&gt;"",(('Data input'!G$109-'Data input'!G$108)*(AW20-1)/4)+'Data input'!G$108,"")</f>
        <v/>
      </c>
      <c r="BH20" s="19">
        <f>IF(H20&lt;&gt;"",(('Data input'!H$109-'Data input'!H$108)*(AX20-1)/4)+'Data input'!H$108,"")</f>
        <v>2.7928847096058194</v>
      </c>
      <c r="BI20" s="18">
        <f>IF(I20&lt;&gt;"",(('Data input'!I$109-'Data input'!I$108)*(AY20-1)/4)+'Data input'!I$108,"")</f>
        <v>0</v>
      </c>
      <c r="BJ20" s="19" t="str">
        <f>IF(J20&lt;&gt;"",(('Data input'!J$109-'Data input'!J$108)*(AZ20-1)/4)+'Data input'!J$108,"")</f>
        <v/>
      </c>
      <c r="BK20" s="19" t="str">
        <f>IF(K20&lt;&gt;"",(('Data input'!K$109-'Data input'!K$108)*(BA20-1)/4)+'Data input'!K$108,"")</f>
        <v/>
      </c>
      <c r="BL20" s="19" t="str">
        <f>IF(L20&lt;&gt;"",(('Data input'!L$109-'Data input'!L$108)*(BB20-1)/4)+'Data input'!L$108,"")</f>
        <v/>
      </c>
      <c r="BM20" s="18">
        <f>IF(C20&lt;&gt;"",BC20-'Data input'!C20,"")</f>
        <v>0</v>
      </c>
      <c r="BN20" s="18" t="str">
        <f>IF(D20&lt;&gt;"",BD20-'Data input'!D20,"")</f>
        <v/>
      </c>
      <c r="BO20" s="18" t="str">
        <f>IF(E20&lt;&gt;"",BE20-'Data input'!E20,"")</f>
        <v/>
      </c>
      <c r="BP20" s="18" t="str">
        <f>IF(F20&lt;&gt;"",BF20-'Data input'!F20,"")</f>
        <v/>
      </c>
      <c r="BQ20" s="18" t="str">
        <f>IF(G20&lt;&gt;"",BG20-'Data input'!G20,"")</f>
        <v/>
      </c>
      <c r="BR20" s="19">
        <f>IF(H20&lt;&gt;"",BH20-'Data input'!H20,"")</f>
        <v>-1.3766765505351941E-14</v>
      </c>
      <c r="BS20" s="18">
        <f>IF(I20&lt;&gt;"",BI20-'Data input'!I20,"")</f>
        <v>0</v>
      </c>
      <c r="BT20" s="18" t="str">
        <f>IF(J20&lt;&gt;"",BJ20-'Data input'!J20,"")</f>
        <v/>
      </c>
      <c r="BU20" s="18" t="str">
        <f>IF(K20&lt;&gt;"",BK20-'Data input'!K20,"")</f>
        <v/>
      </c>
      <c r="BV20" s="72" t="str">
        <f>IF(L20&lt;&gt;"",BL20-'Data input'!L20,"")</f>
        <v/>
      </c>
      <c r="BW20" s="121" t="str">
        <f t="shared" si="17"/>
        <v xml:space="preserve">Kentucky; 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8.992806499463768E-15</v>
      </c>
      <c r="CO20" s="1">
        <v>0.99999999999998224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8.1046280797636427E-15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5.2041704279304213E-17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FT20" s="1" t="str">
        <f t="shared" si="18"/>
        <v/>
      </c>
      <c r="FU20" s="1" t="str">
        <f t="shared" si="18"/>
        <v/>
      </c>
      <c r="FV20" s="1" t="str">
        <f t="shared" si="18"/>
        <v/>
      </c>
      <c r="FW20" s="1" t="str">
        <f t="shared" si="18"/>
        <v/>
      </c>
      <c r="FX20" s="1" t="str">
        <f t="shared" si="18"/>
        <v/>
      </c>
      <c r="FY20" s="1" t="str">
        <f t="shared" si="18"/>
        <v/>
      </c>
      <c r="FZ20" s="1" t="str">
        <f t="shared" si="18"/>
        <v/>
      </c>
      <c r="GA20" s="1" t="str">
        <f t="shared" si="18"/>
        <v/>
      </c>
      <c r="GB20" s="1" t="str">
        <f t="shared" si="18"/>
        <v/>
      </c>
      <c r="GC20" s="1" t="str">
        <f t="shared" si="18"/>
        <v/>
      </c>
      <c r="GD20" s="1" t="str">
        <f t="shared" si="18"/>
        <v/>
      </c>
      <c r="GE20" s="1" t="str">
        <f t="shared" si="18"/>
        <v/>
      </c>
      <c r="GF20" s="1" t="str">
        <f t="shared" si="18"/>
        <v/>
      </c>
      <c r="GG20" s="1" t="str">
        <f t="shared" si="18"/>
        <v/>
      </c>
      <c r="GH20" s="1" t="str">
        <f t="shared" si="18"/>
        <v/>
      </c>
      <c r="GI20" s="1" t="str">
        <f t="shared" si="18"/>
        <v/>
      </c>
      <c r="GJ20" s="1" t="str">
        <f t="shared" si="19"/>
        <v/>
      </c>
      <c r="GK20" s="1" t="str">
        <f t="shared" si="19"/>
        <v xml:space="preserve">Kentucky; </v>
      </c>
      <c r="GL20" s="1" t="str">
        <f t="shared" si="19"/>
        <v/>
      </c>
      <c r="GM20" s="1" t="str">
        <f t="shared" si="19"/>
        <v/>
      </c>
      <c r="GN20" s="1" t="str">
        <f t="shared" si="19"/>
        <v/>
      </c>
      <c r="GO20" s="1" t="str">
        <f t="shared" si="19"/>
        <v/>
      </c>
      <c r="GP20" s="1" t="str">
        <f t="shared" si="19"/>
        <v/>
      </c>
      <c r="GQ20" s="1" t="str">
        <f t="shared" si="19"/>
        <v/>
      </c>
      <c r="GR20" s="1" t="str">
        <f t="shared" si="19"/>
        <v/>
      </c>
      <c r="GS20" s="1" t="str">
        <f t="shared" si="19"/>
        <v/>
      </c>
      <c r="GT20" s="1" t="str">
        <f t="shared" si="19"/>
        <v/>
      </c>
      <c r="GU20" s="1" t="str">
        <f t="shared" si="19"/>
        <v/>
      </c>
      <c r="GV20" s="1" t="str">
        <f t="shared" si="19"/>
        <v/>
      </c>
      <c r="GW20" s="1" t="str">
        <f t="shared" si="19"/>
        <v/>
      </c>
      <c r="GX20" s="1" t="str">
        <f t="shared" si="19"/>
        <v/>
      </c>
      <c r="GY20" s="1" t="str">
        <f t="shared" si="19"/>
        <v/>
      </c>
      <c r="GZ20" s="1" t="str">
        <f t="shared" si="20"/>
        <v/>
      </c>
      <c r="HA20" s="1" t="str">
        <f t="shared" si="20"/>
        <v/>
      </c>
      <c r="HB20" s="1" t="str">
        <f t="shared" si="20"/>
        <v/>
      </c>
      <c r="HC20" s="1" t="str">
        <f t="shared" si="20"/>
        <v/>
      </c>
      <c r="HD20" s="1" t="str">
        <f t="shared" si="20"/>
        <v/>
      </c>
      <c r="HE20" s="1" t="str">
        <f t="shared" si="20"/>
        <v/>
      </c>
      <c r="HF20" s="1" t="str">
        <f t="shared" si="20"/>
        <v/>
      </c>
      <c r="HG20" s="1" t="str">
        <f t="shared" si="20"/>
        <v/>
      </c>
      <c r="HH20" s="1" t="str">
        <f t="shared" si="20"/>
        <v/>
      </c>
      <c r="HI20" s="1" t="str">
        <f t="shared" si="20"/>
        <v/>
      </c>
      <c r="HJ20" s="1" t="str">
        <f t="shared" si="20"/>
        <v/>
      </c>
      <c r="HK20" s="1" t="str">
        <f t="shared" si="20"/>
        <v/>
      </c>
      <c r="HL20" s="1" t="str">
        <f t="shared" si="20"/>
        <v/>
      </c>
      <c r="HM20" s="1" t="str">
        <f t="shared" si="20"/>
        <v/>
      </c>
      <c r="HN20" s="1" t="str">
        <f t="shared" si="20"/>
        <v/>
      </c>
      <c r="HO20" s="1" t="str">
        <f t="shared" si="20"/>
        <v/>
      </c>
      <c r="HP20" s="1" t="str">
        <f t="shared" si="21"/>
        <v/>
      </c>
      <c r="HQ20" s="1" t="str">
        <f t="shared" si="21"/>
        <v/>
      </c>
      <c r="HR20" s="1" t="str">
        <f t="shared" si="21"/>
        <v/>
      </c>
      <c r="HS20" s="1" t="str">
        <f t="shared" si="21"/>
        <v/>
      </c>
      <c r="HT20" s="1" t="str">
        <f t="shared" si="21"/>
        <v/>
      </c>
      <c r="HU20" s="1" t="str">
        <f t="shared" si="21"/>
        <v/>
      </c>
      <c r="HV20" s="1" t="str">
        <f t="shared" si="21"/>
        <v/>
      </c>
      <c r="HW20" s="1" t="str">
        <f t="shared" si="21"/>
        <v/>
      </c>
      <c r="HX20" s="1" t="str">
        <f t="shared" si="21"/>
        <v/>
      </c>
      <c r="HY20" s="1" t="str">
        <f t="shared" si="21"/>
        <v/>
      </c>
      <c r="HZ20" s="1" t="str">
        <f t="shared" si="21"/>
        <v/>
      </c>
      <c r="IA20" s="1" t="str">
        <f t="shared" si="21"/>
        <v/>
      </c>
      <c r="IB20" s="1" t="str">
        <f t="shared" si="21"/>
        <v/>
      </c>
      <c r="IC20" s="1" t="str">
        <f t="shared" si="21"/>
        <v/>
      </c>
      <c r="ID20" s="1" t="str">
        <f t="shared" si="21"/>
        <v/>
      </c>
      <c r="IE20" s="1" t="str">
        <f t="shared" si="21"/>
        <v/>
      </c>
      <c r="IF20" s="1" t="str">
        <f t="shared" si="22"/>
        <v/>
      </c>
      <c r="IG20" s="1" t="str">
        <f t="shared" si="22"/>
        <v/>
      </c>
      <c r="IH20" s="1" t="str">
        <f t="shared" si="22"/>
        <v/>
      </c>
      <c r="II20" s="1" t="str">
        <f t="shared" si="22"/>
        <v/>
      </c>
      <c r="IJ20" s="1" t="str">
        <f t="shared" si="22"/>
        <v/>
      </c>
      <c r="IK20" s="1" t="str">
        <f t="shared" si="22"/>
        <v/>
      </c>
      <c r="IL20" s="1" t="str">
        <f t="shared" si="22"/>
        <v/>
      </c>
      <c r="IM20" s="1" t="str">
        <f t="shared" si="22"/>
        <v/>
      </c>
      <c r="IN20" s="1" t="str">
        <f t="shared" si="22"/>
        <v/>
      </c>
      <c r="IO20" s="1" t="str">
        <f t="shared" si="22"/>
        <v/>
      </c>
      <c r="IP20" s="1" t="str">
        <f t="shared" si="22"/>
        <v/>
      </c>
      <c r="IQ20" s="1" t="str">
        <f t="shared" si="22"/>
        <v/>
      </c>
      <c r="IR20" s="1" t="str">
        <f t="shared" si="22"/>
        <v/>
      </c>
      <c r="IS20" s="1" t="str">
        <f t="shared" si="22"/>
        <v/>
      </c>
      <c r="IT20" s="1" t="str">
        <f t="shared" si="22"/>
        <v/>
      </c>
      <c r="IU20" s="1" t="str">
        <f t="shared" si="22"/>
        <v/>
      </c>
      <c r="IV20" s="1" t="str">
        <f t="shared" si="23"/>
        <v/>
      </c>
      <c r="IW20" s="1" t="str">
        <f t="shared" si="23"/>
        <v/>
      </c>
      <c r="IX20" s="1" t="str">
        <f t="shared" si="23"/>
        <v/>
      </c>
      <c r="IY20" s="1" t="str">
        <f t="shared" si="23"/>
        <v/>
      </c>
      <c r="IZ20" s="1" t="str">
        <f t="shared" si="23"/>
        <v/>
      </c>
      <c r="JA20" s="1" t="str">
        <f t="shared" si="23"/>
        <v/>
      </c>
      <c r="JB20" s="1" t="str">
        <f t="shared" si="23"/>
        <v/>
      </c>
      <c r="JC20" s="1" t="str">
        <f t="shared" si="23"/>
        <v/>
      </c>
      <c r="JD20" s="1" t="str">
        <f t="shared" si="23"/>
        <v/>
      </c>
      <c r="JE20" s="1" t="str">
        <f t="shared" si="23"/>
        <v/>
      </c>
      <c r="JF20" s="1" t="str">
        <f t="shared" si="23"/>
        <v/>
      </c>
      <c r="JG20" s="1" t="str">
        <f t="shared" si="23"/>
        <v/>
      </c>
      <c r="JH20" s="1" t="str">
        <f t="shared" si="23"/>
        <v/>
      </c>
      <c r="JI20" s="1" t="str">
        <f t="shared" si="23"/>
        <v/>
      </c>
      <c r="JJ20" s="1" t="str">
        <f t="shared" si="23"/>
        <v/>
      </c>
      <c r="JK20" s="1" t="str">
        <f t="shared" si="23"/>
        <v/>
      </c>
      <c r="JL20" s="1" t="str">
        <f t="shared" si="24"/>
        <v/>
      </c>
      <c r="JM20" s="1" t="str">
        <f t="shared" si="12"/>
        <v/>
      </c>
      <c r="JN20" s="1" t="str">
        <f t="shared" si="12"/>
        <v/>
      </c>
      <c r="JO20" s="1" t="str">
        <f t="shared" si="12"/>
        <v/>
      </c>
    </row>
    <row r="21" spans="1:275" ht="14.5" x14ac:dyDescent="0.35">
      <c r="A21" s="59">
        <f>IF('Data input'!A21&lt;&gt;"",'Data input'!A21,"")</f>
        <v>19</v>
      </c>
      <c r="B21" s="60" t="str">
        <f>IF('Data input'!B21&lt;&gt;"",'Data input'!B21,"")</f>
        <v>Louisiana</v>
      </c>
      <c r="C21" s="19">
        <f>IF('Data input'!C21="","",4*('Data input'!C21-'Data input'!C$108)/('Data input'!C$109-'Data input'!C$108)+1)</f>
        <v>3.1078000935502192</v>
      </c>
      <c r="D21" s="19" t="str">
        <f>IF('Data input'!D21="","",4*('Data input'!D21-'Data input'!D$108)/('Data input'!D$109-'Data input'!D$108)+1)</f>
        <v/>
      </c>
      <c r="E21" s="19" t="str">
        <f>IF('Data input'!E21="","",4*('Data input'!E21-'Data input'!E$108)/('Data input'!E$109-'Data input'!E$108)+1)</f>
        <v/>
      </c>
      <c r="F21" s="19" t="str">
        <f>IF('Data input'!F21="","",4*('Data input'!F21-'Data input'!F$108)/('Data input'!F$109-'Data input'!F$108)+1)</f>
        <v/>
      </c>
      <c r="G21" s="19" t="str">
        <f>IF('Data input'!G21="","",4*('Data input'!G21-'Data input'!G$108)/('Data input'!G$109-'Data input'!G$108)+1)</f>
        <v/>
      </c>
      <c r="H21" s="61">
        <f>IF('Data input'!H21="","",4*('Data input'!H21-'Data input'!H$108)/('Data input'!H$109-'Data input'!H$108)+1)</f>
        <v>1.130448218720933</v>
      </c>
      <c r="I21" s="19">
        <f>IF('Data input'!I21="","",4*('Data input'!I21-'Data input'!I$108)/('Data input'!I$109-'Data input'!I$108)+1)</f>
        <v>2.1038157729761355</v>
      </c>
      <c r="J21" s="19" t="str">
        <f>IF('Data input'!J21="","",4*('Data input'!J21-'Data input'!J$108)/('Data input'!J$109-'Data input'!J$108)+1)</f>
        <v/>
      </c>
      <c r="K21" s="19" t="str">
        <f>IF('Data input'!K21="","",4*('Data input'!K21-'Data input'!K$108)/('Data input'!K$109-'Data input'!K$108)+1)</f>
        <v/>
      </c>
      <c r="L21" s="19" t="str">
        <f>IF('Data input'!L21="","",4*('Data input'!L21-'Data input'!L$108)/('Data input'!L$109-'Data input'!L$108)+1)</f>
        <v/>
      </c>
      <c r="M21" s="19">
        <f>IF('Data input'!M21="","",4*('Data input'!M21-'Data input'!M$108)/('Data input'!M$109-'Data input'!M$108)+1)</f>
        <v>1</v>
      </c>
      <c r="N21" s="16" t="str">
        <f>IF('Data input'!N21="","",4*('Data input'!N21-'Data input'!N$108)/('Data input'!N$109-'Data input'!N$108)+1)</f>
        <v/>
      </c>
      <c r="O21" s="19" t="str">
        <f>IF('Data input'!O21="","",4*('Data input'!O21-'Data input'!O$108)/('Data input'!O$109-'Data input'!O$108)+1)</f>
        <v/>
      </c>
      <c r="P21" s="19" t="str">
        <f>IF('Data input'!P21="","",4*('Data input'!P21-'Data input'!P$108)/('Data input'!P$109-'Data input'!P$108)+1)</f>
        <v/>
      </c>
      <c r="Q21" s="19" t="str">
        <f>IF('Data input'!Q21="","",4*('Data input'!Q21-'Data input'!Q$108)/('Data input'!Q$109-'Data input'!Q$108)+1)</f>
        <v/>
      </c>
      <c r="R21" s="19" t="str">
        <f>IF('Data input'!R21="","",4*('Data input'!R21-'Data input'!R$108)/('Data input'!R$109-'Data input'!R$108)+1)</f>
        <v/>
      </c>
      <c r="S21" s="16" t="str">
        <f>IF('Data input'!S21="","",4*('Data input'!S21-'Data input'!S$108)/('Data input'!S$109-'Data input'!S$108)+1)</f>
        <v/>
      </c>
      <c r="T21" s="19" t="str">
        <f>IF('Data input'!T21="","",4*('Data input'!T21-'Data input'!T$108)/('Data input'!T$109-'Data input'!T$108)+1)</f>
        <v/>
      </c>
      <c r="U21" s="19" t="str">
        <f>IF('Data input'!U21="","",4*('Data input'!U21-'Data input'!U$108)/('Data input'!U$109-'Data input'!U$108)+1)</f>
        <v/>
      </c>
      <c r="V21" s="19" t="str">
        <f>IF('Data input'!V21="","",4*('Data input'!V21-'Data input'!V$108)/('Data input'!V$109-'Data input'!V$108)+1)</f>
        <v/>
      </c>
      <c r="W21" s="16" t="str">
        <f>IF('Data input'!W21="","",4*('Data input'!W21-'Data input'!W$108)/('Data input'!W$109-'Data input'!W$108)+1)</f>
        <v/>
      </c>
      <c r="X21" s="16" t="str">
        <f>IF('Data input'!X21="","",4*('Data input'!X21-'Data input'!X$108)/('Data input'!X$109-'Data input'!X$108)+1)</f>
        <v/>
      </c>
      <c r="Y21" s="16" t="str">
        <f>IF('Data input'!Y21="","",4*('Data input'!Y21-'Data input'!Y$108)/('Data input'!Y$109-'Data input'!Y$108)+1)</f>
        <v/>
      </c>
      <c r="Z21" s="16" t="str">
        <f>IF('Data input'!Z21="","",4*('Data input'!Z21-'Data input'!Z$108)/('Data input'!Z$109-'Data input'!Z$108)+1)</f>
        <v/>
      </c>
      <c r="AA21" s="62" t="str">
        <f>IF('Data input'!AA21="","",4*('Data input'!AA21-'Data input'!AA$108)/('Data input'!AA$109-'Data input'!AA$108)+1)</f>
        <v/>
      </c>
      <c r="AB21" s="78"/>
      <c r="AC21" s="79">
        <v>0</v>
      </c>
      <c r="AD21" s="80" t="e">
        <f t="shared" si="13"/>
        <v>#DIV/0!</v>
      </c>
      <c r="AE21" s="4"/>
      <c r="AF21" s="59">
        <f t="shared" si="14"/>
        <v>19</v>
      </c>
      <c r="AG21" s="60" t="str">
        <f t="shared" si="14"/>
        <v>Louisiana</v>
      </c>
      <c r="AH21">
        <v>0</v>
      </c>
      <c r="AI21" t="s">
        <v>69</v>
      </c>
      <c r="AJ21" t="s">
        <v>69</v>
      </c>
      <c r="AK21" t="s">
        <v>69</v>
      </c>
      <c r="AL21" t="s">
        <v>69</v>
      </c>
      <c r="AM21">
        <v>-5.8560743488498634E-15</v>
      </c>
      <c r="AN21">
        <v>-1.4029408911642499E-15</v>
      </c>
      <c r="AO21" t="s">
        <v>69</v>
      </c>
      <c r="AP21" t="s">
        <v>69</v>
      </c>
      <c r="AQ21" t="s">
        <v>69</v>
      </c>
      <c r="AR21">
        <v>1.0000000000000029</v>
      </c>
      <c r="AS21" s="71">
        <f t="shared" si="15"/>
        <v>3.1078000935502192</v>
      </c>
      <c r="AT21" s="71" t="str">
        <f t="shared" si="15"/>
        <v/>
      </c>
      <c r="AU21" s="71" t="str">
        <f t="shared" si="15"/>
        <v/>
      </c>
      <c r="AV21" s="71" t="str">
        <f t="shared" si="15"/>
        <v/>
      </c>
      <c r="AW21" s="71" t="str">
        <f t="shared" si="15"/>
        <v/>
      </c>
      <c r="AX21" s="71">
        <f t="shared" si="16"/>
        <v>1.1304482187209388</v>
      </c>
      <c r="AY21" s="71">
        <f t="shared" si="16"/>
        <v>2.1038157729761369</v>
      </c>
      <c r="AZ21" s="71" t="str">
        <f t="shared" si="16"/>
        <v/>
      </c>
      <c r="BA21" s="71" t="str">
        <f t="shared" si="16"/>
        <v/>
      </c>
      <c r="BB21" s="71" t="str">
        <f t="shared" si="16"/>
        <v/>
      </c>
      <c r="BC21" s="18">
        <f>IF(C21&lt;&gt;"",(('Data input'!C$109-'Data input'!C$108)*(AS21-1)/4)+'Data input'!C$108,"")</f>
        <v>0.92759225932139378</v>
      </c>
      <c r="BD21" s="18" t="str">
        <f>IF(D21&lt;&gt;"",(('Data input'!D$109-'Data input'!D$108)*(AT21-1)/4)+'Data input'!D$108,"")</f>
        <v/>
      </c>
      <c r="BE21" s="18" t="str">
        <f>IF(E21&lt;&gt;"",(('Data input'!E$109-'Data input'!E$108)*(AU21-1)/4)+'Data input'!E$108,"")</f>
        <v/>
      </c>
      <c r="BF21" s="18" t="str">
        <f>IF(F21&lt;&gt;"",(('Data input'!F$109-'Data input'!F$108)*(AV21-1)/4)+'Data input'!F$108,"")</f>
        <v/>
      </c>
      <c r="BG21" s="18" t="str">
        <f>IF(G21&lt;&gt;"",(('Data input'!G$109-'Data input'!G$108)*(AW21-1)/4)+'Data input'!G$108,"")</f>
        <v/>
      </c>
      <c r="BH21" s="19">
        <f>IF(H21&lt;&gt;"",(('Data input'!H$109-'Data input'!H$108)*(AX21-1)/4)+'Data input'!H$108,"")</f>
        <v>3.1366219240034776</v>
      </c>
      <c r="BI21" s="18">
        <f>IF(I21&lt;&gt;"",(('Data input'!I$109-'Data input'!I$108)*(AY21-1)/4)+'Data input'!I$108,"")</f>
        <v>4.8466864490603417E-2</v>
      </c>
      <c r="BJ21" s="19" t="str">
        <f>IF(J21&lt;&gt;"",(('Data input'!J$109-'Data input'!J$108)*(AZ21-1)/4)+'Data input'!J$108,"")</f>
        <v/>
      </c>
      <c r="BK21" s="19" t="str">
        <f>IF(K21&lt;&gt;"",(('Data input'!K$109-'Data input'!K$108)*(BA21-1)/4)+'Data input'!K$108,"")</f>
        <v/>
      </c>
      <c r="BL21" s="19" t="str">
        <f>IF(L21&lt;&gt;"",(('Data input'!L$109-'Data input'!L$108)*(BB21-1)/4)+'Data input'!L$108,"")</f>
        <v/>
      </c>
      <c r="BM21" s="18">
        <f>IF(C21&lt;&gt;"",BC21-'Data input'!C21,"")</f>
        <v>0</v>
      </c>
      <c r="BN21" s="18" t="str">
        <f>IF(D21&lt;&gt;"",BD21-'Data input'!D21,"")</f>
        <v/>
      </c>
      <c r="BO21" s="18" t="str">
        <f>IF(E21&lt;&gt;"",BE21-'Data input'!E21,"")</f>
        <v/>
      </c>
      <c r="BP21" s="18" t="str">
        <f>IF(F21&lt;&gt;"",BF21-'Data input'!F21,"")</f>
        <v/>
      </c>
      <c r="BQ21" s="18" t="str">
        <f>IF(G21&lt;&gt;"",BG21-'Data input'!G21,"")</f>
        <v/>
      </c>
      <c r="BR21" s="19">
        <f>IF(H21&lt;&gt;"",BH21-'Data input'!H21,"")</f>
        <v>1.2700951401711791E-13</v>
      </c>
      <c r="BS21" s="18">
        <f>IF(I21&lt;&gt;"",BI21-'Data input'!I21,"")</f>
        <v>5.5511151231257827E-17</v>
      </c>
      <c r="BT21" s="18" t="str">
        <f>IF(J21&lt;&gt;"",BJ21-'Data input'!J21,"")</f>
        <v/>
      </c>
      <c r="BU21" s="18" t="str">
        <f>IF(K21&lt;&gt;"",BK21-'Data input'!K21,"")</f>
        <v/>
      </c>
      <c r="BV21" s="72" t="str">
        <f>IF(L21&lt;&gt;"",BL21-'Data input'!L21,"")</f>
        <v/>
      </c>
      <c r="BW21" s="121" t="str">
        <f t="shared" si="17"/>
        <v xml:space="preserve">Louisiana; 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-3.6602996525800944E-16</v>
      </c>
      <c r="CO21" s="1">
        <v>0</v>
      </c>
      <c r="CP21" s="1">
        <v>1.0000000000000009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-3.184970749163898E-16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FT21" s="1" t="str">
        <f t="shared" si="18"/>
        <v/>
      </c>
      <c r="FU21" s="1" t="str">
        <f t="shared" si="18"/>
        <v/>
      </c>
      <c r="FV21" s="1" t="str">
        <f t="shared" si="18"/>
        <v/>
      </c>
      <c r="FW21" s="1" t="str">
        <f t="shared" si="18"/>
        <v/>
      </c>
      <c r="FX21" s="1" t="str">
        <f t="shared" si="18"/>
        <v/>
      </c>
      <c r="FY21" s="1" t="str">
        <f t="shared" si="18"/>
        <v/>
      </c>
      <c r="FZ21" s="1" t="str">
        <f t="shared" si="18"/>
        <v/>
      </c>
      <c r="GA21" s="1" t="str">
        <f t="shared" si="18"/>
        <v/>
      </c>
      <c r="GB21" s="1" t="str">
        <f t="shared" si="18"/>
        <v/>
      </c>
      <c r="GC21" s="1" t="str">
        <f t="shared" si="18"/>
        <v/>
      </c>
      <c r="GD21" s="1" t="str">
        <f t="shared" si="18"/>
        <v/>
      </c>
      <c r="GE21" s="1" t="str">
        <f t="shared" si="18"/>
        <v/>
      </c>
      <c r="GF21" s="1" t="str">
        <f t="shared" si="18"/>
        <v/>
      </c>
      <c r="GG21" s="1" t="str">
        <f t="shared" si="18"/>
        <v/>
      </c>
      <c r="GH21" s="1" t="str">
        <f t="shared" si="18"/>
        <v/>
      </c>
      <c r="GI21" s="1" t="str">
        <f t="shared" si="18"/>
        <v/>
      </c>
      <c r="GJ21" s="1" t="str">
        <f t="shared" si="19"/>
        <v/>
      </c>
      <c r="GK21" s="1" t="str">
        <f t="shared" si="19"/>
        <v/>
      </c>
      <c r="GL21" s="1" t="str">
        <f t="shared" si="19"/>
        <v xml:space="preserve">Louisiana; </v>
      </c>
      <c r="GM21" s="1" t="str">
        <f t="shared" si="19"/>
        <v/>
      </c>
      <c r="GN21" s="1" t="str">
        <f t="shared" si="19"/>
        <v/>
      </c>
      <c r="GO21" s="1" t="str">
        <f t="shared" si="19"/>
        <v/>
      </c>
      <c r="GP21" s="1" t="str">
        <f t="shared" si="19"/>
        <v/>
      </c>
      <c r="GQ21" s="1" t="str">
        <f t="shared" si="19"/>
        <v/>
      </c>
      <c r="GR21" s="1" t="str">
        <f t="shared" si="19"/>
        <v/>
      </c>
      <c r="GS21" s="1" t="str">
        <f t="shared" si="19"/>
        <v/>
      </c>
      <c r="GT21" s="1" t="str">
        <f t="shared" si="19"/>
        <v/>
      </c>
      <c r="GU21" s="1" t="str">
        <f t="shared" si="19"/>
        <v/>
      </c>
      <c r="GV21" s="1" t="str">
        <f t="shared" si="19"/>
        <v/>
      </c>
      <c r="GW21" s="1" t="str">
        <f t="shared" si="19"/>
        <v/>
      </c>
      <c r="GX21" s="1" t="str">
        <f t="shared" si="19"/>
        <v/>
      </c>
      <c r="GY21" s="1" t="str">
        <f t="shared" si="19"/>
        <v/>
      </c>
      <c r="GZ21" s="1" t="str">
        <f t="shared" si="20"/>
        <v/>
      </c>
      <c r="HA21" s="1" t="str">
        <f t="shared" si="20"/>
        <v/>
      </c>
      <c r="HB21" s="1" t="str">
        <f t="shared" si="20"/>
        <v/>
      </c>
      <c r="HC21" s="1" t="str">
        <f t="shared" si="20"/>
        <v/>
      </c>
      <c r="HD21" s="1" t="str">
        <f t="shared" si="20"/>
        <v/>
      </c>
      <c r="HE21" s="1" t="str">
        <f t="shared" si="20"/>
        <v/>
      </c>
      <c r="HF21" s="1" t="str">
        <f t="shared" si="20"/>
        <v/>
      </c>
      <c r="HG21" s="1" t="str">
        <f t="shared" si="20"/>
        <v/>
      </c>
      <c r="HH21" s="1" t="str">
        <f t="shared" si="20"/>
        <v/>
      </c>
      <c r="HI21" s="1" t="str">
        <f t="shared" si="20"/>
        <v/>
      </c>
      <c r="HJ21" s="1" t="str">
        <f t="shared" si="20"/>
        <v/>
      </c>
      <c r="HK21" s="1" t="str">
        <f t="shared" si="20"/>
        <v/>
      </c>
      <c r="HL21" s="1" t="str">
        <f t="shared" si="20"/>
        <v/>
      </c>
      <c r="HM21" s="1" t="str">
        <f t="shared" si="20"/>
        <v/>
      </c>
      <c r="HN21" s="1" t="str">
        <f t="shared" si="20"/>
        <v/>
      </c>
      <c r="HO21" s="1" t="str">
        <f t="shared" si="20"/>
        <v/>
      </c>
      <c r="HP21" s="1" t="str">
        <f t="shared" si="21"/>
        <v/>
      </c>
      <c r="HQ21" s="1" t="str">
        <f t="shared" si="21"/>
        <v/>
      </c>
      <c r="HR21" s="1" t="str">
        <f t="shared" si="21"/>
        <v/>
      </c>
      <c r="HS21" s="1" t="str">
        <f t="shared" si="21"/>
        <v/>
      </c>
      <c r="HT21" s="1" t="str">
        <f t="shared" si="21"/>
        <v/>
      </c>
      <c r="HU21" s="1" t="str">
        <f t="shared" si="21"/>
        <v/>
      </c>
      <c r="HV21" s="1" t="str">
        <f t="shared" si="21"/>
        <v/>
      </c>
      <c r="HW21" s="1" t="str">
        <f t="shared" si="21"/>
        <v/>
      </c>
      <c r="HX21" s="1" t="str">
        <f t="shared" si="21"/>
        <v/>
      </c>
      <c r="HY21" s="1" t="str">
        <f t="shared" si="21"/>
        <v/>
      </c>
      <c r="HZ21" s="1" t="str">
        <f t="shared" si="21"/>
        <v/>
      </c>
      <c r="IA21" s="1" t="str">
        <f t="shared" si="21"/>
        <v/>
      </c>
      <c r="IB21" s="1" t="str">
        <f t="shared" si="21"/>
        <v/>
      </c>
      <c r="IC21" s="1" t="str">
        <f t="shared" si="21"/>
        <v/>
      </c>
      <c r="ID21" s="1" t="str">
        <f t="shared" si="21"/>
        <v/>
      </c>
      <c r="IE21" s="1" t="str">
        <f t="shared" si="21"/>
        <v/>
      </c>
      <c r="IF21" s="1" t="str">
        <f t="shared" si="22"/>
        <v/>
      </c>
      <c r="IG21" s="1" t="str">
        <f t="shared" si="22"/>
        <v/>
      </c>
      <c r="IH21" s="1" t="str">
        <f t="shared" si="22"/>
        <v/>
      </c>
      <c r="II21" s="1" t="str">
        <f t="shared" si="22"/>
        <v/>
      </c>
      <c r="IJ21" s="1" t="str">
        <f t="shared" si="22"/>
        <v/>
      </c>
      <c r="IK21" s="1" t="str">
        <f t="shared" si="22"/>
        <v/>
      </c>
      <c r="IL21" s="1" t="str">
        <f t="shared" si="22"/>
        <v/>
      </c>
      <c r="IM21" s="1" t="str">
        <f t="shared" si="22"/>
        <v/>
      </c>
      <c r="IN21" s="1" t="str">
        <f t="shared" si="22"/>
        <v/>
      </c>
      <c r="IO21" s="1" t="str">
        <f t="shared" si="22"/>
        <v/>
      </c>
      <c r="IP21" s="1" t="str">
        <f t="shared" si="22"/>
        <v/>
      </c>
      <c r="IQ21" s="1" t="str">
        <f t="shared" si="22"/>
        <v/>
      </c>
      <c r="IR21" s="1" t="str">
        <f t="shared" si="22"/>
        <v/>
      </c>
      <c r="IS21" s="1" t="str">
        <f t="shared" si="22"/>
        <v/>
      </c>
      <c r="IT21" s="1" t="str">
        <f t="shared" si="22"/>
        <v/>
      </c>
      <c r="IU21" s="1" t="str">
        <f t="shared" si="22"/>
        <v/>
      </c>
      <c r="IV21" s="1" t="str">
        <f t="shared" si="23"/>
        <v/>
      </c>
      <c r="IW21" s="1" t="str">
        <f t="shared" si="23"/>
        <v/>
      </c>
      <c r="IX21" s="1" t="str">
        <f t="shared" si="23"/>
        <v/>
      </c>
      <c r="IY21" s="1" t="str">
        <f t="shared" si="23"/>
        <v/>
      </c>
      <c r="IZ21" s="1" t="str">
        <f t="shared" si="23"/>
        <v/>
      </c>
      <c r="JA21" s="1" t="str">
        <f t="shared" si="23"/>
        <v/>
      </c>
      <c r="JB21" s="1" t="str">
        <f t="shared" si="23"/>
        <v/>
      </c>
      <c r="JC21" s="1" t="str">
        <f t="shared" si="23"/>
        <v/>
      </c>
      <c r="JD21" s="1" t="str">
        <f t="shared" si="23"/>
        <v/>
      </c>
      <c r="JE21" s="1" t="str">
        <f t="shared" si="23"/>
        <v/>
      </c>
      <c r="JF21" s="1" t="str">
        <f t="shared" si="23"/>
        <v/>
      </c>
      <c r="JG21" s="1" t="str">
        <f t="shared" si="23"/>
        <v/>
      </c>
      <c r="JH21" s="1" t="str">
        <f t="shared" si="23"/>
        <v/>
      </c>
      <c r="JI21" s="1" t="str">
        <f t="shared" si="23"/>
        <v/>
      </c>
      <c r="JJ21" s="1" t="str">
        <f t="shared" si="23"/>
        <v/>
      </c>
      <c r="JK21" s="1" t="str">
        <f t="shared" si="23"/>
        <v/>
      </c>
      <c r="JL21" s="1" t="str">
        <f t="shared" si="24"/>
        <v/>
      </c>
      <c r="JM21" s="1" t="str">
        <f t="shared" si="12"/>
        <v/>
      </c>
      <c r="JN21" s="1" t="str">
        <f t="shared" si="12"/>
        <v/>
      </c>
      <c r="JO21" s="1" t="str">
        <f t="shared" si="12"/>
        <v/>
      </c>
    </row>
    <row r="22" spans="1:275" ht="14.5" x14ac:dyDescent="0.35">
      <c r="A22" s="59">
        <f>IF('Data input'!A22&lt;&gt;"",'Data input'!A22,"")</f>
        <v>20</v>
      </c>
      <c r="B22" s="60" t="str">
        <f>IF('Data input'!B22&lt;&gt;"",'Data input'!B22,"")</f>
        <v>Maine</v>
      </c>
      <c r="C22" s="19">
        <f>IF('Data input'!C22="","",4*('Data input'!C22-'Data input'!C$108)/('Data input'!C$109-'Data input'!C$108)+1)</f>
        <v>3.0088169675146568</v>
      </c>
      <c r="D22" s="19" t="str">
        <f>IF('Data input'!D22="","",4*('Data input'!D22-'Data input'!D$108)/('Data input'!D$109-'Data input'!D$108)+1)</f>
        <v/>
      </c>
      <c r="E22" s="19" t="str">
        <f>IF('Data input'!E22="","",4*('Data input'!E22-'Data input'!E$108)/('Data input'!E$109-'Data input'!E$108)+1)</f>
        <v/>
      </c>
      <c r="F22" s="19" t="str">
        <f>IF('Data input'!F22="","",4*('Data input'!F22-'Data input'!F$108)/('Data input'!F$109-'Data input'!F$108)+1)</f>
        <v/>
      </c>
      <c r="G22" s="19" t="str">
        <f>IF('Data input'!G22="","",4*('Data input'!G22-'Data input'!G$108)/('Data input'!G$109-'Data input'!G$108)+1)</f>
        <v/>
      </c>
      <c r="H22" s="61">
        <f>IF('Data input'!H22="","",4*('Data input'!H22-'Data input'!H$108)/('Data input'!H$109-'Data input'!H$108)+1)</f>
        <v>4.318601607726805</v>
      </c>
      <c r="I22" s="19">
        <f>IF('Data input'!I22="","",4*('Data input'!I22-'Data input'!I$108)/('Data input'!I$109-'Data input'!I$108)+1)</f>
        <v>1.2593923449581315</v>
      </c>
      <c r="J22" s="19" t="str">
        <f>IF('Data input'!J22="","",4*('Data input'!J22-'Data input'!J$108)/('Data input'!J$109-'Data input'!J$108)+1)</f>
        <v/>
      </c>
      <c r="K22" s="19" t="str">
        <f>IF('Data input'!K22="","",4*('Data input'!K22-'Data input'!K$108)/('Data input'!K$109-'Data input'!K$108)+1)</f>
        <v/>
      </c>
      <c r="L22" s="19" t="str">
        <f>IF('Data input'!L22="","",4*('Data input'!L22-'Data input'!L$108)/('Data input'!L$109-'Data input'!L$108)+1)</f>
        <v/>
      </c>
      <c r="M22" s="19">
        <f>IF('Data input'!M22="","",4*('Data input'!M22-'Data input'!M$108)/('Data input'!M$109-'Data input'!M$108)+1)</f>
        <v>1.4708082669212157</v>
      </c>
      <c r="N22" s="16" t="str">
        <f>IF('Data input'!N22="","",4*('Data input'!N22-'Data input'!N$108)/('Data input'!N$109-'Data input'!N$108)+1)</f>
        <v/>
      </c>
      <c r="O22" s="19" t="str">
        <f>IF('Data input'!O22="","",4*('Data input'!O22-'Data input'!O$108)/('Data input'!O$109-'Data input'!O$108)+1)</f>
        <v/>
      </c>
      <c r="P22" s="19" t="str">
        <f>IF('Data input'!P22="","",4*('Data input'!P22-'Data input'!P$108)/('Data input'!P$109-'Data input'!P$108)+1)</f>
        <v/>
      </c>
      <c r="Q22" s="19" t="str">
        <f>IF('Data input'!Q22="","",4*('Data input'!Q22-'Data input'!Q$108)/('Data input'!Q$109-'Data input'!Q$108)+1)</f>
        <v/>
      </c>
      <c r="R22" s="19" t="str">
        <f>IF('Data input'!R22="","",4*('Data input'!R22-'Data input'!R$108)/('Data input'!R$109-'Data input'!R$108)+1)</f>
        <v/>
      </c>
      <c r="S22" s="16" t="str">
        <f>IF('Data input'!S22="","",4*('Data input'!S22-'Data input'!S$108)/('Data input'!S$109-'Data input'!S$108)+1)</f>
        <v/>
      </c>
      <c r="T22" s="19" t="str">
        <f>IF('Data input'!T22="","",4*('Data input'!T22-'Data input'!T$108)/('Data input'!T$109-'Data input'!T$108)+1)</f>
        <v/>
      </c>
      <c r="U22" s="19" t="str">
        <f>IF('Data input'!U22="","",4*('Data input'!U22-'Data input'!U$108)/('Data input'!U$109-'Data input'!U$108)+1)</f>
        <v/>
      </c>
      <c r="V22" s="19" t="str">
        <f>IF('Data input'!V22="","",4*('Data input'!V22-'Data input'!V$108)/('Data input'!V$109-'Data input'!V$108)+1)</f>
        <v/>
      </c>
      <c r="W22" s="16" t="str">
        <f>IF('Data input'!W22="","",4*('Data input'!W22-'Data input'!W$108)/('Data input'!W$109-'Data input'!W$108)+1)</f>
        <v/>
      </c>
      <c r="X22" s="16" t="str">
        <f>IF('Data input'!X22="","",4*('Data input'!X22-'Data input'!X$108)/('Data input'!X$109-'Data input'!X$108)+1)</f>
        <v/>
      </c>
      <c r="Y22" s="16" t="str">
        <f>IF('Data input'!Y22="","",4*('Data input'!Y22-'Data input'!Y$108)/('Data input'!Y$109-'Data input'!Y$108)+1)</f>
        <v/>
      </c>
      <c r="Z22" s="16" t="str">
        <f>IF('Data input'!Z22="","",4*('Data input'!Z22-'Data input'!Z$108)/('Data input'!Z$109-'Data input'!Z$108)+1)</f>
        <v/>
      </c>
      <c r="AA22" s="62" t="str">
        <f>IF('Data input'!AA22="","",4*('Data input'!AA22-'Data input'!AA$108)/('Data input'!AA$109-'Data input'!AA$108)+1)</f>
        <v/>
      </c>
      <c r="AB22" s="78"/>
      <c r="AC22" s="79">
        <v>0</v>
      </c>
      <c r="AD22" s="80" t="e">
        <f t="shared" si="13"/>
        <v>#DIV/0!</v>
      </c>
      <c r="AE22" s="4"/>
      <c r="AF22" s="59">
        <f t="shared" si="14"/>
        <v>20</v>
      </c>
      <c r="AG22" s="60" t="str">
        <f t="shared" si="14"/>
        <v>Maine</v>
      </c>
      <c r="AH22">
        <v>0</v>
      </c>
      <c r="AI22" t="s">
        <v>69</v>
      </c>
      <c r="AJ22" t="s">
        <v>69</v>
      </c>
      <c r="AK22" t="s">
        <v>69</v>
      </c>
      <c r="AL22" t="s">
        <v>69</v>
      </c>
      <c r="AM22">
        <v>2.9092101671041304</v>
      </c>
      <c r="AN22">
        <v>0.21034450258922913</v>
      </c>
      <c r="AO22" t="s">
        <v>69</v>
      </c>
      <c r="AP22" t="s">
        <v>69</v>
      </c>
      <c r="AQ22" t="s">
        <v>69</v>
      </c>
      <c r="AR22">
        <v>0.57966651509599076</v>
      </c>
      <c r="AS22" s="71">
        <f t="shared" si="15"/>
        <v>3.0088169675146568</v>
      </c>
      <c r="AT22" s="71" t="str">
        <f t="shared" si="15"/>
        <v/>
      </c>
      <c r="AU22" s="71" t="str">
        <f t="shared" si="15"/>
        <v/>
      </c>
      <c r="AV22" s="71" t="str">
        <f t="shared" si="15"/>
        <v/>
      </c>
      <c r="AW22" s="71" t="str">
        <f t="shared" si="15"/>
        <v/>
      </c>
      <c r="AX22" s="71">
        <f t="shared" si="16"/>
        <v>1.4093914406226746</v>
      </c>
      <c r="AY22" s="71">
        <f t="shared" si="16"/>
        <v>1.0490478423689023</v>
      </c>
      <c r="AZ22" s="71" t="str">
        <f t="shared" si="16"/>
        <v/>
      </c>
      <c r="BA22" s="71" t="str">
        <f t="shared" si="16"/>
        <v/>
      </c>
      <c r="BB22" s="71" t="str">
        <f t="shared" si="16"/>
        <v/>
      </c>
      <c r="BC22" s="18">
        <f>IF(C22&lt;&gt;"",(('Data input'!C$109-'Data input'!C$108)*(AS22-1)/4)+'Data input'!C$108,"")</f>
        <v>0.92399846224211168</v>
      </c>
      <c r="BD22" s="18" t="str">
        <f>IF(D22&lt;&gt;"",(('Data input'!D$109-'Data input'!D$108)*(AT22-1)/4)+'Data input'!D$108,"")</f>
        <v/>
      </c>
      <c r="BE22" s="18" t="str">
        <f>IF(E22&lt;&gt;"",(('Data input'!E$109-'Data input'!E$108)*(AU22-1)/4)+'Data input'!E$108,"")</f>
        <v/>
      </c>
      <c r="BF22" s="18" t="str">
        <f>IF(F22&lt;&gt;"",(('Data input'!F$109-'Data input'!F$108)*(AV22-1)/4)+'Data input'!F$108,"")</f>
        <v/>
      </c>
      <c r="BG22" s="18" t="str">
        <f>IF(G22&lt;&gt;"",(('Data input'!G$109-'Data input'!G$108)*(AW22-1)/4)+'Data input'!G$108,"")</f>
        <v/>
      </c>
      <c r="BH22" s="19">
        <f>IF(H22&lt;&gt;"",(('Data input'!H$109-'Data input'!H$108)*(AX22-1)/4)+'Data input'!H$108,"")</f>
        <v>9.2114002186326616</v>
      </c>
      <c r="BI22" s="18">
        <f>IF(I22&lt;&gt;"",(('Data input'!I$109-'Data input'!I$108)*(AY22-1)/4)+'Data input'!I$108,"")</f>
        <v>2.1536158368534696E-3</v>
      </c>
      <c r="BJ22" s="19" t="str">
        <f>IF(J22&lt;&gt;"",(('Data input'!J$109-'Data input'!J$108)*(AZ22-1)/4)+'Data input'!J$108,"")</f>
        <v/>
      </c>
      <c r="BK22" s="19" t="str">
        <f>IF(K22&lt;&gt;"",(('Data input'!K$109-'Data input'!K$108)*(BA22-1)/4)+'Data input'!K$108,"")</f>
        <v/>
      </c>
      <c r="BL22" s="19" t="str">
        <f>IF(L22&lt;&gt;"",(('Data input'!L$109-'Data input'!L$108)*(BB22-1)/4)+'Data input'!L$108,"")</f>
        <v/>
      </c>
      <c r="BM22" s="18">
        <f>IF(C22&lt;&gt;"",BC22-'Data input'!C22,"")</f>
        <v>0</v>
      </c>
      <c r="BN22" s="18" t="str">
        <f>IF(D22&lt;&gt;"",BD22-'Data input'!D22,"")</f>
        <v/>
      </c>
      <c r="BO22" s="18" t="str">
        <f>IF(E22&lt;&gt;"",BE22-'Data input'!E22,"")</f>
        <v/>
      </c>
      <c r="BP22" s="18" t="str">
        <f>IF(F22&lt;&gt;"",BF22-'Data input'!F22,"")</f>
        <v/>
      </c>
      <c r="BQ22" s="18" t="str">
        <f>IF(G22&lt;&gt;"",BG22-'Data input'!G22,"")</f>
        <v/>
      </c>
      <c r="BR22" s="19">
        <f>IF(H22&lt;&gt;"",BH22-'Data input'!H22,"")</f>
        <v>-63.356286835549525</v>
      </c>
      <c r="BS22" s="18">
        <f>IF(I22&lt;&gt;"",BI22-'Data input'!I22,"")</f>
        <v>-9.2359058032376474E-3</v>
      </c>
      <c r="BT22" s="18" t="str">
        <f>IF(J22&lt;&gt;"",BJ22-'Data input'!J22,"")</f>
        <v/>
      </c>
      <c r="BU22" s="18" t="str">
        <f>IF(K22&lt;&gt;"",BK22-'Data input'!K22,"")</f>
        <v/>
      </c>
      <c r="BV22" s="72" t="str">
        <f>IF(L22&lt;&gt;"",BL22-'Data input'!L22,"")</f>
        <v/>
      </c>
      <c r="BW22" s="121" t="str">
        <f t="shared" si="17"/>
        <v xml:space="preserve">Kansas; New York; West Virginia; 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0.50547924537585853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0.22510969967699276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0.26941105494714862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FT22" s="1" t="str">
        <f t="shared" si="18"/>
        <v/>
      </c>
      <c r="FU22" s="1" t="str">
        <f t="shared" si="18"/>
        <v/>
      </c>
      <c r="FV22" s="1" t="str">
        <f t="shared" si="18"/>
        <v/>
      </c>
      <c r="FW22" s="1" t="str">
        <f t="shared" si="18"/>
        <v/>
      </c>
      <c r="FX22" s="1" t="str">
        <f t="shared" si="18"/>
        <v/>
      </c>
      <c r="FY22" s="1" t="str">
        <f t="shared" si="18"/>
        <v/>
      </c>
      <c r="FZ22" s="1" t="str">
        <f t="shared" si="18"/>
        <v/>
      </c>
      <c r="GA22" s="1" t="str">
        <f t="shared" si="18"/>
        <v/>
      </c>
      <c r="GB22" s="1" t="str">
        <f t="shared" si="18"/>
        <v/>
      </c>
      <c r="GC22" s="1" t="str">
        <f t="shared" si="18"/>
        <v/>
      </c>
      <c r="GD22" s="1" t="str">
        <f t="shared" si="18"/>
        <v/>
      </c>
      <c r="GE22" s="1" t="str">
        <f t="shared" si="18"/>
        <v/>
      </c>
      <c r="GF22" s="1" t="str">
        <f t="shared" si="18"/>
        <v/>
      </c>
      <c r="GG22" s="1" t="str">
        <f t="shared" si="18"/>
        <v/>
      </c>
      <c r="GH22" s="1" t="str">
        <f t="shared" si="18"/>
        <v/>
      </c>
      <c r="GI22" s="1" t="str">
        <f t="shared" si="18"/>
        <v/>
      </c>
      <c r="GJ22" s="1" t="str">
        <f t="shared" si="19"/>
        <v xml:space="preserve">Kansas; </v>
      </c>
      <c r="GK22" s="1" t="str">
        <f t="shared" si="19"/>
        <v/>
      </c>
      <c r="GL22" s="1" t="str">
        <f t="shared" si="19"/>
        <v/>
      </c>
      <c r="GM22" s="1" t="str">
        <f t="shared" si="19"/>
        <v/>
      </c>
      <c r="GN22" s="1" t="str">
        <f t="shared" si="19"/>
        <v/>
      </c>
      <c r="GO22" s="1" t="str">
        <f t="shared" si="19"/>
        <v/>
      </c>
      <c r="GP22" s="1" t="str">
        <f t="shared" si="19"/>
        <v/>
      </c>
      <c r="GQ22" s="1" t="str">
        <f t="shared" si="19"/>
        <v/>
      </c>
      <c r="GR22" s="1" t="str">
        <f t="shared" si="19"/>
        <v/>
      </c>
      <c r="GS22" s="1" t="str">
        <f t="shared" si="19"/>
        <v/>
      </c>
      <c r="GT22" s="1" t="str">
        <f t="shared" si="19"/>
        <v/>
      </c>
      <c r="GU22" s="1" t="str">
        <f t="shared" si="19"/>
        <v/>
      </c>
      <c r="GV22" s="1" t="str">
        <f t="shared" si="19"/>
        <v/>
      </c>
      <c r="GW22" s="1" t="str">
        <f t="shared" si="19"/>
        <v/>
      </c>
      <c r="GX22" s="1" t="str">
        <f t="shared" si="19"/>
        <v/>
      </c>
      <c r="GY22" s="1" t="str">
        <f t="shared" si="19"/>
        <v/>
      </c>
      <c r="GZ22" s="1" t="str">
        <f t="shared" si="20"/>
        <v xml:space="preserve">New York; </v>
      </c>
      <c r="HA22" s="1" t="str">
        <f t="shared" si="20"/>
        <v/>
      </c>
      <c r="HB22" s="1" t="str">
        <f t="shared" si="20"/>
        <v/>
      </c>
      <c r="HC22" s="1" t="str">
        <f t="shared" si="20"/>
        <v/>
      </c>
      <c r="HD22" s="1" t="str">
        <f t="shared" si="20"/>
        <v/>
      </c>
      <c r="HE22" s="1" t="str">
        <f t="shared" si="20"/>
        <v/>
      </c>
      <c r="HF22" s="1" t="str">
        <f t="shared" si="20"/>
        <v/>
      </c>
      <c r="HG22" s="1" t="str">
        <f t="shared" si="20"/>
        <v/>
      </c>
      <c r="HH22" s="1" t="str">
        <f t="shared" si="20"/>
        <v/>
      </c>
      <c r="HI22" s="1" t="str">
        <f t="shared" si="20"/>
        <v/>
      </c>
      <c r="HJ22" s="1" t="str">
        <f t="shared" si="20"/>
        <v/>
      </c>
      <c r="HK22" s="1" t="str">
        <f t="shared" si="20"/>
        <v/>
      </c>
      <c r="HL22" s="1" t="str">
        <f t="shared" si="20"/>
        <v/>
      </c>
      <c r="HM22" s="1" t="str">
        <f t="shared" si="20"/>
        <v/>
      </c>
      <c r="HN22" s="1" t="str">
        <f t="shared" si="20"/>
        <v/>
      </c>
      <c r="HO22" s="1" t="str">
        <f t="shared" si="20"/>
        <v xml:space="preserve">West Virginia; </v>
      </c>
      <c r="HP22" s="1" t="str">
        <f t="shared" si="21"/>
        <v/>
      </c>
      <c r="HQ22" s="1" t="str">
        <f t="shared" si="21"/>
        <v/>
      </c>
      <c r="HR22" s="1" t="str">
        <f t="shared" si="21"/>
        <v/>
      </c>
      <c r="HS22" s="1" t="str">
        <f t="shared" si="21"/>
        <v/>
      </c>
      <c r="HT22" s="1" t="str">
        <f t="shared" si="21"/>
        <v/>
      </c>
      <c r="HU22" s="1" t="str">
        <f t="shared" si="21"/>
        <v/>
      </c>
      <c r="HV22" s="1" t="str">
        <f t="shared" si="21"/>
        <v/>
      </c>
      <c r="HW22" s="1" t="str">
        <f t="shared" si="21"/>
        <v/>
      </c>
      <c r="HX22" s="1" t="str">
        <f t="shared" si="21"/>
        <v/>
      </c>
      <c r="HY22" s="1" t="str">
        <f t="shared" si="21"/>
        <v/>
      </c>
      <c r="HZ22" s="1" t="str">
        <f t="shared" si="21"/>
        <v/>
      </c>
      <c r="IA22" s="1" t="str">
        <f t="shared" si="21"/>
        <v/>
      </c>
      <c r="IB22" s="1" t="str">
        <f t="shared" si="21"/>
        <v/>
      </c>
      <c r="IC22" s="1" t="str">
        <f t="shared" si="21"/>
        <v/>
      </c>
      <c r="ID22" s="1" t="str">
        <f t="shared" si="21"/>
        <v/>
      </c>
      <c r="IE22" s="1" t="str">
        <f t="shared" si="21"/>
        <v/>
      </c>
      <c r="IF22" s="1" t="str">
        <f t="shared" si="22"/>
        <v/>
      </c>
      <c r="IG22" s="1" t="str">
        <f t="shared" si="22"/>
        <v/>
      </c>
      <c r="IH22" s="1" t="str">
        <f t="shared" si="22"/>
        <v/>
      </c>
      <c r="II22" s="1" t="str">
        <f t="shared" si="22"/>
        <v/>
      </c>
      <c r="IJ22" s="1" t="str">
        <f t="shared" si="22"/>
        <v/>
      </c>
      <c r="IK22" s="1" t="str">
        <f t="shared" si="22"/>
        <v/>
      </c>
      <c r="IL22" s="1" t="str">
        <f t="shared" si="22"/>
        <v/>
      </c>
      <c r="IM22" s="1" t="str">
        <f t="shared" si="22"/>
        <v/>
      </c>
      <c r="IN22" s="1" t="str">
        <f t="shared" si="22"/>
        <v/>
      </c>
      <c r="IO22" s="1" t="str">
        <f t="shared" si="22"/>
        <v/>
      </c>
      <c r="IP22" s="1" t="str">
        <f t="shared" si="22"/>
        <v/>
      </c>
      <c r="IQ22" s="1" t="str">
        <f t="shared" si="22"/>
        <v/>
      </c>
      <c r="IR22" s="1" t="str">
        <f t="shared" si="22"/>
        <v/>
      </c>
      <c r="IS22" s="1" t="str">
        <f t="shared" si="22"/>
        <v/>
      </c>
      <c r="IT22" s="1" t="str">
        <f t="shared" si="22"/>
        <v/>
      </c>
      <c r="IU22" s="1" t="str">
        <f t="shared" si="22"/>
        <v/>
      </c>
      <c r="IV22" s="1" t="str">
        <f t="shared" si="23"/>
        <v/>
      </c>
      <c r="IW22" s="1" t="str">
        <f t="shared" si="23"/>
        <v/>
      </c>
      <c r="IX22" s="1" t="str">
        <f t="shared" si="23"/>
        <v/>
      </c>
      <c r="IY22" s="1" t="str">
        <f t="shared" si="23"/>
        <v/>
      </c>
      <c r="IZ22" s="1" t="str">
        <f t="shared" si="23"/>
        <v/>
      </c>
      <c r="JA22" s="1" t="str">
        <f t="shared" si="23"/>
        <v/>
      </c>
      <c r="JB22" s="1" t="str">
        <f t="shared" si="23"/>
        <v/>
      </c>
      <c r="JC22" s="1" t="str">
        <f t="shared" si="23"/>
        <v/>
      </c>
      <c r="JD22" s="1" t="str">
        <f t="shared" si="23"/>
        <v/>
      </c>
      <c r="JE22" s="1" t="str">
        <f t="shared" si="23"/>
        <v/>
      </c>
      <c r="JF22" s="1" t="str">
        <f t="shared" si="23"/>
        <v/>
      </c>
      <c r="JG22" s="1" t="str">
        <f t="shared" si="23"/>
        <v/>
      </c>
      <c r="JH22" s="1" t="str">
        <f t="shared" si="23"/>
        <v/>
      </c>
      <c r="JI22" s="1" t="str">
        <f t="shared" si="23"/>
        <v/>
      </c>
      <c r="JJ22" s="1" t="str">
        <f t="shared" si="23"/>
        <v/>
      </c>
      <c r="JK22" s="1" t="str">
        <f t="shared" si="23"/>
        <v/>
      </c>
      <c r="JL22" s="1" t="str">
        <f t="shared" si="24"/>
        <v/>
      </c>
      <c r="JM22" s="1" t="str">
        <f t="shared" si="12"/>
        <v/>
      </c>
      <c r="JN22" s="1" t="str">
        <f t="shared" si="12"/>
        <v/>
      </c>
      <c r="JO22" s="1" t="str">
        <f t="shared" si="12"/>
        <v/>
      </c>
    </row>
    <row r="23" spans="1:275" ht="14.5" x14ac:dyDescent="0.35">
      <c r="A23" s="59">
        <f>IF('Data input'!A23&lt;&gt;"",'Data input'!A23,"")</f>
        <v>21</v>
      </c>
      <c r="B23" s="60" t="str">
        <f>IF('Data input'!B23&lt;&gt;"",'Data input'!B23,"")</f>
        <v>Maryland</v>
      </c>
      <c r="C23" s="19">
        <f>IF('Data input'!C23="","",4*('Data input'!C23-'Data input'!C$108)/('Data input'!C$109-'Data input'!C$108)+1)</f>
        <v>4.4606824173681927</v>
      </c>
      <c r="D23" s="19" t="str">
        <f>IF('Data input'!D23="","",4*('Data input'!D23-'Data input'!D$108)/('Data input'!D$109-'Data input'!D$108)+1)</f>
        <v/>
      </c>
      <c r="E23" s="19" t="str">
        <f>IF('Data input'!E23="","",4*('Data input'!E23-'Data input'!E$108)/('Data input'!E$109-'Data input'!E$108)+1)</f>
        <v/>
      </c>
      <c r="F23" s="19" t="str">
        <f>IF('Data input'!F23="","",4*('Data input'!F23-'Data input'!F$108)/('Data input'!F$109-'Data input'!F$108)+1)</f>
        <v/>
      </c>
      <c r="G23" s="19" t="str">
        <f>IF('Data input'!G23="","",4*('Data input'!G23-'Data input'!G$108)/('Data input'!G$109-'Data input'!G$108)+1)</f>
        <v/>
      </c>
      <c r="H23" s="61">
        <f>IF('Data input'!H23="","",4*('Data input'!H23-'Data input'!H$108)/('Data input'!H$109-'Data input'!H$108)+1)</f>
        <v>1.1069317684448856</v>
      </c>
      <c r="I23" s="19">
        <f>IF('Data input'!I23="","",4*('Data input'!I23-'Data input'!I$108)/('Data input'!I$109-'Data input'!I$108)+1)</f>
        <v>1.6214798741282257</v>
      </c>
      <c r="J23" s="19" t="str">
        <f>IF('Data input'!J23="","",4*('Data input'!J23-'Data input'!J$108)/('Data input'!J$109-'Data input'!J$108)+1)</f>
        <v/>
      </c>
      <c r="K23" s="19" t="str">
        <f>IF('Data input'!K23="","",4*('Data input'!K23-'Data input'!K$108)/('Data input'!K$109-'Data input'!K$108)+1)</f>
        <v/>
      </c>
      <c r="L23" s="19" t="str">
        <f>IF('Data input'!L23="","",4*('Data input'!L23-'Data input'!L$108)/('Data input'!L$109-'Data input'!L$108)+1)</f>
        <v/>
      </c>
      <c r="M23" s="19">
        <f>IF('Data input'!M23="","",4*('Data input'!M23-'Data input'!M$108)/('Data input'!M$109-'Data input'!M$108)+1)</f>
        <v>3.178776241111136</v>
      </c>
      <c r="N23" s="16" t="str">
        <f>IF('Data input'!N23="","",4*('Data input'!N23-'Data input'!N$108)/('Data input'!N$109-'Data input'!N$108)+1)</f>
        <v/>
      </c>
      <c r="O23" s="19" t="str">
        <f>IF('Data input'!O23="","",4*('Data input'!O23-'Data input'!O$108)/('Data input'!O$109-'Data input'!O$108)+1)</f>
        <v/>
      </c>
      <c r="P23" s="19" t="str">
        <f>IF('Data input'!P23="","",4*('Data input'!P23-'Data input'!P$108)/('Data input'!P$109-'Data input'!P$108)+1)</f>
        <v/>
      </c>
      <c r="Q23" s="19" t="str">
        <f>IF('Data input'!Q23="","",4*('Data input'!Q23-'Data input'!Q$108)/('Data input'!Q$109-'Data input'!Q$108)+1)</f>
        <v/>
      </c>
      <c r="R23" s="19" t="str">
        <f>IF('Data input'!R23="","",4*('Data input'!R23-'Data input'!R$108)/('Data input'!R$109-'Data input'!R$108)+1)</f>
        <v/>
      </c>
      <c r="S23" s="16" t="str">
        <f>IF('Data input'!S23="","",4*('Data input'!S23-'Data input'!S$108)/('Data input'!S$109-'Data input'!S$108)+1)</f>
        <v/>
      </c>
      <c r="T23" s="19" t="str">
        <f>IF('Data input'!T23="","",4*('Data input'!T23-'Data input'!T$108)/('Data input'!T$109-'Data input'!T$108)+1)</f>
        <v/>
      </c>
      <c r="U23" s="19" t="str">
        <f>IF('Data input'!U23="","",4*('Data input'!U23-'Data input'!U$108)/('Data input'!U$109-'Data input'!U$108)+1)</f>
        <v/>
      </c>
      <c r="V23" s="19" t="str">
        <f>IF('Data input'!V23="","",4*('Data input'!V23-'Data input'!V$108)/('Data input'!V$109-'Data input'!V$108)+1)</f>
        <v/>
      </c>
      <c r="W23" s="16" t="str">
        <f>IF('Data input'!W23="","",4*('Data input'!W23-'Data input'!W$108)/('Data input'!W$109-'Data input'!W$108)+1)</f>
        <v/>
      </c>
      <c r="X23" s="16" t="str">
        <f>IF('Data input'!X23="","",4*('Data input'!X23-'Data input'!X$108)/('Data input'!X$109-'Data input'!X$108)+1)</f>
        <v/>
      </c>
      <c r="Y23" s="16" t="str">
        <f>IF('Data input'!Y23="","",4*('Data input'!Y23-'Data input'!Y$108)/('Data input'!Y$109-'Data input'!Y$108)+1)</f>
        <v/>
      </c>
      <c r="Z23" s="16" t="str">
        <f>IF('Data input'!Z23="","",4*('Data input'!Z23-'Data input'!Z$108)/('Data input'!Z$109-'Data input'!Z$108)+1)</f>
        <v/>
      </c>
      <c r="AA23" s="62" t="str">
        <f>IF('Data input'!AA23="","",4*('Data input'!AA23-'Data input'!AA$108)/('Data input'!AA$109-'Data input'!AA$108)+1)</f>
        <v/>
      </c>
      <c r="AB23" s="78"/>
      <c r="AC23" s="79">
        <v>0</v>
      </c>
      <c r="AD23" s="80" t="e">
        <f t="shared" si="13"/>
        <v>#DIV/0!</v>
      </c>
      <c r="AE23" s="4"/>
      <c r="AF23" s="59">
        <f t="shared" si="14"/>
        <v>21</v>
      </c>
      <c r="AG23" s="60" t="str">
        <f t="shared" si="14"/>
        <v>Maryland</v>
      </c>
      <c r="AH23">
        <v>0</v>
      </c>
      <c r="AI23" t="s">
        <v>69</v>
      </c>
      <c r="AJ23" t="s">
        <v>69</v>
      </c>
      <c r="AK23" t="s">
        <v>69</v>
      </c>
      <c r="AL23" t="s">
        <v>69</v>
      </c>
      <c r="AM23">
        <v>7.3911558494183544E-2</v>
      </c>
      <c r="AN23">
        <v>0.5957522593049851</v>
      </c>
      <c r="AO23" t="s">
        <v>69</v>
      </c>
      <c r="AP23" t="s">
        <v>69</v>
      </c>
      <c r="AQ23" t="s">
        <v>69</v>
      </c>
      <c r="AR23">
        <v>0.78290788322987326</v>
      </c>
      <c r="AS23" s="71">
        <f t="shared" si="15"/>
        <v>4.4606824173681927</v>
      </c>
      <c r="AT23" s="71" t="str">
        <f t="shared" si="15"/>
        <v/>
      </c>
      <c r="AU23" s="71" t="str">
        <f t="shared" si="15"/>
        <v/>
      </c>
      <c r="AV23" s="71" t="str">
        <f t="shared" si="15"/>
        <v/>
      </c>
      <c r="AW23" s="71" t="str">
        <f t="shared" si="15"/>
        <v/>
      </c>
      <c r="AX23" s="71">
        <f t="shared" si="16"/>
        <v>1.033020209950702</v>
      </c>
      <c r="AY23" s="71">
        <f t="shared" si="16"/>
        <v>1.0257276148232406</v>
      </c>
      <c r="AZ23" s="71" t="str">
        <f t="shared" si="16"/>
        <v/>
      </c>
      <c r="BA23" s="71" t="str">
        <f t="shared" si="16"/>
        <v/>
      </c>
      <c r="BB23" s="71" t="str">
        <f t="shared" si="16"/>
        <v/>
      </c>
      <c r="BC23" s="18">
        <f>IF(C23&lt;&gt;"",(('Data input'!C$109-'Data input'!C$108)*(AS23-1)/4)+'Data input'!C$108,"")</f>
        <v>0.97671158640955424</v>
      </c>
      <c r="BD23" s="18" t="str">
        <f>IF(D23&lt;&gt;"",(('Data input'!D$109-'Data input'!D$108)*(AT23-1)/4)+'Data input'!D$108,"")</f>
        <v/>
      </c>
      <c r="BE23" s="18" t="str">
        <f>IF(E23&lt;&gt;"",(('Data input'!E$109-'Data input'!E$108)*(AU23-1)/4)+'Data input'!E$108,"")</f>
        <v/>
      </c>
      <c r="BF23" s="18" t="str">
        <f>IF(F23&lt;&gt;"",(('Data input'!F$109-'Data input'!F$108)*(AV23-1)/4)+'Data input'!F$108,"")</f>
        <v/>
      </c>
      <c r="BG23" s="18" t="str">
        <f>IF(G23&lt;&gt;"",(('Data input'!G$109-'Data input'!G$108)*(AW23-1)/4)+'Data input'!G$108,"")</f>
        <v/>
      </c>
      <c r="BH23" s="19">
        <f>IF(H23&lt;&gt;"",(('Data input'!H$109-'Data input'!H$108)*(AX23-1)/4)+'Data input'!H$108,"")</f>
        <v>1.0148512319919309</v>
      </c>
      <c r="BI23" s="18">
        <f>IF(I23&lt;&gt;"",(('Data input'!I$109-'Data input'!I$108)*(AY23-1)/4)+'Data input'!I$108,"")</f>
        <v>1.1296602674397541E-3</v>
      </c>
      <c r="BJ23" s="19" t="str">
        <f>IF(J23&lt;&gt;"",(('Data input'!J$109-'Data input'!J$108)*(AZ23-1)/4)+'Data input'!J$108,"")</f>
        <v/>
      </c>
      <c r="BK23" s="19" t="str">
        <f>IF(K23&lt;&gt;"",(('Data input'!K$109-'Data input'!K$108)*(BA23-1)/4)+'Data input'!K$108,"")</f>
        <v/>
      </c>
      <c r="BL23" s="19" t="str">
        <f>IF(L23&lt;&gt;"",(('Data input'!L$109-'Data input'!L$108)*(BB23-1)/4)+'Data input'!L$108,"")</f>
        <v/>
      </c>
      <c r="BM23" s="18">
        <f>IF(C23&lt;&gt;"",BC23-'Data input'!C23,"")</f>
        <v>0</v>
      </c>
      <c r="BN23" s="18" t="str">
        <f>IF(D23&lt;&gt;"",BD23-'Data input'!D23,"")</f>
        <v/>
      </c>
      <c r="BO23" s="18" t="str">
        <f>IF(E23&lt;&gt;"",BE23-'Data input'!E23,"")</f>
        <v/>
      </c>
      <c r="BP23" s="18" t="str">
        <f>IF(F23&lt;&gt;"",BF23-'Data input'!F23,"")</f>
        <v/>
      </c>
      <c r="BQ23" s="18" t="str">
        <f>IF(G23&lt;&gt;"",BG23-'Data input'!G23,"")</f>
        <v/>
      </c>
      <c r="BR23" s="19">
        <f>IF(H23&lt;&gt;"",BH23-'Data input'!H23,"")</f>
        <v>-1.6096334164407546</v>
      </c>
      <c r="BS23" s="18">
        <f>IF(I23&lt;&gt;"",BI23-'Data input'!I23,"")</f>
        <v>-2.6158571682531818E-2</v>
      </c>
      <c r="BT23" s="18" t="str">
        <f>IF(J23&lt;&gt;"",BJ23-'Data input'!J23,"")</f>
        <v/>
      </c>
      <c r="BU23" s="18" t="str">
        <f>IF(K23&lt;&gt;"",BK23-'Data input'!K23,"")</f>
        <v/>
      </c>
      <c r="BV23" s="72" t="str">
        <f>IF(L23&lt;&gt;"",BL23-'Data input'!L23,"")</f>
        <v/>
      </c>
      <c r="BW23" s="121" t="str">
        <f t="shared" si="17"/>
        <v xml:space="preserve">New York; Texas; 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0.12280203993182744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0.87719796006817286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FT23" s="1" t="str">
        <f t="shared" si="18"/>
        <v/>
      </c>
      <c r="FU23" s="1" t="str">
        <f t="shared" si="18"/>
        <v/>
      </c>
      <c r="FV23" s="1" t="str">
        <f t="shared" si="18"/>
        <v/>
      </c>
      <c r="FW23" s="1" t="str">
        <f t="shared" si="18"/>
        <v/>
      </c>
      <c r="FX23" s="1" t="str">
        <f t="shared" si="18"/>
        <v/>
      </c>
      <c r="FY23" s="1" t="str">
        <f t="shared" si="18"/>
        <v/>
      </c>
      <c r="FZ23" s="1" t="str">
        <f t="shared" si="18"/>
        <v/>
      </c>
      <c r="GA23" s="1" t="str">
        <f t="shared" si="18"/>
        <v/>
      </c>
      <c r="GB23" s="1" t="str">
        <f t="shared" si="18"/>
        <v/>
      </c>
      <c r="GC23" s="1" t="str">
        <f t="shared" si="18"/>
        <v/>
      </c>
      <c r="GD23" s="1" t="str">
        <f t="shared" si="18"/>
        <v/>
      </c>
      <c r="GE23" s="1" t="str">
        <f t="shared" si="18"/>
        <v/>
      </c>
      <c r="GF23" s="1" t="str">
        <f t="shared" si="18"/>
        <v/>
      </c>
      <c r="GG23" s="1" t="str">
        <f t="shared" si="18"/>
        <v/>
      </c>
      <c r="GH23" s="1" t="str">
        <f t="shared" si="18"/>
        <v/>
      </c>
      <c r="GI23" s="1" t="str">
        <f t="shared" si="18"/>
        <v/>
      </c>
      <c r="GJ23" s="1" t="str">
        <f t="shared" si="19"/>
        <v/>
      </c>
      <c r="GK23" s="1" t="str">
        <f t="shared" si="19"/>
        <v/>
      </c>
      <c r="GL23" s="1" t="str">
        <f t="shared" si="19"/>
        <v/>
      </c>
      <c r="GM23" s="1" t="str">
        <f t="shared" si="19"/>
        <v/>
      </c>
      <c r="GN23" s="1" t="str">
        <f t="shared" si="19"/>
        <v/>
      </c>
      <c r="GO23" s="1" t="str">
        <f t="shared" si="19"/>
        <v/>
      </c>
      <c r="GP23" s="1" t="str">
        <f t="shared" si="19"/>
        <v/>
      </c>
      <c r="GQ23" s="1" t="str">
        <f t="shared" si="19"/>
        <v/>
      </c>
      <c r="GR23" s="1" t="str">
        <f t="shared" si="19"/>
        <v/>
      </c>
      <c r="GS23" s="1" t="str">
        <f t="shared" si="19"/>
        <v/>
      </c>
      <c r="GT23" s="1" t="str">
        <f t="shared" si="19"/>
        <v/>
      </c>
      <c r="GU23" s="1" t="str">
        <f t="shared" si="19"/>
        <v/>
      </c>
      <c r="GV23" s="1" t="str">
        <f t="shared" si="19"/>
        <v/>
      </c>
      <c r="GW23" s="1" t="str">
        <f t="shared" si="19"/>
        <v/>
      </c>
      <c r="GX23" s="1" t="str">
        <f t="shared" si="19"/>
        <v/>
      </c>
      <c r="GY23" s="1" t="str">
        <f t="shared" si="19"/>
        <v/>
      </c>
      <c r="GZ23" s="1" t="str">
        <f t="shared" si="20"/>
        <v xml:space="preserve">New York; </v>
      </c>
      <c r="HA23" s="1" t="str">
        <f t="shared" si="20"/>
        <v/>
      </c>
      <c r="HB23" s="1" t="str">
        <f t="shared" si="20"/>
        <v/>
      </c>
      <c r="HC23" s="1" t="str">
        <f t="shared" si="20"/>
        <v/>
      </c>
      <c r="HD23" s="1" t="str">
        <f t="shared" si="20"/>
        <v/>
      </c>
      <c r="HE23" s="1" t="str">
        <f t="shared" si="20"/>
        <v/>
      </c>
      <c r="HF23" s="1" t="str">
        <f t="shared" si="20"/>
        <v/>
      </c>
      <c r="HG23" s="1" t="str">
        <f t="shared" si="20"/>
        <v/>
      </c>
      <c r="HH23" s="1" t="str">
        <f t="shared" si="20"/>
        <v/>
      </c>
      <c r="HI23" s="1" t="str">
        <f t="shared" si="20"/>
        <v/>
      </c>
      <c r="HJ23" s="1" t="str">
        <f t="shared" si="20"/>
        <v xml:space="preserve">Texas; </v>
      </c>
      <c r="HK23" s="1" t="str">
        <f t="shared" si="20"/>
        <v/>
      </c>
      <c r="HL23" s="1" t="str">
        <f t="shared" si="20"/>
        <v/>
      </c>
      <c r="HM23" s="1" t="str">
        <f t="shared" si="20"/>
        <v/>
      </c>
      <c r="HN23" s="1" t="str">
        <f t="shared" si="20"/>
        <v/>
      </c>
      <c r="HO23" s="1" t="str">
        <f t="shared" si="20"/>
        <v/>
      </c>
      <c r="HP23" s="1" t="str">
        <f t="shared" si="21"/>
        <v/>
      </c>
      <c r="HQ23" s="1" t="str">
        <f t="shared" si="21"/>
        <v/>
      </c>
      <c r="HR23" s="1" t="str">
        <f t="shared" si="21"/>
        <v/>
      </c>
      <c r="HS23" s="1" t="str">
        <f t="shared" si="21"/>
        <v/>
      </c>
      <c r="HT23" s="1" t="str">
        <f t="shared" si="21"/>
        <v/>
      </c>
      <c r="HU23" s="1" t="str">
        <f t="shared" si="21"/>
        <v/>
      </c>
      <c r="HV23" s="1" t="str">
        <f t="shared" si="21"/>
        <v/>
      </c>
      <c r="HW23" s="1" t="str">
        <f t="shared" si="21"/>
        <v/>
      </c>
      <c r="HX23" s="1" t="str">
        <f t="shared" si="21"/>
        <v/>
      </c>
      <c r="HY23" s="1" t="str">
        <f t="shared" si="21"/>
        <v/>
      </c>
      <c r="HZ23" s="1" t="str">
        <f t="shared" si="21"/>
        <v/>
      </c>
      <c r="IA23" s="1" t="str">
        <f t="shared" si="21"/>
        <v/>
      </c>
      <c r="IB23" s="1" t="str">
        <f t="shared" si="21"/>
        <v/>
      </c>
      <c r="IC23" s="1" t="str">
        <f t="shared" si="21"/>
        <v/>
      </c>
      <c r="ID23" s="1" t="str">
        <f t="shared" si="21"/>
        <v/>
      </c>
      <c r="IE23" s="1" t="str">
        <f t="shared" si="21"/>
        <v/>
      </c>
      <c r="IF23" s="1" t="str">
        <f t="shared" si="22"/>
        <v/>
      </c>
      <c r="IG23" s="1" t="str">
        <f t="shared" si="22"/>
        <v/>
      </c>
      <c r="IH23" s="1" t="str">
        <f t="shared" si="22"/>
        <v/>
      </c>
      <c r="II23" s="1" t="str">
        <f t="shared" si="22"/>
        <v/>
      </c>
      <c r="IJ23" s="1" t="str">
        <f t="shared" si="22"/>
        <v/>
      </c>
      <c r="IK23" s="1" t="str">
        <f t="shared" si="22"/>
        <v/>
      </c>
      <c r="IL23" s="1" t="str">
        <f t="shared" si="22"/>
        <v/>
      </c>
      <c r="IM23" s="1" t="str">
        <f t="shared" si="22"/>
        <v/>
      </c>
      <c r="IN23" s="1" t="str">
        <f t="shared" si="22"/>
        <v/>
      </c>
      <c r="IO23" s="1" t="str">
        <f t="shared" si="22"/>
        <v/>
      </c>
      <c r="IP23" s="1" t="str">
        <f t="shared" si="22"/>
        <v/>
      </c>
      <c r="IQ23" s="1" t="str">
        <f t="shared" si="22"/>
        <v/>
      </c>
      <c r="IR23" s="1" t="str">
        <f t="shared" si="22"/>
        <v/>
      </c>
      <c r="IS23" s="1" t="str">
        <f t="shared" si="22"/>
        <v/>
      </c>
      <c r="IT23" s="1" t="str">
        <f t="shared" si="22"/>
        <v/>
      </c>
      <c r="IU23" s="1" t="str">
        <f t="shared" si="22"/>
        <v/>
      </c>
      <c r="IV23" s="1" t="str">
        <f t="shared" si="23"/>
        <v/>
      </c>
      <c r="IW23" s="1" t="str">
        <f t="shared" si="23"/>
        <v/>
      </c>
      <c r="IX23" s="1" t="str">
        <f t="shared" si="23"/>
        <v/>
      </c>
      <c r="IY23" s="1" t="str">
        <f t="shared" si="23"/>
        <v/>
      </c>
      <c r="IZ23" s="1" t="str">
        <f t="shared" si="23"/>
        <v/>
      </c>
      <c r="JA23" s="1" t="str">
        <f t="shared" si="23"/>
        <v/>
      </c>
      <c r="JB23" s="1" t="str">
        <f t="shared" si="23"/>
        <v/>
      </c>
      <c r="JC23" s="1" t="str">
        <f t="shared" si="23"/>
        <v/>
      </c>
      <c r="JD23" s="1" t="str">
        <f t="shared" si="23"/>
        <v/>
      </c>
      <c r="JE23" s="1" t="str">
        <f t="shared" si="23"/>
        <v/>
      </c>
      <c r="JF23" s="1" t="str">
        <f t="shared" si="23"/>
        <v/>
      </c>
      <c r="JG23" s="1" t="str">
        <f t="shared" si="23"/>
        <v/>
      </c>
      <c r="JH23" s="1" t="str">
        <f t="shared" si="23"/>
        <v/>
      </c>
      <c r="JI23" s="1" t="str">
        <f t="shared" si="23"/>
        <v/>
      </c>
      <c r="JJ23" s="1" t="str">
        <f t="shared" si="23"/>
        <v/>
      </c>
      <c r="JK23" s="1" t="str">
        <f t="shared" si="23"/>
        <v/>
      </c>
      <c r="JL23" s="1" t="str">
        <f t="shared" si="24"/>
        <v/>
      </c>
      <c r="JM23" s="1" t="str">
        <f t="shared" si="12"/>
        <v/>
      </c>
      <c r="JN23" s="1" t="str">
        <f t="shared" si="12"/>
        <v/>
      </c>
      <c r="JO23" s="1" t="str">
        <f t="shared" si="12"/>
        <v/>
      </c>
    </row>
    <row r="24" spans="1:275" ht="14.5" x14ac:dyDescent="0.35">
      <c r="A24" s="59">
        <f>IF('Data input'!A24&lt;&gt;"",'Data input'!A24,"")</f>
        <v>22</v>
      </c>
      <c r="B24" s="60" t="str">
        <f>IF('Data input'!B24&lt;&gt;"",'Data input'!B24,"")</f>
        <v>Massachusetts</v>
      </c>
      <c r="C24" s="19">
        <f>IF('Data input'!C24="","",4*('Data input'!C24-'Data input'!C$108)/('Data input'!C$109-'Data input'!C$108)+1)</f>
        <v>1.9171457168124237</v>
      </c>
      <c r="D24" s="19" t="str">
        <f>IF('Data input'!D24="","",4*('Data input'!D24-'Data input'!D$108)/('Data input'!D$109-'Data input'!D$108)+1)</f>
        <v/>
      </c>
      <c r="E24" s="19" t="str">
        <f>IF('Data input'!E24="","",4*('Data input'!E24-'Data input'!E$108)/('Data input'!E$109-'Data input'!E$108)+1)</f>
        <v/>
      </c>
      <c r="F24" s="19" t="str">
        <f>IF('Data input'!F24="","",4*('Data input'!F24-'Data input'!F$108)/('Data input'!F$109-'Data input'!F$108)+1)</f>
        <v/>
      </c>
      <c r="G24" s="19" t="str">
        <f>IF('Data input'!G24="","",4*('Data input'!G24-'Data input'!G$108)/('Data input'!G$109-'Data input'!G$108)+1)</f>
        <v/>
      </c>
      <c r="H24" s="61">
        <f>IF('Data input'!H24="","",4*('Data input'!H24-'Data input'!H$108)/('Data input'!H$109-'Data input'!H$108)+1)</f>
        <v>1.9224791335698237</v>
      </c>
      <c r="I24" s="19">
        <f>IF('Data input'!I24="","",4*('Data input'!I24-'Data input'!I$108)/('Data input'!I$109-'Data input'!I$108)+1)</f>
        <v>3.1743512254630142</v>
      </c>
      <c r="J24" s="19" t="str">
        <f>IF('Data input'!J24="","",4*('Data input'!J24-'Data input'!J$108)/('Data input'!J$109-'Data input'!J$108)+1)</f>
        <v/>
      </c>
      <c r="K24" s="19" t="str">
        <f>IF('Data input'!K24="","",4*('Data input'!K24-'Data input'!K$108)/('Data input'!K$109-'Data input'!K$108)+1)</f>
        <v/>
      </c>
      <c r="L24" s="19" t="str">
        <f>IF('Data input'!L24="","",4*('Data input'!L24-'Data input'!L$108)/('Data input'!L$109-'Data input'!L$108)+1)</f>
        <v/>
      </c>
      <c r="M24" s="19">
        <f>IF('Data input'!M24="","",4*('Data input'!M24-'Data input'!M$108)/('Data input'!M$109-'Data input'!M$108)+1)</f>
        <v>3.6958953981397213</v>
      </c>
      <c r="N24" s="16" t="str">
        <f>IF('Data input'!N24="","",4*('Data input'!N24-'Data input'!N$108)/('Data input'!N$109-'Data input'!N$108)+1)</f>
        <v/>
      </c>
      <c r="O24" s="19" t="str">
        <f>IF('Data input'!O24="","",4*('Data input'!O24-'Data input'!O$108)/('Data input'!O$109-'Data input'!O$108)+1)</f>
        <v/>
      </c>
      <c r="P24" s="19" t="str">
        <f>IF('Data input'!P24="","",4*('Data input'!P24-'Data input'!P$108)/('Data input'!P$109-'Data input'!P$108)+1)</f>
        <v/>
      </c>
      <c r="Q24" s="19" t="str">
        <f>IF('Data input'!Q24="","",4*('Data input'!Q24-'Data input'!Q$108)/('Data input'!Q$109-'Data input'!Q$108)+1)</f>
        <v/>
      </c>
      <c r="R24" s="19" t="str">
        <f>IF('Data input'!R24="","",4*('Data input'!R24-'Data input'!R$108)/('Data input'!R$109-'Data input'!R$108)+1)</f>
        <v/>
      </c>
      <c r="S24" s="16" t="str">
        <f>IF('Data input'!S24="","",4*('Data input'!S24-'Data input'!S$108)/('Data input'!S$109-'Data input'!S$108)+1)</f>
        <v/>
      </c>
      <c r="T24" s="19" t="str">
        <f>IF('Data input'!T24="","",4*('Data input'!T24-'Data input'!T$108)/('Data input'!T$109-'Data input'!T$108)+1)</f>
        <v/>
      </c>
      <c r="U24" s="19" t="str">
        <f>IF('Data input'!U24="","",4*('Data input'!U24-'Data input'!U$108)/('Data input'!U$109-'Data input'!U$108)+1)</f>
        <v/>
      </c>
      <c r="V24" s="19" t="str">
        <f>IF('Data input'!V24="","",4*('Data input'!V24-'Data input'!V$108)/('Data input'!V$109-'Data input'!V$108)+1)</f>
        <v/>
      </c>
      <c r="W24" s="16" t="str">
        <f>IF('Data input'!W24="","",4*('Data input'!W24-'Data input'!W$108)/('Data input'!W$109-'Data input'!W$108)+1)</f>
        <v/>
      </c>
      <c r="X24" s="16" t="str">
        <f>IF('Data input'!X24="","",4*('Data input'!X24-'Data input'!X$108)/('Data input'!X$109-'Data input'!X$108)+1)</f>
        <v/>
      </c>
      <c r="Y24" s="16" t="str">
        <f>IF('Data input'!Y24="","",4*('Data input'!Y24-'Data input'!Y$108)/('Data input'!Y$109-'Data input'!Y$108)+1)</f>
        <v/>
      </c>
      <c r="Z24" s="16" t="str">
        <f>IF('Data input'!Z24="","",4*('Data input'!Z24-'Data input'!Z$108)/('Data input'!Z$109-'Data input'!Z$108)+1)</f>
        <v/>
      </c>
      <c r="AA24" s="62" t="str">
        <f>IF('Data input'!AA24="","",4*('Data input'!AA24-'Data input'!AA$108)/('Data input'!AA$109-'Data input'!AA$108)+1)</f>
        <v/>
      </c>
      <c r="AB24" s="78"/>
      <c r="AC24" s="79">
        <v>0</v>
      </c>
      <c r="AD24" s="80" t="e">
        <f t="shared" si="13"/>
        <v>#DIV/0!</v>
      </c>
      <c r="AE24" s="4"/>
      <c r="AF24" s="59">
        <f t="shared" si="14"/>
        <v>22</v>
      </c>
      <c r="AG24" s="60" t="str">
        <f t="shared" si="14"/>
        <v>Massachusetts</v>
      </c>
      <c r="AH24">
        <v>0.97633369160936112</v>
      </c>
      <c r="AI24" t="s">
        <v>69</v>
      </c>
      <c r="AJ24" t="s">
        <v>69</v>
      </c>
      <c r="AK24" t="s">
        <v>69</v>
      </c>
      <c r="AL24" t="s">
        <v>69</v>
      </c>
      <c r="AM24">
        <v>0</v>
      </c>
      <c r="AN24">
        <v>1.6246238019095376</v>
      </c>
      <c r="AO24" t="s">
        <v>69</v>
      </c>
      <c r="AP24" t="s">
        <v>69</v>
      </c>
      <c r="AQ24" t="s">
        <v>69</v>
      </c>
      <c r="AR24">
        <v>0.491025880542375</v>
      </c>
      <c r="AS24" s="71">
        <f t="shared" si="15"/>
        <v>2.893479408421785</v>
      </c>
      <c r="AT24" s="71" t="str">
        <f t="shared" si="15"/>
        <v/>
      </c>
      <c r="AU24" s="71" t="str">
        <f t="shared" si="15"/>
        <v/>
      </c>
      <c r="AV24" s="71" t="str">
        <f t="shared" si="15"/>
        <v/>
      </c>
      <c r="AW24" s="71" t="str">
        <f t="shared" si="15"/>
        <v/>
      </c>
      <c r="AX24" s="71">
        <f t="shared" si="16"/>
        <v>1.9224791335698237</v>
      </c>
      <c r="AY24" s="71">
        <f t="shared" si="16"/>
        <v>1.5497274235534766</v>
      </c>
      <c r="AZ24" s="71" t="str">
        <f t="shared" si="16"/>
        <v/>
      </c>
      <c r="BA24" s="71" t="str">
        <f t="shared" si="16"/>
        <v/>
      </c>
      <c r="BB24" s="71" t="str">
        <f t="shared" si="16"/>
        <v/>
      </c>
      <c r="BC24" s="18">
        <f>IF(C24&lt;&gt;"",(('Data input'!C$109-'Data input'!C$108)*(AS24-1)/4)+'Data input'!C$108,"")</f>
        <v>0.9198108819988835</v>
      </c>
      <c r="BD24" s="18" t="str">
        <f>IF(D24&lt;&gt;"",(('Data input'!D$109-'Data input'!D$108)*(AT24-1)/4)+'Data input'!D$108,"")</f>
        <v/>
      </c>
      <c r="BE24" s="18" t="str">
        <f>IF(E24&lt;&gt;"",(('Data input'!E$109-'Data input'!E$108)*(AU24-1)/4)+'Data input'!E$108,"")</f>
        <v/>
      </c>
      <c r="BF24" s="18" t="str">
        <f>IF(F24&lt;&gt;"",(('Data input'!F$109-'Data input'!F$108)*(AV24-1)/4)+'Data input'!F$108,"")</f>
        <v/>
      </c>
      <c r="BG24" s="18" t="str">
        <f>IF(G24&lt;&gt;"",(('Data input'!G$109-'Data input'!G$108)*(AW24-1)/4)+'Data input'!G$108,"")</f>
        <v/>
      </c>
      <c r="BH24" s="19">
        <f>IF(H24&lt;&gt;"",(('Data input'!H$109-'Data input'!H$108)*(AX24-1)/4)+'Data input'!H$108,"")</f>
        <v>20.385337190848112</v>
      </c>
      <c r="BI24" s="18">
        <f>IF(I24&lt;&gt;"",(('Data input'!I$109-'Data input'!I$108)*(AY24-1)/4)+'Data input'!I$108,"")</f>
        <v>2.4137691448544735E-2</v>
      </c>
      <c r="BJ24" s="19" t="str">
        <f>IF(J24&lt;&gt;"",(('Data input'!J$109-'Data input'!J$108)*(AZ24-1)/4)+'Data input'!J$108,"")</f>
        <v/>
      </c>
      <c r="BK24" s="19" t="str">
        <f>IF(K24&lt;&gt;"",(('Data input'!K$109-'Data input'!K$108)*(BA24-1)/4)+'Data input'!K$108,"")</f>
        <v/>
      </c>
      <c r="BL24" s="19" t="str">
        <f>IF(L24&lt;&gt;"",(('Data input'!L$109-'Data input'!L$108)*(BB24-1)/4)+'Data input'!L$108,"")</f>
        <v/>
      </c>
      <c r="BM24" s="18">
        <f>IF(C24&lt;&gt;"",BC24-'Data input'!C24,"")</f>
        <v>3.5447912284057526E-2</v>
      </c>
      <c r="BN24" s="18" t="str">
        <f>IF(D24&lt;&gt;"",BD24-'Data input'!D24,"")</f>
        <v/>
      </c>
      <c r="BO24" s="18" t="str">
        <f>IF(E24&lt;&gt;"",BE24-'Data input'!E24,"")</f>
        <v/>
      </c>
      <c r="BP24" s="18" t="str">
        <f>IF(F24&lt;&gt;"",BF24-'Data input'!F24,"")</f>
        <v/>
      </c>
      <c r="BQ24" s="18" t="str">
        <f>IF(G24&lt;&gt;"",BG24-'Data input'!G24,"")</f>
        <v/>
      </c>
      <c r="BR24" s="19">
        <f>IF(H24&lt;&gt;"",BH24-'Data input'!H24,"")</f>
        <v>0</v>
      </c>
      <c r="BS24" s="18">
        <f>IF(I24&lt;&gt;"",BI24-'Data input'!I24,"")</f>
        <v>-7.1334749496337155E-2</v>
      </c>
      <c r="BT24" s="18" t="str">
        <f>IF(J24&lt;&gt;"",BJ24-'Data input'!J24,"")</f>
        <v/>
      </c>
      <c r="BU24" s="18" t="str">
        <f>IF(K24&lt;&gt;"",BK24-'Data input'!K24,"")</f>
        <v/>
      </c>
      <c r="BV24" s="72" t="str">
        <f>IF(L24&lt;&gt;"",BL24-'Data input'!L24,"")</f>
        <v/>
      </c>
      <c r="BW24" s="121" t="str">
        <f t="shared" si="17"/>
        <v xml:space="preserve">New York; Texas; 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1.5139195765249744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1.4820989417351194E-3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FT24" s="1" t="str">
        <f t="shared" si="18"/>
        <v/>
      </c>
      <c r="FU24" s="1" t="str">
        <f t="shared" si="18"/>
        <v/>
      </c>
      <c r="FV24" s="1" t="str">
        <f t="shared" si="18"/>
        <v/>
      </c>
      <c r="FW24" s="1" t="str">
        <f t="shared" si="18"/>
        <v/>
      </c>
      <c r="FX24" s="1" t="str">
        <f t="shared" si="18"/>
        <v/>
      </c>
      <c r="FY24" s="1" t="str">
        <f t="shared" si="18"/>
        <v/>
      </c>
      <c r="FZ24" s="1" t="str">
        <f t="shared" si="18"/>
        <v/>
      </c>
      <c r="GA24" s="1" t="str">
        <f t="shared" si="18"/>
        <v/>
      </c>
      <c r="GB24" s="1" t="str">
        <f t="shared" si="18"/>
        <v/>
      </c>
      <c r="GC24" s="1" t="str">
        <f t="shared" si="18"/>
        <v/>
      </c>
      <c r="GD24" s="1" t="str">
        <f t="shared" si="18"/>
        <v/>
      </c>
      <c r="GE24" s="1" t="str">
        <f t="shared" si="18"/>
        <v/>
      </c>
      <c r="GF24" s="1" t="str">
        <f t="shared" si="18"/>
        <v/>
      </c>
      <c r="GG24" s="1" t="str">
        <f t="shared" si="18"/>
        <v/>
      </c>
      <c r="GH24" s="1" t="str">
        <f t="shared" si="18"/>
        <v/>
      </c>
      <c r="GI24" s="1" t="str">
        <f t="shared" si="18"/>
        <v/>
      </c>
      <c r="GJ24" s="1" t="str">
        <f t="shared" si="19"/>
        <v/>
      </c>
      <c r="GK24" s="1" t="str">
        <f t="shared" si="19"/>
        <v/>
      </c>
      <c r="GL24" s="1" t="str">
        <f t="shared" si="19"/>
        <v/>
      </c>
      <c r="GM24" s="1" t="str">
        <f t="shared" si="19"/>
        <v/>
      </c>
      <c r="GN24" s="1" t="str">
        <f t="shared" si="19"/>
        <v/>
      </c>
      <c r="GO24" s="1" t="str">
        <f t="shared" si="19"/>
        <v/>
      </c>
      <c r="GP24" s="1" t="str">
        <f t="shared" si="19"/>
        <v/>
      </c>
      <c r="GQ24" s="1" t="str">
        <f t="shared" si="19"/>
        <v/>
      </c>
      <c r="GR24" s="1" t="str">
        <f t="shared" si="19"/>
        <v/>
      </c>
      <c r="GS24" s="1" t="str">
        <f t="shared" si="19"/>
        <v/>
      </c>
      <c r="GT24" s="1" t="str">
        <f t="shared" si="19"/>
        <v/>
      </c>
      <c r="GU24" s="1" t="str">
        <f t="shared" si="19"/>
        <v/>
      </c>
      <c r="GV24" s="1" t="str">
        <f t="shared" si="19"/>
        <v/>
      </c>
      <c r="GW24" s="1" t="str">
        <f t="shared" si="19"/>
        <v/>
      </c>
      <c r="GX24" s="1" t="str">
        <f t="shared" si="19"/>
        <v/>
      </c>
      <c r="GY24" s="1" t="str">
        <f t="shared" si="19"/>
        <v/>
      </c>
      <c r="GZ24" s="1" t="str">
        <f t="shared" si="20"/>
        <v xml:space="preserve">New York; </v>
      </c>
      <c r="HA24" s="1" t="str">
        <f t="shared" si="20"/>
        <v/>
      </c>
      <c r="HB24" s="1" t="str">
        <f t="shared" si="20"/>
        <v/>
      </c>
      <c r="HC24" s="1" t="str">
        <f t="shared" si="20"/>
        <v/>
      </c>
      <c r="HD24" s="1" t="str">
        <f t="shared" si="20"/>
        <v/>
      </c>
      <c r="HE24" s="1" t="str">
        <f t="shared" si="20"/>
        <v/>
      </c>
      <c r="HF24" s="1" t="str">
        <f t="shared" si="20"/>
        <v/>
      </c>
      <c r="HG24" s="1" t="str">
        <f t="shared" si="20"/>
        <v/>
      </c>
      <c r="HH24" s="1" t="str">
        <f t="shared" si="20"/>
        <v/>
      </c>
      <c r="HI24" s="1" t="str">
        <f t="shared" si="20"/>
        <v/>
      </c>
      <c r="HJ24" s="1" t="str">
        <f t="shared" si="20"/>
        <v xml:space="preserve">Texas; </v>
      </c>
      <c r="HK24" s="1" t="str">
        <f t="shared" si="20"/>
        <v/>
      </c>
      <c r="HL24" s="1" t="str">
        <f t="shared" si="20"/>
        <v/>
      </c>
      <c r="HM24" s="1" t="str">
        <f t="shared" si="20"/>
        <v/>
      </c>
      <c r="HN24" s="1" t="str">
        <f t="shared" si="20"/>
        <v/>
      </c>
      <c r="HO24" s="1" t="str">
        <f t="shared" si="20"/>
        <v/>
      </c>
      <c r="HP24" s="1" t="str">
        <f t="shared" si="21"/>
        <v/>
      </c>
      <c r="HQ24" s="1" t="str">
        <f t="shared" si="21"/>
        <v/>
      </c>
      <c r="HR24" s="1" t="str">
        <f t="shared" si="21"/>
        <v/>
      </c>
      <c r="HS24" s="1" t="str">
        <f t="shared" si="21"/>
        <v/>
      </c>
      <c r="HT24" s="1" t="str">
        <f t="shared" si="21"/>
        <v/>
      </c>
      <c r="HU24" s="1" t="str">
        <f t="shared" si="21"/>
        <v/>
      </c>
      <c r="HV24" s="1" t="str">
        <f t="shared" si="21"/>
        <v/>
      </c>
      <c r="HW24" s="1" t="str">
        <f t="shared" si="21"/>
        <v/>
      </c>
      <c r="HX24" s="1" t="str">
        <f t="shared" si="21"/>
        <v/>
      </c>
      <c r="HY24" s="1" t="str">
        <f t="shared" si="21"/>
        <v/>
      </c>
      <c r="HZ24" s="1" t="str">
        <f t="shared" si="21"/>
        <v/>
      </c>
      <c r="IA24" s="1" t="str">
        <f t="shared" si="21"/>
        <v/>
      </c>
      <c r="IB24" s="1" t="str">
        <f t="shared" si="21"/>
        <v/>
      </c>
      <c r="IC24" s="1" t="str">
        <f t="shared" si="21"/>
        <v/>
      </c>
      <c r="ID24" s="1" t="str">
        <f t="shared" si="21"/>
        <v/>
      </c>
      <c r="IE24" s="1" t="str">
        <f t="shared" si="21"/>
        <v/>
      </c>
      <c r="IF24" s="1" t="str">
        <f t="shared" si="22"/>
        <v/>
      </c>
      <c r="IG24" s="1" t="str">
        <f t="shared" si="22"/>
        <v/>
      </c>
      <c r="IH24" s="1" t="str">
        <f t="shared" si="22"/>
        <v/>
      </c>
      <c r="II24" s="1" t="str">
        <f t="shared" si="22"/>
        <v/>
      </c>
      <c r="IJ24" s="1" t="str">
        <f t="shared" si="22"/>
        <v/>
      </c>
      <c r="IK24" s="1" t="str">
        <f t="shared" si="22"/>
        <v/>
      </c>
      <c r="IL24" s="1" t="str">
        <f t="shared" si="22"/>
        <v/>
      </c>
      <c r="IM24" s="1" t="str">
        <f t="shared" si="22"/>
        <v/>
      </c>
      <c r="IN24" s="1" t="str">
        <f t="shared" si="22"/>
        <v/>
      </c>
      <c r="IO24" s="1" t="str">
        <f t="shared" si="22"/>
        <v/>
      </c>
      <c r="IP24" s="1" t="str">
        <f t="shared" si="22"/>
        <v/>
      </c>
      <c r="IQ24" s="1" t="str">
        <f t="shared" si="22"/>
        <v/>
      </c>
      <c r="IR24" s="1" t="str">
        <f t="shared" si="22"/>
        <v/>
      </c>
      <c r="IS24" s="1" t="str">
        <f t="shared" si="22"/>
        <v/>
      </c>
      <c r="IT24" s="1" t="str">
        <f t="shared" si="22"/>
        <v/>
      </c>
      <c r="IU24" s="1" t="str">
        <f t="shared" si="22"/>
        <v/>
      </c>
      <c r="IV24" s="1" t="str">
        <f t="shared" si="23"/>
        <v/>
      </c>
      <c r="IW24" s="1" t="str">
        <f t="shared" si="23"/>
        <v/>
      </c>
      <c r="IX24" s="1" t="str">
        <f t="shared" si="23"/>
        <v/>
      </c>
      <c r="IY24" s="1" t="str">
        <f t="shared" si="23"/>
        <v/>
      </c>
      <c r="IZ24" s="1" t="str">
        <f t="shared" si="23"/>
        <v/>
      </c>
      <c r="JA24" s="1" t="str">
        <f t="shared" si="23"/>
        <v/>
      </c>
      <c r="JB24" s="1" t="str">
        <f t="shared" si="23"/>
        <v/>
      </c>
      <c r="JC24" s="1" t="str">
        <f t="shared" si="23"/>
        <v/>
      </c>
      <c r="JD24" s="1" t="str">
        <f t="shared" si="23"/>
        <v/>
      </c>
      <c r="JE24" s="1" t="str">
        <f t="shared" si="23"/>
        <v/>
      </c>
      <c r="JF24" s="1" t="str">
        <f t="shared" si="23"/>
        <v/>
      </c>
      <c r="JG24" s="1" t="str">
        <f t="shared" si="23"/>
        <v/>
      </c>
      <c r="JH24" s="1" t="str">
        <f t="shared" si="23"/>
        <v/>
      </c>
      <c r="JI24" s="1" t="str">
        <f t="shared" si="23"/>
        <v/>
      </c>
      <c r="JJ24" s="1" t="str">
        <f t="shared" si="23"/>
        <v/>
      </c>
      <c r="JK24" s="1" t="str">
        <f t="shared" si="23"/>
        <v/>
      </c>
      <c r="JL24" s="1" t="str">
        <f t="shared" si="24"/>
        <v/>
      </c>
      <c r="JM24" s="1" t="str">
        <f t="shared" si="12"/>
        <v/>
      </c>
      <c r="JN24" s="1" t="str">
        <f t="shared" si="12"/>
        <v/>
      </c>
      <c r="JO24" s="1" t="str">
        <f t="shared" si="12"/>
        <v/>
      </c>
    </row>
    <row r="25" spans="1:275" ht="14.5" x14ac:dyDescent="0.35">
      <c r="A25" s="59">
        <f>IF('Data input'!A25&lt;&gt;"",'Data input'!A25,"")</f>
        <v>23</v>
      </c>
      <c r="B25" s="60" t="str">
        <f>IF('Data input'!B25&lt;&gt;"",'Data input'!B25,"")</f>
        <v>Michigan</v>
      </c>
      <c r="C25" s="19">
        <f>IF('Data input'!C25="","",4*('Data input'!C25-'Data input'!C$108)/('Data input'!C$109-'Data input'!C$108)+1)</f>
        <v>3.1412909968630669</v>
      </c>
      <c r="D25" s="19" t="str">
        <f>IF('Data input'!D25="","",4*('Data input'!D25-'Data input'!D$108)/('Data input'!D$109-'Data input'!D$108)+1)</f>
        <v/>
      </c>
      <c r="E25" s="19" t="str">
        <f>IF('Data input'!E25="","",4*('Data input'!E25-'Data input'!E$108)/('Data input'!E$109-'Data input'!E$108)+1)</f>
        <v/>
      </c>
      <c r="F25" s="19" t="str">
        <f>IF('Data input'!F25="","",4*('Data input'!F25-'Data input'!F$108)/('Data input'!F$109-'Data input'!F$108)+1)</f>
        <v/>
      </c>
      <c r="G25" s="19" t="str">
        <f>IF('Data input'!G25="","",4*('Data input'!G25-'Data input'!G$108)/('Data input'!G$109-'Data input'!G$108)+1)</f>
        <v/>
      </c>
      <c r="H25" s="61">
        <f>IF('Data input'!H25="","",4*('Data input'!H25-'Data input'!H$108)/('Data input'!H$109-'Data input'!H$108)+1)</f>
        <v>1.5336696918957435</v>
      </c>
      <c r="I25" s="19">
        <f>IF('Data input'!I25="","",4*('Data input'!I25-'Data input'!I$108)/('Data input'!I$109-'Data input'!I$108)+1)</f>
        <v>1.2380357668600952</v>
      </c>
      <c r="J25" s="19" t="str">
        <f>IF('Data input'!J25="","",4*('Data input'!J25-'Data input'!J$108)/('Data input'!J$109-'Data input'!J$108)+1)</f>
        <v/>
      </c>
      <c r="K25" s="19" t="str">
        <f>IF('Data input'!K25="","",4*('Data input'!K25-'Data input'!K$108)/('Data input'!K$109-'Data input'!K$108)+1)</f>
        <v/>
      </c>
      <c r="L25" s="19" t="str">
        <f>IF('Data input'!L25="","",4*('Data input'!L25-'Data input'!L$108)/('Data input'!L$109-'Data input'!L$108)+1)</f>
        <v/>
      </c>
      <c r="M25" s="19">
        <f>IF('Data input'!M25="","",4*('Data input'!M25-'Data input'!M$108)/('Data input'!M$109-'Data input'!M$108)+1)</f>
        <v>2.4938184932773915</v>
      </c>
      <c r="N25" s="16" t="str">
        <f>IF('Data input'!N25="","",4*('Data input'!N25-'Data input'!N$108)/('Data input'!N$109-'Data input'!N$108)+1)</f>
        <v/>
      </c>
      <c r="O25" s="19" t="str">
        <f>IF('Data input'!O25="","",4*('Data input'!O25-'Data input'!O$108)/('Data input'!O$109-'Data input'!O$108)+1)</f>
        <v/>
      </c>
      <c r="P25" s="19" t="str">
        <f>IF('Data input'!P25="","",4*('Data input'!P25-'Data input'!P$108)/('Data input'!P$109-'Data input'!P$108)+1)</f>
        <v/>
      </c>
      <c r="Q25" s="19" t="str">
        <f>IF('Data input'!Q25="","",4*('Data input'!Q25-'Data input'!Q$108)/('Data input'!Q$109-'Data input'!Q$108)+1)</f>
        <v/>
      </c>
      <c r="R25" s="19" t="str">
        <f>IF('Data input'!R25="","",4*('Data input'!R25-'Data input'!R$108)/('Data input'!R$109-'Data input'!R$108)+1)</f>
        <v/>
      </c>
      <c r="S25" s="16" t="str">
        <f>IF('Data input'!S25="","",4*('Data input'!S25-'Data input'!S$108)/('Data input'!S$109-'Data input'!S$108)+1)</f>
        <v/>
      </c>
      <c r="T25" s="19" t="str">
        <f>IF('Data input'!T25="","",4*('Data input'!T25-'Data input'!T$108)/('Data input'!T$109-'Data input'!T$108)+1)</f>
        <v/>
      </c>
      <c r="U25" s="19" t="str">
        <f>IF('Data input'!U25="","",4*('Data input'!U25-'Data input'!U$108)/('Data input'!U$109-'Data input'!U$108)+1)</f>
        <v/>
      </c>
      <c r="V25" s="19" t="str">
        <f>IF('Data input'!V25="","",4*('Data input'!V25-'Data input'!V$108)/('Data input'!V$109-'Data input'!V$108)+1)</f>
        <v/>
      </c>
      <c r="W25" s="16" t="str">
        <f>IF('Data input'!W25="","",4*('Data input'!W25-'Data input'!W$108)/('Data input'!W$109-'Data input'!W$108)+1)</f>
        <v/>
      </c>
      <c r="X25" s="16" t="str">
        <f>IF('Data input'!X25="","",4*('Data input'!X25-'Data input'!X$108)/('Data input'!X$109-'Data input'!X$108)+1)</f>
        <v/>
      </c>
      <c r="Y25" s="16" t="str">
        <f>IF('Data input'!Y25="","",4*('Data input'!Y25-'Data input'!Y$108)/('Data input'!Y$109-'Data input'!Y$108)+1)</f>
        <v/>
      </c>
      <c r="Z25" s="16" t="str">
        <f>IF('Data input'!Z25="","",4*('Data input'!Z25-'Data input'!Z$108)/('Data input'!Z$109-'Data input'!Z$108)+1)</f>
        <v/>
      </c>
      <c r="AA25" s="62" t="str">
        <f>IF('Data input'!AA25="","",4*('Data input'!AA25-'Data input'!AA$108)/('Data input'!AA$109-'Data input'!AA$108)+1)</f>
        <v/>
      </c>
      <c r="AB25" s="78"/>
      <c r="AC25" s="79">
        <v>0</v>
      </c>
      <c r="AD25" s="80" t="e">
        <f t="shared" si="13"/>
        <v>#DIV/0!</v>
      </c>
      <c r="AE25" s="4"/>
      <c r="AF25" s="59">
        <f t="shared" si="14"/>
        <v>23</v>
      </c>
      <c r="AG25" s="60" t="str">
        <f t="shared" si="14"/>
        <v>Michigan</v>
      </c>
      <c r="AH25">
        <v>0</v>
      </c>
      <c r="AI25" t="s">
        <v>69</v>
      </c>
      <c r="AJ25" t="s">
        <v>69</v>
      </c>
      <c r="AK25" t="s">
        <v>69</v>
      </c>
      <c r="AL25" t="s">
        <v>69</v>
      </c>
      <c r="AM25">
        <v>0.3784348999631208</v>
      </c>
      <c r="AN25">
        <v>0.21390393173570083</v>
      </c>
      <c r="AO25" t="s">
        <v>69</v>
      </c>
      <c r="AP25" t="s">
        <v>69</v>
      </c>
      <c r="AQ25" t="s">
        <v>69</v>
      </c>
      <c r="AR25">
        <v>0.79023594968803867</v>
      </c>
      <c r="AS25" s="71">
        <f t="shared" si="15"/>
        <v>3.1412909968630669</v>
      </c>
      <c r="AT25" s="71" t="str">
        <f t="shared" si="15"/>
        <v/>
      </c>
      <c r="AU25" s="71" t="str">
        <f t="shared" si="15"/>
        <v/>
      </c>
      <c r="AV25" s="71" t="str">
        <f t="shared" si="15"/>
        <v/>
      </c>
      <c r="AW25" s="71" t="str">
        <f t="shared" si="15"/>
        <v/>
      </c>
      <c r="AX25" s="71">
        <f t="shared" si="16"/>
        <v>1.1552347919326227</v>
      </c>
      <c r="AY25" s="71">
        <f t="shared" si="16"/>
        <v>1.0241318351243944</v>
      </c>
      <c r="AZ25" s="71" t="str">
        <f t="shared" si="16"/>
        <v/>
      </c>
      <c r="BA25" s="71" t="str">
        <f t="shared" si="16"/>
        <v/>
      </c>
      <c r="BB25" s="71" t="str">
        <f t="shared" si="16"/>
        <v/>
      </c>
      <c r="BC25" s="18">
        <f>IF(C25&lt;&gt;"",(('Data input'!C$109-'Data input'!C$108)*(AS25-1)/4)+'Data input'!C$108,"")</f>
        <v>0.92880821920596024</v>
      </c>
      <c r="BD25" s="18" t="str">
        <f>IF(D25&lt;&gt;"",(('Data input'!D$109-'Data input'!D$108)*(AT25-1)/4)+'Data input'!D$108,"")</f>
        <v/>
      </c>
      <c r="BE25" s="18" t="str">
        <f>IF(E25&lt;&gt;"",(('Data input'!E$109-'Data input'!E$108)*(AU25-1)/4)+'Data input'!E$108,"")</f>
        <v/>
      </c>
      <c r="BF25" s="18" t="str">
        <f>IF(F25&lt;&gt;"",(('Data input'!F$109-'Data input'!F$108)*(AV25-1)/4)+'Data input'!F$108,"")</f>
        <v/>
      </c>
      <c r="BG25" s="18" t="str">
        <f>IF(G25&lt;&gt;"",(('Data input'!G$109-'Data input'!G$108)*(AW25-1)/4)+'Data input'!G$108,"")</f>
        <v/>
      </c>
      <c r="BH25" s="19">
        <f>IF(H25&lt;&gt;"",(('Data input'!H$109-'Data input'!H$108)*(AX25-1)/4)+'Data input'!H$108,"")</f>
        <v>3.6764197219855244</v>
      </c>
      <c r="BI25" s="18">
        <f>IF(I25&lt;&gt;"",(('Data input'!I$109-'Data input'!I$108)*(AY25-1)/4)+'Data input'!I$108,"")</f>
        <v>1.0595920184489824E-3</v>
      </c>
      <c r="BJ25" s="19" t="str">
        <f>IF(J25&lt;&gt;"",(('Data input'!J$109-'Data input'!J$108)*(AZ25-1)/4)+'Data input'!J$108,"")</f>
        <v/>
      </c>
      <c r="BK25" s="19" t="str">
        <f>IF(K25&lt;&gt;"",(('Data input'!K$109-'Data input'!K$108)*(BA25-1)/4)+'Data input'!K$108,"")</f>
        <v/>
      </c>
      <c r="BL25" s="19" t="str">
        <f>IF(L25&lt;&gt;"",(('Data input'!L$109-'Data input'!L$108)*(BB25-1)/4)+'Data input'!L$108,"")</f>
        <v/>
      </c>
      <c r="BM25" s="18">
        <f>IF(C25&lt;&gt;"",BC25-'Data input'!C25,"")</f>
        <v>0</v>
      </c>
      <c r="BN25" s="18" t="str">
        <f>IF(D25&lt;&gt;"",BD25-'Data input'!D25,"")</f>
        <v/>
      </c>
      <c r="BO25" s="18" t="str">
        <f>IF(E25&lt;&gt;"",BE25-'Data input'!E25,"")</f>
        <v/>
      </c>
      <c r="BP25" s="18" t="str">
        <f>IF(F25&lt;&gt;"",BF25-'Data input'!F25,"")</f>
        <v/>
      </c>
      <c r="BQ25" s="18" t="str">
        <f>IF(G25&lt;&gt;"",BG25-'Data input'!G25,"")</f>
        <v/>
      </c>
      <c r="BR25" s="19">
        <f>IF(H25&lt;&gt;"",BH25-'Data input'!H25,"")</f>
        <v>-8.241491227329325</v>
      </c>
      <c r="BS25" s="18">
        <f>IF(I25&lt;&gt;"",BI25-'Data input'!I25,"")</f>
        <v>-9.3921948999596497E-3</v>
      </c>
      <c r="BT25" s="18" t="str">
        <f>IF(J25&lt;&gt;"",BJ25-'Data input'!J25,"")</f>
        <v/>
      </c>
      <c r="BU25" s="18" t="str">
        <f>IF(K25&lt;&gt;"",BK25-'Data input'!K25,"")</f>
        <v/>
      </c>
      <c r="BV25" s="72" t="str">
        <f>IF(L25&lt;&gt;"",BL25-'Data input'!L25,"")</f>
        <v/>
      </c>
      <c r="BW25" s="121" t="str">
        <f t="shared" si="17"/>
        <v xml:space="preserve">New York; Texas; 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0.57731762294006217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0.42268237705993772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FT25" s="1" t="str">
        <f t="shared" si="18"/>
        <v/>
      </c>
      <c r="FU25" s="1" t="str">
        <f t="shared" si="18"/>
        <v/>
      </c>
      <c r="FV25" s="1" t="str">
        <f t="shared" si="18"/>
        <v/>
      </c>
      <c r="FW25" s="1" t="str">
        <f t="shared" si="18"/>
        <v/>
      </c>
      <c r="FX25" s="1" t="str">
        <f t="shared" si="18"/>
        <v/>
      </c>
      <c r="FY25" s="1" t="str">
        <f t="shared" si="18"/>
        <v/>
      </c>
      <c r="FZ25" s="1" t="str">
        <f t="shared" si="18"/>
        <v/>
      </c>
      <c r="GA25" s="1" t="str">
        <f t="shared" si="18"/>
        <v/>
      </c>
      <c r="GB25" s="1" t="str">
        <f t="shared" si="18"/>
        <v/>
      </c>
      <c r="GC25" s="1" t="str">
        <f t="shared" si="18"/>
        <v/>
      </c>
      <c r="GD25" s="1" t="str">
        <f t="shared" si="18"/>
        <v/>
      </c>
      <c r="GE25" s="1" t="str">
        <f t="shared" si="18"/>
        <v/>
      </c>
      <c r="GF25" s="1" t="str">
        <f t="shared" si="18"/>
        <v/>
      </c>
      <c r="GG25" s="1" t="str">
        <f t="shared" si="18"/>
        <v/>
      </c>
      <c r="GH25" s="1" t="str">
        <f t="shared" si="18"/>
        <v/>
      </c>
      <c r="GI25" s="1" t="str">
        <f t="shared" si="18"/>
        <v/>
      </c>
      <c r="GJ25" s="1" t="str">
        <f t="shared" si="19"/>
        <v/>
      </c>
      <c r="GK25" s="1" t="str">
        <f t="shared" si="19"/>
        <v/>
      </c>
      <c r="GL25" s="1" t="str">
        <f t="shared" si="19"/>
        <v/>
      </c>
      <c r="GM25" s="1" t="str">
        <f t="shared" si="19"/>
        <v/>
      </c>
      <c r="GN25" s="1" t="str">
        <f t="shared" si="19"/>
        <v/>
      </c>
      <c r="GO25" s="1" t="str">
        <f t="shared" si="19"/>
        <v/>
      </c>
      <c r="GP25" s="1" t="str">
        <f t="shared" si="19"/>
        <v/>
      </c>
      <c r="GQ25" s="1" t="str">
        <f t="shared" si="19"/>
        <v/>
      </c>
      <c r="GR25" s="1" t="str">
        <f t="shared" si="19"/>
        <v/>
      </c>
      <c r="GS25" s="1" t="str">
        <f t="shared" si="19"/>
        <v/>
      </c>
      <c r="GT25" s="1" t="str">
        <f t="shared" si="19"/>
        <v/>
      </c>
      <c r="GU25" s="1" t="str">
        <f t="shared" si="19"/>
        <v/>
      </c>
      <c r="GV25" s="1" t="str">
        <f t="shared" si="19"/>
        <v/>
      </c>
      <c r="GW25" s="1" t="str">
        <f t="shared" si="19"/>
        <v/>
      </c>
      <c r="GX25" s="1" t="str">
        <f t="shared" si="19"/>
        <v/>
      </c>
      <c r="GY25" s="1" t="str">
        <f t="shared" si="19"/>
        <v/>
      </c>
      <c r="GZ25" s="1" t="str">
        <f t="shared" si="20"/>
        <v xml:space="preserve">New York; </v>
      </c>
      <c r="HA25" s="1" t="str">
        <f t="shared" si="20"/>
        <v/>
      </c>
      <c r="HB25" s="1" t="str">
        <f t="shared" si="20"/>
        <v/>
      </c>
      <c r="HC25" s="1" t="str">
        <f t="shared" si="20"/>
        <v/>
      </c>
      <c r="HD25" s="1" t="str">
        <f t="shared" si="20"/>
        <v/>
      </c>
      <c r="HE25" s="1" t="str">
        <f t="shared" si="20"/>
        <v/>
      </c>
      <c r="HF25" s="1" t="str">
        <f t="shared" si="20"/>
        <v/>
      </c>
      <c r="HG25" s="1" t="str">
        <f t="shared" si="20"/>
        <v/>
      </c>
      <c r="HH25" s="1" t="str">
        <f t="shared" si="20"/>
        <v/>
      </c>
      <c r="HI25" s="1" t="str">
        <f t="shared" si="20"/>
        <v/>
      </c>
      <c r="HJ25" s="1" t="str">
        <f t="shared" si="20"/>
        <v xml:space="preserve">Texas; </v>
      </c>
      <c r="HK25" s="1" t="str">
        <f t="shared" si="20"/>
        <v/>
      </c>
      <c r="HL25" s="1" t="str">
        <f t="shared" si="20"/>
        <v/>
      </c>
      <c r="HM25" s="1" t="str">
        <f t="shared" si="20"/>
        <v/>
      </c>
      <c r="HN25" s="1" t="str">
        <f t="shared" si="20"/>
        <v/>
      </c>
      <c r="HO25" s="1" t="str">
        <f t="shared" si="20"/>
        <v/>
      </c>
      <c r="HP25" s="1" t="str">
        <f t="shared" si="21"/>
        <v/>
      </c>
      <c r="HQ25" s="1" t="str">
        <f t="shared" si="21"/>
        <v/>
      </c>
      <c r="HR25" s="1" t="str">
        <f t="shared" si="21"/>
        <v/>
      </c>
      <c r="HS25" s="1" t="str">
        <f t="shared" si="21"/>
        <v/>
      </c>
      <c r="HT25" s="1" t="str">
        <f t="shared" si="21"/>
        <v/>
      </c>
      <c r="HU25" s="1" t="str">
        <f t="shared" si="21"/>
        <v/>
      </c>
      <c r="HV25" s="1" t="str">
        <f t="shared" si="21"/>
        <v/>
      </c>
      <c r="HW25" s="1" t="str">
        <f t="shared" si="21"/>
        <v/>
      </c>
      <c r="HX25" s="1" t="str">
        <f t="shared" si="21"/>
        <v/>
      </c>
      <c r="HY25" s="1" t="str">
        <f t="shared" si="21"/>
        <v/>
      </c>
      <c r="HZ25" s="1" t="str">
        <f t="shared" si="21"/>
        <v/>
      </c>
      <c r="IA25" s="1" t="str">
        <f t="shared" si="21"/>
        <v/>
      </c>
      <c r="IB25" s="1" t="str">
        <f t="shared" si="21"/>
        <v/>
      </c>
      <c r="IC25" s="1" t="str">
        <f t="shared" si="21"/>
        <v/>
      </c>
      <c r="ID25" s="1" t="str">
        <f t="shared" si="21"/>
        <v/>
      </c>
      <c r="IE25" s="1" t="str">
        <f t="shared" si="21"/>
        <v/>
      </c>
      <c r="IF25" s="1" t="str">
        <f t="shared" si="22"/>
        <v/>
      </c>
      <c r="IG25" s="1" t="str">
        <f t="shared" si="22"/>
        <v/>
      </c>
      <c r="IH25" s="1" t="str">
        <f t="shared" si="22"/>
        <v/>
      </c>
      <c r="II25" s="1" t="str">
        <f t="shared" si="22"/>
        <v/>
      </c>
      <c r="IJ25" s="1" t="str">
        <f t="shared" si="22"/>
        <v/>
      </c>
      <c r="IK25" s="1" t="str">
        <f t="shared" si="22"/>
        <v/>
      </c>
      <c r="IL25" s="1" t="str">
        <f t="shared" si="22"/>
        <v/>
      </c>
      <c r="IM25" s="1" t="str">
        <f t="shared" si="22"/>
        <v/>
      </c>
      <c r="IN25" s="1" t="str">
        <f t="shared" si="22"/>
        <v/>
      </c>
      <c r="IO25" s="1" t="str">
        <f t="shared" si="22"/>
        <v/>
      </c>
      <c r="IP25" s="1" t="str">
        <f t="shared" si="22"/>
        <v/>
      </c>
      <c r="IQ25" s="1" t="str">
        <f t="shared" si="22"/>
        <v/>
      </c>
      <c r="IR25" s="1" t="str">
        <f t="shared" si="22"/>
        <v/>
      </c>
      <c r="IS25" s="1" t="str">
        <f t="shared" si="22"/>
        <v/>
      </c>
      <c r="IT25" s="1" t="str">
        <f t="shared" si="22"/>
        <v/>
      </c>
      <c r="IU25" s="1" t="str">
        <f t="shared" si="22"/>
        <v/>
      </c>
      <c r="IV25" s="1" t="str">
        <f t="shared" si="23"/>
        <v/>
      </c>
      <c r="IW25" s="1" t="str">
        <f t="shared" si="23"/>
        <v/>
      </c>
      <c r="IX25" s="1" t="str">
        <f t="shared" si="23"/>
        <v/>
      </c>
      <c r="IY25" s="1" t="str">
        <f t="shared" si="23"/>
        <v/>
      </c>
      <c r="IZ25" s="1" t="str">
        <f t="shared" si="23"/>
        <v/>
      </c>
      <c r="JA25" s="1" t="str">
        <f t="shared" si="23"/>
        <v/>
      </c>
      <c r="JB25" s="1" t="str">
        <f t="shared" si="23"/>
        <v/>
      </c>
      <c r="JC25" s="1" t="str">
        <f t="shared" si="23"/>
        <v/>
      </c>
      <c r="JD25" s="1" t="str">
        <f t="shared" si="23"/>
        <v/>
      </c>
      <c r="JE25" s="1" t="str">
        <f t="shared" si="23"/>
        <v/>
      </c>
      <c r="JF25" s="1" t="str">
        <f t="shared" si="23"/>
        <v/>
      </c>
      <c r="JG25" s="1" t="str">
        <f t="shared" si="23"/>
        <v/>
      </c>
      <c r="JH25" s="1" t="str">
        <f t="shared" si="23"/>
        <v/>
      </c>
      <c r="JI25" s="1" t="str">
        <f t="shared" si="23"/>
        <v/>
      </c>
      <c r="JJ25" s="1" t="str">
        <f t="shared" si="23"/>
        <v/>
      </c>
      <c r="JK25" s="1" t="str">
        <f t="shared" si="23"/>
        <v/>
      </c>
      <c r="JL25" s="1" t="str">
        <f t="shared" si="24"/>
        <v/>
      </c>
      <c r="JM25" s="1" t="str">
        <f t="shared" si="12"/>
        <v/>
      </c>
      <c r="JN25" s="1" t="str">
        <f t="shared" si="12"/>
        <v/>
      </c>
      <c r="JO25" s="1" t="str">
        <f t="shared" si="12"/>
        <v/>
      </c>
    </row>
    <row r="26" spans="1:275" ht="14.5" x14ac:dyDescent="0.35">
      <c r="A26" s="59">
        <f>IF('Data input'!A26&lt;&gt;"",'Data input'!A26,"")</f>
        <v>24</v>
      </c>
      <c r="B26" s="60" t="str">
        <f>IF('Data input'!B26&lt;&gt;"",'Data input'!B26,"")</f>
        <v>Minnesota</v>
      </c>
      <c r="C26" s="19">
        <f>IF('Data input'!C26="","",4*('Data input'!C26-'Data input'!C$108)/('Data input'!C$109-'Data input'!C$108)+1)</f>
        <v>4.2830263152266701</v>
      </c>
      <c r="D26" s="19" t="str">
        <f>IF('Data input'!D26="","",4*('Data input'!D26-'Data input'!D$108)/('Data input'!D$109-'Data input'!D$108)+1)</f>
        <v/>
      </c>
      <c r="E26" s="19" t="str">
        <f>IF('Data input'!E26="","",4*('Data input'!E26-'Data input'!E$108)/('Data input'!E$109-'Data input'!E$108)+1)</f>
        <v/>
      </c>
      <c r="F26" s="19" t="str">
        <f>IF('Data input'!F26="","",4*('Data input'!F26-'Data input'!F$108)/('Data input'!F$109-'Data input'!F$108)+1)</f>
        <v/>
      </c>
      <c r="G26" s="19" t="str">
        <f>IF('Data input'!G26="","",4*('Data input'!G26-'Data input'!G$108)/('Data input'!G$109-'Data input'!G$108)+1)</f>
        <v/>
      </c>
      <c r="H26" s="61">
        <f>IF('Data input'!H26="","",4*('Data input'!H26-'Data input'!H$108)/('Data input'!H$109-'Data input'!H$108)+1)</f>
        <v>1.1341932070144354</v>
      </c>
      <c r="I26" s="19">
        <f>IF('Data input'!I26="","",4*('Data input'!I26-'Data input'!I$108)/('Data input'!I$109-'Data input'!I$108)+1)</f>
        <v>1.0391541224423908</v>
      </c>
      <c r="J26" s="19" t="str">
        <f>IF('Data input'!J26="","",4*('Data input'!J26-'Data input'!J$108)/('Data input'!J$109-'Data input'!J$108)+1)</f>
        <v/>
      </c>
      <c r="K26" s="19" t="str">
        <f>IF('Data input'!K26="","",4*('Data input'!K26-'Data input'!K$108)/('Data input'!K$109-'Data input'!K$108)+1)</f>
        <v/>
      </c>
      <c r="L26" s="19" t="str">
        <f>IF('Data input'!L26="","",4*('Data input'!L26-'Data input'!L$108)/('Data input'!L$109-'Data input'!L$108)+1)</f>
        <v/>
      </c>
      <c r="M26" s="19">
        <f>IF('Data input'!M26="","",4*('Data input'!M26-'Data input'!M$108)/('Data input'!M$109-'Data input'!M$108)+1)</f>
        <v>1.8762292716496103</v>
      </c>
      <c r="N26" s="16" t="str">
        <f>IF('Data input'!N26="","",4*('Data input'!N26-'Data input'!N$108)/('Data input'!N$109-'Data input'!N$108)+1)</f>
        <v/>
      </c>
      <c r="O26" s="19" t="str">
        <f>IF('Data input'!O26="","",4*('Data input'!O26-'Data input'!O$108)/('Data input'!O$109-'Data input'!O$108)+1)</f>
        <v/>
      </c>
      <c r="P26" s="19" t="str">
        <f>IF('Data input'!P26="","",4*('Data input'!P26-'Data input'!P$108)/('Data input'!P$109-'Data input'!P$108)+1)</f>
        <v/>
      </c>
      <c r="Q26" s="19" t="str">
        <f>IF('Data input'!Q26="","",4*('Data input'!Q26-'Data input'!Q$108)/('Data input'!Q$109-'Data input'!Q$108)+1)</f>
        <v/>
      </c>
      <c r="R26" s="19" t="str">
        <f>IF('Data input'!R26="","",4*('Data input'!R26-'Data input'!R$108)/('Data input'!R$109-'Data input'!R$108)+1)</f>
        <v/>
      </c>
      <c r="S26" s="16" t="str">
        <f>IF('Data input'!S26="","",4*('Data input'!S26-'Data input'!S$108)/('Data input'!S$109-'Data input'!S$108)+1)</f>
        <v/>
      </c>
      <c r="T26" s="19" t="str">
        <f>IF('Data input'!T26="","",4*('Data input'!T26-'Data input'!T$108)/('Data input'!T$109-'Data input'!T$108)+1)</f>
        <v/>
      </c>
      <c r="U26" s="19" t="str">
        <f>IF('Data input'!U26="","",4*('Data input'!U26-'Data input'!U$108)/('Data input'!U$109-'Data input'!U$108)+1)</f>
        <v/>
      </c>
      <c r="V26" s="19" t="str">
        <f>IF('Data input'!V26="","",4*('Data input'!V26-'Data input'!V$108)/('Data input'!V$109-'Data input'!V$108)+1)</f>
        <v/>
      </c>
      <c r="W26" s="16" t="str">
        <f>IF('Data input'!W26="","",4*('Data input'!W26-'Data input'!W$108)/('Data input'!W$109-'Data input'!W$108)+1)</f>
        <v/>
      </c>
      <c r="X26" s="16" t="str">
        <f>IF('Data input'!X26="","",4*('Data input'!X26-'Data input'!X$108)/('Data input'!X$109-'Data input'!X$108)+1)</f>
        <v/>
      </c>
      <c r="Y26" s="16" t="str">
        <f>IF('Data input'!Y26="","",4*('Data input'!Y26-'Data input'!Y$108)/('Data input'!Y$109-'Data input'!Y$108)+1)</f>
        <v/>
      </c>
      <c r="Z26" s="16" t="str">
        <f>IF('Data input'!Z26="","",4*('Data input'!Z26-'Data input'!Z$108)/('Data input'!Z$109-'Data input'!Z$108)+1)</f>
        <v/>
      </c>
      <c r="AA26" s="62" t="str">
        <f>IF('Data input'!AA26="","",4*('Data input'!AA26-'Data input'!AA$108)/('Data input'!AA$109-'Data input'!AA$108)+1)</f>
        <v/>
      </c>
      <c r="AB26" s="78"/>
      <c r="AC26" s="79">
        <v>0</v>
      </c>
      <c r="AD26" s="80" t="e">
        <f t="shared" si="13"/>
        <v>#DIV/0!</v>
      </c>
      <c r="AE26" s="4"/>
      <c r="AF26" s="59">
        <f t="shared" si="14"/>
        <v>24</v>
      </c>
      <c r="AG26" s="60" t="str">
        <f t="shared" si="14"/>
        <v>Minnesota</v>
      </c>
      <c r="AH26">
        <v>0</v>
      </c>
      <c r="AI26" t="s">
        <v>69</v>
      </c>
      <c r="AJ26" t="s">
        <v>69</v>
      </c>
      <c r="AK26" t="s">
        <v>69</v>
      </c>
      <c r="AL26" t="s">
        <v>69</v>
      </c>
      <c r="AM26">
        <v>6.7510127959057739E-2</v>
      </c>
      <c r="AN26">
        <v>1.3599979264179883E-2</v>
      </c>
      <c r="AO26" t="s">
        <v>69</v>
      </c>
      <c r="AP26" t="s">
        <v>69</v>
      </c>
      <c r="AQ26" t="s">
        <v>69</v>
      </c>
      <c r="AR26">
        <v>0.96369492636814036</v>
      </c>
      <c r="AS26" s="71">
        <f t="shared" si="15"/>
        <v>4.2830263152266701</v>
      </c>
      <c r="AT26" s="71" t="str">
        <f t="shared" si="15"/>
        <v/>
      </c>
      <c r="AU26" s="71" t="str">
        <f t="shared" si="15"/>
        <v/>
      </c>
      <c r="AV26" s="71" t="str">
        <f t="shared" si="15"/>
        <v/>
      </c>
      <c r="AW26" s="71" t="str">
        <f t="shared" si="15"/>
        <v/>
      </c>
      <c r="AX26" s="71">
        <f t="shared" si="16"/>
        <v>1.0666830790553776</v>
      </c>
      <c r="AY26" s="71">
        <f t="shared" si="16"/>
        <v>1.0255541431782109</v>
      </c>
      <c r="AZ26" s="71" t="str">
        <f t="shared" si="16"/>
        <v/>
      </c>
      <c r="BA26" s="71" t="str">
        <f t="shared" si="16"/>
        <v/>
      </c>
      <c r="BB26" s="71" t="str">
        <f t="shared" si="16"/>
        <v/>
      </c>
      <c r="BC26" s="18">
        <f>IF(C26&lt;&gt;"",(('Data input'!C$109-'Data input'!C$108)*(AS26-1)/4)+'Data input'!C$108,"")</f>
        <v>0.97026139629570129</v>
      </c>
      <c r="BD26" s="18" t="str">
        <f>IF(D26&lt;&gt;"",(('Data input'!D$109-'Data input'!D$108)*(AT26-1)/4)+'Data input'!D$108,"")</f>
        <v/>
      </c>
      <c r="BE26" s="18" t="str">
        <f>IF(E26&lt;&gt;"",(('Data input'!E$109-'Data input'!E$108)*(AU26-1)/4)+'Data input'!E$108,"")</f>
        <v/>
      </c>
      <c r="BF26" s="18" t="str">
        <f>IF(F26&lt;&gt;"",(('Data input'!F$109-'Data input'!F$108)*(AV26-1)/4)+'Data input'!F$108,"")</f>
        <v/>
      </c>
      <c r="BG26" s="18" t="str">
        <f>IF(G26&lt;&gt;"",(('Data input'!G$109-'Data input'!G$108)*(AW26-1)/4)+'Data input'!G$108,"")</f>
        <v/>
      </c>
      <c r="BH26" s="19">
        <f>IF(H26&lt;&gt;"",(('Data input'!H$109-'Data input'!H$108)*(AX26-1)/4)+'Data input'!H$108,"")</f>
        <v>1.7479555002292313</v>
      </c>
      <c r="BI26" s="18">
        <f>IF(I26&lt;&gt;"",(('Data input'!I$109-'Data input'!I$108)*(AY26-1)/4)+'Data input'!I$108,"")</f>
        <v>1.1220433924879255E-3</v>
      </c>
      <c r="BJ26" s="19" t="str">
        <f>IF(J26&lt;&gt;"",(('Data input'!J$109-'Data input'!J$108)*(AZ26-1)/4)+'Data input'!J$108,"")</f>
        <v/>
      </c>
      <c r="BK26" s="19" t="str">
        <f>IF(K26&lt;&gt;"",(('Data input'!K$109-'Data input'!K$108)*(BA26-1)/4)+'Data input'!K$108,"")</f>
        <v/>
      </c>
      <c r="BL26" s="19" t="str">
        <f>IF(L26&lt;&gt;"",(('Data input'!L$109-'Data input'!L$108)*(BB26-1)/4)+'Data input'!L$108,"")</f>
        <v/>
      </c>
      <c r="BM26" s="18">
        <f>IF(C26&lt;&gt;"",BC26-'Data input'!C26,"")</f>
        <v>0</v>
      </c>
      <c r="BN26" s="18" t="str">
        <f>IF(D26&lt;&gt;"",BD26-'Data input'!D26,"")</f>
        <v/>
      </c>
      <c r="BO26" s="18" t="str">
        <f>IF(E26&lt;&gt;"",BE26-'Data input'!E26,"")</f>
        <v/>
      </c>
      <c r="BP26" s="18" t="str">
        <f>IF(F26&lt;&gt;"",BF26-'Data input'!F26,"")</f>
        <v/>
      </c>
      <c r="BQ26" s="18" t="str">
        <f>IF(G26&lt;&gt;"",BG26-'Data input'!G26,"")</f>
        <v/>
      </c>
      <c r="BR26" s="19">
        <f>IF(H26&lt;&gt;"",BH26-'Data input'!H26,"")</f>
        <v>-1.4702241452484308</v>
      </c>
      <c r="BS26" s="18">
        <f>IF(I26&lt;&gt;"",BI26-'Data input'!I26,"")</f>
        <v>-5.9715431524846418E-4</v>
      </c>
      <c r="BT26" s="18" t="str">
        <f>IF(J26&lt;&gt;"",BJ26-'Data input'!J26,"")</f>
        <v/>
      </c>
      <c r="BU26" s="18" t="str">
        <f>IF(K26&lt;&gt;"",BK26-'Data input'!K26,"")</f>
        <v/>
      </c>
      <c r="BV26" s="72" t="str">
        <f>IF(L26&lt;&gt;"",BL26-'Data input'!L26,"")</f>
        <v/>
      </c>
      <c r="BW26" s="121" t="str">
        <f t="shared" si="17"/>
        <v xml:space="preserve">Kansas; New York; Texas; 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0.20071568784766838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0.16022373811039345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0.63906057404193817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FT26" s="1" t="str">
        <f t="shared" si="18"/>
        <v/>
      </c>
      <c r="FU26" s="1" t="str">
        <f t="shared" si="18"/>
        <v/>
      </c>
      <c r="FV26" s="1" t="str">
        <f t="shared" si="18"/>
        <v/>
      </c>
      <c r="FW26" s="1" t="str">
        <f t="shared" si="18"/>
        <v/>
      </c>
      <c r="FX26" s="1" t="str">
        <f t="shared" si="18"/>
        <v/>
      </c>
      <c r="FY26" s="1" t="str">
        <f t="shared" si="18"/>
        <v/>
      </c>
      <c r="FZ26" s="1" t="str">
        <f t="shared" si="18"/>
        <v/>
      </c>
      <c r="GA26" s="1" t="str">
        <f t="shared" si="18"/>
        <v/>
      </c>
      <c r="GB26" s="1" t="str">
        <f t="shared" si="18"/>
        <v/>
      </c>
      <c r="GC26" s="1" t="str">
        <f t="shared" si="18"/>
        <v/>
      </c>
      <c r="GD26" s="1" t="str">
        <f t="shared" si="18"/>
        <v/>
      </c>
      <c r="GE26" s="1" t="str">
        <f t="shared" si="18"/>
        <v/>
      </c>
      <c r="GF26" s="1" t="str">
        <f t="shared" si="18"/>
        <v/>
      </c>
      <c r="GG26" s="1" t="str">
        <f t="shared" si="18"/>
        <v/>
      </c>
      <c r="GH26" s="1" t="str">
        <f t="shared" si="18"/>
        <v/>
      </c>
      <c r="GI26" s="1" t="str">
        <f t="shared" si="18"/>
        <v/>
      </c>
      <c r="GJ26" s="1" t="str">
        <f t="shared" si="19"/>
        <v xml:space="preserve">Kansas; </v>
      </c>
      <c r="GK26" s="1" t="str">
        <f t="shared" si="19"/>
        <v/>
      </c>
      <c r="GL26" s="1" t="str">
        <f t="shared" si="19"/>
        <v/>
      </c>
      <c r="GM26" s="1" t="str">
        <f t="shared" si="19"/>
        <v/>
      </c>
      <c r="GN26" s="1" t="str">
        <f t="shared" si="19"/>
        <v/>
      </c>
      <c r="GO26" s="1" t="str">
        <f t="shared" si="19"/>
        <v/>
      </c>
      <c r="GP26" s="1" t="str">
        <f t="shared" si="19"/>
        <v/>
      </c>
      <c r="GQ26" s="1" t="str">
        <f t="shared" si="19"/>
        <v/>
      </c>
      <c r="GR26" s="1" t="str">
        <f t="shared" si="19"/>
        <v/>
      </c>
      <c r="GS26" s="1" t="str">
        <f t="shared" si="19"/>
        <v/>
      </c>
      <c r="GT26" s="1" t="str">
        <f t="shared" si="19"/>
        <v/>
      </c>
      <c r="GU26" s="1" t="str">
        <f t="shared" si="19"/>
        <v/>
      </c>
      <c r="GV26" s="1" t="str">
        <f t="shared" si="19"/>
        <v/>
      </c>
      <c r="GW26" s="1" t="str">
        <f t="shared" si="19"/>
        <v/>
      </c>
      <c r="GX26" s="1" t="str">
        <f t="shared" si="19"/>
        <v/>
      </c>
      <c r="GY26" s="1" t="str">
        <f t="shared" si="19"/>
        <v/>
      </c>
      <c r="GZ26" s="1" t="str">
        <f t="shared" si="20"/>
        <v xml:space="preserve">New York; </v>
      </c>
      <c r="HA26" s="1" t="str">
        <f t="shared" si="20"/>
        <v/>
      </c>
      <c r="HB26" s="1" t="str">
        <f t="shared" si="20"/>
        <v/>
      </c>
      <c r="HC26" s="1" t="str">
        <f t="shared" si="20"/>
        <v/>
      </c>
      <c r="HD26" s="1" t="str">
        <f t="shared" si="20"/>
        <v/>
      </c>
      <c r="HE26" s="1" t="str">
        <f t="shared" si="20"/>
        <v/>
      </c>
      <c r="HF26" s="1" t="str">
        <f t="shared" si="20"/>
        <v/>
      </c>
      <c r="HG26" s="1" t="str">
        <f t="shared" si="20"/>
        <v/>
      </c>
      <c r="HH26" s="1" t="str">
        <f t="shared" si="20"/>
        <v/>
      </c>
      <c r="HI26" s="1" t="str">
        <f t="shared" si="20"/>
        <v/>
      </c>
      <c r="HJ26" s="1" t="str">
        <f t="shared" si="20"/>
        <v xml:space="preserve">Texas; </v>
      </c>
      <c r="HK26" s="1" t="str">
        <f t="shared" si="20"/>
        <v/>
      </c>
      <c r="HL26" s="1" t="str">
        <f t="shared" si="20"/>
        <v/>
      </c>
      <c r="HM26" s="1" t="str">
        <f t="shared" si="20"/>
        <v/>
      </c>
      <c r="HN26" s="1" t="str">
        <f t="shared" si="20"/>
        <v/>
      </c>
      <c r="HO26" s="1" t="str">
        <f t="shared" si="20"/>
        <v/>
      </c>
      <c r="HP26" s="1" t="str">
        <f t="shared" si="21"/>
        <v/>
      </c>
      <c r="HQ26" s="1" t="str">
        <f t="shared" si="21"/>
        <v/>
      </c>
      <c r="HR26" s="1" t="str">
        <f t="shared" si="21"/>
        <v/>
      </c>
      <c r="HS26" s="1" t="str">
        <f t="shared" si="21"/>
        <v/>
      </c>
      <c r="HT26" s="1" t="str">
        <f t="shared" si="21"/>
        <v/>
      </c>
      <c r="HU26" s="1" t="str">
        <f t="shared" si="21"/>
        <v/>
      </c>
      <c r="HV26" s="1" t="str">
        <f t="shared" si="21"/>
        <v/>
      </c>
      <c r="HW26" s="1" t="str">
        <f t="shared" si="21"/>
        <v/>
      </c>
      <c r="HX26" s="1" t="str">
        <f t="shared" si="21"/>
        <v/>
      </c>
      <c r="HY26" s="1" t="str">
        <f t="shared" si="21"/>
        <v/>
      </c>
      <c r="HZ26" s="1" t="str">
        <f t="shared" si="21"/>
        <v/>
      </c>
      <c r="IA26" s="1" t="str">
        <f t="shared" si="21"/>
        <v/>
      </c>
      <c r="IB26" s="1" t="str">
        <f t="shared" si="21"/>
        <v/>
      </c>
      <c r="IC26" s="1" t="str">
        <f t="shared" si="21"/>
        <v/>
      </c>
      <c r="ID26" s="1" t="str">
        <f t="shared" si="21"/>
        <v/>
      </c>
      <c r="IE26" s="1" t="str">
        <f t="shared" si="21"/>
        <v/>
      </c>
      <c r="IF26" s="1" t="str">
        <f t="shared" si="22"/>
        <v/>
      </c>
      <c r="IG26" s="1" t="str">
        <f t="shared" si="22"/>
        <v/>
      </c>
      <c r="IH26" s="1" t="str">
        <f t="shared" si="22"/>
        <v/>
      </c>
      <c r="II26" s="1" t="str">
        <f t="shared" si="22"/>
        <v/>
      </c>
      <c r="IJ26" s="1" t="str">
        <f t="shared" si="22"/>
        <v/>
      </c>
      <c r="IK26" s="1" t="str">
        <f t="shared" si="22"/>
        <v/>
      </c>
      <c r="IL26" s="1" t="str">
        <f t="shared" si="22"/>
        <v/>
      </c>
      <c r="IM26" s="1" t="str">
        <f t="shared" si="22"/>
        <v/>
      </c>
      <c r="IN26" s="1" t="str">
        <f t="shared" si="22"/>
        <v/>
      </c>
      <c r="IO26" s="1" t="str">
        <f t="shared" si="22"/>
        <v/>
      </c>
      <c r="IP26" s="1" t="str">
        <f t="shared" si="22"/>
        <v/>
      </c>
      <c r="IQ26" s="1" t="str">
        <f t="shared" si="22"/>
        <v/>
      </c>
      <c r="IR26" s="1" t="str">
        <f t="shared" si="22"/>
        <v/>
      </c>
      <c r="IS26" s="1" t="str">
        <f t="shared" si="22"/>
        <v/>
      </c>
      <c r="IT26" s="1" t="str">
        <f t="shared" si="22"/>
        <v/>
      </c>
      <c r="IU26" s="1" t="str">
        <f t="shared" si="22"/>
        <v/>
      </c>
      <c r="IV26" s="1" t="str">
        <f t="shared" si="23"/>
        <v/>
      </c>
      <c r="IW26" s="1" t="str">
        <f t="shared" si="23"/>
        <v/>
      </c>
      <c r="IX26" s="1" t="str">
        <f t="shared" si="23"/>
        <v/>
      </c>
      <c r="IY26" s="1" t="str">
        <f t="shared" si="23"/>
        <v/>
      </c>
      <c r="IZ26" s="1" t="str">
        <f t="shared" si="23"/>
        <v/>
      </c>
      <c r="JA26" s="1" t="str">
        <f t="shared" si="23"/>
        <v/>
      </c>
      <c r="JB26" s="1" t="str">
        <f t="shared" si="23"/>
        <v/>
      </c>
      <c r="JC26" s="1" t="str">
        <f t="shared" si="23"/>
        <v/>
      </c>
      <c r="JD26" s="1" t="str">
        <f t="shared" si="23"/>
        <v/>
      </c>
      <c r="JE26" s="1" t="str">
        <f t="shared" si="23"/>
        <v/>
      </c>
      <c r="JF26" s="1" t="str">
        <f t="shared" si="23"/>
        <v/>
      </c>
      <c r="JG26" s="1" t="str">
        <f t="shared" si="23"/>
        <v/>
      </c>
      <c r="JH26" s="1" t="str">
        <f t="shared" si="23"/>
        <v/>
      </c>
      <c r="JI26" s="1" t="str">
        <f t="shared" si="23"/>
        <v/>
      </c>
      <c r="JJ26" s="1" t="str">
        <f t="shared" si="23"/>
        <v/>
      </c>
      <c r="JK26" s="1" t="str">
        <f t="shared" si="23"/>
        <v/>
      </c>
      <c r="JL26" s="1" t="str">
        <f t="shared" si="24"/>
        <v/>
      </c>
      <c r="JM26" s="1" t="str">
        <f t="shared" si="12"/>
        <v/>
      </c>
      <c r="JN26" s="1" t="str">
        <f t="shared" si="12"/>
        <v/>
      </c>
      <c r="JO26" s="1" t="str">
        <f t="shared" si="12"/>
        <v/>
      </c>
    </row>
    <row r="27" spans="1:275" ht="14.5" x14ac:dyDescent="0.35">
      <c r="A27" s="59">
        <f>IF('Data input'!A27&lt;&gt;"",'Data input'!A27,"")</f>
        <v>25</v>
      </c>
      <c r="B27" s="60" t="str">
        <f>IF('Data input'!B27&lt;&gt;"",'Data input'!B27,"")</f>
        <v>Mississippi</v>
      </c>
      <c r="C27" s="19">
        <f>IF('Data input'!C27="","",4*('Data input'!C27-'Data input'!C$108)/('Data input'!C$109-'Data input'!C$108)+1)</f>
        <v>4.4665608959642569</v>
      </c>
      <c r="D27" s="19" t="str">
        <f>IF('Data input'!D27="","",4*('Data input'!D27-'Data input'!D$108)/('Data input'!D$109-'Data input'!D$108)+1)</f>
        <v/>
      </c>
      <c r="E27" s="19" t="str">
        <f>IF('Data input'!E27="","",4*('Data input'!E27-'Data input'!E$108)/('Data input'!E$109-'Data input'!E$108)+1)</f>
        <v/>
      </c>
      <c r="F27" s="19" t="str">
        <f>IF('Data input'!F27="","",4*('Data input'!F27-'Data input'!F$108)/('Data input'!F$109-'Data input'!F$108)+1)</f>
        <v/>
      </c>
      <c r="G27" s="19" t="str">
        <f>IF('Data input'!G27="","",4*('Data input'!G27-'Data input'!G$108)/('Data input'!G$109-'Data input'!G$108)+1)</f>
        <v/>
      </c>
      <c r="H27" s="61">
        <f>IF('Data input'!H27="","",4*('Data input'!H27-'Data input'!H$108)/('Data input'!H$109-'Data input'!H$108)+1)</f>
        <v>1.0733270248897144</v>
      </c>
      <c r="I27" s="19">
        <f>IF('Data input'!I27="","",4*('Data input'!I27-'Data input'!I$108)/('Data input'!I$109-'Data input'!I$108)+1)</f>
        <v>2.2372217579961542</v>
      </c>
      <c r="J27" s="19" t="str">
        <f>IF('Data input'!J27="","",4*('Data input'!J27-'Data input'!J$108)/('Data input'!J$109-'Data input'!J$108)+1)</f>
        <v/>
      </c>
      <c r="K27" s="19" t="str">
        <f>IF('Data input'!K27="","",4*('Data input'!K27-'Data input'!K$108)/('Data input'!K$109-'Data input'!K$108)+1)</f>
        <v/>
      </c>
      <c r="L27" s="19" t="str">
        <f>IF('Data input'!L27="","",4*('Data input'!L27-'Data input'!L$108)/('Data input'!L$109-'Data input'!L$108)+1)</f>
        <v/>
      </c>
      <c r="M27" s="19">
        <f>IF('Data input'!M27="","",4*('Data input'!M27-'Data input'!M$108)/('Data input'!M$109-'Data input'!M$108)+1)</f>
        <v>1.2308292820091609</v>
      </c>
      <c r="N27" s="16" t="str">
        <f>IF('Data input'!N27="","",4*('Data input'!N27-'Data input'!N$108)/('Data input'!N$109-'Data input'!N$108)+1)</f>
        <v/>
      </c>
      <c r="O27" s="19" t="str">
        <f>IF('Data input'!O27="","",4*('Data input'!O27-'Data input'!O$108)/('Data input'!O$109-'Data input'!O$108)+1)</f>
        <v/>
      </c>
      <c r="P27" s="19" t="str">
        <f>IF('Data input'!P27="","",4*('Data input'!P27-'Data input'!P$108)/('Data input'!P$109-'Data input'!P$108)+1)</f>
        <v/>
      </c>
      <c r="Q27" s="19" t="str">
        <f>IF('Data input'!Q27="","",4*('Data input'!Q27-'Data input'!Q$108)/('Data input'!Q$109-'Data input'!Q$108)+1)</f>
        <v/>
      </c>
      <c r="R27" s="19" t="str">
        <f>IF('Data input'!R27="","",4*('Data input'!R27-'Data input'!R$108)/('Data input'!R$109-'Data input'!R$108)+1)</f>
        <v/>
      </c>
      <c r="S27" s="16" t="str">
        <f>IF('Data input'!S27="","",4*('Data input'!S27-'Data input'!S$108)/('Data input'!S$109-'Data input'!S$108)+1)</f>
        <v/>
      </c>
      <c r="T27" s="19" t="str">
        <f>IF('Data input'!T27="","",4*('Data input'!T27-'Data input'!T$108)/('Data input'!T$109-'Data input'!T$108)+1)</f>
        <v/>
      </c>
      <c r="U27" s="19" t="str">
        <f>IF('Data input'!U27="","",4*('Data input'!U27-'Data input'!U$108)/('Data input'!U$109-'Data input'!U$108)+1)</f>
        <v/>
      </c>
      <c r="V27" s="19" t="str">
        <f>IF('Data input'!V27="","",4*('Data input'!V27-'Data input'!V$108)/('Data input'!V$109-'Data input'!V$108)+1)</f>
        <v/>
      </c>
      <c r="W27" s="16" t="str">
        <f>IF('Data input'!W27="","",4*('Data input'!W27-'Data input'!W$108)/('Data input'!W$109-'Data input'!W$108)+1)</f>
        <v/>
      </c>
      <c r="X27" s="16" t="str">
        <f>IF('Data input'!X27="","",4*('Data input'!X27-'Data input'!X$108)/('Data input'!X$109-'Data input'!X$108)+1)</f>
        <v/>
      </c>
      <c r="Y27" s="16" t="str">
        <f>IF('Data input'!Y27="","",4*('Data input'!Y27-'Data input'!Y$108)/('Data input'!Y$109-'Data input'!Y$108)+1)</f>
        <v/>
      </c>
      <c r="Z27" s="16" t="str">
        <f>IF('Data input'!Z27="","",4*('Data input'!Z27-'Data input'!Z$108)/('Data input'!Z$109-'Data input'!Z$108)+1)</f>
        <v/>
      </c>
      <c r="AA27" s="62" t="str">
        <f>IF('Data input'!AA27="","",4*('Data input'!AA27-'Data input'!AA$108)/('Data input'!AA$109-'Data input'!AA$108)+1)</f>
        <v/>
      </c>
      <c r="AB27" s="78"/>
      <c r="AC27" s="79">
        <v>0</v>
      </c>
      <c r="AD27" s="80" t="e">
        <f t="shared" si="13"/>
        <v>#DIV/0!</v>
      </c>
      <c r="AE27" s="4"/>
      <c r="AF27" s="59">
        <f t="shared" si="14"/>
        <v>25</v>
      </c>
      <c r="AG27" s="60" t="str">
        <f t="shared" si="14"/>
        <v>Mississippi</v>
      </c>
      <c r="AH27">
        <v>0</v>
      </c>
      <c r="AI27" t="s">
        <v>69</v>
      </c>
      <c r="AJ27" t="s">
        <v>69</v>
      </c>
      <c r="AK27" t="s">
        <v>69</v>
      </c>
      <c r="AL27" t="s">
        <v>69</v>
      </c>
      <c r="AM27">
        <v>0</v>
      </c>
      <c r="AN27">
        <v>1.4809853080910239E-13</v>
      </c>
      <c r="AO27" t="s">
        <v>69</v>
      </c>
      <c r="AP27" t="s">
        <v>69</v>
      </c>
      <c r="AQ27" t="s">
        <v>69</v>
      </c>
      <c r="AR27">
        <v>0.99999999999996692</v>
      </c>
      <c r="AS27" s="71">
        <f t="shared" si="15"/>
        <v>4.4665608959642569</v>
      </c>
      <c r="AT27" s="71" t="str">
        <f t="shared" si="15"/>
        <v/>
      </c>
      <c r="AU27" s="71" t="str">
        <f t="shared" si="15"/>
        <v/>
      </c>
      <c r="AV27" s="71" t="str">
        <f t="shared" si="15"/>
        <v/>
      </c>
      <c r="AW27" s="71" t="str">
        <f t="shared" si="15"/>
        <v/>
      </c>
      <c r="AX27" s="71">
        <f t="shared" si="16"/>
        <v>1.0733270248897144</v>
      </c>
      <c r="AY27" s="71">
        <f t="shared" si="16"/>
        <v>2.2372217579960063</v>
      </c>
      <c r="AZ27" s="71" t="str">
        <f t="shared" si="16"/>
        <v/>
      </c>
      <c r="BA27" s="71" t="str">
        <f t="shared" si="16"/>
        <v/>
      </c>
      <c r="BB27" s="71" t="str">
        <f t="shared" si="16"/>
        <v/>
      </c>
      <c r="BC27" s="18">
        <f>IF(C27&lt;&gt;"",(('Data input'!C$109-'Data input'!C$108)*(AS27-1)/4)+'Data input'!C$108,"")</f>
        <v>0.97692501732505765</v>
      </c>
      <c r="BD27" s="18" t="str">
        <f>IF(D27&lt;&gt;"",(('Data input'!D$109-'Data input'!D$108)*(AT27-1)/4)+'Data input'!D$108,"")</f>
        <v/>
      </c>
      <c r="BE27" s="18" t="str">
        <f>IF(E27&lt;&gt;"",(('Data input'!E$109-'Data input'!E$108)*(AU27-1)/4)+'Data input'!E$108,"")</f>
        <v/>
      </c>
      <c r="BF27" s="18" t="str">
        <f>IF(F27&lt;&gt;"",(('Data input'!F$109-'Data input'!F$108)*(AV27-1)/4)+'Data input'!F$108,"")</f>
        <v/>
      </c>
      <c r="BG27" s="18" t="str">
        <f>IF(G27&lt;&gt;"",(('Data input'!G$109-'Data input'!G$108)*(AW27-1)/4)+'Data input'!G$108,"")</f>
        <v/>
      </c>
      <c r="BH27" s="19">
        <f>IF(H27&lt;&gt;"",(('Data input'!H$109-'Data input'!H$108)*(AX27-1)/4)+'Data input'!H$108,"")</f>
        <v>1.8926462285787415</v>
      </c>
      <c r="BI27" s="18">
        <f>IF(I27&lt;&gt;"",(('Data input'!I$109-'Data input'!I$108)*(AY27-1)/4)+'Data input'!I$108,"")</f>
        <v>5.4324517512502446E-2</v>
      </c>
      <c r="BJ27" s="19" t="str">
        <f>IF(J27&lt;&gt;"",(('Data input'!J$109-'Data input'!J$108)*(AZ27-1)/4)+'Data input'!J$108,"")</f>
        <v/>
      </c>
      <c r="BK27" s="19" t="str">
        <f>IF(K27&lt;&gt;"",(('Data input'!K$109-'Data input'!K$108)*(BA27-1)/4)+'Data input'!K$108,"")</f>
        <v/>
      </c>
      <c r="BL27" s="19" t="str">
        <f>IF(L27&lt;&gt;"",(('Data input'!L$109-'Data input'!L$108)*(BB27-1)/4)+'Data input'!L$108,"")</f>
        <v/>
      </c>
      <c r="BM27" s="18">
        <f>IF(C27&lt;&gt;"",BC27-'Data input'!C27,"")</f>
        <v>0</v>
      </c>
      <c r="BN27" s="18" t="str">
        <f>IF(D27&lt;&gt;"",BD27-'Data input'!D27,"")</f>
        <v/>
      </c>
      <c r="BO27" s="18" t="str">
        <f>IF(E27&lt;&gt;"",BE27-'Data input'!E27,"")</f>
        <v/>
      </c>
      <c r="BP27" s="18" t="str">
        <f>IF(F27&lt;&gt;"",BF27-'Data input'!F27,"")</f>
        <v/>
      </c>
      <c r="BQ27" s="18" t="str">
        <f>IF(G27&lt;&gt;"",BG27-'Data input'!G27,"")</f>
        <v/>
      </c>
      <c r="BR27" s="19">
        <f>IF(H27&lt;&gt;"",BH27-'Data input'!H27,"")</f>
        <v>-2.2204460492503131E-15</v>
      </c>
      <c r="BS27" s="18">
        <f>IF(I27&lt;&gt;"",BI27-'Data input'!I27,"")</f>
        <v>-6.4878658001532585E-15</v>
      </c>
      <c r="BT27" s="18" t="str">
        <f>IF(J27&lt;&gt;"",BJ27-'Data input'!J27,"")</f>
        <v/>
      </c>
      <c r="BU27" s="18" t="str">
        <f>IF(K27&lt;&gt;"",BK27-'Data input'!K27,"")</f>
        <v/>
      </c>
      <c r="BV27" s="72" t="str">
        <f>IF(L27&lt;&gt;"",BL27-'Data input'!L27,"")</f>
        <v/>
      </c>
      <c r="BW27" s="121" t="str">
        <f t="shared" si="17"/>
        <v xml:space="preserve">Mississippi; 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1.3697626666782391E-13</v>
      </c>
      <c r="CO27" s="1">
        <v>0</v>
      </c>
      <c r="CP27" s="1">
        <v>-1.3377805810089513E-14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0.99999999999989009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-1.3330917824463814E-14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FT27" s="1" t="str">
        <f t="shared" si="18"/>
        <v/>
      </c>
      <c r="FU27" s="1" t="str">
        <f t="shared" si="18"/>
        <v/>
      </c>
      <c r="FV27" s="1" t="str">
        <f t="shared" si="18"/>
        <v/>
      </c>
      <c r="FW27" s="1" t="str">
        <f t="shared" si="18"/>
        <v/>
      </c>
      <c r="FX27" s="1" t="str">
        <f t="shared" si="18"/>
        <v/>
      </c>
      <c r="FY27" s="1" t="str">
        <f t="shared" si="18"/>
        <v/>
      </c>
      <c r="FZ27" s="1" t="str">
        <f t="shared" si="18"/>
        <v/>
      </c>
      <c r="GA27" s="1" t="str">
        <f t="shared" si="18"/>
        <v/>
      </c>
      <c r="GB27" s="1" t="str">
        <f t="shared" si="18"/>
        <v/>
      </c>
      <c r="GC27" s="1" t="str">
        <f t="shared" si="18"/>
        <v/>
      </c>
      <c r="GD27" s="1" t="str">
        <f t="shared" si="18"/>
        <v/>
      </c>
      <c r="GE27" s="1" t="str">
        <f t="shared" si="18"/>
        <v/>
      </c>
      <c r="GF27" s="1" t="str">
        <f t="shared" si="18"/>
        <v/>
      </c>
      <c r="GG27" s="1" t="str">
        <f t="shared" si="18"/>
        <v/>
      </c>
      <c r="GH27" s="1" t="str">
        <f t="shared" si="18"/>
        <v/>
      </c>
      <c r="GI27" s="1" t="str">
        <f t="shared" si="18"/>
        <v/>
      </c>
      <c r="GJ27" s="1" t="str">
        <f t="shared" si="19"/>
        <v/>
      </c>
      <c r="GK27" s="1" t="str">
        <f t="shared" si="19"/>
        <v/>
      </c>
      <c r="GL27" s="1" t="str">
        <f t="shared" si="19"/>
        <v/>
      </c>
      <c r="GM27" s="1" t="str">
        <f t="shared" si="19"/>
        <v/>
      </c>
      <c r="GN27" s="1" t="str">
        <f t="shared" si="19"/>
        <v/>
      </c>
      <c r="GO27" s="1" t="str">
        <f t="shared" si="19"/>
        <v/>
      </c>
      <c r="GP27" s="1" t="str">
        <f t="shared" si="19"/>
        <v/>
      </c>
      <c r="GQ27" s="1" t="str">
        <f t="shared" si="19"/>
        <v/>
      </c>
      <c r="GR27" s="1" t="str">
        <f t="shared" si="19"/>
        <v xml:space="preserve">Mississippi; </v>
      </c>
      <c r="GS27" s="1" t="str">
        <f t="shared" si="19"/>
        <v/>
      </c>
      <c r="GT27" s="1" t="str">
        <f t="shared" si="19"/>
        <v/>
      </c>
      <c r="GU27" s="1" t="str">
        <f t="shared" si="19"/>
        <v/>
      </c>
      <c r="GV27" s="1" t="str">
        <f t="shared" si="19"/>
        <v/>
      </c>
      <c r="GW27" s="1" t="str">
        <f t="shared" si="19"/>
        <v/>
      </c>
      <c r="GX27" s="1" t="str">
        <f t="shared" si="19"/>
        <v/>
      </c>
      <c r="GY27" s="1" t="str">
        <f t="shared" si="19"/>
        <v/>
      </c>
      <c r="GZ27" s="1" t="str">
        <f t="shared" si="20"/>
        <v/>
      </c>
      <c r="HA27" s="1" t="str">
        <f t="shared" si="20"/>
        <v/>
      </c>
      <c r="HB27" s="1" t="str">
        <f t="shared" si="20"/>
        <v/>
      </c>
      <c r="HC27" s="1" t="str">
        <f t="shared" si="20"/>
        <v/>
      </c>
      <c r="HD27" s="1" t="str">
        <f t="shared" si="20"/>
        <v/>
      </c>
      <c r="HE27" s="1" t="str">
        <f t="shared" si="20"/>
        <v/>
      </c>
      <c r="HF27" s="1" t="str">
        <f t="shared" si="20"/>
        <v/>
      </c>
      <c r="HG27" s="1" t="str">
        <f t="shared" si="20"/>
        <v/>
      </c>
      <c r="HH27" s="1" t="str">
        <f t="shared" si="20"/>
        <v/>
      </c>
      <c r="HI27" s="1" t="str">
        <f t="shared" si="20"/>
        <v/>
      </c>
      <c r="HJ27" s="1" t="str">
        <f t="shared" si="20"/>
        <v/>
      </c>
      <c r="HK27" s="1" t="str">
        <f t="shared" si="20"/>
        <v/>
      </c>
      <c r="HL27" s="1" t="str">
        <f t="shared" si="20"/>
        <v/>
      </c>
      <c r="HM27" s="1" t="str">
        <f t="shared" si="20"/>
        <v/>
      </c>
      <c r="HN27" s="1" t="str">
        <f t="shared" si="20"/>
        <v/>
      </c>
      <c r="HO27" s="1" t="str">
        <f t="shared" si="20"/>
        <v/>
      </c>
      <c r="HP27" s="1" t="str">
        <f t="shared" si="21"/>
        <v/>
      </c>
      <c r="HQ27" s="1" t="str">
        <f t="shared" si="21"/>
        <v/>
      </c>
      <c r="HR27" s="1" t="str">
        <f t="shared" si="21"/>
        <v/>
      </c>
      <c r="HS27" s="1" t="str">
        <f t="shared" si="21"/>
        <v/>
      </c>
      <c r="HT27" s="1" t="str">
        <f t="shared" si="21"/>
        <v/>
      </c>
      <c r="HU27" s="1" t="str">
        <f t="shared" si="21"/>
        <v/>
      </c>
      <c r="HV27" s="1" t="str">
        <f t="shared" si="21"/>
        <v/>
      </c>
      <c r="HW27" s="1" t="str">
        <f t="shared" si="21"/>
        <v/>
      </c>
      <c r="HX27" s="1" t="str">
        <f t="shared" si="21"/>
        <v/>
      </c>
      <c r="HY27" s="1" t="str">
        <f t="shared" si="21"/>
        <v/>
      </c>
      <c r="HZ27" s="1" t="str">
        <f t="shared" si="21"/>
        <v/>
      </c>
      <c r="IA27" s="1" t="str">
        <f t="shared" si="21"/>
        <v/>
      </c>
      <c r="IB27" s="1" t="str">
        <f t="shared" si="21"/>
        <v/>
      </c>
      <c r="IC27" s="1" t="str">
        <f t="shared" si="21"/>
        <v/>
      </c>
      <c r="ID27" s="1" t="str">
        <f t="shared" si="21"/>
        <v/>
      </c>
      <c r="IE27" s="1" t="str">
        <f t="shared" si="21"/>
        <v/>
      </c>
      <c r="IF27" s="1" t="str">
        <f t="shared" si="22"/>
        <v/>
      </c>
      <c r="IG27" s="1" t="str">
        <f t="shared" si="22"/>
        <v/>
      </c>
      <c r="IH27" s="1" t="str">
        <f t="shared" si="22"/>
        <v/>
      </c>
      <c r="II27" s="1" t="str">
        <f t="shared" si="22"/>
        <v/>
      </c>
      <c r="IJ27" s="1" t="str">
        <f t="shared" si="22"/>
        <v/>
      </c>
      <c r="IK27" s="1" t="str">
        <f t="shared" si="22"/>
        <v/>
      </c>
      <c r="IL27" s="1" t="str">
        <f t="shared" si="22"/>
        <v/>
      </c>
      <c r="IM27" s="1" t="str">
        <f t="shared" si="22"/>
        <v/>
      </c>
      <c r="IN27" s="1" t="str">
        <f t="shared" si="22"/>
        <v/>
      </c>
      <c r="IO27" s="1" t="str">
        <f t="shared" si="22"/>
        <v/>
      </c>
      <c r="IP27" s="1" t="str">
        <f t="shared" si="22"/>
        <v/>
      </c>
      <c r="IQ27" s="1" t="str">
        <f t="shared" si="22"/>
        <v/>
      </c>
      <c r="IR27" s="1" t="str">
        <f t="shared" si="22"/>
        <v/>
      </c>
      <c r="IS27" s="1" t="str">
        <f t="shared" si="22"/>
        <v/>
      </c>
      <c r="IT27" s="1" t="str">
        <f t="shared" si="22"/>
        <v/>
      </c>
      <c r="IU27" s="1" t="str">
        <f t="shared" si="22"/>
        <v/>
      </c>
      <c r="IV27" s="1" t="str">
        <f t="shared" si="23"/>
        <v/>
      </c>
      <c r="IW27" s="1" t="str">
        <f t="shared" si="23"/>
        <v/>
      </c>
      <c r="IX27" s="1" t="str">
        <f t="shared" si="23"/>
        <v/>
      </c>
      <c r="IY27" s="1" t="str">
        <f t="shared" si="23"/>
        <v/>
      </c>
      <c r="IZ27" s="1" t="str">
        <f t="shared" si="23"/>
        <v/>
      </c>
      <c r="JA27" s="1" t="str">
        <f t="shared" si="23"/>
        <v/>
      </c>
      <c r="JB27" s="1" t="str">
        <f t="shared" si="23"/>
        <v/>
      </c>
      <c r="JC27" s="1" t="str">
        <f t="shared" si="23"/>
        <v/>
      </c>
      <c r="JD27" s="1" t="str">
        <f t="shared" si="23"/>
        <v/>
      </c>
      <c r="JE27" s="1" t="str">
        <f t="shared" si="23"/>
        <v/>
      </c>
      <c r="JF27" s="1" t="str">
        <f t="shared" si="23"/>
        <v/>
      </c>
      <c r="JG27" s="1" t="str">
        <f t="shared" si="23"/>
        <v/>
      </c>
      <c r="JH27" s="1" t="str">
        <f t="shared" si="23"/>
        <v/>
      </c>
      <c r="JI27" s="1" t="str">
        <f t="shared" si="23"/>
        <v/>
      </c>
      <c r="JJ27" s="1" t="str">
        <f t="shared" si="23"/>
        <v/>
      </c>
      <c r="JK27" s="1" t="str">
        <f t="shared" si="23"/>
        <v/>
      </c>
      <c r="JL27" s="1" t="str">
        <f t="shared" si="24"/>
        <v/>
      </c>
      <c r="JM27" s="1" t="str">
        <f t="shared" si="12"/>
        <v/>
      </c>
      <c r="JN27" s="1" t="str">
        <f t="shared" si="12"/>
        <v/>
      </c>
      <c r="JO27" s="1" t="str">
        <f t="shared" si="12"/>
        <v/>
      </c>
    </row>
    <row r="28" spans="1:275" ht="14.5" x14ac:dyDescent="0.35">
      <c r="A28" s="59">
        <f>IF('Data input'!A28&lt;&gt;"",'Data input'!A28,"")</f>
        <v>26</v>
      </c>
      <c r="B28" s="60" t="str">
        <f>IF('Data input'!B28&lt;&gt;"",'Data input'!B28,"")</f>
        <v>Missouri</v>
      </c>
      <c r="C28" s="19">
        <f>IF('Data input'!C28="","",4*('Data input'!C28-'Data input'!C$108)/('Data input'!C$109-'Data input'!C$108)+1)</f>
        <v>3.0860163245817742</v>
      </c>
      <c r="D28" s="19" t="str">
        <f>IF('Data input'!D28="","",4*('Data input'!D28-'Data input'!D$108)/('Data input'!D$109-'Data input'!D$108)+1)</f>
        <v/>
      </c>
      <c r="E28" s="19" t="str">
        <f>IF('Data input'!E28="","",4*('Data input'!E28-'Data input'!E$108)/('Data input'!E$109-'Data input'!E$108)+1)</f>
        <v/>
      </c>
      <c r="F28" s="19" t="str">
        <f>IF('Data input'!F28="","",4*('Data input'!F28-'Data input'!F$108)/('Data input'!F$109-'Data input'!F$108)+1)</f>
        <v/>
      </c>
      <c r="G28" s="19" t="str">
        <f>IF('Data input'!G28="","",4*('Data input'!G28-'Data input'!G$108)/('Data input'!G$109-'Data input'!G$108)+1)</f>
        <v/>
      </c>
      <c r="H28" s="61">
        <f>IF('Data input'!H28="","",4*('Data input'!H28-'Data input'!H$108)/('Data input'!H$109-'Data input'!H$108)+1)</f>
        <v>1.3051636397850654</v>
      </c>
      <c r="I28" s="19">
        <f>IF('Data input'!I28="","",4*('Data input'!I28-'Data input'!I$108)/('Data input'!I$109-'Data input'!I$108)+1)</f>
        <v>2.2434970181449057</v>
      </c>
      <c r="J28" s="19" t="str">
        <f>IF('Data input'!J28="","",4*('Data input'!J28-'Data input'!J$108)/('Data input'!J$109-'Data input'!J$108)+1)</f>
        <v/>
      </c>
      <c r="K28" s="19" t="str">
        <f>IF('Data input'!K28="","",4*('Data input'!K28-'Data input'!K$108)/('Data input'!K$109-'Data input'!K$108)+1)</f>
        <v/>
      </c>
      <c r="L28" s="19" t="str">
        <f>IF('Data input'!L28="","",4*('Data input'!L28-'Data input'!L$108)/('Data input'!L$109-'Data input'!L$108)+1)</f>
        <v/>
      </c>
      <c r="M28" s="19">
        <f>IF('Data input'!M28="","",4*('Data input'!M28-'Data input'!M$108)/('Data input'!M$109-'Data input'!M$108)+1)</f>
        <v>1.8203589214228102</v>
      </c>
      <c r="N28" s="16" t="str">
        <f>IF('Data input'!N28="","",4*('Data input'!N28-'Data input'!N$108)/('Data input'!N$109-'Data input'!N$108)+1)</f>
        <v/>
      </c>
      <c r="O28" s="19" t="str">
        <f>IF('Data input'!O28="","",4*('Data input'!O28-'Data input'!O$108)/('Data input'!O$109-'Data input'!O$108)+1)</f>
        <v/>
      </c>
      <c r="P28" s="19" t="str">
        <f>IF('Data input'!P28="","",4*('Data input'!P28-'Data input'!P$108)/('Data input'!P$109-'Data input'!P$108)+1)</f>
        <v/>
      </c>
      <c r="Q28" s="19" t="str">
        <f>IF('Data input'!Q28="","",4*('Data input'!Q28-'Data input'!Q$108)/('Data input'!Q$109-'Data input'!Q$108)+1)</f>
        <v/>
      </c>
      <c r="R28" s="19" t="str">
        <f>IF('Data input'!R28="","",4*('Data input'!R28-'Data input'!R$108)/('Data input'!R$109-'Data input'!R$108)+1)</f>
        <v/>
      </c>
      <c r="S28" s="16" t="str">
        <f>IF('Data input'!S28="","",4*('Data input'!S28-'Data input'!S$108)/('Data input'!S$109-'Data input'!S$108)+1)</f>
        <v/>
      </c>
      <c r="T28" s="19" t="str">
        <f>IF('Data input'!T28="","",4*('Data input'!T28-'Data input'!T$108)/('Data input'!T$109-'Data input'!T$108)+1)</f>
        <v/>
      </c>
      <c r="U28" s="19" t="str">
        <f>IF('Data input'!U28="","",4*('Data input'!U28-'Data input'!U$108)/('Data input'!U$109-'Data input'!U$108)+1)</f>
        <v/>
      </c>
      <c r="V28" s="19" t="str">
        <f>IF('Data input'!V28="","",4*('Data input'!V28-'Data input'!V$108)/('Data input'!V$109-'Data input'!V$108)+1)</f>
        <v/>
      </c>
      <c r="W28" s="16" t="str">
        <f>IF('Data input'!W28="","",4*('Data input'!W28-'Data input'!W$108)/('Data input'!W$109-'Data input'!W$108)+1)</f>
        <v/>
      </c>
      <c r="X28" s="16" t="str">
        <f>IF('Data input'!X28="","",4*('Data input'!X28-'Data input'!X$108)/('Data input'!X$109-'Data input'!X$108)+1)</f>
        <v/>
      </c>
      <c r="Y28" s="16" t="str">
        <f>IF('Data input'!Y28="","",4*('Data input'!Y28-'Data input'!Y$108)/('Data input'!Y$109-'Data input'!Y$108)+1)</f>
        <v/>
      </c>
      <c r="Z28" s="16" t="str">
        <f>IF('Data input'!Z28="","",4*('Data input'!Z28-'Data input'!Z$108)/('Data input'!Z$109-'Data input'!Z$108)+1)</f>
        <v/>
      </c>
      <c r="AA28" s="62" t="str">
        <f>IF('Data input'!AA28="","",4*('Data input'!AA28-'Data input'!AA$108)/('Data input'!AA$109-'Data input'!AA$108)+1)</f>
        <v/>
      </c>
      <c r="AB28" s="78"/>
      <c r="AC28" s="79">
        <v>0</v>
      </c>
      <c r="AD28" s="80" t="e">
        <f t="shared" si="13"/>
        <v>#DIV/0!</v>
      </c>
      <c r="AE28" s="4"/>
      <c r="AF28" s="59">
        <f t="shared" si="14"/>
        <v>26</v>
      </c>
      <c r="AG28" s="60" t="str">
        <f t="shared" si="14"/>
        <v>Missouri</v>
      </c>
      <c r="AH28">
        <v>0</v>
      </c>
      <c r="AI28" t="s">
        <v>69</v>
      </c>
      <c r="AJ28" t="s">
        <v>69</v>
      </c>
      <c r="AK28" t="s">
        <v>69</v>
      </c>
      <c r="AL28" t="s">
        <v>69</v>
      </c>
      <c r="AM28">
        <v>0.11170276243833176</v>
      </c>
      <c r="AN28">
        <v>1.2193523819115668</v>
      </c>
      <c r="AO28" t="s">
        <v>69</v>
      </c>
      <c r="AP28" t="s">
        <v>69</v>
      </c>
      <c r="AQ28" t="s">
        <v>69</v>
      </c>
      <c r="AR28">
        <v>0.68545475343956341</v>
      </c>
      <c r="AS28" s="71">
        <f t="shared" si="15"/>
        <v>3.0860163245817742</v>
      </c>
      <c r="AT28" s="71" t="str">
        <f t="shared" si="15"/>
        <v/>
      </c>
      <c r="AU28" s="71" t="str">
        <f t="shared" si="15"/>
        <v/>
      </c>
      <c r="AV28" s="71" t="str">
        <f t="shared" si="15"/>
        <v/>
      </c>
      <c r="AW28" s="71" t="str">
        <f t="shared" si="15"/>
        <v/>
      </c>
      <c r="AX28" s="71">
        <f t="shared" si="16"/>
        <v>1.1934608773467337</v>
      </c>
      <c r="AY28" s="71">
        <f t="shared" si="16"/>
        <v>1.0241446362333388</v>
      </c>
      <c r="AZ28" s="71" t="str">
        <f t="shared" si="16"/>
        <v/>
      </c>
      <c r="BA28" s="71" t="str">
        <f t="shared" si="16"/>
        <v/>
      </c>
      <c r="BB28" s="71" t="str">
        <f t="shared" si="16"/>
        <v/>
      </c>
      <c r="BC28" s="18">
        <f>IF(C28&lt;&gt;"",(('Data input'!C$109-'Data input'!C$108)*(AS28-1)/4)+'Data input'!C$108,"")</f>
        <v>0.92680135234128458</v>
      </c>
      <c r="BD28" s="18" t="str">
        <f>IF(D28&lt;&gt;"",(('Data input'!D$109-'Data input'!D$108)*(AT28-1)/4)+'Data input'!D$108,"")</f>
        <v/>
      </c>
      <c r="BE28" s="18" t="str">
        <f>IF(E28&lt;&gt;"",(('Data input'!E$109-'Data input'!E$108)*(AU28-1)/4)+'Data input'!E$108,"")</f>
        <v/>
      </c>
      <c r="BF28" s="18" t="str">
        <f>IF(F28&lt;&gt;"",(('Data input'!F$109-'Data input'!F$108)*(AV28-1)/4)+'Data input'!F$108,"")</f>
        <v/>
      </c>
      <c r="BG28" s="18" t="str">
        <f>IF(G28&lt;&gt;"",(('Data input'!G$109-'Data input'!G$108)*(AW28-1)/4)+'Data input'!G$108,"")</f>
        <v/>
      </c>
      <c r="BH28" s="19">
        <f>IF(H28&lt;&gt;"",(('Data input'!H$109-'Data input'!H$108)*(AX28-1)/4)+'Data input'!H$108,"")</f>
        <v>4.5089009429993325</v>
      </c>
      <c r="BI28" s="18">
        <f>IF(I28&lt;&gt;"",(('Data input'!I$109-'Data input'!I$108)*(AY28-1)/4)+'Data input'!I$108,"")</f>
        <v>1.0601540955887806E-3</v>
      </c>
      <c r="BJ28" s="19" t="str">
        <f>IF(J28&lt;&gt;"",(('Data input'!J$109-'Data input'!J$108)*(AZ28-1)/4)+'Data input'!J$108,"")</f>
        <v/>
      </c>
      <c r="BK28" s="19" t="str">
        <f>IF(K28&lt;&gt;"",(('Data input'!K$109-'Data input'!K$108)*(BA28-1)/4)+'Data input'!K$108,"")</f>
        <v/>
      </c>
      <c r="BL28" s="19" t="str">
        <f>IF(L28&lt;&gt;"",(('Data input'!L$109-'Data input'!L$108)*(BB28-1)/4)+'Data input'!L$108,"")</f>
        <v/>
      </c>
      <c r="BM28" s="18">
        <f>IF(C28&lt;&gt;"",BC28-'Data input'!C28,"")</f>
        <v>0</v>
      </c>
      <c r="BN28" s="18" t="str">
        <f>IF(D28&lt;&gt;"",BD28-'Data input'!D28,"")</f>
        <v/>
      </c>
      <c r="BO28" s="18" t="str">
        <f>IF(E28&lt;&gt;"",BE28-'Data input'!E28,"")</f>
        <v/>
      </c>
      <c r="BP28" s="18" t="str">
        <f>IF(F28&lt;&gt;"",BF28-'Data input'!F28,"")</f>
        <v/>
      </c>
      <c r="BQ28" s="18" t="str">
        <f>IF(G28&lt;&gt;"",BG28-'Data input'!G28,"")</f>
        <v/>
      </c>
      <c r="BR28" s="19">
        <f>IF(H28&lt;&gt;"",BH28-'Data input'!H28,"")</f>
        <v>-2.4326438623754765</v>
      </c>
      <c r="BS28" s="18">
        <f>IF(I28&lt;&gt;"",BI28-'Data input'!I28,"")</f>
        <v>-5.3539900504465818E-2</v>
      </c>
      <c r="BT28" s="18" t="str">
        <f>IF(J28&lt;&gt;"",BJ28-'Data input'!J28,"")</f>
        <v/>
      </c>
      <c r="BU28" s="18" t="str">
        <f>IF(K28&lt;&gt;"",BK28-'Data input'!K28,"")</f>
        <v/>
      </c>
      <c r="BV28" s="72" t="str">
        <f>IF(L28&lt;&gt;"",BL28-'Data input'!L28,"")</f>
        <v/>
      </c>
      <c r="BW28" s="121" t="str">
        <f t="shared" si="17"/>
        <v xml:space="preserve">Kansas; New York; Texas; 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0.38618146352605681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0.55060810752984746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6.3210428944092817E-2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  <c r="DZ28" s="1">
        <v>0</v>
      </c>
      <c r="FT28" s="1" t="str">
        <f t="shared" si="18"/>
        <v/>
      </c>
      <c r="FU28" s="1" t="str">
        <f t="shared" si="18"/>
        <v/>
      </c>
      <c r="FV28" s="1" t="str">
        <f t="shared" si="18"/>
        <v/>
      </c>
      <c r="FW28" s="1" t="str">
        <f t="shared" si="18"/>
        <v/>
      </c>
      <c r="FX28" s="1" t="str">
        <f t="shared" si="18"/>
        <v/>
      </c>
      <c r="FY28" s="1" t="str">
        <f t="shared" si="18"/>
        <v/>
      </c>
      <c r="FZ28" s="1" t="str">
        <f t="shared" si="18"/>
        <v/>
      </c>
      <c r="GA28" s="1" t="str">
        <f t="shared" si="18"/>
        <v/>
      </c>
      <c r="GB28" s="1" t="str">
        <f t="shared" si="18"/>
        <v/>
      </c>
      <c r="GC28" s="1" t="str">
        <f t="shared" si="18"/>
        <v/>
      </c>
      <c r="GD28" s="1" t="str">
        <f t="shared" si="18"/>
        <v/>
      </c>
      <c r="GE28" s="1" t="str">
        <f t="shared" si="18"/>
        <v/>
      </c>
      <c r="GF28" s="1" t="str">
        <f t="shared" si="18"/>
        <v/>
      </c>
      <c r="GG28" s="1" t="str">
        <f t="shared" si="18"/>
        <v/>
      </c>
      <c r="GH28" s="1" t="str">
        <f t="shared" si="18"/>
        <v/>
      </c>
      <c r="GI28" s="1" t="str">
        <f t="shared" si="18"/>
        <v/>
      </c>
      <c r="GJ28" s="1" t="str">
        <f t="shared" si="19"/>
        <v xml:space="preserve">Kansas; </v>
      </c>
      <c r="GK28" s="1" t="str">
        <f t="shared" si="19"/>
        <v/>
      </c>
      <c r="GL28" s="1" t="str">
        <f t="shared" si="19"/>
        <v/>
      </c>
      <c r="GM28" s="1" t="str">
        <f t="shared" si="19"/>
        <v/>
      </c>
      <c r="GN28" s="1" t="str">
        <f t="shared" si="19"/>
        <v/>
      </c>
      <c r="GO28" s="1" t="str">
        <f t="shared" si="19"/>
        <v/>
      </c>
      <c r="GP28" s="1" t="str">
        <f t="shared" si="19"/>
        <v/>
      </c>
      <c r="GQ28" s="1" t="str">
        <f t="shared" si="19"/>
        <v/>
      </c>
      <c r="GR28" s="1" t="str">
        <f t="shared" si="19"/>
        <v/>
      </c>
      <c r="GS28" s="1" t="str">
        <f t="shared" si="19"/>
        <v/>
      </c>
      <c r="GT28" s="1" t="str">
        <f t="shared" si="19"/>
        <v/>
      </c>
      <c r="GU28" s="1" t="str">
        <f t="shared" si="19"/>
        <v/>
      </c>
      <c r="GV28" s="1" t="str">
        <f t="shared" si="19"/>
        <v/>
      </c>
      <c r="GW28" s="1" t="str">
        <f t="shared" si="19"/>
        <v/>
      </c>
      <c r="GX28" s="1" t="str">
        <f t="shared" si="19"/>
        <v/>
      </c>
      <c r="GY28" s="1" t="str">
        <f t="shared" si="19"/>
        <v/>
      </c>
      <c r="GZ28" s="1" t="str">
        <f t="shared" si="20"/>
        <v xml:space="preserve">New York; </v>
      </c>
      <c r="HA28" s="1" t="str">
        <f t="shared" si="20"/>
        <v/>
      </c>
      <c r="HB28" s="1" t="str">
        <f t="shared" si="20"/>
        <v/>
      </c>
      <c r="HC28" s="1" t="str">
        <f t="shared" si="20"/>
        <v/>
      </c>
      <c r="HD28" s="1" t="str">
        <f t="shared" si="20"/>
        <v/>
      </c>
      <c r="HE28" s="1" t="str">
        <f t="shared" si="20"/>
        <v/>
      </c>
      <c r="HF28" s="1" t="str">
        <f t="shared" si="20"/>
        <v/>
      </c>
      <c r="HG28" s="1" t="str">
        <f t="shared" si="20"/>
        <v/>
      </c>
      <c r="HH28" s="1" t="str">
        <f t="shared" si="20"/>
        <v/>
      </c>
      <c r="HI28" s="1" t="str">
        <f t="shared" si="20"/>
        <v/>
      </c>
      <c r="HJ28" s="1" t="str">
        <f t="shared" si="20"/>
        <v xml:space="preserve">Texas; </v>
      </c>
      <c r="HK28" s="1" t="str">
        <f t="shared" si="20"/>
        <v/>
      </c>
      <c r="HL28" s="1" t="str">
        <f t="shared" si="20"/>
        <v/>
      </c>
      <c r="HM28" s="1" t="str">
        <f t="shared" si="20"/>
        <v/>
      </c>
      <c r="HN28" s="1" t="str">
        <f t="shared" si="20"/>
        <v/>
      </c>
      <c r="HO28" s="1" t="str">
        <f t="shared" si="20"/>
        <v/>
      </c>
      <c r="HP28" s="1" t="str">
        <f t="shared" si="21"/>
        <v/>
      </c>
      <c r="HQ28" s="1" t="str">
        <f t="shared" si="21"/>
        <v/>
      </c>
      <c r="HR28" s="1" t="str">
        <f t="shared" si="21"/>
        <v/>
      </c>
      <c r="HS28" s="1" t="str">
        <f t="shared" si="21"/>
        <v/>
      </c>
      <c r="HT28" s="1" t="str">
        <f t="shared" si="21"/>
        <v/>
      </c>
      <c r="HU28" s="1" t="str">
        <f t="shared" si="21"/>
        <v/>
      </c>
      <c r="HV28" s="1" t="str">
        <f t="shared" si="21"/>
        <v/>
      </c>
      <c r="HW28" s="1" t="str">
        <f t="shared" si="21"/>
        <v/>
      </c>
      <c r="HX28" s="1" t="str">
        <f t="shared" si="21"/>
        <v/>
      </c>
      <c r="HY28" s="1" t="str">
        <f t="shared" si="21"/>
        <v/>
      </c>
      <c r="HZ28" s="1" t="str">
        <f t="shared" si="21"/>
        <v/>
      </c>
      <c r="IA28" s="1" t="str">
        <f t="shared" si="21"/>
        <v/>
      </c>
      <c r="IB28" s="1" t="str">
        <f t="shared" si="21"/>
        <v/>
      </c>
      <c r="IC28" s="1" t="str">
        <f t="shared" si="21"/>
        <v/>
      </c>
      <c r="ID28" s="1" t="str">
        <f t="shared" si="21"/>
        <v/>
      </c>
      <c r="IE28" s="1" t="str">
        <f t="shared" si="21"/>
        <v/>
      </c>
      <c r="IF28" s="1" t="str">
        <f t="shared" si="22"/>
        <v/>
      </c>
      <c r="IG28" s="1" t="str">
        <f t="shared" si="22"/>
        <v/>
      </c>
      <c r="IH28" s="1" t="str">
        <f t="shared" si="22"/>
        <v/>
      </c>
      <c r="II28" s="1" t="str">
        <f t="shared" si="22"/>
        <v/>
      </c>
      <c r="IJ28" s="1" t="str">
        <f t="shared" si="22"/>
        <v/>
      </c>
      <c r="IK28" s="1" t="str">
        <f t="shared" si="22"/>
        <v/>
      </c>
      <c r="IL28" s="1" t="str">
        <f t="shared" si="22"/>
        <v/>
      </c>
      <c r="IM28" s="1" t="str">
        <f t="shared" si="22"/>
        <v/>
      </c>
      <c r="IN28" s="1" t="str">
        <f t="shared" si="22"/>
        <v/>
      </c>
      <c r="IO28" s="1" t="str">
        <f t="shared" si="22"/>
        <v/>
      </c>
      <c r="IP28" s="1" t="str">
        <f t="shared" si="22"/>
        <v/>
      </c>
      <c r="IQ28" s="1" t="str">
        <f t="shared" si="22"/>
        <v/>
      </c>
      <c r="IR28" s="1" t="str">
        <f t="shared" si="22"/>
        <v/>
      </c>
      <c r="IS28" s="1" t="str">
        <f t="shared" si="22"/>
        <v/>
      </c>
      <c r="IT28" s="1" t="str">
        <f t="shared" si="22"/>
        <v/>
      </c>
      <c r="IU28" s="1" t="str">
        <f t="shared" si="22"/>
        <v/>
      </c>
      <c r="IV28" s="1" t="str">
        <f t="shared" si="23"/>
        <v/>
      </c>
      <c r="IW28" s="1" t="str">
        <f t="shared" si="23"/>
        <v/>
      </c>
      <c r="IX28" s="1" t="str">
        <f t="shared" si="23"/>
        <v/>
      </c>
      <c r="IY28" s="1" t="str">
        <f t="shared" si="23"/>
        <v/>
      </c>
      <c r="IZ28" s="1" t="str">
        <f t="shared" si="23"/>
        <v/>
      </c>
      <c r="JA28" s="1" t="str">
        <f t="shared" si="23"/>
        <v/>
      </c>
      <c r="JB28" s="1" t="str">
        <f t="shared" si="23"/>
        <v/>
      </c>
      <c r="JC28" s="1" t="str">
        <f t="shared" si="23"/>
        <v/>
      </c>
      <c r="JD28" s="1" t="str">
        <f t="shared" si="23"/>
        <v/>
      </c>
      <c r="JE28" s="1" t="str">
        <f t="shared" si="23"/>
        <v/>
      </c>
      <c r="JF28" s="1" t="str">
        <f t="shared" si="23"/>
        <v/>
      </c>
      <c r="JG28" s="1" t="str">
        <f t="shared" si="23"/>
        <v/>
      </c>
      <c r="JH28" s="1" t="str">
        <f t="shared" si="23"/>
        <v/>
      </c>
      <c r="JI28" s="1" t="str">
        <f t="shared" si="23"/>
        <v/>
      </c>
      <c r="JJ28" s="1" t="str">
        <f t="shared" si="23"/>
        <v/>
      </c>
      <c r="JK28" s="1" t="str">
        <f t="shared" si="23"/>
        <v/>
      </c>
      <c r="JL28" s="1" t="str">
        <f t="shared" si="24"/>
        <v/>
      </c>
      <c r="JM28" s="1" t="str">
        <f t="shared" si="12"/>
        <v/>
      </c>
      <c r="JN28" s="1" t="str">
        <f t="shared" si="12"/>
        <v/>
      </c>
      <c r="JO28" s="1" t="str">
        <f t="shared" si="12"/>
        <v/>
      </c>
    </row>
    <row r="29" spans="1:275" ht="14.5" x14ac:dyDescent="0.35">
      <c r="A29" s="59">
        <f>IF('Data input'!A29&lt;&gt;"",'Data input'!A29,"")</f>
        <v>27</v>
      </c>
      <c r="B29" s="60" t="str">
        <f>IF('Data input'!B29&lt;&gt;"",'Data input'!B29,"")</f>
        <v>Montana</v>
      </c>
      <c r="C29" s="19">
        <f>IF('Data input'!C29="","",4*('Data input'!C29-'Data input'!C$108)/('Data input'!C$109-'Data input'!C$108)+1)</f>
        <v>3.5131497178814093</v>
      </c>
      <c r="D29" s="19" t="str">
        <f>IF('Data input'!D29="","",4*('Data input'!D29-'Data input'!D$108)/('Data input'!D$109-'Data input'!D$108)+1)</f>
        <v/>
      </c>
      <c r="E29" s="19" t="str">
        <f>IF('Data input'!E29="","",4*('Data input'!E29-'Data input'!E$108)/('Data input'!E$109-'Data input'!E$108)+1)</f>
        <v/>
      </c>
      <c r="F29" s="19" t="str">
        <f>IF('Data input'!F29="","",4*('Data input'!F29-'Data input'!F$108)/('Data input'!F$109-'Data input'!F$108)+1)</f>
        <v/>
      </c>
      <c r="G29" s="19" t="str">
        <f>IF('Data input'!G29="","",4*('Data input'!G29-'Data input'!G$108)/('Data input'!G$109-'Data input'!G$108)+1)</f>
        <v/>
      </c>
      <c r="H29" s="61">
        <f>IF('Data input'!H29="","",4*('Data input'!H29-'Data input'!H$108)/('Data input'!H$109-'Data input'!H$108)+1)</f>
        <v>2.3869154379525082</v>
      </c>
      <c r="I29" s="19">
        <f>IF('Data input'!I29="","",4*('Data input'!I29-'Data input'!I$108)/('Data input'!I$109-'Data input'!I$108)+1)</f>
        <v>2.9679717893773274</v>
      </c>
      <c r="J29" s="19" t="str">
        <f>IF('Data input'!J29="","",4*('Data input'!J29-'Data input'!J$108)/('Data input'!J$109-'Data input'!J$108)+1)</f>
        <v/>
      </c>
      <c r="K29" s="19" t="str">
        <f>IF('Data input'!K29="","",4*('Data input'!K29-'Data input'!K$108)/('Data input'!K$109-'Data input'!K$108)+1)</f>
        <v/>
      </c>
      <c r="L29" s="19" t="str">
        <f>IF('Data input'!L29="","",4*('Data input'!L29-'Data input'!L$108)/('Data input'!L$109-'Data input'!L$108)+1)</f>
        <v/>
      </c>
      <c r="M29" s="19">
        <f>IF('Data input'!M29="","",4*('Data input'!M29-'Data input'!M$108)/('Data input'!M$109-'Data input'!M$108)+1)</f>
        <v>1.0950220510429847</v>
      </c>
      <c r="N29" s="16" t="str">
        <f>IF('Data input'!N29="","",4*('Data input'!N29-'Data input'!N$108)/('Data input'!N$109-'Data input'!N$108)+1)</f>
        <v/>
      </c>
      <c r="O29" s="19" t="str">
        <f>IF('Data input'!O29="","",4*('Data input'!O29-'Data input'!O$108)/('Data input'!O$109-'Data input'!O$108)+1)</f>
        <v/>
      </c>
      <c r="P29" s="19" t="str">
        <f>IF('Data input'!P29="","",4*('Data input'!P29-'Data input'!P$108)/('Data input'!P$109-'Data input'!P$108)+1)</f>
        <v/>
      </c>
      <c r="Q29" s="19" t="str">
        <f>IF('Data input'!Q29="","",4*('Data input'!Q29-'Data input'!Q$108)/('Data input'!Q$109-'Data input'!Q$108)+1)</f>
        <v/>
      </c>
      <c r="R29" s="19" t="str">
        <f>IF('Data input'!R29="","",4*('Data input'!R29-'Data input'!R$108)/('Data input'!R$109-'Data input'!R$108)+1)</f>
        <v/>
      </c>
      <c r="S29" s="16" t="str">
        <f>IF('Data input'!S29="","",4*('Data input'!S29-'Data input'!S$108)/('Data input'!S$109-'Data input'!S$108)+1)</f>
        <v/>
      </c>
      <c r="T29" s="19" t="str">
        <f>IF('Data input'!T29="","",4*('Data input'!T29-'Data input'!T$108)/('Data input'!T$109-'Data input'!T$108)+1)</f>
        <v/>
      </c>
      <c r="U29" s="19" t="str">
        <f>IF('Data input'!U29="","",4*('Data input'!U29-'Data input'!U$108)/('Data input'!U$109-'Data input'!U$108)+1)</f>
        <v/>
      </c>
      <c r="V29" s="19" t="str">
        <f>IF('Data input'!V29="","",4*('Data input'!V29-'Data input'!V$108)/('Data input'!V$109-'Data input'!V$108)+1)</f>
        <v/>
      </c>
      <c r="W29" s="16" t="str">
        <f>IF('Data input'!W29="","",4*('Data input'!W29-'Data input'!W$108)/('Data input'!W$109-'Data input'!W$108)+1)</f>
        <v/>
      </c>
      <c r="X29" s="16" t="str">
        <f>IF('Data input'!X29="","",4*('Data input'!X29-'Data input'!X$108)/('Data input'!X$109-'Data input'!X$108)+1)</f>
        <v/>
      </c>
      <c r="Y29" s="16" t="str">
        <f>IF('Data input'!Y29="","",4*('Data input'!Y29-'Data input'!Y$108)/('Data input'!Y$109-'Data input'!Y$108)+1)</f>
        <v/>
      </c>
      <c r="Z29" s="16" t="str">
        <f>IF('Data input'!Z29="","",4*('Data input'!Z29-'Data input'!Z$108)/('Data input'!Z$109-'Data input'!Z$108)+1)</f>
        <v/>
      </c>
      <c r="AA29" s="62" t="str">
        <f>IF('Data input'!AA29="","",4*('Data input'!AA29-'Data input'!AA$108)/('Data input'!AA$109-'Data input'!AA$108)+1)</f>
        <v/>
      </c>
      <c r="AB29" s="78"/>
      <c r="AC29" s="79">
        <v>0</v>
      </c>
      <c r="AD29" s="80" t="e">
        <f t="shared" si="13"/>
        <v>#DIV/0!</v>
      </c>
      <c r="AE29" s="4"/>
      <c r="AF29" s="59">
        <f t="shared" si="14"/>
        <v>27</v>
      </c>
      <c r="AG29" s="60" t="str">
        <f t="shared" si="14"/>
        <v>Montana</v>
      </c>
      <c r="AH29">
        <v>0</v>
      </c>
      <c r="AI29" t="s">
        <v>69</v>
      </c>
      <c r="AJ29" t="s">
        <v>69</v>
      </c>
      <c r="AK29" t="s">
        <v>69</v>
      </c>
      <c r="AL29" t="s">
        <v>69</v>
      </c>
      <c r="AM29">
        <v>1.2264498336790679</v>
      </c>
      <c r="AN29">
        <v>1.2760503585139151</v>
      </c>
      <c r="AO29" t="s">
        <v>69</v>
      </c>
      <c r="AP29" t="s">
        <v>69</v>
      </c>
      <c r="AQ29" t="s">
        <v>69</v>
      </c>
      <c r="AR29">
        <v>0.52811886890454007</v>
      </c>
      <c r="AS29" s="71">
        <f t="shared" si="15"/>
        <v>3.5131497178814093</v>
      </c>
      <c r="AT29" s="71" t="str">
        <f t="shared" si="15"/>
        <v/>
      </c>
      <c r="AU29" s="71" t="str">
        <f t="shared" si="15"/>
        <v/>
      </c>
      <c r="AV29" s="71" t="str">
        <f t="shared" si="15"/>
        <v/>
      </c>
      <c r="AW29" s="71" t="str">
        <f t="shared" si="15"/>
        <v/>
      </c>
      <c r="AX29" s="71">
        <f t="shared" si="16"/>
        <v>1.1604656042734403</v>
      </c>
      <c r="AY29" s="71">
        <f t="shared" si="16"/>
        <v>1.6919214308634123</v>
      </c>
      <c r="AZ29" s="71" t="str">
        <f t="shared" si="16"/>
        <v/>
      </c>
      <c r="BA29" s="71" t="str">
        <f t="shared" si="16"/>
        <v/>
      </c>
      <c r="BB29" s="71" t="str">
        <f t="shared" si="16"/>
        <v/>
      </c>
      <c r="BC29" s="18">
        <f>IF(C29&lt;&gt;"",(('Data input'!C$109-'Data input'!C$108)*(AS29-1)/4)+'Data input'!C$108,"")</f>
        <v>0.94230935661215975</v>
      </c>
      <c r="BD29" s="18" t="str">
        <f>IF(D29&lt;&gt;"",(('Data input'!D$109-'Data input'!D$108)*(AT29-1)/4)+'Data input'!D$108,"")</f>
        <v/>
      </c>
      <c r="BE29" s="18" t="str">
        <f>IF(E29&lt;&gt;"",(('Data input'!E$109-'Data input'!E$108)*(AU29-1)/4)+'Data input'!E$108,"")</f>
        <v/>
      </c>
      <c r="BF29" s="18" t="str">
        <f>IF(F29&lt;&gt;"",(('Data input'!F$109-'Data input'!F$108)*(AV29-1)/4)+'Data input'!F$108,"")</f>
        <v/>
      </c>
      <c r="BG29" s="18" t="str">
        <f>IF(G29&lt;&gt;"",(('Data input'!G$109-'Data input'!G$108)*(AW29-1)/4)+'Data input'!G$108,"")</f>
        <v/>
      </c>
      <c r="BH29" s="19">
        <f>IF(H29&lt;&gt;"",(('Data input'!H$109-'Data input'!H$108)*(AX29-1)/4)+'Data input'!H$108,"")</f>
        <v>3.7903354681887818</v>
      </c>
      <c r="BI29" s="18">
        <f>IF(I29&lt;&gt;"",(('Data input'!I$109-'Data input'!I$108)*(AY29-1)/4)+'Data input'!I$108,"")</f>
        <v>3.0381213105319899E-2</v>
      </c>
      <c r="BJ29" s="19" t="str">
        <f>IF(J29&lt;&gt;"",(('Data input'!J$109-'Data input'!J$108)*(AZ29-1)/4)+'Data input'!J$108,"")</f>
        <v/>
      </c>
      <c r="BK29" s="19" t="str">
        <f>IF(K29&lt;&gt;"",(('Data input'!K$109-'Data input'!K$108)*(BA29-1)/4)+'Data input'!K$108,"")</f>
        <v/>
      </c>
      <c r="BL29" s="19" t="str">
        <f>IF(L29&lt;&gt;"",(('Data input'!L$109-'Data input'!L$108)*(BB29-1)/4)+'Data input'!L$108,"")</f>
        <v/>
      </c>
      <c r="BM29" s="18">
        <f>IF(C29&lt;&gt;"",BC29-'Data input'!C29,"")</f>
        <v>0</v>
      </c>
      <c r="BN29" s="18" t="str">
        <f>IF(D29&lt;&gt;"",BD29-'Data input'!D29,"")</f>
        <v/>
      </c>
      <c r="BO29" s="18" t="str">
        <f>IF(E29&lt;&gt;"",BE29-'Data input'!E29,"")</f>
        <v/>
      </c>
      <c r="BP29" s="18" t="str">
        <f>IF(F29&lt;&gt;"",BF29-'Data input'!F29,"")</f>
        <v/>
      </c>
      <c r="BQ29" s="18" t="str">
        <f>IF(G29&lt;&gt;"",BG29-'Data input'!G29,"")</f>
        <v/>
      </c>
      <c r="BR29" s="19">
        <f>IF(H29&lt;&gt;"",BH29-'Data input'!H29,"")</f>
        <v>-26.709416985617782</v>
      </c>
      <c r="BS29" s="18">
        <f>IF(I29&lt;&gt;"",BI29-'Data input'!I29,"")</f>
        <v>-5.6029422049776109E-2</v>
      </c>
      <c r="BT29" s="18" t="str">
        <f>IF(J29&lt;&gt;"",BJ29-'Data input'!J29,"")</f>
        <v/>
      </c>
      <c r="BU29" s="18" t="str">
        <f>IF(K29&lt;&gt;"",BK29-'Data input'!K29,"")</f>
        <v/>
      </c>
      <c r="BV29" s="72" t="str">
        <f>IF(L29&lt;&gt;"",BL29-'Data input'!L29,"")</f>
        <v/>
      </c>
      <c r="BW29" s="121" t="str">
        <f t="shared" si="17"/>
        <v xml:space="preserve">Kansas; Louisiana; West Virginia; 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  <c r="CK29" s="1">
        <v>0</v>
      </c>
      <c r="CL29" s="1">
        <v>0</v>
      </c>
      <c r="CM29" s="1">
        <v>0</v>
      </c>
      <c r="CN29" s="1">
        <v>0.34858468449961694</v>
      </c>
      <c r="CO29" s="1">
        <v>0</v>
      </c>
      <c r="CP29" s="1">
        <v>0.61486022292958453</v>
      </c>
      <c r="CQ29" s="1">
        <v>0</v>
      </c>
      <c r="CR29" s="1">
        <v>0</v>
      </c>
      <c r="CS29" s="1">
        <v>0</v>
      </c>
      <c r="CT29" s="1">
        <v>0</v>
      </c>
      <c r="CU29" s="1">
        <v>0</v>
      </c>
      <c r="CV29" s="1">
        <v>0</v>
      </c>
      <c r="CW29" s="1">
        <v>0</v>
      </c>
      <c r="CX29" s="1">
        <v>0</v>
      </c>
      <c r="CY29" s="1">
        <v>0</v>
      </c>
      <c r="CZ29" s="1">
        <v>0</v>
      </c>
      <c r="DA29" s="1">
        <v>0</v>
      </c>
      <c r="DB29" s="1">
        <v>0</v>
      </c>
      <c r="DC29" s="1">
        <v>0</v>
      </c>
      <c r="DD29" s="1">
        <v>0</v>
      </c>
      <c r="DE29" s="1">
        <v>0</v>
      </c>
      <c r="DF29" s="1">
        <v>0</v>
      </c>
      <c r="DG29" s="1">
        <v>0</v>
      </c>
      <c r="DH29" s="1">
        <v>0</v>
      </c>
      <c r="DI29" s="1">
        <v>0</v>
      </c>
      <c r="DJ29" s="1">
        <v>0</v>
      </c>
      <c r="DK29" s="1">
        <v>0</v>
      </c>
      <c r="DL29" s="1">
        <v>0</v>
      </c>
      <c r="DM29" s="1">
        <v>0</v>
      </c>
      <c r="DN29" s="1">
        <v>0</v>
      </c>
      <c r="DO29" s="1">
        <v>0</v>
      </c>
      <c r="DP29" s="1">
        <v>0</v>
      </c>
      <c r="DQ29" s="1">
        <v>0</v>
      </c>
      <c r="DR29" s="1">
        <v>0</v>
      </c>
      <c r="DS29" s="1">
        <v>3.65550925707986E-2</v>
      </c>
      <c r="DT29" s="1">
        <v>0</v>
      </c>
      <c r="DU29" s="1">
        <v>0</v>
      </c>
      <c r="DV29" s="1">
        <v>0</v>
      </c>
      <c r="DW29" s="1">
        <v>0</v>
      </c>
      <c r="DX29" s="1">
        <v>0</v>
      </c>
      <c r="DY29" s="1">
        <v>0</v>
      </c>
      <c r="DZ29" s="1">
        <v>0</v>
      </c>
      <c r="FT29" s="1" t="str">
        <f t="shared" si="18"/>
        <v/>
      </c>
      <c r="FU29" s="1" t="str">
        <f t="shared" si="18"/>
        <v/>
      </c>
      <c r="FV29" s="1" t="str">
        <f t="shared" si="18"/>
        <v/>
      </c>
      <c r="FW29" s="1" t="str">
        <f t="shared" si="18"/>
        <v/>
      </c>
      <c r="FX29" s="1" t="str">
        <f t="shared" si="18"/>
        <v/>
      </c>
      <c r="FY29" s="1" t="str">
        <f t="shared" si="18"/>
        <v/>
      </c>
      <c r="FZ29" s="1" t="str">
        <f t="shared" si="18"/>
        <v/>
      </c>
      <c r="GA29" s="1" t="str">
        <f t="shared" si="18"/>
        <v/>
      </c>
      <c r="GB29" s="1" t="str">
        <f t="shared" si="18"/>
        <v/>
      </c>
      <c r="GC29" s="1" t="str">
        <f t="shared" si="18"/>
        <v/>
      </c>
      <c r="GD29" s="1" t="str">
        <f t="shared" si="18"/>
        <v/>
      </c>
      <c r="GE29" s="1" t="str">
        <f t="shared" si="18"/>
        <v/>
      </c>
      <c r="GF29" s="1" t="str">
        <f t="shared" si="18"/>
        <v/>
      </c>
      <c r="GG29" s="1" t="str">
        <f t="shared" si="18"/>
        <v/>
      </c>
      <c r="GH29" s="1" t="str">
        <f t="shared" si="18"/>
        <v/>
      </c>
      <c r="GI29" s="1" t="str">
        <f t="shared" si="18"/>
        <v/>
      </c>
      <c r="GJ29" s="1" t="str">
        <f t="shared" si="19"/>
        <v xml:space="preserve">Kansas; </v>
      </c>
      <c r="GK29" s="1" t="str">
        <f t="shared" si="19"/>
        <v/>
      </c>
      <c r="GL29" s="1" t="str">
        <f t="shared" si="19"/>
        <v xml:space="preserve">Louisiana; </v>
      </c>
      <c r="GM29" s="1" t="str">
        <f t="shared" si="19"/>
        <v/>
      </c>
      <c r="GN29" s="1" t="str">
        <f t="shared" si="19"/>
        <v/>
      </c>
      <c r="GO29" s="1" t="str">
        <f t="shared" si="19"/>
        <v/>
      </c>
      <c r="GP29" s="1" t="str">
        <f t="shared" si="19"/>
        <v/>
      </c>
      <c r="GQ29" s="1" t="str">
        <f t="shared" si="19"/>
        <v/>
      </c>
      <c r="GR29" s="1" t="str">
        <f t="shared" si="19"/>
        <v/>
      </c>
      <c r="GS29" s="1" t="str">
        <f t="shared" si="19"/>
        <v/>
      </c>
      <c r="GT29" s="1" t="str">
        <f t="shared" si="19"/>
        <v/>
      </c>
      <c r="GU29" s="1" t="str">
        <f t="shared" si="19"/>
        <v/>
      </c>
      <c r="GV29" s="1" t="str">
        <f t="shared" si="19"/>
        <v/>
      </c>
      <c r="GW29" s="1" t="str">
        <f t="shared" si="19"/>
        <v/>
      </c>
      <c r="GX29" s="1" t="str">
        <f t="shared" si="19"/>
        <v/>
      </c>
      <c r="GY29" s="1" t="str">
        <f t="shared" si="19"/>
        <v/>
      </c>
      <c r="GZ29" s="1" t="str">
        <f t="shared" si="20"/>
        <v/>
      </c>
      <c r="HA29" s="1" t="str">
        <f t="shared" si="20"/>
        <v/>
      </c>
      <c r="HB29" s="1" t="str">
        <f t="shared" si="20"/>
        <v/>
      </c>
      <c r="HC29" s="1" t="str">
        <f t="shared" si="20"/>
        <v/>
      </c>
      <c r="HD29" s="1" t="str">
        <f t="shared" si="20"/>
        <v/>
      </c>
      <c r="HE29" s="1" t="str">
        <f t="shared" si="20"/>
        <v/>
      </c>
      <c r="HF29" s="1" t="str">
        <f t="shared" si="20"/>
        <v/>
      </c>
      <c r="HG29" s="1" t="str">
        <f t="shared" si="20"/>
        <v/>
      </c>
      <c r="HH29" s="1" t="str">
        <f t="shared" si="20"/>
        <v/>
      </c>
      <c r="HI29" s="1" t="str">
        <f t="shared" si="20"/>
        <v/>
      </c>
      <c r="HJ29" s="1" t="str">
        <f t="shared" si="20"/>
        <v/>
      </c>
      <c r="HK29" s="1" t="str">
        <f t="shared" si="20"/>
        <v/>
      </c>
      <c r="HL29" s="1" t="str">
        <f t="shared" si="20"/>
        <v/>
      </c>
      <c r="HM29" s="1" t="str">
        <f t="shared" si="20"/>
        <v/>
      </c>
      <c r="HN29" s="1" t="str">
        <f t="shared" si="20"/>
        <v/>
      </c>
      <c r="HO29" s="1" t="str">
        <f t="shared" si="20"/>
        <v xml:space="preserve">West Virginia; </v>
      </c>
      <c r="HP29" s="1" t="str">
        <f t="shared" si="21"/>
        <v/>
      </c>
      <c r="HQ29" s="1" t="str">
        <f t="shared" si="21"/>
        <v/>
      </c>
      <c r="HR29" s="1" t="str">
        <f t="shared" si="21"/>
        <v/>
      </c>
      <c r="HS29" s="1" t="str">
        <f t="shared" si="21"/>
        <v/>
      </c>
      <c r="HT29" s="1" t="str">
        <f t="shared" si="21"/>
        <v/>
      </c>
      <c r="HU29" s="1" t="str">
        <f t="shared" si="21"/>
        <v/>
      </c>
      <c r="HV29" s="1" t="str">
        <f t="shared" si="21"/>
        <v/>
      </c>
      <c r="HW29" s="1" t="str">
        <f t="shared" si="21"/>
        <v/>
      </c>
      <c r="HX29" s="1" t="str">
        <f t="shared" si="21"/>
        <v/>
      </c>
      <c r="HY29" s="1" t="str">
        <f t="shared" si="21"/>
        <v/>
      </c>
      <c r="HZ29" s="1" t="str">
        <f t="shared" si="21"/>
        <v/>
      </c>
      <c r="IA29" s="1" t="str">
        <f t="shared" si="21"/>
        <v/>
      </c>
      <c r="IB29" s="1" t="str">
        <f t="shared" si="21"/>
        <v/>
      </c>
      <c r="IC29" s="1" t="str">
        <f t="shared" si="21"/>
        <v/>
      </c>
      <c r="ID29" s="1" t="str">
        <f t="shared" si="21"/>
        <v/>
      </c>
      <c r="IE29" s="1" t="str">
        <f t="shared" si="21"/>
        <v/>
      </c>
      <c r="IF29" s="1" t="str">
        <f t="shared" si="22"/>
        <v/>
      </c>
      <c r="IG29" s="1" t="str">
        <f t="shared" si="22"/>
        <v/>
      </c>
      <c r="IH29" s="1" t="str">
        <f t="shared" si="22"/>
        <v/>
      </c>
      <c r="II29" s="1" t="str">
        <f t="shared" si="22"/>
        <v/>
      </c>
      <c r="IJ29" s="1" t="str">
        <f t="shared" si="22"/>
        <v/>
      </c>
      <c r="IK29" s="1" t="str">
        <f t="shared" si="22"/>
        <v/>
      </c>
      <c r="IL29" s="1" t="str">
        <f t="shared" si="22"/>
        <v/>
      </c>
      <c r="IM29" s="1" t="str">
        <f t="shared" si="22"/>
        <v/>
      </c>
      <c r="IN29" s="1" t="str">
        <f t="shared" si="22"/>
        <v/>
      </c>
      <c r="IO29" s="1" t="str">
        <f t="shared" si="22"/>
        <v/>
      </c>
      <c r="IP29" s="1" t="str">
        <f t="shared" si="22"/>
        <v/>
      </c>
      <c r="IQ29" s="1" t="str">
        <f t="shared" si="22"/>
        <v/>
      </c>
      <c r="IR29" s="1" t="str">
        <f t="shared" si="22"/>
        <v/>
      </c>
      <c r="IS29" s="1" t="str">
        <f t="shared" si="22"/>
        <v/>
      </c>
      <c r="IT29" s="1" t="str">
        <f t="shared" si="22"/>
        <v/>
      </c>
      <c r="IU29" s="1" t="str">
        <f t="shared" si="22"/>
        <v/>
      </c>
      <c r="IV29" s="1" t="str">
        <f t="shared" si="23"/>
        <v/>
      </c>
      <c r="IW29" s="1" t="str">
        <f t="shared" si="23"/>
        <v/>
      </c>
      <c r="IX29" s="1" t="str">
        <f t="shared" si="23"/>
        <v/>
      </c>
      <c r="IY29" s="1" t="str">
        <f t="shared" si="23"/>
        <v/>
      </c>
      <c r="IZ29" s="1" t="str">
        <f t="shared" si="23"/>
        <v/>
      </c>
      <c r="JA29" s="1" t="str">
        <f t="shared" si="23"/>
        <v/>
      </c>
      <c r="JB29" s="1" t="str">
        <f t="shared" si="23"/>
        <v/>
      </c>
      <c r="JC29" s="1" t="str">
        <f t="shared" si="23"/>
        <v/>
      </c>
      <c r="JD29" s="1" t="str">
        <f t="shared" si="23"/>
        <v/>
      </c>
      <c r="JE29" s="1" t="str">
        <f t="shared" si="23"/>
        <v/>
      </c>
      <c r="JF29" s="1" t="str">
        <f t="shared" si="23"/>
        <v/>
      </c>
      <c r="JG29" s="1" t="str">
        <f t="shared" si="23"/>
        <v/>
      </c>
      <c r="JH29" s="1" t="str">
        <f t="shared" si="23"/>
        <v/>
      </c>
      <c r="JI29" s="1" t="str">
        <f t="shared" si="23"/>
        <v/>
      </c>
      <c r="JJ29" s="1" t="str">
        <f t="shared" si="23"/>
        <v/>
      </c>
      <c r="JK29" s="1" t="str">
        <f t="shared" si="23"/>
        <v/>
      </c>
      <c r="JL29" s="1" t="str">
        <f t="shared" si="24"/>
        <v/>
      </c>
      <c r="JM29" s="1" t="str">
        <f t="shared" si="12"/>
        <v/>
      </c>
      <c r="JN29" s="1" t="str">
        <f t="shared" si="12"/>
        <v/>
      </c>
      <c r="JO29" s="1" t="str">
        <f t="shared" si="12"/>
        <v/>
      </c>
    </row>
    <row r="30" spans="1:275" ht="14.5" x14ac:dyDescent="0.35">
      <c r="A30" s="59">
        <f>IF('Data input'!A30&lt;&gt;"",'Data input'!A30,"")</f>
        <v>28</v>
      </c>
      <c r="B30" s="60" t="str">
        <f>IF('Data input'!B30&lt;&gt;"",'Data input'!B30,"")</f>
        <v>Nebraska</v>
      </c>
      <c r="C30" s="19">
        <f>IF('Data input'!C30="","",4*('Data input'!C30-'Data input'!C$108)/('Data input'!C$109-'Data input'!C$108)+1)</f>
        <v>4.5893928246368327</v>
      </c>
      <c r="D30" s="19" t="str">
        <f>IF('Data input'!D30="","",4*('Data input'!D30-'Data input'!D$108)/('Data input'!D$109-'Data input'!D$108)+1)</f>
        <v/>
      </c>
      <c r="E30" s="19" t="str">
        <f>IF('Data input'!E30="","",4*('Data input'!E30-'Data input'!E$108)/('Data input'!E$109-'Data input'!E$108)+1)</f>
        <v/>
      </c>
      <c r="F30" s="19" t="str">
        <f>IF('Data input'!F30="","",4*('Data input'!F30-'Data input'!F$108)/('Data input'!F$109-'Data input'!F$108)+1)</f>
        <v/>
      </c>
      <c r="G30" s="19" t="str">
        <f>IF('Data input'!G30="","",4*('Data input'!G30-'Data input'!G$108)/('Data input'!G$109-'Data input'!G$108)+1)</f>
        <v/>
      </c>
      <c r="H30" s="61">
        <f>IF('Data input'!H30="","",4*('Data input'!H30-'Data input'!H$108)/('Data input'!H$109-'Data input'!H$108)+1)</f>
        <v>1.6476124487773292</v>
      </c>
      <c r="I30" s="19">
        <f>IF('Data input'!I30="","",4*('Data input'!I30-'Data input'!I$108)/('Data input'!I$109-'Data input'!I$108)+1)</f>
        <v>3.816219900045434</v>
      </c>
      <c r="J30" s="19" t="str">
        <f>IF('Data input'!J30="","",4*('Data input'!J30-'Data input'!J$108)/('Data input'!J$109-'Data input'!J$108)+1)</f>
        <v/>
      </c>
      <c r="K30" s="19" t="str">
        <f>IF('Data input'!K30="","",4*('Data input'!K30-'Data input'!K$108)/('Data input'!K$109-'Data input'!K$108)+1)</f>
        <v/>
      </c>
      <c r="L30" s="19" t="str">
        <f>IF('Data input'!L30="","",4*('Data input'!L30-'Data input'!L$108)/('Data input'!L$109-'Data input'!L$108)+1)</f>
        <v/>
      </c>
      <c r="M30" s="19">
        <f>IF('Data input'!M30="","",4*('Data input'!M30-'Data input'!M$108)/('Data input'!M$109-'Data input'!M$108)+1)</f>
        <v>2.1676998468266477</v>
      </c>
      <c r="N30" s="16" t="str">
        <f>IF('Data input'!N30="","",4*('Data input'!N30-'Data input'!N$108)/('Data input'!N$109-'Data input'!N$108)+1)</f>
        <v/>
      </c>
      <c r="O30" s="19" t="str">
        <f>IF('Data input'!O30="","",4*('Data input'!O30-'Data input'!O$108)/('Data input'!O$109-'Data input'!O$108)+1)</f>
        <v/>
      </c>
      <c r="P30" s="19" t="str">
        <f>IF('Data input'!P30="","",4*('Data input'!P30-'Data input'!P$108)/('Data input'!P$109-'Data input'!P$108)+1)</f>
        <v/>
      </c>
      <c r="Q30" s="19" t="str">
        <f>IF('Data input'!Q30="","",4*('Data input'!Q30-'Data input'!Q$108)/('Data input'!Q$109-'Data input'!Q$108)+1)</f>
        <v/>
      </c>
      <c r="R30" s="19" t="str">
        <f>IF('Data input'!R30="","",4*('Data input'!R30-'Data input'!R$108)/('Data input'!R$109-'Data input'!R$108)+1)</f>
        <v/>
      </c>
      <c r="S30" s="16" t="str">
        <f>IF('Data input'!S30="","",4*('Data input'!S30-'Data input'!S$108)/('Data input'!S$109-'Data input'!S$108)+1)</f>
        <v/>
      </c>
      <c r="T30" s="19" t="str">
        <f>IF('Data input'!T30="","",4*('Data input'!T30-'Data input'!T$108)/('Data input'!T$109-'Data input'!T$108)+1)</f>
        <v/>
      </c>
      <c r="U30" s="19" t="str">
        <f>IF('Data input'!U30="","",4*('Data input'!U30-'Data input'!U$108)/('Data input'!U$109-'Data input'!U$108)+1)</f>
        <v/>
      </c>
      <c r="V30" s="19" t="str">
        <f>IF('Data input'!V30="","",4*('Data input'!V30-'Data input'!V$108)/('Data input'!V$109-'Data input'!V$108)+1)</f>
        <v/>
      </c>
      <c r="W30" s="16" t="str">
        <f>IF('Data input'!W30="","",4*('Data input'!W30-'Data input'!W$108)/('Data input'!W$109-'Data input'!W$108)+1)</f>
        <v/>
      </c>
      <c r="X30" s="16" t="str">
        <f>IF('Data input'!X30="","",4*('Data input'!X30-'Data input'!X$108)/('Data input'!X$109-'Data input'!X$108)+1)</f>
        <v/>
      </c>
      <c r="Y30" s="16" t="str">
        <f>IF('Data input'!Y30="","",4*('Data input'!Y30-'Data input'!Y$108)/('Data input'!Y$109-'Data input'!Y$108)+1)</f>
        <v/>
      </c>
      <c r="Z30" s="16" t="str">
        <f>IF('Data input'!Z30="","",4*('Data input'!Z30-'Data input'!Z$108)/('Data input'!Z$109-'Data input'!Z$108)+1)</f>
        <v/>
      </c>
      <c r="AA30" s="62" t="str">
        <f>IF('Data input'!AA30="","",4*('Data input'!AA30-'Data input'!AA$108)/('Data input'!AA$109-'Data input'!AA$108)+1)</f>
        <v/>
      </c>
      <c r="AB30" s="78"/>
      <c r="AC30" s="79">
        <v>0</v>
      </c>
      <c r="AD30" s="80" t="e">
        <f t="shared" si="13"/>
        <v>#DIV/0!</v>
      </c>
      <c r="AE30" s="4"/>
      <c r="AF30" s="59">
        <f t="shared" si="14"/>
        <v>28</v>
      </c>
      <c r="AG30" s="60" t="str">
        <f t="shared" si="14"/>
        <v>Nebraska</v>
      </c>
      <c r="AH30">
        <v>0</v>
      </c>
      <c r="AI30" t="s">
        <v>69</v>
      </c>
      <c r="AJ30" t="s">
        <v>69</v>
      </c>
      <c r="AK30" t="s">
        <v>69</v>
      </c>
      <c r="AL30" t="s">
        <v>69</v>
      </c>
      <c r="AM30">
        <v>0.62651462090110743</v>
      </c>
      <c r="AN30">
        <v>2.790336612347748</v>
      </c>
      <c r="AO30" t="s">
        <v>69</v>
      </c>
      <c r="AP30" t="s">
        <v>69</v>
      </c>
      <c r="AQ30" t="s">
        <v>69</v>
      </c>
      <c r="AR30">
        <v>0.44428289340886051</v>
      </c>
      <c r="AS30" s="71">
        <f t="shared" si="15"/>
        <v>4.5893928246368327</v>
      </c>
      <c r="AT30" s="71" t="str">
        <f t="shared" si="15"/>
        <v/>
      </c>
      <c r="AU30" s="71" t="str">
        <f t="shared" si="15"/>
        <v/>
      </c>
      <c r="AV30" s="71" t="str">
        <f t="shared" si="15"/>
        <v/>
      </c>
      <c r="AW30" s="71" t="str">
        <f t="shared" si="15"/>
        <v/>
      </c>
      <c r="AX30" s="71">
        <f t="shared" si="16"/>
        <v>1.0210978278762217</v>
      </c>
      <c r="AY30" s="71">
        <f t="shared" si="16"/>
        <v>1.025883287697686</v>
      </c>
      <c r="AZ30" s="71" t="str">
        <f t="shared" si="16"/>
        <v/>
      </c>
      <c r="BA30" s="71" t="str">
        <f t="shared" si="16"/>
        <v/>
      </c>
      <c r="BB30" s="71" t="str">
        <f t="shared" si="16"/>
        <v/>
      </c>
      <c r="BC30" s="18">
        <f>IF(C30&lt;&gt;"",(('Data input'!C$109-'Data input'!C$108)*(AS30-1)/4)+'Data input'!C$108,"")</f>
        <v>0.9813846969107225</v>
      </c>
      <c r="BD30" s="18" t="str">
        <f>IF(D30&lt;&gt;"",(('Data input'!D$109-'Data input'!D$108)*(AT30-1)/4)+'Data input'!D$108,"")</f>
        <v/>
      </c>
      <c r="BE30" s="18" t="str">
        <f>IF(E30&lt;&gt;"",(('Data input'!E$109-'Data input'!E$108)*(AU30-1)/4)+'Data input'!E$108,"")</f>
        <v/>
      </c>
      <c r="BF30" s="18" t="str">
        <f>IF(F30&lt;&gt;"",(('Data input'!F$109-'Data input'!F$108)*(AV30-1)/4)+'Data input'!F$108,"")</f>
        <v/>
      </c>
      <c r="BG30" s="18" t="str">
        <f>IF(G30&lt;&gt;"",(('Data input'!G$109-'Data input'!G$108)*(AW30-1)/4)+'Data input'!G$108,"")</f>
        <v/>
      </c>
      <c r="BH30" s="19">
        <f>IF(H30&lt;&gt;"",(('Data input'!H$109-'Data input'!H$108)*(AX30-1)/4)+'Data input'!H$108,"")</f>
        <v>0.75520761221671218</v>
      </c>
      <c r="BI30" s="18">
        <f>IF(I30&lt;&gt;"",(('Data input'!I$109-'Data input'!I$108)*(AY30-1)/4)+'Data input'!I$108,"")</f>
        <v>1.1364956255632071E-3</v>
      </c>
      <c r="BJ30" s="19" t="str">
        <f>IF(J30&lt;&gt;"",(('Data input'!J$109-'Data input'!J$108)*(AZ30-1)/4)+'Data input'!J$108,"")</f>
        <v/>
      </c>
      <c r="BK30" s="19" t="str">
        <f>IF(K30&lt;&gt;"",(('Data input'!K$109-'Data input'!K$108)*(BA30-1)/4)+'Data input'!K$108,"")</f>
        <v/>
      </c>
      <c r="BL30" s="19" t="str">
        <f>IF(L30&lt;&gt;"",(('Data input'!L$109-'Data input'!L$108)*(BB30-1)/4)+'Data input'!L$108,"")</f>
        <v/>
      </c>
      <c r="BM30" s="18">
        <f>IF(C30&lt;&gt;"",BC30-'Data input'!C30,"")</f>
        <v>0</v>
      </c>
      <c r="BN30" s="18" t="str">
        <f>IF(D30&lt;&gt;"",BD30-'Data input'!D30,"")</f>
        <v/>
      </c>
      <c r="BO30" s="18" t="str">
        <f>IF(E30&lt;&gt;"",BE30-'Data input'!E30,"")</f>
        <v/>
      </c>
      <c r="BP30" s="18" t="str">
        <f>IF(F30&lt;&gt;"",BF30-'Data input'!F30,"")</f>
        <v/>
      </c>
      <c r="BQ30" s="18" t="str">
        <f>IF(G30&lt;&gt;"",BG30-'Data input'!G30,"")</f>
        <v/>
      </c>
      <c r="BR30" s="19">
        <f>IF(H30&lt;&gt;"",BH30-'Data input'!H30,"")</f>
        <v>-13.644129419493865</v>
      </c>
      <c r="BS30" s="18">
        <f>IF(I30&lt;&gt;"",BI30-'Data input'!I30,"")</f>
        <v>-0.12251941835293141</v>
      </c>
      <c r="BT30" s="18" t="str">
        <f>IF(J30&lt;&gt;"",BJ30-'Data input'!J30,"")</f>
        <v/>
      </c>
      <c r="BU30" s="18" t="str">
        <f>IF(K30&lt;&gt;"",BK30-'Data input'!K30,"")</f>
        <v/>
      </c>
      <c r="BV30" s="72" t="str">
        <f>IF(L30&lt;&gt;"",BL30-'Data input'!L30,"")</f>
        <v/>
      </c>
      <c r="BW30" s="121" t="str">
        <f t="shared" si="17"/>
        <v xml:space="preserve">New York; Texas; </v>
      </c>
      <c r="BX30" s="1">
        <v>0</v>
      </c>
      <c r="BY30" s="1">
        <v>0</v>
      </c>
      <c r="BZ30" s="1">
        <v>0</v>
      </c>
      <c r="CA30" s="1">
        <v>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1">
        <v>0</v>
      </c>
      <c r="CL30" s="1">
        <v>0</v>
      </c>
      <c r="CM30" s="1">
        <v>0</v>
      </c>
      <c r="CN30" s="1">
        <v>0</v>
      </c>
      <c r="CO30" s="1">
        <v>0</v>
      </c>
      <c r="CP30" s="1">
        <v>0</v>
      </c>
      <c r="CQ30" s="1">
        <v>0</v>
      </c>
      <c r="CR30" s="1">
        <v>0</v>
      </c>
      <c r="CS30" s="1">
        <v>0</v>
      </c>
      <c r="CT30" s="1">
        <v>0</v>
      </c>
      <c r="CU30" s="1">
        <v>0</v>
      </c>
      <c r="CV30" s="1">
        <v>0</v>
      </c>
      <c r="CW30" s="1">
        <v>0</v>
      </c>
      <c r="CX30" s="1">
        <v>0</v>
      </c>
      <c r="CY30" s="1">
        <v>0</v>
      </c>
      <c r="CZ30" s="1">
        <v>0</v>
      </c>
      <c r="DA30" s="1">
        <v>0</v>
      </c>
      <c r="DB30" s="1">
        <v>0</v>
      </c>
      <c r="DC30" s="1">
        <v>0</v>
      </c>
      <c r="DD30" s="1">
        <v>7.8462744640268145E-2</v>
      </c>
      <c r="DE30" s="1">
        <v>0</v>
      </c>
      <c r="DF30" s="1">
        <v>0</v>
      </c>
      <c r="DG30" s="1">
        <v>0</v>
      </c>
      <c r="DH30" s="1">
        <v>0</v>
      </c>
      <c r="DI30" s="1">
        <v>0</v>
      </c>
      <c r="DJ30" s="1">
        <v>0</v>
      </c>
      <c r="DK30" s="1">
        <v>0</v>
      </c>
      <c r="DL30" s="1">
        <v>0</v>
      </c>
      <c r="DM30" s="1">
        <v>0</v>
      </c>
      <c r="DN30" s="1">
        <v>0.9215372553597323</v>
      </c>
      <c r="DO30" s="1">
        <v>0</v>
      </c>
      <c r="DP30" s="1">
        <v>0</v>
      </c>
      <c r="DQ30" s="1">
        <v>0</v>
      </c>
      <c r="DR30" s="1">
        <v>0</v>
      </c>
      <c r="DS30" s="1">
        <v>0</v>
      </c>
      <c r="DT30" s="1">
        <v>0</v>
      </c>
      <c r="DU30" s="1">
        <v>0</v>
      </c>
      <c r="DV30" s="1">
        <v>0</v>
      </c>
      <c r="DW30" s="1">
        <v>0</v>
      </c>
      <c r="DX30" s="1">
        <v>0</v>
      </c>
      <c r="DY30" s="1">
        <v>0</v>
      </c>
      <c r="DZ30" s="1">
        <v>0</v>
      </c>
      <c r="FT30" s="1" t="str">
        <f t="shared" si="18"/>
        <v/>
      </c>
      <c r="FU30" s="1" t="str">
        <f t="shared" si="18"/>
        <v/>
      </c>
      <c r="FV30" s="1" t="str">
        <f t="shared" si="18"/>
        <v/>
      </c>
      <c r="FW30" s="1" t="str">
        <f t="shared" si="18"/>
        <v/>
      </c>
      <c r="FX30" s="1" t="str">
        <f t="shared" si="18"/>
        <v/>
      </c>
      <c r="FY30" s="1" t="str">
        <f t="shared" si="18"/>
        <v/>
      </c>
      <c r="FZ30" s="1" t="str">
        <f t="shared" si="18"/>
        <v/>
      </c>
      <c r="GA30" s="1" t="str">
        <f t="shared" si="18"/>
        <v/>
      </c>
      <c r="GB30" s="1" t="str">
        <f t="shared" si="18"/>
        <v/>
      </c>
      <c r="GC30" s="1" t="str">
        <f t="shared" si="18"/>
        <v/>
      </c>
      <c r="GD30" s="1" t="str">
        <f t="shared" si="18"/>
        <v/>
      </c>
      <c r="GE30" s="1" t="str">
        <f t="shared" si="18"/>
        <v/>
      </c>
      <c r="GF30" s="1" t="str">
        <f t="shared" si="18"/>
        <v/>
      </c>
      <c r="GG30" s="1" t="str">
        <f t="shared" si="18"/>
        <v/>
      </c>
      <c r="GH30" s="1" t="str">
        <f t="shared" si="18"/>
        <v/>
      </c>
      <c r="GI30" s="1" t="str">
        <f t="shared" si="18"/>
        <v/>
      </c>
      <c r="GJ30" s="1" t="str">
        <f t="shared" si="19"/>
        <v/>
      </c>
      <c r="GK30" s="1" t="str">
        <f t="shared" si="19"/>
        <v/>
      </c>
      <c r="GL30" s="1" t="str">
        <f t="shared" si="19"/>
        <v/>
      </c>
      <c r="GM30" s="1" t="str">
        <f t="shared" si="19"/>
        <v/>
      </c>
      <c r="GN30" s="1" t="str">
        <f t="shared" si="19"/>
        <v/>
      </c>
      <c r="GO30" s="1" t="str">
        <f t="shared" si="19"/>
        <v/>
      </c>
      <c r="GP30" s="1" t="str">
        <f t="shared" si="19"/>
        <v/>
      </c>
      <c r="GQ30" s="1" t="str">
        <f t="shared" si="19"/>
        <v/>
      </c>
      <c r="GR30" s="1" t="str">
        <f t="shared" si="19"/>
        <v/>
      </c>
      <c r="GS30" s="1" t="str">
        <f t="shared" si="19"/>
        <v/>
      </c>
      <c r="GT30" s="1" t="str">
        <f t="shared" si="19"/>
        <v/>
      </c>
      <c r="GU30" s="1" t="str">
        <f t="shared" si="19"/>
        <v/>
      </c>
      <c r="GV30" s="1" t="str">
        <f t="shared" si="19"/>
        <v/>
      </c>
      <c r="GW30" s="1" t="str">
        <f t="shared" si="19"/>
        <v/>
      </c>
      <c r="GX30" s="1" t="str">
        <f t="shared" si="19"/>
        <v/>
      </c>
      <c r="GY30" s="1" t="str">
        <f t="shared" si="19"/>
        <v/>
      </c>
      <c r="GZ30" s="1" t="str">
        <f t="shared" si="20"/>
        <v xml:space="preserve">New York; </v>
      </c>
      <c r="HA30" s="1" t="str">
        <f t="shared" si="20"/>
        <v/>
      </c>
      <c r="HB30" s="1" t="str">
        <f t="shared" si="20"/>
        <v/>
      </c>
      <c r="HC30" s="1" t="str">
        <f t="shared" si="20"/>
        <v/>
      </c>
      <c r="HD30" s="1" t="str">
        <f t="shared" si="20"/>
        <v/>
      </c>
      <c r="HE30" s="1" t="str">
        <f t="shared" si="20"/>
        <v/>
      </c>
      <c r="HF30" s="1" t="str">
        <f t="shared" si="20"/>
        <v/>
      </c>
      <c r="HG30" s="1" t="str">
        <f t="shared" si="20"/>
        <v/>
      </c>
      <c r="HH30" s="1" t="str">
        <f t="shared" si="20"/>
        <v/>
      </c>
      <c r="HI30" s="1" t="str">
        <f t="shared" si="20"/>
        <v/>
      </c>
      <c r="HJ30" s="1" t="str">
        <f t="shared" si="20"/>
        <v xml:space="preserve">Texas; </v>
      </c>
      <c r="HK30" s="1" t="str">
        <f t="shared" si="20"/>
        <v/>
      </c>
      <c r="HL30" s="1" t="str">
        <f t="shared" si="20"/>
        <v/>
      </c>
      <c r="HM30" s="1" t="str">
        <f t="shared" si="20"/>
        <v/>
      </c>
      <c r="HN30" s="1" t="str">
        <f t="shared" si="20"/>
        <v/>
      </c>
      <c r="HO30" s="1" t="str">
        <f t="shared" si="20"/>
        <v/>
      </c>
      <c r="HP30" s="1" t="str">
        <f t="shared" si="21"/>
        <v/>
      </c>
      <c r="HQ30" s="1" t="str">
        <f t="shared" si="21"/>
        <v/>
      </c>
      <c r="HR30" s="1" t="str">
        <f t="shared" si="21"/>
        <v/>
      </c>
      <c r="HS30" s="1" t="str">
        <f t="shared" si="21"/>
        <v/>
      </c>
      <c r="HT30" s="1" t="str">
        <f t="shared" si="21"/>
        <v/>
      </c>
      <c r="HU30" s="1" t="str">
        <f t="shared" si="21"/>
        <v/>
      </c>
      <c r="HV30" s="1" t="str">
        <f t="shared" si="21"/>
        <v/>
      </c>
      <c r="HW30" s="1" t="str">
        <f t="shared" si="21"/>
        <v/>
      </c>
      <c r="HX30" s="1" t="str">
        <f t="shared" si="21"/>
        <v/>
      </c>
      <c r="HY30" s="1" t="str">
        <f t="shared" si="21"/>
        <v/>
      </c>
      <c r="HZ30" s="1" t="str">
        <f t="shared" si="21"/>
        <v/>
      </c>
      <c r="IA30" s="1" t="str">
        <f t="shared" si="21"/>
        <v/>
      </c>
      <c r="IB30" s="1" t="str">
        <f t="shared" si="21"/>
        <v/>
      </c>
      <c r="IC30" s="1" t="str">
        <f t="shared" si="21"/>
        <v/>
      </c>
      <c r="ID30" s="1" t="str">
        <f t="shared" si="21"/>
        <v/>
      </c>
      <c r="IE30" s="1" t="str">
        <f t="shared" si="21"/>
        <v/>
      </c>
      <c r="IF30" s="1" t="str">
        <f t="shared" si="22"/>
        <v/>
      </c>
      <c r="IG30" s="1" t="str">
        <f t="shared" si="22"/>
        <v/>
      </c>
      <c r="IH30" s="1" t="str">
        <f t="shared" si="22"/>
        <v/>
      </c>
      <c r="II30" s="1" t="str">
        <f t="shared" si="22"/>
        <v/>
      </c>
      <c r="IJ30" s="1" t="str">
        <f t="shared" si="22"/>
        <v/>
      </c>
      <c r="IK30" s="1" t="str">
        <f t="shared" si="22"/>
        <v/>
      </c>
      <c r="IL30" s="1" t="str">
        <f t="shared" si="22"/>
        <v/>
      </c>
      <c r="IM30" s="1" t="str">
        <f t="shared" si="22"/>
        <v/>
      </c>
      <c r="IN30" s="1" t="str">
        <f t="shared" si="22"/>
        <v/>
      </c>
      <c r="IO30" s="1" t="str">
        <f t="shared" si="22"/>
        <v/>
      </c>
      <c r="IP30" s="1" t="str">
        <f t="shared" si="22"/>
        <v/>
      </c>
      <c r="IQ30" s="1" t="str">
        <f t="shared" si="22"/>
        <v/>
      </c>
      <c r="IR30" s="1" t="str">
        <f t="shared" si="22"/>
        <v/>
      </c>
      <c r="IS30" s="1" t="str">
        <f t="shared" si="22"/>
        <v/>
      </c>
      <c r="IT30" s="1" t="str">
        <f t="shared" si="22"/>
        <v/>
      </c>
      <c r="IU30" s="1" t="str">
        <f t="shared" si="22"/>
        <v/>
      </c>
      <c r="IV30" s="1" t="str">
        <f t="shared" si="23"/>
        <v/>
      </c>
      <c r="IW30" s="1" t="str">
        <f t="shared" si="23"/>
        <v/>
      </c>
      <c r="IX30" s="1" t="str">
        <f t="shared" si="23"/>
        <v/>
      </c>
      <c r="IY30" s="1" t="str">
        <f t="shared" si="23"/>
        <v/>
      </c>
      <c r="IZ30" s="1" t="str">
        <f t="shared" si="23"/>
        <v/>
      </c>
      <c r="JA30" s="1" t="str">
        <f t="shared" si="23"/>
        <v/>
      </c>
      <c r="JB30" s="1" t="str">
        <f t="shared" si="23"/>
        <v/>
      </c>
      <c r="JC30" s="1" t="str">
        <f t="shared" si="23"/>
        <v/>
      </c>
      <c r="JD30" s="1" t="str">
        <f t="shared" si="23"/>
        <v/>
      </c>
      <c r="JE30" s="1" t="str">
        <f t="shared" si="23"/>
        <v/>
      </c>
      <c r="JF30" s="1" t="str">
        <f t="shared" si="23"/>
        <v/>
      </c>
      <c r="JG30" s="1" t="str">
        <f t="shared" si="23"/>
        <v/>
      </c>
      <c r="JH30" s="1" t="str">
        <f t="shared" si="23"/>
        <v/>
      </c>
      <c r="JI30" s="1" t="str">
        <f t="shared" si="23"/>
        <v/>
      </c>
      <c r="JJ30" s="1" t="str">
        <f t="shared" si="23"/>
        <v/>
      </c>
      <c r="JK30" s="1" t="str">
        <f t="shared" si="23"/>
        <v/>
      </c>
      <c r="JL30" s="1" t="str">
        <f t="shared" si="24"/>
        <v/>
      </c>
      <c r="JM30" s="1" t="str">
        <f t="shared" si="12"/>
        <v/>
      </c>
      <c r="JN30" s="1" t="str">
        <f t="shared" si="12"/>
        <v/>
      </c>
      <c r="JO30" s="1" t="str">
        <f t="shared" si="12"/>
        <v/>
      </c>
    </row>
    <row r="31" spans="1:275" ht="14.5" x14ac:dyDescent="0.35">
      <c r="A31" s="59">
        <f>IF('Data input'!A31&lt;&gt;"",'Data input'!A31,"")</f>
        <v>29</v>
      </c>
      <c r="B31" s="60" t="str">
        <f>IF('Data input'!B31&lt;&gt;"",'Data input'!B31,"")</f>
        <v>Nevada</v>
      </c>
      <c r="C31" s="19">
        <f>IF('Data input'!C31="","",4*('Data input'!C31-'Data input'!C$108)/('Data input'!C$109-'Data input'!C$108)+1)</f>
        <v>4.8636441678973181</v>
      </c>
      <c r="D31" s="19" t="str">
        <f>IF('Data input'!D31="","",4*('Data input'!D31-'Data input'!D$108)/('Data input'!D$109-'Data input'!D$108)+1)</f>
        <v/>
      </c>
      <c r="E31" s="19" t="str">
        <f>IF('Data input'!E31="","",4*('Data input'!E31-'Data input'!E$108)/('Data input'!E$109-'Data input'!E$108)+1)</f>
        <v/>
      </c>
      <c r="F31" s="19" t="str">
        <f>IF('Data input'!F31="","",4*('Data input'!F31-'Data input'!F$108)/('Data input'!F$109-'Data input'!F$108)+1)</f>
        <v/>
      </c>
      <c r="G31" s="19" t="str">
        <f>IF('Data input'!G31="","",4*('Data input'!G31-'Data input'!G$108)/('Data input'!G$109-'Data input'!G$108)+1)</f>
        <v/>
      </c>
      <c r="H31" s="61">
        <f>IF('Data input'!H31="","",4*('Data input'!H31-'Data input'!H$108)/('Data input'!H$109-'Data input'!H$108)+1)</f>
        <v>1.326364855231374</v>
      </c>
      <c r="I31" s="19">
        <f>IF('Data input'!I31="","",4*('Data input'!I31-'Data input'!I$108)/('Data input'!I$109-'Data input'!I$108)+1)</f>
        <v>1.0469580368810802</v>
      </c>
      <c r="J31" s="19" t="str">
        <f>IF('Data input'!J31="","",4*('Data input'!J31-'Data input'!J$108)/('Data input'!J$109-'Data input'!J$108)+1)</f>
        <v/>
      </c>
      <c r="K31" s="19" t="str">
        <f>IF('Data input'!K31="","",4*('Data input'!K31-'Data input'!K$108)/('Data input'!K$109-'Data input'!K$108)+1)</f>
        <v/>
      </c>
      <c r="L31" s="19" t="str">
        <f>IF('Data input'!L31="","",4*('Data input'!L31-'Data input'!L$108)/('Data input'!L$109-'Data input'!L$108)+1)</f>
        <v/>
      </c>
      <c r="M31" s="19">
        <f>IF('Data input'!M31="","",4*('Data input'!M31-'Data input'!M$108)/('Data input'!M$109-'Data input'!M$108)+1)</f>
        <v>2.9789904618139573</v>
      </c>
      <c r="N31" s="16" t="str">
        <f>IF('Data input'!N31="","",4*('Data input'!N31-'Data input'!N$108)/('Data input'!N$109-'Data input'!N$108)+1)</f>
        <v/>
      </c>
      <c r="O31" s="19" t="str">
        <f>IF('Data input'!O31="","",4*('Data input'!O31-'Data input'!O$108)/('Data input'!O$109-'Data input'!O$108)+1)</f>
        <v/>
      </c>
      <c r="P31" s="19" t="str">
        <f>IF('Data input'!P31="","",4*('Data input'!P31-'Data input'!P$108)/('Data input'!P$109-'Data input'!P$108)+1)</f>
        <v/>
      </c>
      <c r="Q31" s="19" t="str">
        <f>IF('Data input'!Q31="","",4*('Data input'!Q31-'Data input'!Q$108)/('Data input'!Q$109-'Data input'!Q$108)+1)</f>
        <v/>
      </c>
      <c r="R31" s="19" t="str">
        <f>IF('Data input'!R31="","",4*('Data input'!R31-'Data input'!R$108)/('Data input'!R$109-'Data input'!R$108)+1)</f>
        <v/>
      </c>
      <c r="S31" s="16" t="str">
        <f>IF('Data input'!S31="","",4*('Data input'!S31-'Data input'!S$108)/('Data input'!S$109-'Data input'!S$108)+1)</f>
        <v/>
      </c>
      <c r="T31" s="19" t="str">
        <f>IF('Data input'!T31="","",4*('Data input'!T31-'Data input'!T$108)/('Data input'!T$109-'Data input'!T$108)+1)</f>
        <v/>
      </c>
      <c r="U31" s="19" t="str">
        <f>IF('Data input'!U31="","",4*('Data input'!U31-'Data input'!U$108)/('Data input'!U$109-'Data input'!U$108)+1)</f>
        <v/>
      </c>
      <c r="V31" s="19" t="str">
        <f>IF('Data input'!V31="","",4*('Data input'!V31-'Data input'!V$108)/('Data input'!V$109-'Data input'!V$108)+1)</f>
        <v/>
      </c>
      <c r="W31" s="16" t="str">
        <f>IF('Data input'!W31="","",4*('Data input'!W31-'Data input'!W$108)/('Data input'!W$109-'Data input'!W$108)+1)</f>
        <v/>
      </c>
      <c r="X31" s="16" t="str">
        <f>IF('Data input'!X31="","",4*('Data input'!X31-'Data input'!X$108)/('Data input'!X$109-'Data input'!X$108)+1)</f>
        <v/>
      </c>
      <c r="Y31" s="16" t="str">
        <f>IF('Data input'!Y31="","",4*('Data input'!Y31-'Data input'!Y$108)/('Data input'!Y$109-'Data input'!Y$108)+1)</f>
        <v/>
      </c>
      <c r="Z31" s="16" t="str">
        <f>IF('Data input'!Z31="","",4*('Data input'!Z31-'Data input'!Z$108)/('Data input'!Z$109-'Data input'!Z$108)+1)</f>
        <v/>
      </c>
      <c r="AA31" s="62" t="str">
        <f>IF('Data input'!AA31="","",4*('Data input'!AA31-'Data input'!AA$108)/('Data input'!AA$109-'Data input'!AA$108)+1)</f>
        <v/>
      </c>
      <c r="AB31" s="78"/>
      <c r="AC31" s="79">
        <v>0</v>
      </c>
      <c r="AD31" s="80" t="e">
        <f t="shared" si="13"/>
        <v>#DIV/0!</v>
      </c>
      <c r="AE31" s="4"/>
      <c r="AF31" s="59">
        <f t="shared" si="14"/>
        <v>29</v>
      </c>
      <c r="AG31" s="60" t="str">
        <f t="shared" si="14"/>
        <v>Nevada</v>
      </c>
      <c r="AH31">
        <v>0</v>
      </c>
      <c r="AI31" t="s">
        <v>69</v>
      </c>
      <c r="AJ31" t="s">
        <v>69</v>
      </c>
      <c r="AK31" t="s">
        <v>69</v>
      </c>
      <c r="AL31" t="s">
        <v>69</v>
      </c>
      <c r="AM31">
        <v>3.6082248300317578E-16</v>
      </c>
      <c r="AN31">
        <v>0</v>
      </c>
      <c r="AO31" t="s">
        <v>69</v>
      </c>
      <c r="AP31" t="s">
        <v>69</v>
      </c>
      <c r="AQ31" t="s">
        <v>69</v>
      </c>
      <c r="AR31">
        <v>1</v>
      </c>
      <c r="AS31" s="71">
        <f t="shared" si="15"/>
        <v>4.8636441678973181</v>
      </c>
      <c r="AT31" s="71" t="str">
        <f t="shared" si="15"/>
        <v/>
      </c>
      <c r="AU31" s="71" t="str">
        <f t="shared" si="15"/>
        <v/>
      </c>
      <c r="AV31" s="71" t="str">
        <f t="shared" si="15"/>
        <v/>
      </c>
      <c r="AW31" s="71" t="str">
        <f t="shared" si="15"/>
        <v/>
      </c>
      <c r="AX31" s="71">
        <f t="shared" si="16"/>
        <v>1.3263648552313736</v>
      </c>
      <c r="AY31" s="71">
        <f t="shared" si="16"/>
        <v>1.0469580368810802</v>
      </c>
      <c r="AZ31" s="71" t="str">
        <f t="shared" si="16"/>
        <v/>
      </c>
      <c r="BA31" s="71" t="str">
        <f t="shared" si="16"/>
        <v/>
      </c>
      <c r="BB31" s="71" t="str">
        <f t="shared" si="16"/>
        <v/>
      </c>
      <c r="BC31" s="18">
        <f>IF(C31&lt;&gt;"",(('Data input'!C$109-'Data input'!C$108)*(AS31-1)/4)+'Data input'!C$108,"")</f>
        <v>0.99134198676277885</v>
      </c>
      <c r="BD31" s="18" t="str">
        <f>IF(D31&lt;&gt;"",(('Data input'!D$109-'Data input'!D$108)*(AT31-1)/4)+'Data input'!D$108,"")</f>
        <v/>
      </c>
      <c r="BE31" s="18" t="str">
        <f>IF(E31&lt;&gt;"",(('Data input'!E$109-'Data input'!E$108)*(AU31-1)/4)+'Data input'!E$108,"")</f>
        <v/>
      </c>
      <c r="BF31" s="18" t="str">
        <f>IF(F31&lt;&gt;"",(('Data input'!F$109-'Data input'!F$108)*(AV31-1)/4)+'Data input'!F$108,"")</f>
        <v/>
      </c>
      <c r="BG31" s="18" t="str">
        <f>IF(G31&lt;&gt;"",(('Data input'!G$109-'Data input'!G$108)*(AW31-1)/4)+'Data input'!G$108,"")</f>
        <v/>
      </c>
      <c r="BH31" s="19">
        <f>IF(H31&lt;&gt;"",(('Data input'!H$109-'Data input'!H$108)*(AX31-1)/4)+'Data input'!H$108,"")</f>
        <v>7.4032612885176032</v>
      </c>
      <c r="BI31" s="18">
        <f>IF(I31&lt;&gt;"",(('Data input'!I$109-'Data input'!I$108)*(AY31-1)/4)+'Data input'!I$108,"")</f>
        <v>2.0618556701030907E-3</v>
      </c>
      <c r="BJ31" s="19" t="str">
        <f>IF(J31&lt;&gt;"",(('Data input'!J$109-'Data input'!J$108)*(AZ31-1)/4)+'Data input'!J$108,"")</f>
        <v/>
      </c>
      <c r="BK31" s="19" t="str">
        <f>IF(K31&lt;&gt;"",(('Data input'!K$109-'Data input'!K$108)*(BA31-1)/4)+'Data input'!K$108,"")</f>
        <v/>
      </c>
      <c r="BL31" s="19" t="str">
        <f>IF(L31&lt;&gt;"",(('Data input'!L$109-'Data input'!L$108)*(BB31-1)/4)+'Data input'!L$108,"")</f>
        <v/>
      </c>
      <c r="BM31" s="18">
        <f>IF(C31&lt;&gt;"",BC31-'Data input'!C31,"")</f>
        <v>0</v>
      </c>
      <c r="BN31" s="18" t="str">
        <f>IF(D31&lt;&gt;"",BD31-'Data input'!D31,"")</f>
        <v/>
      </c>
      <c r="BO31" s="18" t="str">
        <f>IF(E31&lt;&gt;"",BE31-'Data input'!E31,"")</f>
        <v/>
      </c>
      <c r="BP31" s="18" t="str">
        <f>IF(F31&lt;&gt;"",BF31-'Data input'!F31,"")</f>
        <v/>
      </c>
      <c r="BQ31" s="18" t="str">
        <f>IF(G31&lt;&gt;"",BG31-'Data input'!G31,"")</f>
        <v/>
      </c>
      <c r="BR31" s="19">
        <f>IF(H31&lt;&gt;"",BH31-'Data input'!H31,"")</f>
        <v>-7.1054273576010019E-15</v>
      </c>
      <c r="BS31" s="18">
        <f>IF(I31&lt;&gt;"",BI31-'Data input'!I31,"")</f>
        <v>-2.1684043449710089E-18</v>
      </c>
      <c r="BT31" s="18" t="str">
        <f>IF(J31&lt;&gt;"",BJ31-'Data input'!J31,"")</f>
        <v/>
      </c>
      <c r="BU31" s="18" t="str">
        <f>IF(K31&lt;&gt;"",BK31-'Data input'!K31,"")</f>
        <v/>
      </c>
      <c r="BV31" s="72" t="str">
        <f>IF(L31&lt;&gt;"",BL31-'Data input'!L31,"")</f>
        <v/>
      </c>
      <c r="BW31" s="121" t="str">
        <f t="shared" si="17"/>
        <v xml:space="preserve">Nevada; </v>
      </c>
      <c r="BX31" s="1">
        <v>0</v>
      </c>
      <c r="BY31" s="1">
        <v>0</v>
      </c>
      <c r="BZ31" s="1">
        <v>0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  <c r="CK31" s="1">
        <v>0</v>
      </c>
      <c r="CL31" s="1">
        <v>0</v>
      </c>
      <c r="CM31" s="1">
        <v>0</v>
      </c>
      <c r="CN31" s="1">
        <v>0</v>
      </c>
      <c r="CO31" s="1">
        <v>0</v>
      </c>
      <c r="CP31" s="1">
        <v>0</v>
      </c>
      <c r="CQ31" s="1">
        <v>0</v>
      </c>
      <c r="CR31" s="1">
        <v>0</v>
      </c>
      <c r="CS31" s="1">
        <v>0</v>
      </c>
      <c r="CT31" s="1">
        <v>0</v>
      </c>
      <c r="CU31" s="1">
        <v>0</v>
      </c>
      <c r="CV31" s="1">
        <v>0</v>
      </c>
      <c r="CW31" s="1">
        <v>0</v>
      </c>
      <c r="CX31" s="1">
        <v>0</v>
      </c>
      <c r="CY31" s="1">
        <v>0</v>
      </c>
      <c r="CZ31" s="1">
        <v>0.99999999999999833</v>
      </c>
      <c r="DA31" s="1">
        <v>0</v>
      </c>
      <c r="DB31" s="1">
        <v>0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  <c r="DH31" s="1">
        <v>0</v>
      </c>
      <c r="DI31" s="1">
        <v>0</v>
      </c>
      <c r="DJ31" s="1">
        <v>0</v>
      </c>
      <c r="DK31" s="1">
        <v>0</v>
      </c>
      <c r="DL31" s="1">
        <v>0</v>
      </c>
      <c r="DM31" s="1">
        <v>0</v>
      </c>
      <c r="DN31" s="1">
        <v>4.9266146717741312E-16</v>
      </c>
      <c r="DO31" s="1">
        <v>2.9490299091605716E-16</v>
      </c>
      <c r="DP31" s="1">
        <v>0</v>
      </c>
      <c r="DQ31" s="1">
        <v>0</v>
      </c>
      <c r="DR31" s="1">
        <v>0</v>
      </c>
      <c r="DS31" s="1">
        <v>0</v>
      </c>
      <c r="DT31" s="1">
        <v>0</v>
      </c>
      <c r="DU31" s="1">
        <v>0</v>
      </c>
      <c r="DV31" s="1">
        <v>0</v>
      </c>
      <c r="DW31" s="1">
        <v>0</v>
      </c>
      <c r="DX31" s="1">
        <v>0</v>
      </c>
      <c r="DY31" s="1">
        <v>0</v>
      </c>
      <c r="DZ31" s="1">
        <v>0</v>
      </c>
      <c r="FT31" s="1" t="str">
        <f t="shared" si="18"/>
        <v/>
      </c>
      <c r="FU31" s="1" t="str">
        <f t="shared" si="18"/>
        <v/>
      </c>
      <c r="FV31" s="1" t="str">
        <f t="shared" si="18"/>
        <v/>
      </c>
      <c r="FW31" s="1" t="str">
        <f t="shared" si="18"/>
        <v/>
      </c>
      <c r="FX31" s="1" t="str">
        <f t="shared" si="18"/>
        <v/>
      </c>
      <c r="FY31" s="1" t="str">
        <f t="shared" si="18"/>
        <v/>
      </c>
      <c r="FZ31" s="1" t="str">
        <f t="shared" si="18"/>
        <v/>
      </c>
      <c r="GA31" s="1" t="str">
        <f t="shared" si="18"/>
        <v/>
      </c>
      <c r="GB31" s="1" t="str">
        <f t="shared" si="18"/>
        <v/>
      </c>
      <c r="GC31" s="1" t="str">
        <f t="shared" si="18"/>
        <v/>
      </c>
      <c r="GD31" s="1" t="str">
        <f t="shared" si="18"/>
        <v/>
      </c>
      <c r="GE31" s="1" t="str">
        <f t="shared" si="18"/>
        <v/>
      </c>
      <c r="GF31" s="1" t="str">
        <f t="shared" si="18"/>
        <v/>
      </c>
      <c r="GG31" s="1" t="str">
        <f t="shared" si="18"/>
        <v/>
      </c>
      <c r="GH31" s="1" t="str">
        <f t="shared" si="18"/>
        <v/>
      </c>
      <c r="GI31" s="1" t="str">
        <f t="shared" si="18"/>
        <v/>
      </c>
      <c r="GJ31" s="1" t="str">
        <f t="shared" si="19"/>
        <v/>
      </c>
      <c r="GK31" s="1" t="str">
        <f t="shared" si="19"/>
        <v/>
      </c>
      <c r="GL31" s="1" t="str">
        <f t="shared" si="19"/>
        <v/>
      </c>
      <c r="GM31" s="1" t="str">
        <f t="shared" si="19"/>
        <v/>
      </c>
      <c r="GN31" s="1" t="str">
        <f t="shared" si="19"/>
        <v/>
      </c>
      <c r="GO31" s="1" t="str">
        <f t="shared" si="19"/>
        <v/>
      </c>
      <c r="GP31" s="1" t="str">
        <f t="shared" si="19"/>
        <v/>
      </c>
      <c r="GQ31" s="1" t="str">
        <f t="shared" si="19"/>
        <v/>
      </c>
      <c r="GR31" s="1" t="str">
        <f t="shared" si="19"/>
        <v/>
      </c>
      <c r="GS31" s="1" t="str">
        <f t="shared" si="19"/>
        <v/>
      </c>
      <c r="GT31" s="1" t="str">
        <f t="shared" si="19"/>
        <v/>
      </c>
      <c r="GU31" s="1" t="str">
        <f t="shared" si="19"/>
        <v/>
      </c>
      <c r="GV31" s="1" t="str">
        <f t="shared" si="19"/>
        <v xml:space="preserve">Nevada; </v>
      </c>
      <c r="GW31" s="1" t="str">
        <f t="shared" si="19"/>
        <v/>
      </c>
      <c r="GX31" s="1" t="str">
        <f t="shared" si="19"/>
        <v/>
      </c>
      <c r="GY31" s="1" t="str">
        <f t="shared" si="19"/>
        <v/>
      </c>
      <c r="GZ31" s="1" t="str">
        <f t="shared" si="20"/>
        <v/>
      </c>
      <c r="HA31" s="1" t="str">
        <f t="shared" si="20"/>
        <v/>
      </c>
      <c r="HB31" s="1" t="str">
        <f t="shared" si="20"/>
        <v/>
      </c>
      <c r="HC31" s="1" t="str">
        <f t="shared" si="20"/>
        <v/>
      </c>
      <c r="HD31" s="1" t="str">
        <f t="shared" si="20"/>
        <v/>
      </c>
      <c r="HE31" s="1" t="str">
        <f t="shared" si="20"/>
        <v/>
      </c>
      <c r="HF31" s="1" t="str">
        <f t="shared" si="20"/>
        <v/>
      </c>
      <c r="HG31" s="1" t="str">
        <f t="shared" si="20"/>
        <v/>
      </c>
      <c r="HH31" s="1" t="str">
        <f t="shared" si="20"/>
        <v/>
      </c>
      <c r="HI31" s="1" t="str">
        <f t="shared" si="20"/>
        <v/>
      </c>
      <c r="HJ31" s="1" t="str">
        <f t="shared" si="20"/>
        <v/>
      </c>
      <c r="HK31" s="1" t="str">
        <f t="shared" si="20"/>
        <v/>
      </c>
      <c r="HL31" s="1" t="str">
        <f t="shared" si="20"/>
        <v/>
      </c>
      <c r="HM31" s="1" t="str">
        <f t="shared" si="20"/>
        <v/>
      </c>
      <c r="HN31" s="1" t="str">
        <f t="shared" si="20"/>
        <v/>
      </c>
      <c r="HO31" s="1" t="str">
        <f t="shared" si="20"/>
        <v/>
      </c>
      <c r="HP31" s="1" t="str">
        <f t="shared" si="21"/>
        <v/>
      </c>
      <c r="HQ31" s="1" t="str">
        <f t="shared" si="21"/>
        <v/>
      </c>
      <c r="HR31" s="1" t="str">
        <f t="shared" si="21"/>
        <v/>
      </c>
      <c r="HS31" s="1" t="str">
        <f t="shared" si="21"/>
        <v/>
      </c>
      <c r="HT31" s="1" t="str">
        <f t="shared" si="21"/>
        <v/>
      </c>
      <c r="HU31" s="1" t="str">
        <f t="shared" si="21"/>
        <v/>
      </c>
      <c r="HV31" s="1" t="str">
        <f t="shared" si="21"/>
        <v/>
      </c>
      <c r="HW31" s="1" t="str">
        <f t="shared" si="21"/>
        <v/>
      </c>
      <c r="HX31" s="1" t="str">
        <f t="shared" si="21"/>
        <v/>
      </c>
      <c r="HY31" s="1" t="str">
        <f t="shared" si="21"/>
        <v/>
      </c>
      <c r="HZ31" s="1" t="str">
        <f t="shared" si="21"/>
        <v/>
      </c>
      <c r="IA31" s="1" t="str">
        <f t="shared" si="21"/>
        <v/>
      </c>
      <c r="IB31" s="1" t="str">
        <f t="shared" si="21"/>
        <v/>
      </c>
      <c r="IC31" s="1" t="str">
        <f t="shared" si="21"/>
        <v/>
      </c>
      <c r="ID31" s="1" t="str">
        <f t="shared" si="21"/>
        <v/>
      </c>
      <c r="IE31" s="1" t="str">
        <f t="shared" si="21"/>
        <v/>
      </c>
      <c r="IF31" s="1" t="str">
        <f t="shared" si="22"/>
        <v/>
      </c>
      <c r="IG31" s="1" t="str">
        <f t="shared" si="22"/>
        <v/>
      </c>
      <c r="IH31" s="1" t="str">
        <f t="shared" si="22"/>
        <v/>
      </c>
      <c r="II31" s="1" t="str">
        <f t="shared" si="22"/>
        <v/>
      </c>
      <c r="IJ31" s="1" t="str">
        <f t="shared" si="22"/>
        <v/>
      </c>
      <c r="IK31" s="1" t="str">
        <f t="shared" si="22"/>
        <v/>
      </c>
      <c r="IL31" s="1" t="str">
        <f t="shared" si="22"/>
        <v/>
      </c>
      <c r="IM31" s="1" t="str">
        <f t="shared" si="22"/>
        <v/>
      </c>
      <c r="IN31" s="1" t="str">
        <f t="shared" si="22"/>
        <v/>
      </c>
      <c r="IO31" s="1" t="str">
        <f t="shared" si="22"/>
        <v/>
      </c>
      <c r="IP31" s="1" t="str">
        <f t="shared" si="22"/>
        <v/>
      </c>
      <c r="IQ31" s="1" t="str">
        <f t="shared" si="22"/>
        <v/>
      </c>
      <c r="IR31" s="1" t="str">
        <f t="shared" si="22"/>
        <v/>
      </c>
      <c r="IS31" s="1" t="str">
        <f t="shared" si="22"/>
        <v/>
      </c>
      <c r="IT31" s="1" t="str">
        <f t="shared" si="22"/>
        <v/>
      </c>
      <c r="IU31" s="1" t="str">
        <f t="shared" si="22"/>
        <v/>
      </c>
      <c r="IV31" s="1" t="str">
        <f t="shared" si="23"/>
        <v/>
      </c>
      <c r="IW31" s="1" t="str">
        <f t="shared" si="23"/>
        <v/>
      </c>
      <c r="IX31" s="1" t="str">
        <f t="shared" si="23"/>
        <v/>
      </c>
      <c r="IY31" s="1" t="str">
        <f t="shared" si="23"/>
        <v/>
      </c>
      <c r="IZ31" s="1" t="str">
        <f t="shared" si="23"/>
        <v/>
      </c>
      <c r="JA31" s="1" t="str">
        <f t="shared" si="23"/>
        <v/>
      </c>
      <c r="JB31" s="1" t="str">
        <f t="shared" si="23"/>
        <v/>
      </c>
      <c r="JC31" s="1" t="str">
        <f t="shared" si="23"/>
        <v/>
      </c>
      <c r="JD31" s="1" t="str">
        <f t="shared" si="23"/>
        <v/>
      </c>
      <c r="JE31" s="1" t="str">
        <f t="shared" si="23"/>
        <v/>
      </c>
      <c r="JF31" s="1" t="str">
        <f t="shared" si="23"/>
        <v/>
      </c>
      <c r="JG31" s="1" t="str">
        <f t="shared" si="23"/>
        <v/>
      </c>
      <c r="JH31" s="1" t="str">
        <f t="shared" si="23"/>
        <v/>
      </c>
      <c r="JI31" s="1" t="str">
        <f t="shared" si="23"/>
        <v/>
      </c>
      <c r="JJ31" s="1" t="str">
        <f t="shared" si="23"/>
        <v/>
      </c>
      <c r="JK31" s="1" t="str">
        <f t="shared" si="23"/>
        <v/>
      </c>
      <c r="JL31" s="1" t="str">
        <f t="shared" si="24"/>
        <v/>
      </c>
      <c r="JM31" s="1" t="str">
        <f t="shared" si="12"/>
        <v/>
      </c>
      <c r="JN31" s="1" t="str">
        <f t="shared" si="12"/>
        <v/>
      </c>
      <c r="JO31" s="1" t="str">
        <f t="shared" si="12"/>
        <v/>
      </c>
    </row>
    <row r="32" spans="1:275" ht="14.5" x14ac:dyDescent="0.35">
      <c r="A32" s="59">
        <f>IF('Data input'!A32&lt;&gt;"",'Data input'!A32,"")</f>
        <v>30</v>
      </c>
      <c r="B32" s="60" t="str">
        <f>IF('Data input'!B32&lt;&gt;"",'Data input'!B32,"")</f>
        <v>New Hampshire</v>
      </c>
      <c r="C32" s="19">
        <f>IF('Data input'!C32="","",4*('Data input'!C32-'Data input'!C$108)/('Data input'!C$109-'Data input'!C$108)+1)</f>
        <v>3.8518654785811308</v>
      </c>
      <c r="D32" s="19" t="str">
        <f>IF('Data input'!D32="","",4*('Data input'!D32-'Data input'!D$108)/('Data input'!D$109-'Data input'!D$108)+1)</f>
        <v/>
      </c>
      <c r="E32" s="19" t="str">
        <f>IF('Data input'!E32="","",4*('Data input'!E32-'Data input'!E$108)/('Data input'!E$109-'Data input'!E$108)+1)</f>
        <v/>
      </c>
      <c r="F32" s="19" t="str">
        <f>IF('Data input'!F32="","",4*('Data input'!F32-'Data input'!F$108)/('Data input'!F$109-'Data input'!F$108)+1)</f>
        <v/>
      </c>
      <c r="G32" s="19" t="str">
        <f>IF('Data input'!G32="","",4*('Data input'!G32-'Data input'!G$108)/('Data input'!G$109-'Data input'!G$108)+1)</f>
        <v/>
      </c>
      <c r="H32" s="61">
        <f>IF('Data input'!H32="","",4*('Data input'!H32-'Data input'!H$108)/('Data input'!H$109-'Data input'!H$108)+1)</f>
        <v>3.4913844259179605</v>
      </c>
      <c r="I32" s="19">
        <f>IF('Data input'!I32="","",4*('Data input'!I32-'Data input'!I$108)/('Data input'!I$109-'Data input'!I$108)+1)</f>
        <v>1</v>
      </c>
      <c r="J32" s="19" t="str">
        <f>IF('Data input'!J32="","",4*('Data input'!J32-'Data input'!J$108)/('Data input'!J$109-'Data input'!J$108)+1)</f>
        <v/>
      </c>
      <c r="K32" s="19" t="str">
        <f>IF('Data input'!K32="","",4*('Data input'!K32-'Data input'!K$108)/('Data input'!K$109-'Data input'!K$108)+1)</f>
        <v/>
      </c>
      <c r="L32" s="19" t="str">
        <f>IF('Data input'!L32="","",4*('Data input'!L32-'Data input'!L$108)/('Data input'!L$109-'Data input'!L$108)+1)</f>
        <v/>
      </c>
      <c r="M32" s="19">
        <f>IF('Data input'!M32="","",4*('Data input'!M32-'Data input'!M$108)/('Data input'!M$109-'Data input'!M$108)+1)</f>
        <v>2.2362162482148276</v>
      </c>
      <c r="N32" s="16" t="str">
        <f>IF('Data input'!N32="","",4*('Data input'!N32-'Data input'!N$108)/('Data input'!N$109-'Data input'!N$108)+1)</f>
        <v/>
      </c>
      <c r="O32" s="19" t="str">
        <f>IF('Data input'!O32="","",4*('Data input'!O32-'Data input'!O$108)/('Data input'!O$109-'Data input'!O$108)+1)</f>
        <v/>
      </c>
      <c r="P32" s="19" t="str">
        <f>IF('Data input'!P32="","",4*('Data input'!P32-'Data input'!P$108)/('Data input'!P$109-'Data input'!P$108)+1)</f>
        <v/>
      </c>
      <c r="Q32" s="19" t="str">
        <f>IF('Data input'!Q32="","",4*('Data input'!Q32-'Data input'!Q$108)/('Data input'!Q$109-'Data input'!Q$108)+1)</f>
        <v/>
      </c>
      <c r="R32" s="19" t="str">
        <f>IF('Data input'!R32="","",4*('Data input'!R32-'Data input'!R$108)/('Data input'!R$109-'Data input'!R$108)+1)</f>
        <v/>
      </c>
      <c r="S32" s="16" t="str">
        <f>IF('Data input'!S32="","",4*('Data input'!S32-'Data input'!S$108)/('Data input'!S$109-'Data input'!S$108)+1)</f>
        <v/>
      </c>
      <c r="T32" s="19" t="str">
        <f>IF('Data input'!T32="","",4*('Data input'!T32-'Data input'!T$108)/('Data input'!T$109-'Data input'!T$108)+1)</f>
        <v/>
      </c>
      <c r="U32" s="19" t="str">
        <f>IF('Data input'!U32="","",4*('Data input'!U32-'Data input'!U$108)/('Data input'!U$109-'Data input'!U$108)+1)</f>
        <v/>
      </c>
      <c r="V32" s="19" t="str">
        <f>IF('Data input'!V32="","",4*('Data input'!V32-'Data input'!V$108)/('Data input'!V$109-'Data input'!V$108)+1)</f>
        <v/>
      </c>
      <c r="W32" s="16" t="str">
        <f>IF('Data input'!W32="","",4*('Data input'!W32-'Data input'!W$108)/('Data input'!W$109-'Data input'!W$108)+1)</f>
        <v/>
      </c>
      <c r="X32" s="16" t="str">
        <f>IF('Data input'!X32="","",4*('Data input'!X32-'Data input'!X$108)/('Data input'!X$109-'Data input'!X$108)+1)</f>
        <v/>
      </c>
      <c r="Y32" s="16" t="str">
        <f>IF('Data input'!Y32="","",4*('Data input'!Y32-'Data input'!Y$108)/('Data input'!Y$109-'Data input'!Y$108)+1)</f>
        <v/>
      </c>
      <c r="Z32" s="16" t="str">
        <f>IF('Data input'!Z32="","",4*('Data input'!Z32-'Data input'!Z$108)/('Data input'!Z$109-'Data input'!Z$108)+1)</f>
        <v/>
      </c>
      <c r="AA32" s="62" t="str">
        <f>IF('Data input'!AA32="","",4*('Data input'!AA32-'Data input'!AA$108)/('Data input'!AA$109-'Data input'!AA$108)+1)</f>
        <v/>
      </c>
      <c r="AB32" s="78"/>
      <c r="AC32" s="79">
        <v>0</v>
      </c>
      <c r="AD32" s="80" t="e">
        <f t="shared" si="13"/>
        <v>#DIV/0!</v>
      </c>
      <c r="AE32" s="4"/>
      <c r="AF32" s="59">
        <f t="shared" si="14"/>
        <v>30</v>
      </c>
      <c r="AG32" s="60" t="str">
        <f t="shared" si="14"/>
        <v>New Hampshire</v>
      </c>
      <c r="AH32">
        <v>0</v>
      </c>
      <c r="AI32" t="s">
        <v>69</v>
      </c>
      <c r="AJ32" t="s">
        <v>69</v>
      </c>
      <c r="AK32" t="s">
        <v>69</v>
      </c>
      <c r="AL32" t="s">
        <v>69</v>
      </c>
      <c r="AM32">
        <v>2.3374632059959173</v>
      </c>
      <c r="AN32">
        <v>0</v>
      </c>
      <c r="AO32" t="s">
        <v>69</v>
      </c>
      <c r="AP32" t="s">
        <v>69</v>
      </c>
      <c r="AQ32" t="s">
        <v>69</v>
      </c>
      <c r="AR32">
        <v>0.66525267331720894</v>
      </c>
      <c r="AS32" s="71">
        <f t="shared" si="15"/>
        <v>3.8518654785811308</v>
      </c>
      <c r="AT32" s="71" t="str">
        <f t="shared" si="15"/>
        <v/>
      </c>
      <c r="AU32" s="71" t="str">
        <f t="shared" si="15"/>
        <v/>
      </c>
      <c r="AV32" s="71" t="str">
        <f t="shared" si="15"/>
        <v/>
      </c>
      <c r="AW32" s="71" t="str">
        <f t="shared" si="15"/>
        <v/>
      </c>
      <c r="AX32" s="71">
        <f t="shared" si="16"/>
        <v>1.1539212199220432</v>
      </c>
      <c r="AY32" s="71">
        <f t="shared" si="16"/>
        <v>1</v>
      </c>
      <c r="AZ32" s="71" t="str">
        <f t="shared" si="16"/>
        <v/>
      </c>
      <c r="BA32" s="71" t="str">
        <f t="shared" si="16"/>
        <v/>
      </c>
      <c r="BB32" s="71" t="str">
        <f t="shared" si="16"/>
        <v/>
      </c>
      <c r="BC32" s="18">
        <f>IF(C32&lt;&gt;"",(('Data input'!C$109-'Data input'!C$108)*(AS32-1)/4)+'Data input'!C$108,"")</f>
        <v>0.95460716695886605</v>
      </c>
      <c r="BD32" s="18" t="str">
        <f>IF(D32&lt;&gt;"",(('Data input'!D$109-'Data input'!D$108)*(AT32-1)/4)+'Data input'!D$108,"")</f>
        <v/>
      </c>
      <c r="BE32" s="18" t="str">
        <f>IF(E32&lt;&gt;"",(('Data input'!E$109-'Data input'!E$108)*(AU32-1)/4)+'Data input'!E$108,"")</f>
        <v/>
      </c>
      <c r="BF32" s="18" t="str">
        <f>IF(F32&lt;&gt;"",(('Data input'!F$109-'Data input'!F$108)*(AV32-1)/4)+'Data input'!F$108,"")</f>
        <v/>
      </c>
      <c r="BG32" s="18" t="str">
        <f>IF(G32&lt;&gt;"",(('Data input'!G$109-'Data input'!G$108)*(AW32-1)/4)+'Data input'!G$108,"")</f>
        <v/>
      </c>
      <c r="BH32" s="19">
        <f>IF(H32&lt;&gt;"",(('Data input'!H$109-'Data input'!H$108)*(AX32-1)/4)+'Data input'!H$108,"")</f>
        <v>3.6478129729708035</v>
      </c>
      <c r="BI32" s="18">
        <f>IF(I32&lt;&gt;"",(('Data input'!I$109-'Data input'!I$108)*(AY32-1)/4)+'Data input'!I$108,"")</f>
        <v>0</v>
      </c>
      <c r="BJ32" s="19" t="str">
        <f>IF(J32&lt;&gt;"",(('Data input'!J$109-'Data input'!J$108)*(AZ32-1)/4)+'Data input'!J$108,"")</f>
        <v/>
      </c>
      <c r="BK32" s="19" t="str">
        <f>IF(K32&lt;&gt;"",(('Data input'!K$109-'Data input'!K$108)*(BA32-1)/4)+'Data input'!K$108,"")</f>
        <v/>
      </c>
      <c r="BL32" s="19" t="str">
        <f>IF(L32&lt;&gt;"",(('Data input'!L$109-'Data input'!L$108)*(BB32-1)/4)+'Data input'!L$108,"")</f>
        <v/>
      </c>
      <c r="BM32" s="18">
        <f>IF(C32&lt;&gt;"",BC32-'Data input'!C32,"")</f>
        <v>0</v>
      </c>
      <c r="BN32" s="18" t="str">
        <f>IF(D32&lt;&gt;"",BD32-'Data input'!D32,"")</f>
        <v/>
      </c>
      <c r="BO32" s="18" t="str">
        <f>IF(E32&lt;&gt;"",BE32-'Data input'!E32,"")</f>
        <v/>
      </c>
      <c r="BP32" s="18" t="str">
        <f>IF(F32&lt;&gt;"",BF32-'Data input'!F32,"")</f>
        <v/>
      </c>
      <c r="BQ32" s="18" t="str">
        <f>IF(G32&lt;&gt;"",BG32-'Data input'!G32,"")</f>
        <v/>
      </c>
      <c r="BR32" s="19">
        <f>IF(H32&lt;&gt;"",BH32-'Data input'!H32,"")</f>
        <v>-50.904878245367328</v>
      </c>
      <c r="BS32" s="18">
        <f>IF(I32&lt;&gt;"",BI32-'Data input'!I32,"")</f>
        <v>0</v>
      </c>
      <c r="BT32" s="18" t="str">
        <f>IF(J32&lt;&gt;"",BJ32-'Data input'!J32,"")</f>
        <v/>
      </c>
      <c r="BU32" s="18" t="str">
        <f>IF(K32&lt;&gt;"",BK32-'Data input'!K32,"")</f>
        <v/>
      </c>
      <c r="BV32" s="72" t="str">
        <f>IF(L32&lt;&gt;"",BL32-'Data input'!L32,"")</f>
        <v/>
      </c>
      <c r="BW32" s="121" t="str">
        <f t="shared" si="17"/>
        <v xml:space="preserve">Kentucky; New Jersey; </v>
      </c>
      <c r="BX32" s="1">
        <v>0</v>
      </c>
      <c r="BY32" s="1">
        <v>0</v>
      </c>
      <c r="BZ32" s="1">
        <v>0</v>
      </c>
      <c r="CA32" s="1">
        <v>0</v>
      </c>
      <c r="CB32" s="1">
        <v>0</v>
      </c>
      <c r="CC32" s="1">
        <v>0</v>
      </c>
      <c r="CD32" s="1">
        <v>0</v>
      </c>
      <c r="CE32" s="1">
        <v>0</v>
      </c>
      <c r="CF32" s="1">
        <v>0</v>
      </c>
      <c r="CG32" s="1">
        <v>0</v>
      </c>
      <c r="CH32" s="1">
        <v>0</v>
      </c>
      <c r="CI32" s="1">
        <v>0</v>
      </c>
      <c r="CJ32" s="1">
        <v>0</v>
      </c>
      <c r="CK32" s="1">
        <v>0</v>
      </c>
      <c r="CL32" s="1">
        <v>0</v>
      </c>
      <c r="CM32" s="1">
        <v>0</v>
      </c>
      <c r="CN32" s="1">
        <v>0</v>
      </c>
      <c r="CO32" s="1">
        <v>0.8765862677727615</v>
      </c>
      <c r="CP32" s="1">
        <v>0</v>
      </c>
      <c r="CQ32" s="1">
        <v>0</v>
      </c>
      <c r="CR32" s="1">
        <v>0</v>
      </c>
      <c r="CS32" s="1">
        <v>0</v>
      </c>
      <c r="CT32" s="1">
        <v>0</v>
      </c>
      <c r="CU32" s="1">
        <v>0</v>
      </c>
      <c r="CV32" s="1">
        <v>0</v>
      </c>
      <c r="CW32" s="1">
        <v>0</v>
      </c>
      <c r="CX32" s="1">
        <v>0</v>
      </c>
      <c r="CY32" s="1">
        <v>0</v>
      </c>
      <c r="CZ32" s="1">
        <v>0</v>
      </c>
      <c r="DA32" s="1">
        <v>0</v>
      </c>
      <c r="DB32" s="1">
        <v>0.12341373222753707</v>
      </c>
      <c r="DC32" s="1">
        <v>0</v>
      </c>
      <c r="DD32" s="1">
        <v>-2.9343185705274229E-13</v>
      </c>
      <c r="DE32" s="1">
        <v>0</v>
      </c>
      <c r="DF32" s="1">
        <v>0</v>
      </c>
      <c r="DG32" s="1">
        <v>0</v>
      </c>
      <c r="DH32" s="1">
        <v>0</v>
      </c>
      <c r="DI32" s="1">
        <v>0</v>
      </c>
      <c r="DJ32" s="1">
        <v>0</v>
      </c>
      <c r="DK32" s="1">
        <v>0</v>
      </c>
      <c r="DL32" s="1">
        <v>0</v>
      </c>
      <c r="DM32" s="1">
        <v>0</v>
      </c>
      <c r="DN32" s="1">
        <v>0</v>
      </c>
      <c r="DO32" s="1">
        <v>0</v>
      </c>
      <c r="DP32" s="1">
        <v>0</v>
      </c>
      <c r="DQ32" s="1">
        <v>0</v>
      </c>
      <c r="DR32" s="1">
        <v>0</v>
      </c>
      <c r="DS32" s="1">
        <v>0</v>
      </c>
      <c r="DT32" s="1">
        <v>0</v>
      </c>
      <c r="DU32" s="1">
        <v>0</v>
      </c>
      <c r="DV32" s="1">
        <v>0</v>
      </c>
      <c r="DW32" s="1">
        <v>0</v>
      </c>
      <c r="DX32" s="1">
        <v>0</v>
      </c>
      <c r="DY32" s="1">
        <v>0</v>
      </c>
      <c r="DZ32" s="1">
        <v>0</v>
      </c>
      <c r="FT32" s="1" t="str">
        <f t="shared" si="18"/>
        <v/>
      </c>
      <c r="FU32" s="1" t="str">
        <f t="shared" si="18"/>
        <v/>
      </c>
      <c r="FV32" s="1" t="str">
        <f t="shared" si="18"/>
        <v/>
      </c>
      <c r="FW32" s="1" t="str">
        <f t="shared" si="18"/>
        <v/>
      </c>
      <c r="FX32" s="1" t="str">
        <f t="shared" si="18"/>
        <v/>
      </c>
      <c r="FY32" s="1" t="str">
        <f t="shared" si="18"/>
        <v/>
      </c>
      <c r="FZ32" s="1" t="str">
        <f t="shared" si="18"/>
        <v/>
      </c>
      <c r="GA32" s="1" t="str">
        <f t="shared" si="18"/>
        <v/>
      </c>
      <c r="GB32" s="1" t="str">
        <f t="shared" si="18"/>
        <v/>
      </c>
      <c r="GC32" s="1" t="str">
        <f t="shared" si="18"/>
        <v/>
      </c>
      <c r="GD32" s="1" t="str">
        <f t="shared" si="18"/>
        <v/>
      </c>
      <c r="GE32" s="1" t="str">
        <f t="shared" si="18"/>
        <v/>
      </c>
      <c r="GF32" s="1" t="str">
        <f t="shared" si="18"/>
        <v/>
      </c>
      <c r="GG32" s="1" t="str">
        <f t="shared" si="18"/>
        <v/>
      </c>
      <c r="GH32" s="1" t="str">
        <f t="shared" si="18"/>
        <v/>
      </c>
      <c r="GI32" s="1" t="str">
        <f t="shared" si="18"/>
        <v/>
      </c>
      <c r="GJ32" s="1" t="str">
        <f t="shared" si="19"/>
        <v/>
      </c>
      <c r="GK32" s="1" t="str">
        <f t="shared" si="19"/>
        <v xml:space="preserve">Kentucky; </v>
      </c>
      <c r="GL32" s="1" t="str">
        <f t="shared" si="19"/>
        <v/>
      </c>
      <c r="GM32" s="1" t="str">
        <f t="shared" si="19"/>
        <v/>
      </c>
      <c r="GN32" s="1" t="str">
        <f t="shared" si="19"/>
        <v/>
      </c>
      <c r="GO32" s="1" t="str">
        <f t="shared" si="19"/>
        <v/>
      </c>
      <c r="GP32" s="1" t="str">
        <f t="shared" si="19"/>
        <v/>
      </c>
      <c r="GQ32" s="1" t="str">
        <f t="shared" si="19"/>
        <v/>
      </c>
      <c r="GR32" s="1" t="str">
        <f t="shared" si="19"/>
        <v/>
      </c>
      <c r="GS32" s="1" t="str">
        <f t="shared" si="19"/>
        <v/>
      </c>
      <c r="GT32" s="1" t="str">
        <f t="shared" si="19"/>
        <v/>
      </c>
      <c r="GU32" s="1" t="str">
        <f t="shared" si="19"/>
        <v/>
      </c>
      <c r="GV32" s="1" t="str">
        <f t="shared" si="19"/>
        <v/>
      </c>
      <c r="GW32" s="1" t="str">
        <f t="shared" si="19"/>
        <v/>
      </c>
      <c r="GX32" s="1" t="str">
        <f t="shared" si="19"/>
        <v xml:space="preserve">New Jersey; </v>
      </c>
      <c r="GY32" s="1" t="str">
        <f t="shared" si="19"/>
        <v/>
      </c>
      <c r="GZ32" s="1" t="str">
        <f t="shared" si="20"/>
        <v/>
      </c>
      <c r="HA32" s="1" t="str">
        <f t="shared" si="20"/>
        <v/>
      </c>
      <c r="HB32" s="1" t="str">
        <f t="shared" si="20"/>
        <v/>
      </c>
      <c r="HC32" s="1" t="str">
        <f t="shared" si="20"/>
        <v/>
      </c>
      <c r="HD32" s="1" t="str">
        <f t="shared" si="20"/>
        <v/>
      </c>
      <c r="HE32" s="1" t="str">
        <f t="shared" si="20"/>
        <v/>
      </c>
      <c r="HF32" s="1" t="str">
        <f t="shared" si="20"/>
        <v/>
      </c>
      <c r="HG32" s="1" t="str">
        <f t="shared" si="20"/>
        <v/>
      </c>
      <c r="HH32" s="1" t="str">
        <f t="shared" si="20"/>
        <v/>
      </c>
      <c r="HI32" s="1" t="str">
        <f t="shared" si="20"/>
        <v/>
      </c>
      <c r="HJ32" s="1" t="str">
        <f t="shared" si="20"/>
        <v/>
      </c>
      <c r="HK32" s="1" t="str">
        <f t="shared" si="20"/>
        <v/>
      </c>
      <c r="HL32" s="1" t="str">
        <f t="shared" si="20"/>
        <v/>
      </c>
      <c r="HM32" s="1" t="str">
        <f t="shared" si="20"/>
        <v/>
      </c>
      <c r="HN32" s="1" t="str">
        <f t="shared" si="20"/>
        <v/>
      </c>
      <c r="HO32" s="1" t="str">
        <f t="shared" si="20"/>
        <v/>
      </c>
      <c r="HP32" s="1" t="str">
        <f t="shared" si="21"/>
        <v/>
      </c>
      <c r="HQ32" s="1" t="str">
        <f t="shared" si="21"/>
        <v/>
      </c>
      <c r="HR32" s="1" t="str">
        <f t="shared" si="21"/>
        <v/>
      </c>
      <c r="HS32" s="1" t="str">
        <f t="shared" si="21"/>
        <v/>
      </c>
      <c r="HT32" s="1" t="str">
        <f t="shared" si="21"/>
        <v/>
      </c>
      <c r="HU32" s="1" t="str">
        <f t="shared" si="21"/>
        <v/>
      </c>
      <c r="HV32" s="1" t="str">
        <f t="shared" si="21"/>
        <v/>
      </c>
      <c r="HW32" s="1" t="str">
        <f t="shared" si="21"/>
        <v/>
      </c>
      <c r="HX32" s="1" t="str">
        <f t="shared" si="21"/>
        <v/>
      </c>
      <c r="HY32" s="1" t="str">
        <f t="shared" si="21"/>
        <v/>
      </c>
      <c r="HZ32" s="1" t="str">
        <f t="shared" si="21"/>
        <v/>
      </c>
      <c r="IA32" s="1" t="str">
        <f t="shared" si="21"/>
        <v/>
      </c>
      <c r="IB32" s="1" t="str">
        <f t="shared" si="21"/>
        <v/>
      </c>
      <c r="IC32" s="1" t="str">
        <f t="shared" si="21"/>
        <v/>
      </c>
      <c r="ID32" s="1" t="str">
        <f t="shared" si="21"/>
        <v/>
      </c>
      <c r="IE32" s="1" t="str">
        <f t="shared" si="21"/>
        <v/>
      </c>
      <c r="IF32" s="1" t="str">
        <f t="shared" si="22"/>
        <v/>
      </c>
      <c r="IG32" s="1" t="str">
        <f t="shared" si="22"/>
        <v/>
      </c>
      <c r="IH32" s="1" t="str">
        <f t="shared" si="22"/>
        <v/>
      </c>
      <c r="II32" s="1" t="str">
        <f t="shared" si="22"/>
        <v/>
      </c>
      <c r="IJ32" s="1" t="str">
        <f t="shared" si="22"/>
        <v/>
      </c>
      <c r="IK32" s="1" t="str">
        <f t="shared" si="22"/>
        <v/>
      </c>
      <c r="IL32" s="1" t="str">
        <f t="shared" si="22"/>
        <v/>
      </c>
      <c r="IM32" s="1" t="str">
        <f t="shared" si="22"/>
        <v/>
      </c>
      <c r="IN32" s="1" t="str">
        <f t="shared" si="22"/>
        <v/>
      </c>
      <c r="IO32" s="1" t="str">
        <f t="shared" si="22"/>
        <v/>
      </c>
      <c r="IP32" s="1" t="str">
        <f t="shared" si="22"/>
        <v/>
      </c>
      <c r="IQ32" s="1" t="str">
        <f t="shared" si="22"/>
        <v/>
      </c>
      <c r="IR32" s="1" t="str">
        <f t="shared" si="22"/>
        <v/>
      </c>
      <c r="IS32" s="1" t="str">
        <f t="shared" si="22"/>
        <v/>
      </c>
      <c r="IT32" s="1" t="str">
        <f t="shared" si="22"/>
        <v/>
      </c>
      <c r="IU32" s="1" t="str">
        <f t="shared" si="22"/>
        <v/>
      </c>
      <c r="IV32" s="1" t="str">
        <f t="shared" si="23"/>
        <v/>
      </c>
      <c r="IW32" s="1" t="str">
        <f t="shared" si="23"/>
        <v/>
      </c>
      <c r="IX32" s="1" t="str">
        <f t="shared" si="23"/>
        <v/>
      </c>
      <c r="IY32" s="1" t="str">
        <f t="shared" si="23"/>
        <v/>
      </c>
      <c r="IZ32" s="1" t="str">
        <f t="shared" si="23"/>
        <v/>
      </c>
      <c r="JA32" s="1" t="str">
        <f t="shared" si="23"/>
        <v/>
      </c>
      <c r="JB32" s="1" t="str">
        <f t="shared" si="23"/>
        <v/>
      </c>
      <c r="JC32" s="1" t="str">
        <f t="shared" si="23"/>
        <v/>
      </c>
      <c r="JD32" s="1" t="str">
        <f t="shared" si="23"/>
        <v/>
      </c>
      <c r="JE32" s="1" t="str">
        <f t="shared" si="23"/>
        <v/>
      </c>
      <c r="JF32" s="1" t="str">
        <f t="shared" si="23"/>
        <v/>
      </c>
      <c r="JG32" s="1" t="str">
        <f t="shared" si="23"/>
        <v/>
      </c>
      <c r="JH32" s="1" t="str">
        <f t="shared" si="23"/>
        <v/>
      </c>
      <c r="JI32" s="1" t="str">
        <f t="shared" si="23"/>
        <v/>
      </c>
      <c r="JJ32" s="1" t="str">
        <f t="shared" si="23"/>
        <v/>
      </c>
      <c r="JK32" s="1" t="str">
        <f t="shared" si="23"/>
        <v/>
      </c>
      <c r="JL32" s="1" t="str">
        <f t="shared" si="24"/>
        <v/>
      </c>
      <c r="JM32" s="1" t="str">
        <f t="shared" si="12"/>
        <v/>
      </c>
      <c r="JN32" s="1" t="str">
        <f t="shared" si="12"/>
        <v/>
      </c>
      <c r="JO32" s="1" t="str">
        <f t="shared" si="12"/>
        <v/>
      </c>
    </row>
    <row r="33" spans="1:275" ht="14.5" x14ac:dyDescent="0.35">
      <c r="A33" s="59">
        <f>IF('Data input'!A33&lt;&gt;"",'Data input'!A33,"")</f>
        <v>31</v>
      </c>
      <c r="B33" s="60" t="str">
        <f>IF('Data input'!B33&lt;&gt;"",'Data input'!B33,"")</f>
        <v>New Jersey</v>
      </c>
      <c r="C33" s="19">
        <f>IF('Data input'!C33="","",4*('Data input'!C33-'Data input'!C$108)/('Data input'!C$109-'Data input'!C$108)+1)</f>
        <v>2.4892543981258184</v>
      </c>
      <c r="D33" s="19" t="str">
        <f>IF('Data input'!D33="","",4*('Data input'!D33-'Data input'!D$108)/('Data input'!D$109-'Data input'!D$108)+1)</f>
        <v/>
      </c>
      <c r="E33" s="19" t="str">
        <f>IF('Data input'!E33="","",4*('Data input'!E33-'Data input'!E$108)/('Data input'!E$109-'Data input'!E$108)+1)</f>
        <v/>
      </c>
      <c r="F33" s="19" t="str">
        <f>IF('Data input'!F33="","",4*('Data input'!F33-'Data input'!F$108)/('Data input'!F$109-'Data input'!F$108)+1)</f>
        <v/>
      </c>
      <c r="G33" s="19" t="str">
        <f>IF('Data input'!G33="","",4*('Data input'!G33-'Data input'!G$108)/('Data input'!G$109-'Data input'!G$108)+1)</f>
        <v/>
      </c>
      <c r="H33" s="61">
        <f>IF('Data input'!H33="","",4*('Data input'!H33-'Data input'!H$108)/('Data input'!H$109-'Data input'!H$108)+1)</f>
        <v>1.4327555427622494</v>
      </c>
      <c r="I33" s="19">
        <f>IF('Data input'!I33="","",4*('Data input'!I33-'Data input'!I$108)/('Data input'!I$109-'Data input'!I$108)+1)</f>
        <v>1</v>
      </c>
      <c r="J33" s="19" t="str">
        <f>IF('Data input'!J33="","",4*('Data input'!J33-'Data input'!J$108)/('Data input'!J$109-'Data input'!J$108)+1)</f>
        <v/>
      </c>
      <c r="K33" s="19" t="str">
        <f>IF('Data input'!K33="","",4*('Data input'!K33-'Data input'!K$108)/('Data input'!K$109-'Data input'!K$108)+1)</f>
        <v/>
      </c>
      <c r="L33" s="19" t="str">
        <f>IF('Data input'!L33="","",4*('Data input'!L33-'Data input'!L$108)/('Data input'!L$109-'Data input'!L$108)+1)</f>
        <v/>
      </c>
      <c r="M33" s="19">
        <f>IF('Data input'!M33="","",4*('Data input'!M33-'Data input'!M$108)/('Data input'!M$109-'Data input'!M$108)+1)</f>
        <v>3.1638723629394483</v>
      </c>
      <c r="N33" s="16" t="str">
        <f>IF('Data input'!N33="","",4*('Data input'!N33-'Data input'!N$108)/('Data input'!N$109-'Data input'!N$108)+1)</f>
        <v/>
      </c>
      <c r="O33" s="19" t="str">
        <f>IF('Data input'!O33="","",4*('Data input'!O33-'Data input'!O$108)/('Data input'!O$109-'Data input'!O$108)+1)</f>
        <v/>
      </c>
      <c r="P33" s="19" t="str">
        <f>IF('Data input'!P33="","",4*('Data input'!P33-'Data input'!P$108)/('Data input'!P$109-'Data input'!P$108)+1)</f>
        <v/>
      </c>
      <c r="Q33" s="19" t="str">
        <f>IF('Data input'!Q33="","",4*('Data input'!Q33-'Data input'!Q$108)/('Data input'!Q$109-'Data input'!Q$108)+1)</f>
        <v/>
      </c>
      <c r="R33" s="19" t="str">
        <f>IF('Data input'!R33="","",4*('Data input'!R33-'Data input'!R$108)/('Data input'!R$109-'Data input'!R$108)+1)</f>
        <v/>
      </c>
      <c r="S33" s="16" t="str">
        <f>IF('Data input'!S33="","",4*('Data input'!S33-'Data input'!S$108)/('Data input'!S$109-'Data input'!S$108)+1)</f>
        <v/>
      </c>
      <c r="T33" s="19" t="str">
        <f>IF('Data input'!T33="","",4*('Data input'!T33-'Data input'!T$108)/('Data input'!T$109-'Data input'!T$108)+1)</f>
        <v/>
      </c>
      <c r="U33" s="19" t="str">
        <f>IF('Data input'!U33="","",4*('Data input'!U33-'Data input'!U$108)/('Data input'!U$109-'Data input'!U$108)+1)</f>
        <v/>
      </c>
      <c r="V33" s="19" t="str">
        <f>IF('Data input'!V33="","",4*('Data input'!V33-'Data input'!V$108)/('Data input'!V$109-'Data input'!V$108)+1)</f>
        <v/>
      </c>
      <c r="W33" s="16" t="str">
        <f>IF('Data input'!W33="","",4*('Data input'!W33-'Data input'!W$108)/('Data input'!W$109-'Data input'!W$108)+1)</f>
        <v/>
      </c>
      <c r="X33" s="16" t="str">
        <f>IF('Data input'!X33="","",4*('Data input'!X33-'Data input'!X$108)/('Data input'!X$109-'Data input'!X$108)+1)</f>
        <v/>
      </c>
      <c r="Y33" s="16" t="str">
        <f>IF('Data input'!Y33="","",4*('Data input'!Y33-'Data input'!Y$108)/('Data input'!Y$109-'Data input'!Y$108)+1)</f>
        <v/>
      </c>
      <c r="Z33" s="16" t="str">
        <f>IF('Data input'!Z33="","",4*('Data input'!Z33-'Data input'!Z$108)/('Data input'!Z$109-'Data input'!Z$108)+1)</f>
        <v/>
      </c>
      <c r="AA33" s="62" t="str">
        <f>IF('Data input'!AA33="","",4*('Data input'!AA33-'Data input'!AA$108)/('Data input'!AA$109-'Data input'!AA$108)+1)</f>
        <v/>
      </c>
      <c r="AB33" s="78"/>
      <c r="AC33" s="79">
        <v>0</v>
      </c>
      <c r="AD33" s="80" t="e">
        <f t="shared" si="13"/>
        <v>#DIV/0!</v>
      </c>
      <c r="AE33" s="4"/>
      <c r="AF33" s="59">
        <f t="shared" si="14"/>
        <v>31</v>
      </c>
      <c r="AG33" s="60" t="str">
        <f t="shared" si="14"/>
        <v>New Jersey</v>
      </c>
      <c r="AH33">
        <v>0</v>
      </c>
      <c r="AI33" t="s">
        <v>69</v>
      </c>
      <c r="AJ33" t="s">
        <v>69</v>
      </c>
      <c r="AK33" t="s">
        <v>69</v>
      </c>
      <c r="AL33" t="s">
        <v>69</v>
      </c>
      <c r="AM33">
        <v>9.2997296120798235E-14</v>
      </c>
      <c r="AN33">
        <v>0</v>
      </c>
      <c r="AO33" t="s">
        <v>69</v>
      </c>
      <c r="AP33" t="s">
        <v>69</v>
      </c>
      <c r="AQ33" t="s">
        <v>69</v>
      </c>
      <c r="AR33">
        <v>0.99999999999996758</v>
      </c>
      <c r="AS33" s="71">
        <f t="shared" si="15"/>
        <v>2.4892543981258184</v>
      </c>
      <c r="AT33" s="71" t="str">
        <f t="shared" si="15"/>
        <v/>
      </c>
      <c r="AU33" s="71" t="str">
        <f t="shared" si="15"/>
        <v/>
      </c>
      <c r="AV33" s="71" t="str">
        <f t="shared" si="15"/>
        <v/>
      </c>
      <c r="AW33" s="71" t="str">
        <f t="shared" si="15"/>
        <v/>
      </c>
      <c r="AX33" s="71">
        <f t="shared" si="16"/>
        <v>1.4327555427621563</v>
      </c>
      <c r="AY33" s="71">
        <f t="shared" si="16"/>
        <v>1</v>
      </c>
      <c r="AZ33" s="71" t="str">
        <f t="shared" si="16"/>
        <v/>
      </c>
      <c r="BA33" s="71" t="str">
        <f t="shared" si="16"/>
        <v/>
      </c>
      <c r="BB33" s="71" t="str">
        <f t="shared" si="16"/>
        <v/>
      </c>
      <c r="BC33" s="18">
        <f>IF(C33&lt;&gt;"",(('Data input'!C$109-'Data input'!C$108)*(AS33-1)/4)+'Data input'!C$108,"")</f>
        <v>0.90513461625988778</v>
      </c>
      <c r="BD33" s="18" t="str">
        <f>IF(D33&lt;&gt;"",(('Data input'!D$109-'Data input'!D$108)*(AT33-1)/4)+'Data input'!D$108,"")</f>
        <v/>
      </c>
      <c r="BE33" s="18" t="str">
        <f>IF(E33&lt;&gt;"",(('Data input'!E$109-'Data input'!E$108)*(AU33-1)/4)+'Data input'!E$108,"")</f>
        <v/>
      </c>
      <c r="BF33" s="18" t="str">
        <f>IF(F33&lt;&gt;"",(('Data input'!F$109-'Data input'!F$108)*(AV33-1)/4)+'Data input'!F$108,"")</f>
        <v/>
      </c>
      <c r="BG33" s="18" t="str">
        <f>IF(G33&lt;&gt;"",(('Data input'!G$109-'Data input'!G$108)*(AW33-1)/4)+'Data input'!G$108,"")</f>
        <v/>
      </c>
      <c r="BH33" s="19">
        <f>IF(H33&lt;&gt;"",(('Data input'!H$109-'Data input'!H$108)*(AX33-1)/4)+'Data input'!H$108,"")</f>
        <v>9.7202196822596409</v>
      </c>
      <c r="BI33" s="18">
        <f>IF(I33&lt;&gt;"",(('Data input'!I$109-'Data input'!I$108)*(AY33-1)/4)+'Data input'!I$108,"")</f>
        <v>0</v>
      </c>
      <c r="BJ33" s="19" t="str">
        <f>IF(J33&lt;&gt;"",(('Data input'!J$109-'Data input'!J$108)*(AZ33-1)/4)+'Data input'!J$108,"")</f>
        <v/>
      </c>
      <c r="BK33" s="19" t="str">
        <f>IF(K33&lt;&gt;"",(('Data input'!K$109-'Data input'!K$108)*(BA33-1)/4)+'Data input'!K$108,"")</f>
        <v/>
      </c>
      <c r="BL33" s="19" t="str">
        <f>IF(L33&lt;&gt;"",(('Data input'!L$109-'Data input'!L$108)*(BB33-1)/4)+'Data input'!L$108,"")</f>
        <v/>
      </c>
      <c r="BM33" s="18">
        <f>IF(C33&lt;&gt;"",BC33-'Data input'!C33,"")</f>
        <v>0</v>
      </c>
      <c r="BN33" s="18" t="str">
        <f>IF(D33&lt;&gt;"",BD33-'Data input'!D33,"")</f>
        <v/>
      </c>
      <c r="BO33" s="18" t="str">
        <f>IF(E33&lt;&gt;"",BE33-'Data input'!E33,"")</f>
        <v/>
      </c>
      <c r="BP33" s="18" t="str">
        <f>IF(F33&lt;&gt;"",BF33-'Data input'!F33,"")</f>
        <v/>
      </c>
      <c r="BQ33" s="18" t="str">
        <f>IF(G33&lt;&gt;"",BG33-'Data input'!G33,"")</f>
        <v/>
      </c>
      <c r="BR33" s="19">
        <f>IF(H33&lt;&gt;"",BH33-'Data input'!H33,"")</f>
        <v>-2.0268231537556858E-12</v>
      </c>
      <c r="BS33" s="18">
        <f>IF(I33&lt;&gt;"",BI33-'Data input'!I33,"")</f>
        <v>0</v>
      </c>
      <c r="BT33" s="18" t="str">
        <f>IF(J33&lt;&gt;"",BJ33-'Data input'!J33,"")</f>
        <v/>
      </c>
      <c r="BU33" s="18" t="str">
        <f>IF(K33&lt;&gt;"",BK33-'Data input'!K33,"")</f>
        <v/>
      </c>
      <c r="BV33" s="72" t="str">
        <f>IF(L33&lt;&gt;"",BL33-'Data input'!L33,"")</f>
        <v/>
      </c>
      <c r="BW33" s="121" t="str">
        <f t="shared" si="17"/>
        <v xml:space="preserve">New Jersey; </v>
      </c>
      <c r="BX33" s="1">
        <v>0</v>
      </c>
      <c r="BY33" s="1">
        <v>0</v>
      </c>
      <c r="BZ33" s="1">
        <v>0</v>
      </c>
      <c r="CA33" s="1">
        <v>0</v>
      </c>
      <c r="CB33" s="1">
        <v>0</v>
      </c>
      <c r="CC33" s="1">
        <v>0</v>
      </c>
      <c r="CD33" s="1">
        <v>0</v>
      </c>
      <c r="CE33" s="1">
        <v>0</v>
      </c>
      <c r="CF33" s="1">
        <v>0</v>
      </c>
      <c r="CG33" s="1">
        <v>0</v>
      </c>
      <c r="CH33" s="1">
        <v>0</v>
      </c>
      <c r="CI33" s="1">
        <v>0</v>
      </c>
      <c r="CJ33" s="1">
        <v>0</v>
      </c>
      <c r="CK33" s="1">
        <v>0</v>
      </c>
      <c r="CL33" s="1">
        <v>0</v>
      </c>
      <c r="CM33" s="1">
        <v>0</v>
      </c>
      <c r="CN33" s="1">
        <v>0</v>
      </c>
      <c r="CO33" s="1">
        <v>1.2244366461055744E-13</v>
      </c>
      <c r="CP33" s="1">
        <v>0</v>
      </c>
      <c r="CQ33" s="1">
        <v>0</v>
      </c>
      <c r="CR33" s="1">
        <v>0</v>
      </c>
      <c r="CS33" s="1">
        <v>0</v>
      </c>
      <c r="CT33" s="1">
        <v>0</v>
      </c>
      <c r="CU33" s="1">
        <v>0</v>
      </c>
      <c r="CV33" s="1">
        <v>0</v>
      </c>
      <c r="CW33" s="1">
        <v>0</v>
      </c>
      <c r="CX33" s="1">
        <v>0</v>
      </c>
      <c r="CY33" s="1">
        <v>0</v>
      </c>
      <c r="CZ33" s="1">
        <v>0</v>
      </c>
      <c r="DA33" s="1">
        <v>0</v>
      </c>
      <c r="DB33" s="1">
        <v>0.99999999999954725</v>
      </c>
      <c r="DC33" s="1">
        <v>0</v>
      </c>
      <c r="DD33" s="1">
        <v>3.3051339443091269E-13</v>
      </c>
      <c r="DE33" s="1">
        <v>0</v>
      </c>
      <c r="DF33" s="1">
        <v>0</v>
      </c>
      <c r="DG33" s="1">
        <v>0</v>
      </c>
      <c r="DH33" s="1">
        <v>0</v>
      </c>
      <c r="DI33" s="1">
        <v>0</v>
      </c>
      <c r="DJ33" s="1">
        <v>0</v>
      </c>
      <c r="DK33" s="1">
        <v>0</v>
      </c>
      <c r="DL33" s="1">
        <v>0</v>
      </c>
      <c r="DM33" s="1">
        <v>0</v>
      </c>
      <c r="DN33" s="1">
        <v>0</v>
      </c>
      <c r="DO33" s="1">
        <v>0</v>
      </c>
      <c r="DP33" s="1">
        <v>0</v>
      </c>
      <c r="DQ33" s="1">
        <v>0</v>
      </c>
      <c r="DR33" s="1">
        <v>0</v>
      </c>
      <c r="DS33" s="1">
        <v>0</v>
      </c>
      <c r="DT33" s="1">
        <v>0</v>
      </c>
      <c r="DU33" s="1">
        <v>0</v>
      </c>
      <c r="DV33" s="1">
        <v>0</v>
      </c>
      <c r="DW33" s="1">
        <v>0</v>
      </c>
      <c r="DX33" s="1">
        <v>0</v>
      </c>
      <c r="DY33" s="1">
        <v>0</v>
      </c>
      <c r="DZ33" s="1">
        <v>0</v>
      </c>
      <c r="FT33" s="1" t="str">
        <f t="shared" si="18"/>
        <v/>
      </c>
      <c r="FU33" s="1" t="str">
        <f t="shared" si="18"/>
        <v/>
      </c>
      <c r="FV33" s="1" t="str">
        <f t="shared" si="18"/>
        <v/>
      </c>
      <c r="FW33" s="1" t="str">
        <f t="shared" si="18"/>
        <v/>
      </c>
      <c r="FX33" s="1" t="str">
        <f t="shared" si="18"/>
        <v/>
      </c>
      <c r="FY33" s="1" t="str">
        <f t="shared" si="18"/>
        <v/>
      </c>
      <c r="FZ33" s="1" t="str">
        <f t="shared" si="18"/>
        <v/>
      </c>
      <c r="GA33" s="1" t="str">
        <f t="shared" si="18"/>
        <v/>
      </c>
      <c r="GB33" s="1" t="str">
        <f t="shared" si="18"/>
        <v/>
      </c>
      <c r="GC33" s="1" t="str">
        <f t="shared" si="18"/>
        <v/>
      </c>
      <c r="GD33" s="1" t="str">
        <f t="shared" si="18"/>
        <v/>
      </c>
      <c r="GE33" s="1" t="str">
        <f t="shared" si="18"/>
        <v/>
      </c>
      <c r="GF33" s="1" t="str">
        <f t="shared" si="18"/>
        <v/>
      </c>
      <c r="GG33" s="1" t="str">
        <f t="shared" si="18"/>
        <v/>
      </c>
      <c r="GH33" s="1" t="str">
        <f t="shared" si="18"/>
        <v/>
      </c>
      <c r="GI33" s="1" t="str">
        <f t="shared" si="18"/>
        <v/>
      </c>
      <c r="GJ33" s="1" t="str">
        <f t="shared" si="19"/>
        <v/>
      </c>
      <c r="GK33" s="1" t="str">
        <f t="shared" si="19"/>
        <v/>
      </c>
      <c r="GL33" s="1" t="str">
        <f t="shared" si="19"/>
        <v/>
      </c>
      <c r="GM33" s="1" t="str">
        <f t="shared" si="19"/>
        <v/>
      </c>
      <c r="GN33" s="1" t="str">
        <f t="shared" si="19"/>
        <v/>
      </c>
      <c r="GO33" s="1" t="str">
        <f t="shared" si="19"/>
        <v/>
      </c>
      <c r="GP33" s="1" t="str">
        <f t="shared" si="19"/>
        <v/>
      </c>
      <c r="GQ33" s="1" t="str">
        <f t="shared" si="19"/>
        <v/>
      </c>
      <c r="GR33" s="1" t="str">
        <f t="shared" si="19"/>
        <v/>
      </c>
      <c r="GS33" s="1" t="str">
        <f t="shared" si="19"/>
        <v/>
      </c>
      <c r="GT33" s="1" t="str">
        <f t="shared" si="19"/>
        <v/>
      </c>
      <c r="GU33" s="1" t="str">
        <f t="shared" si="19"/>
        <v/>
      </c>
      <c r="GV33" s="1" t="str">
        <f t="shared" si="19"/>
        <v/>
      </c>
      <c r="GW33" s="1" t="str">
        <f t="shared" si="19"/>
        <v/>
      </c>
      <c r="GX33" s="1" t="str">
        <f t="shared" si="19"/>
        <v xml:space="preserve">New Jersey; </v>
      </c>
      <c r="GY33" s="1" t="str">
        <f t="shared" si="19"/>
        <v/>
      </c>
      <c r="GZ33" s="1" t="str">
        <f t="shared" si="20"/>
        <v/>
      </c>
      <c r="HA33" s="1" t="str">
        <f t="shared" si="20"/>
        <v/>
      </c>
      <c r="HB33" s="1" t="str">
        <f t="shared" si="20"/>
        <v/>
      </c>
      <c r="HC33" s="1" t="str">
        <f t="shared" si="20"/>
        <v/>
      </c>
      <c r="HD33" s="1" t="str">
        <f t="shared" si="20"/>
        <v/>
      </c>
      <c r="HE33" s="1" t="str">
        <f t="shared" si="20"/>
        <v/>
      </c>
      <c r="HF33" s="1" t="str">
        <f t="shared" si="20"/>
        <v/>
      </c>
      <c r="HG33" s="1" t="str">
        <f t="shared" si="20"/>
        <v/>
      </c>
      <c r="HH33" s="1" t="str">
        <f t="shared" si="20"/>
        <v/>
      </c>
      <c r="HI33" s="1" t="str">
        <f t="shared" si="20"/>
        <v/>
      </c>
      <c r="HJ33" s="1" t="str">
        <f t="shared" si="20"/>
        <v/>
      </c>
      <c r="HK33" s="1" t="str">
        <f t="shared" si="20"/>
        <v/>
      </c>
      <c r="HL33" s="1" t="str">
        <f t="shared" si="20"/>
        <v/>
      </c>
      <c r="HM33" s="1" t="str">
        <f t="shared" si="20"/>
        <v/>
      </c>
      <c r="HN33" s="1" t="str">
        <f t="shared" si="20"/>
        <v/>
      </c>
      <c r="HO33" s="1" t="str">
        <f t="shared" si="20"/>
        <v/>
      </c>
      <c r="HP33" s="1" t="str">
        <f t="shared" si="21"/>
        <v/>
      </c>
      <c r="HQ33" s="1" t="str">
        <f t="shared" si="21"/>
        <v/>
      </c>
      <c r="HR33" s="1" t="str">
        <f t="shared" si="21"/>
        <v/>
      </c>
      <c r="HS33" s="1" t="str">
        <f t="shared" si="21"/>
        <v/>
      </c>
      <c r="HT33" s="1" t="str">
        <f t="shared" si="21"/>
        <v/>
      </c>
      <c r="HU33" s="1" t="str">
        <f t="shared" si="21"/>
        <v/>
      </c>
      <c r="HV33" s="1" t="str">
        <f t="shared" si="21"/>
        <v/>
      </c>
      <c r="HW33" s="1" t="str">
        <f t="shared" si="21"/>
        <v/>
      </c>
      <c r="HX33" s="1" t="str">
        <f t="shared" si="21"/>
        <v/>
      </c>
      <c r="HY33" s="1" t="str">
        <f t="shared" si="21"/>
        <v/>
      </c>
      <c r="HZ33" s="1" t="str">
        <f t="shared" si="21"/>
        <v/>
      </c>
      <c r="IA33" s="1" t="str">
        <f t="shared" si="21"/>
        <v/>
      </c>
      <c r="IB33" s="1" t="str">
        <f t="shared" si="21"/>
        <v/>
      </c>
      <c r="IC33" s="1" t="str">
        <f t="shared" si="21"/>
        <v/>
      </c>
      <c r="ID33" s="1" t="str">
        <f t="shared" si="21"/>
        <v/>
      </c>
      <c r="IE33" s="1" t="str">
        <f t="shared" si="21"/>
        <v/>
      </c>
      <c r="IF33" s="1" t="str">
        <f t="shared" si="22"/>
        <v/>
      </c>
      <c r="IG33" s="1" t="str">
        <f t="shared" si="22"/>
        <v/>
      </c>
      <c r="IH33" s="1" t="str">
        <f t="shared" si="22"/>
        <v/>
      </c>
      <c r="II33" s="1" t="str">
        <f t="shared" si="22"/>
        <v/>
      </c>
      <c r="IJ33" s="1" t="str">
        <f t="shared" si="22"/>
        <v/>
      </c>
      <c r="IK33" s="1" t="str">
        <f t="shared" si="22"/>
        <v/>
      </c>
      <c r="IL33" s="1" t="str">
        <f t="shared" si="22"/>
        <v/>
      </c>
      <c r="IM33" s="1" t="str">
        <f t="shared" si="22"/>
        <v/>
      </c>
      <c r="IN33" s="1" t="str">
        <f t="shared" si="22"/>
        <v/>
      </c>
      <c r="IO33" s="1" t="str">
        <f t="shared" si="22"/>
        <v/>
      </c>
      <c r="IP33" s="1" t="str">
        <f t="shared" si="22"/>
        <v/>
      </c>
      <c r="IQ33" s="1" t="str">
        <f t="shared" si="22"/>
        <v/>
      </c>
      <c r="IR33" s="1" t="str">
        <f t="shared" si="22"/>
        <v/>
      </c>
      <c r="IS33" s="1" t="str">
        <f t="shared" si="22"/>
        <v/>
      </c>
      <c r="IT33" s="1" t="str">
        <f t="shared" si="22"/>
        <v/>
      </c>
      <c r="IU33" s="1" t="str">
        <f t="shared" si="22"/>
        <v/>
      </c>
      <c r="IV33" s="1" t="str">
        <f t="shared" si="23"/>
        <v/>
      </c>
      <c r="IW33" s="1" t="str">
        <f t="shared" si="23"/>
        <v/>
      </c>
      <c r="IX33" s="1" t="str">
        <f t="shared" si="23"/>
        <v/>
      </c>
      <c r="IY33" s="1" t="str">
        <f t="shared" si="23"/>
        <v/>
      </c>
      <c r="IZ33" s="1" t="str">
        <f t="shared" si="23"/>
        <v/>
      </c>
      <c r="JA33" s="1" t="str">
        <f t="shared" si="23"/>
        <v/>
      </c>
      <c r="JB33" s="1" t="str">
        <f t="shared" si="23"/>
        <v/>
      </c>
      <c r="JC33" s="1" t="str">
        <f t="shared" si="23"/>
        <v/>
      </c>
      <c r="JD33" s="1" t="str">
        <f t="shared" si="23"/>
        <v/>
      </c>
      <c r="JE33" s="1" t="str">
        <f t="shared" si="23"/>
        <v/>
      </c>
      <c r="JF33" s="1" t="str">
        <f t="shared" si="23"/>
        <v/>
      </c>
      <c r="JG33" s="1" t="str">
        <f t="shared" si="23"/>
        <v/>
      </c>
      <c r="JH33" s="1" t="str">
        <f t="shared" si="23"/>
        <v/>
      </c>
      <c r="JI33" s="1" t="str">
        <f t="shared" si="23"/>
        <v/>
      </c>
      <c r="JJ33" s="1" t="str">
        <f t="shared" si="23"/>
        <v/>
      </c>
      <c r="JK33" s="1" t="str">
        <f t="shared" si="23"/>
        <v/>
      </c>
      <c r="JL33" s="1" t="str">
        <f t="shared" si="24"/>
        <v/>
      </c>
      <c r="JM33" s="1" t="str">
        <f t="shared" si="12"/>
        <v/>
      </c>
      <c r="JN33" s="1" t="str">
        <f t="shared" si="12"/>
        <v/>
      </c>
      <c r="JO33" s="1" t="str">
        <f t="shared" si="12"/>
        <v/>
      </c>
    </row>
    <row r="34" spans="1:275" ht="14.5" x14ac:dyDescent="0.35">
      <c r="A34" s="59">
        <f>IF('Data input'!A34&lt;&gt;"",'Data input'!A34,"")</f>
        <v>32</v>
      </c>
      <c r="B34" s="60" t="str">
        <f>IF('Data input'!B34&lt;&gt;"",'Data input'!B34,"")</f>
        <v>New Mexico</v>
      </c>
      <c r="C34" s="19">
        <f>IF('Data input'!C34="","",4*('Data input'!C34-'Data input'!C$108)/('Data input'!C$109-'Data input'!C$108)+1)</f>
        <v>4.3075435307710732</v>
      </c>
      <c r="D34" s="19" t="str">
        <f>IF('Data input'!D34="","",4*('Data input'!D34-'Data input'!D$108)/('Data input'!D$109-'Data input'!D$108)+1)</f>
        <v/>
      </c>
      <c r="E34" s="19" t="str">
        <f>IF('Data input'!E34="","",4*('Data input'!E34-'Data input'!E$108)/('Data input'!E$109-'Data input'!E$108)+1)</f>
        <v/>
      </c>
      <c r="F34" s="19" t="str">
        <f>IF('Data input'!F34="","",4*('Data input'!F34-'Data input'!F$108)/('Data input'!F$109-'Data input'!F$108)+1)</f>
        <v/>
      </c>
      <c r="G34" s="19" t="str">
        <f>IF('Data input'!G34="","",4*('Data input'!G34-'Data input'!G$108)/('Data input'!G$109-'Data input'!G$108)+1)</f>
        <v/>
      </c>
      <c r="H34" s="61">
        <f>IF('Data input'!H34="","",4*('Data input'!H34-'Data input'!H$108)/('Data input'!H$109-'Data input'!H$108)+1)</f>
        <v>1.3418710275949779</v>
      </c>
      <c r="I34" s="19">
        <f>IF('Data input'!I34="","",4*('Data input'!I34-'Data input'!I$108)/('Data input'!I$109-'Data input'!I$108)+1)</f>
        <v>5</v>
      </c>
      <c r="J34" s="19" t="str">
        <f>IF('Data input'!J34="","",4*('Data input'!J34-'Data input'!J$108)/('Data input'!J$109-'Data input'!J$108)+1)</f>
        <v/>
      </c>
      <c r="K34" s="19" t="str">
        <f>IF('Data input'!K34="","",4*('Data input'!K34-'Data input'!K$108)/('Data input'!K$109-'Data input'!K$108)+1)</f>
        <v/>
      </c>
      <c r="L34" s="19" t="str">
        <f>IF('Data input'!L34="","",4*('Data input'!L34-'Data input'!L$108)/('Data input'!L$109-'Data input'!L$108)+1)</f>
        <v/>
      </c>
      <c r="M34" s="19">
        <f>IF('Data input'!M34="","",4*('Data input'!M34-'Data input'!M$108)/('Data input'!M$109-'Data input'!M$108)+1)</f>
        <v>3.40605830206969</v>
      </c>
      <c r="N34" s="16" t="str">
        <f>IF('Data input'!N34="","",4*('Data input'!N34-'Data input'!N$108)/('Data input'!N$109-'Data input'!N$108)+1)</f>
        <v/>
      </c>
      <c r="O34" s="19" t="str">
        <f>IF('Data input'!O34="","",4*('Data input'!O34-'Data input'!O$108)/('Data input'!O$109-'Data input'!O$108)+1)</f>
        <v/>
      </c>
      <c r="P34" s="19" t="str">
        <f>IF('Data input'!P34="","",4*('Data input'!P34-'Data input'!P$108)/('Data input'!P$109-'Data input'!P$108)+1)</f>
        <v/>
      </c>
      <c r="Q34" s="19" t="str">
        <f>IF('Data input'!Q34="","",4*('Data input'!Q34-'Data input'!Q$108)/('Data input'!Q$109-'Data input'!Q$108)+1)</f>
        <v/>
      </c>
      <c r="R34" s="19" t="str">
        <f>IF('Data input'!R34="","",4*('Data input'!R34-'Data input'!R$108)/('Data input'!R$109-'Data input'!R$108)+1)</f>
        <v/>
      </c>
      <c r="S34" s="16" t="str">
        <f>IF('Data input'!S34="","",4*('Data input'!S34-'Data input'!S$108)/('Data input'!S$109-'Data input'!S$108)+1)</f>
        <v/>
      </c>
      <c r="T34" s="19" t="str">
        <f>IF('Data input'!T34="","",4*('Data input'!T34-'Data input'!T$108)/('Data input'!T$109-'Data input'!T$108)+1)</f>
        <v/>
      </c>
      <c r="U34" s="19" t="str">
        <f>IF('Data input'!U34="","",4*('Data input'!U34-'Data input'!U$108)/('Data input'!U$109-'Data input'!U$108)+1)</f>
        <v/>
      </c>
      <c r="V34" s="19" t="str">
        <f>IF('Data input'!V34="","",4*('Data input'!V34-'Data input'!V$108)/('Data input'!V$109-'Data input'!V$108)+1)</f>
        <v/>
      </c>
      <c r="W34" s="16" t="str">
        <f>IF('Data input'!W34="","",4*('Data input'!W34-'Data input'!W$108)/('Data input'!W$109-'Data input'!W$108)+1)</f>
        <v/>
      </c>
      <c r="X34" s="16" t="str">
        <f>IF('Data input'!X34="","",4*('Data input'!X34-'Data input'!X$108)/('Data input'!X$109-'Data input'!X$108)+1)</f>
        <v/>
      </c>
      <c r="Y34" s="16" t="str">
        <f>IF('Data input'!Y34="","",4*('Data input'!Y34-'Data input'!Y$108)/('Data input'!Y$109-'Data input'!Y$108)+1)</f>
        <v/>
      </c>
      <c r="Z34" s="16" t="str">
        <f>IF('Data input'!Z34="","",4*('Data input'!Z34-'Data input'!Z$108)/('Data input'!Z$109-'Data input'!Z$108)+1)</f>
        <v/>
      </c>
      <c r="AA34" s="62" t="str">
        <f>IF('Data input'!AA34="","",4*('Data input'!AA34-'Data input'!AA$108)/('Data input'!AA$109-'Data input'!AA$108)+1)</f>
        <v/>
      </c>
      <c r="AB34" s="78"/>
      <c r="AC34" s="79">
        <v>0</v>
      </c>
      <c r="AD34" s="80" t="e">
        <f t="shared" si="13"/>
        <v>#DIV/0!</v>
      </c>
      <c r="AE34" s="4"/>
      <c r="AF34" s="59">
        <f t="shared" si="14"/>
        <v>32</v>
      </c>
      <c r="AG34" s="60" t="str">
        <f t="shared" si="14"/>
        <v>New Mexico</v>
      </c>
      <c r="AH34">
        <v>0.77478793658466216</v>
      </c>
      <c r="AI34" t="s">
        <v>69</v>
      </c>
      <c r="AJ34" t="s">
        <v>69</v>
      </c>
      <c r="AK34" t="s">
        <v>69</v>
      </c>
      <c r="AL34" t="s">
        <v>69</v>
      </c>
      <c r="AM34">
        <v>0.10263690821777635</v>
      </c>
      <c r="AN34">
        <v>3.7864012731675896</v>
      </c>
      <c r="AO34" t="s">
        <v>69</v>
      </c>
      <c r="AP34" t="s">
        <v>69</v>
      </c>
      <c r="AQ34" t="s">
        <v>69</v>
      </c>
      <c r="AR34">
        <v>0.49275768263701725</v>
      </c>
      <c r="AS34" s="71">
        <f t="shared" si="15"/>
        <v>5.0823314673557354</v>
      </c>
      <c r="AT34" s="71" t="str">
        <f t="shared" si="15"/>
        <v/>
      </c>
      <c r="AU34" s="71" t="str">
        <f t="shared" si="15"/>
        <v/>
      </c>
      <c r="AV34" s="71" t="str">
        <f t="shared" si="15"/>
        <v/>
      </c>
      <c r="AW34" s="71" t="str">
        <f t="shared" si="15"/>
        <v/>
      </c>
      <c r="AX34" s="71">
        <f t="shared" si="16"/>
        <v>1.2392341193772016</v>
      </c>
      <c r="AY34" s="71">
        <f t="shared" si="16"/>
        <v>1.2135987268324104</v>
      </c>
      <c r="AZ34" s="71" t="str">
        <f t="shared" si="16"/>
        <v/>
      </c>
      <c r="BA34" s="71" t="str">
        <f t="shared" si="16"/>
        <v/>
      </c>
      <c r="BB34" s="71" t="str">
        <f t="shared" si="16"/>
        <v/>
      </c>
      <c r="BC34" s="18">
        <f>IF(C34&lt;&gt;"",(('Data input'!C$109-'Data input'!C$108)*(AS34-1)/4)+'Data input'!C$108,"")</f>
        <v>0.9992819034894681</v>
      </c>
      <c r="BD34" s="18" t="str">
        <f>IF(D34&lt;&gt;"",(('Data input'!D$109-'Data input'!D$108)*(AT34-1)/4)+'Data input'!D$108,"")</f>
        <v/>
      </c>
      <c r="BE34" s="18" t="str">
        <f>IF(E34&lt;&gt;"",(('Data input'!E$109-'Data input'!E$108)*(AU34-1)/4)+'Data input'!E$108,"")</f>
        <v/>
      </c>
      <c r="BF34" s="18" t="str">
        <f>IF(F34&lt;&gt;"",(('Data input'!F$109-'Data input'!F$108)*(AV34-1)/4)+'Data input'!F$108,"")</f>
        <v/>
      </c>
      <c r="BG34" s="18" t="str">
        <f>IF(G34&lt;&gt;"",(('Data input'!G$109-'Data input'!G$108)*(AW34-1)/4)+'Data input'!G$108,"")</f>
        <v/>
      </c>
      <c r="BH34" s="19">
        <f>IF(H34&lt;&gt;"",(('Data input'!H$109-'Data input'!H$108)*(AX34-1)/4)+'Data input'!H$108,"")</f>
        <v>5.5057428639672095</v>
      </c>
      <c r="BI34" s="18">
        <f>IF(I34&lt;&gt;"",(('Data input'!I$109-'Data input'!I$108)*(AY34-1)/4)+'Data input'!I$108,"")</f>
        <v>9.3787938188627969E-3</v>
      </c>
      <c r="BJ34" s="19" t="str">
        <f>IF(J34&lt;&gt;"",(('Data input'!J$109-'Data input'!J$108)*(AZ34-1)/4)+'Data input'!J$108,"")</f>
        <v/>
      </c>
      <c r="BK34" s="19" t="str">
        <f>IF(K34&lt;&gt;"",(('Data input'!K$109-'Data input'!K$108)*(BA34-1)/4)+'Data input'!K$108,"")</f>
        <v/>
      </c>
      <c r="BL34" s="19" t="str">
        <f>IF(L34&lt;&gt;"",(('Data input'!L$109-'Data input'!L$108)*(BB34-1)/4)+'Data input'!L$108,"")</f>
        <v/>
      </c>
      <c r="BM34" s="18">
        <f>IF(C34&lt;&gt;"",BC34-'Data input'!C34,"")</f>
        <v>2.8130356507033105E-2</v>
      </c>
      <c r="BN34" s="18" t="str">
        <f>IF(D34&lt;&gt;"",BD34-'Data input'!D34,"")</f>
        <v/>
      </c>
      <c r="BO34" s="18" t="str">
        <f>IF(E34&lt;&gt;"",BE34-'Data input'!E34,"")</f>
        <v/>
      </c>
      <c r="BP34" s="18" t="str">
        <f>IF(F34&lt;&gt;"",BF34-'Data input'!F34,"")</f>
        <v/>
      </c>
      <c r="BQ34" s="18" t="str">
        <f>IF(G34&lt;&gt;"",BG34-'Data input'!G34,"")</f>
        <v/>
      </c>
      <c r="BR34" s="19">
        <f>IF(H34&lt;&gt;"",BH34-'Data input'!H34,"")</f>
        <v>-2.2352092229322409</v>
      </c>
      <c r="BS34" s="18">
        <f>IF(I34&lt;&gt;"",BI34-'Data input'!I34,"")</f>
        <v>-0.16625509610074141</v>
      </c>
      <c r="BT34" s="18" t="str">
        <f>IF(J34&lt;&gt;"",BJ34-'Data input'!J34,"")</f>
        <v/>
      </c>
      <c r="BU34" s="18" t="str">
        <f>IF(K34&lt;&gt;"",BK34-'Data input'!K34,"")</f>
        <v/>
      </c>
      <c r="BV34" s="72" t="str">
        <f>IF(L34&lt;&gt;"",BL34-'Data input'!L34,"")</f>
        <v/>
      </c>
      <c r="BW34" s="121" t="str">
        <f t="shared" si="17"/>
        <v xml:space="preserve">New York; Texas; </v>
      </c>
      <c r="BX34" s="1">
        <v>0</v>
      </c>
      <c r="BY34" s="1">
        <v>0</v>
      </c>
      <c r="BZ34" s="1">
        <v>0</v>
      </c>
      <c r="CA34" s="1">
        <v>0</v>
      </c>
      <c r="CB34" s="1">
        <v>0</v>
      </c>
      <c r="CC34" s="1">
        <v>0</v>
      </c>
      <c r="CD34" s="1">
        <v>0</v>
      </c>
      <c r="CE34" s="1">
        <v>0</v>
      </c>
      <c r="CF34" s="1">
        <v>0</v>
      </c>
      <c r="CG34" s="1">
        <v>0</v>
      </c>
      <c r="CH34" s="1">
        <v>0</v>
      </c>
      <c r="CI34" s="1">
        <v>0</v>
      </c>
      <c r="CJ34" s="1">
        <v>0</v>
      </c>
      <c r="CK34" s="1">
        <v>0</v>
      </c>
      <c r="CL34" s="1">
        <v>0</v>
      </c>
      <c r="CM34" s="1">
        <v>0</v>
      </c>
      <c r="CN34" s="1">
        <v>0</v>
      </c>
      <c r="CO34" s="1">
        <v>0</v>
      </c>
      <c r="CP34" s="1">
        <v>0</v>
      </c>
      <c r="CQ34" s="1">
        <v>0</v>
      </c>
      <c r="CR34" s="1">
        <v>0</v>
      </c>
      <c r="CS34" s="1">
        <v>0</v>
      </c>
      <c r="CT34" s="1">
        <v>0</v>
      </c>
      <c r="CU34" s="1">
        <v>0</v>
      </c>
      <c r="CV34" s="1">
        <v>0</v>
      </c>
      <c r="CW34" s="1">
        <v>0</v>
      </c>
      <c r="CX34" s="1">
        <v>0</v>
      </c>
      <c r="CY34" s="1">
        <v>0</v>
      </c>
      <c r="CZ34" s="1">
        <v>0</v>
      </c>
      <c r="DA34" s="1">
        <v>0</v>
      </c>
      <c r="DB34" s="1">
        <v>0</v>
      </c>
      <c r="DC34" s="1">
        <v>0</v>
      </c>
      <c r="DD34" s="1">
        <v>0.20774894894179016</v>
      </c>
      <c r="DE34" s="1">
        <v>0</v>
      </c>
      <c r="DF34" s="1">
        <v>0</v>
      </c>
      <c r="DG34" s="1">
        <v>0</v>
      </c>
      <c r="DH34" s="1">
        <v>0</v>
      </c>
      <c r="DI34" s="1">
        <v>0</v>
      </c>
      <c r="DJ34" s="1">
        <v>0</v>
      </c>
      <c r="DK34" s="1">
        <v>0</v>
      </c>
      <c r="DL34" s="1">
        <v>0</v>
      </c>
      <c r="DM34" s="1">
        <v>0</v>
      </c>
      <c r="DN34" s="1">
        <v>0.97562360726510033</v>
      </c>
      <c r="DO34" s="1">
        <v>0</v>
      </c>
      <c r="DP34" s="1">
        <v>0</v>
      </c>
      <c r="DQ34" s="1">
        <v>0</v>
      </c>
      <c r="DR34" s="1">
        <v>0</v>
      </c>
      <c r="DS34" s="1">
        <v>0</v>
      </c>
      <c r="DT34" s="1">
        <v>0</v>
      </c>
      <c r="DU34" s="1">
        <v>0</v>
      </c>
      <c r="DV34" s="1">
        <v>0</v>
      </c>
      <c r="DW34" s="1">
        <v>0</v>
      </c>
      <c r="DX34" s="1">
        <v>0</v>
      </c>
      <c r="DY34" s="1">
        <v>0</v>
      </c>
      <c r="DZ34" s="1">
        <v>0</v>
      </c>
      <c r="FT34" s="1" t="str">
        <f t="shared" ref="FT34:GI49" si="25">IF(BX34&gt;0.0001,CONCATENATE(BX$2,"; "),"")</f>
        <v/>
      </c>
      <c r="FU34" s="1" t="str">
        <f t="shared" si="25"/>
        <v/>
      </c>
      <c r="FV34" s="1" t="str">
        <f t="shared" si="25"/>
        <v/>
      </c>
      <c r="FW34" s="1" t="str">
        <f t="shared" si="25"/>
        <v/>
      </c>
      <c r="FX34" s="1" t="str">
        <f t="shared" si="25"/>
        <v/>
      </c>
      <c r="FY34" s="1" t="str">
        <f t="shared" si="25"/>
        <v/>
      </c>
      <c r="FZ34" s="1" t="str">
        <f t="shared" si="25"/>
        <v/>
      </c>
      <c r="GA34" s="1" t="str">
        <f t="shared" si="25"/>
        <v/>
      </c>
      <c r="GB34" s="1" t="str">
        <f t="shared" si="25"/>
        <v/>
      </c>
      <c r="GC34" s="1" t="str">
        <f t="shared" si="25"/>
        <v/>
      </c>
      <c r="GD34" s="1" t="str">
        <f t="shared" si="25"/>
        <v/>
      </c>
      <c r="GE34" s="1" t="str">
        <f t="shared" si="25"/>
        <v/>
      </c>
      <c r="GF34" s="1" t="str">
        <f t="shared" si="25"/>
        <v/>
      </c>
      <c r="GG34" s="1" t="str">
        <f t="shared" si="25"/>
        <v/>
      </c>
      <c r="GH34" s="1" t="str">
        <f t="shared" si="25"/>
        <v/>
      </c>
      <c r="GI34" s="1" t="str">
        <f t="shared" si="25"/>
        <v/>
      </c>
      <c r="GJ34" s="1" t="str">
        <f t="shared" si="19"/>
        <v/>
      </c>
      <c r="GK34" s="1" t="str">
        <f t="shared" si="19"/>
        <v/>
      </c>
      <c r="GL34" s="1" t="str">
        <f t="shared" si="19"/>
        <v/>
      </c>
      <c r="GM34" s="1" t="str">
        <f t="shared" si="19"/>
        <v/>
      </c>
      <c r="GN34" s="1" t="str">
        <f t="shared" si="19"/>
        <v/>
      </c>
      <c r="GO34" s="1" t="str">
        <f t="shared" si="19"/>
        <v/>
      </c>
      <c r="GP34" s="1" t="str">
        <f t="shared" si="19"/>
        <v/>
      </c>
      <c r="GQ34" s="1" t="str">
        <f t="shared" si="19"/>
        <v/>
      </c>
      <c r="GR34" s="1" t="str">
        <f t="shared" si="19"/>
        <v/>
      </c>
      <c r="GS34" s="1" t="str">
        <f t="shared" si="19"/>
        <v/>
      </c>
      <c r="GT34" s="1" t="str">
        <f t="shared" si="19"/>
        <v/>
      </c>
      <c r="GU34" s="1" t="str">
        <f t="shared" si="19"/>
        <v/>
      </c>
      <c r="GV34" s="1" t="str">
        <f t="shared" si="19"/>
        <v/>
      </c>
      <c r="GW34" s="1" t="str">
        <f t="shared" si="19"/>
        <v/>
      </c>
      <c r="GX34" s="1" t="str">
        <f t="shared" ref="GX34:HM50" si="26">IF(DB34&gt;0.0001,CONCATENATE(DB$2,"; "),"")</f>
        <v/>
      </c>
      <c r="GY34" s="1" t="str">
        <f t="shared" si="26"/>
        <v/>
      </c>
      <c r="GZ34" s="1" t="str">
        <f t="shared" si="20"/>
        <v xml:space="preserve">New York; </v>
      </c>
      <c r="HA34" s="1" t="str">
        <f t="shared" si="20"/>
        <v/>
      </c>
      <c r="HB34" s="1" t="str">
        <f t="shared" si="20"/>
        <v/>
      </c>
      <c r="HC34" s="1" t="str">
        <f t="shared" si="20"/>
        <v/>
      </c>
      <c r="HD34" s="1" t="str">
        <f t="shared" si="20"/>
        <v/>
      </c>
      <c r="HE34" s="1" t="str">
        <f t="shared" si="20"/>
        <v/>
      </c>
      <c r="HF34" s="1" t="str">
        <f t="shared" si="20"/>
        <v/>
      </c>
      <c r="HG34" s="1" t="str">
        <f t="shared" si="20"/>
        <v/>
      </c>
      <c r="HH34" s="1" t="str">
        <f t="shared" si="20"/>
        <v/>
      </c>
      <c r="HI34" s="1" t="str">
        <f t="shared" si="20"/>
        <v/>
      </c>
      <c r="HJ34" s="1" t="str">
        <f t="shared" si="20"/>
        <v xml:space="preserve">Texas; </v>
      </c>
      <c r="HK34" s="1" t="str">
        <f t="shared" si="20"/>
        <v/>
      </c>
      <c r="HL34" s="1" t="str">
        <f t="shared" si="20"/>
        <v/>
      </c>
      <c r="HM34" s="1" t="str">
        <f t="shared" si="20"/>
        <v/>
      </c>
      <c r="HN34" s="1" t="str">
        <f t="shared" ref="HN34:IC50" si="27">IF(DR34&gt;0.0001,CONCATENATE(DR$2,"; "),"")</f>
        <v/>
      </c>
      <c r="HO34" s="1" t="str">
        <f t="shared" si="27"/>
        <v/>
      </c>
      <c r="HP34" s="1" t="str">
        <f t="shared" si="21"/>
        <v/>
      </c>
      <c r="HQ34" s="1" t="str">
        <f t="shared" si="21"/>
        <v/>
      </c>
      <c r="HR34" s="1" t="str">
        <f t="shared" si="21"/>
        <v/>
      </c>
      <c r="HS34" s="1" t="str">
        <f t="shared" si="21"/>
        <v/>
      </c>
      <c r="HT34" s="1" t="str">
        <f t="shared" si="21"/>
        <v/>
      </c>
      <c r="HU34" s="1" t="str">
        <f t="shared" si="21"/>
        <v/>
      </c>
      <c r="HV34" s="1" t="str">
        <f t="shared" si="21"/>
        <v/>
      </c>
      <c r="HW34" s="1" t="str">
        <f t="shared" si="21"/>
        <v/>
      </c>
      <c r="HX34" s="1" t="str">
        <f t="shared" si="21"/>
        <v/>
      </c>
      <c r="HY34" s="1" t="str">
        <f t="shared" si="21"/>
        <v/>
      </c>
      <c r="HZ34" s="1" t="str">
        <f t="shared" si="21"/>
        <v/>
      </c>
      <c r="IA34" s="1" t="str">
        <f t="shared" si="21"/>
        <v/>
      </c>
      <c r="IB34" s="1" t="str">
        <f t="shared" si="21"/>
        <v/>
      </c>
      <c r="IC34" s="1" t="str">
        <f t="shared" si="21"/>
        <v/>
      </c>
      <c r="ID34" s="1" t="str">
        <f t="shared" ref="ID34:IS50" si="28">IF(EH34&gt;0.0001,CONCATENATE(EH$2,"; "),"")</f>
        <v/>
      </c>
      <c r="IE34" s="1" t="str">
        <f t="shared" si="28"/>
        <v/>
      </c>
      <c r="IF34" s="1" t="str">
        <f t="shared" si="22"/>
        <v/>
      </c>
      <c r="IG34" s="1" t="str">
        <f t="shared" si="22"/>
        <v/>
      </c>
      <c r="IH34" s="1" t="str">
        <f t="shared" si="22"/>
        <v/>
      </c>
      <c r="II34" s="1" t="str">
        <f t="shared" si="22"/>
        <v/>
      </c>
      <c r="IJ34" s="1" t="str">
        <f t="shared" si="22"/>
        <v/>
      </c>
      <c r="IK34" s="1" t="str">
        <f t="shared" si="22"/>
        <v/>
      </c>
      <c r="IL34" s="1" t="str">
        <f t="shared" si="22"/>
        <v/>
      </c>
      <c r="IM34" s="1" t="str">
        <f t="shared" si="22"/>
        <v/>
      </c>
      <c r="IN34" s="1" t="str">
        <f t="shared" si="22"/>
        <v/>
      </c>
      <c r="IO34" s="1" t="str">
        <f t="shared" si="22"/>
        <v/>
      </c>
      <c r="IP34" s="1" t="str">
        <f t="shared" si="22"/>
        <v/>
      </c>
      <c r="IQ34" s="1" t="str">
        <f t="shared" si="22"/>
        <v/>
      </c>
      <c r="IR34" s="1" t="str">
        <f t="shared" si="22"/>
        <v/>
      </c>
      <c r="IS34" s="1" t="str">
        <f t="shared" si="22"/>
        <v/>
      </c>
      <c r="IT34" s="1" t="str">
        <f t="shared" ref="IT34:JI50" si="29">IF(EX34&gt;0.0001,CONCATENATE(EX$2,"; "),"")</f>
        <v/>
      </c>
      <c r="IU34" s="1" t="str">
        <f t="shared" si="29"/>
        <v/>
      </c>
      <c r="IV34" s="1" t="str">
        <f t="shared" si="23"/>
        <v/>
      </c>
      <c r="IW34" s="1" t="str">
        <f t="shared" si="23"/>
        <v/>
      </c>
      <c r="IX34" s="1" t="str">
        <f t="shared" si="23"/>
        <v/>
      </c>
      <c r="IY34" s="1" t="str">
        <f t="shared" si="23"/>
        <v/>
      </c>
      <c r="IZ34" s="1" t="str">
        <f t="shared" si="23"/>
        <v/>
      </c>
      <c r="JA34" s="1" t="str">
        <f t="shared" si="23"/>
        <v/>
      </c>
      <c r="JB34" s="1" t="str">
        <f t="shared" si="23"/>
        <v/>
      </c>
      <c r="JC34" s="1" t="str">
        <f t="shared" si="23"/>
        <v/>
      </c>
      <c r="JD34" s="1" t="str">
        <f t="shared" si="23"/>
        <v/>
      </c>
      <c r="JE34" s="1" t="str">
        <f t="shared" si="23"/>
        <v/>
      </c>
      <c r="JF34" s="1" t="str">
        <f t="shared" si="23"/>
        <v/>
      </c>
      <c r="JG34" s="1" t="str">
        <f t="shared" si="23"/>
        <v/>
      </c>
      <c r="JH34" s="1" t="str">
        <f t="shared" si="23"/>
        <v/>
      </c>
      <c r="JI34" s="1" t="str">
        <f t="shared" si="23"/>
        <v/>
      </c>
      <c r="JJ34" s="1" t="str">
        <f t="shared" ref="JJ34:JO97" si="30">IF(FN34&gt;0.0001,CONCATENATE(FN$2,"; "),"")</f>
        <v/>
      </c>
      <c r="JK34" s="1" t="str">
        <f t="shared" si="30"/>
        <v/>
      </c>
      <c r="JL34" s="1" t="str">
        <f t="shared" si="24"/>
        <v/>
      </c>
      <c r="JM34" s="1" t="str">
        <f t="shared" si="12"/>
        <v/>
      </c>
      <c r="JN34" s="1" t="str">
        <f t="shared" si="12"/>
        <v/>
      </c>
      <c r="JO34" s="1" t="str">
        <f t="shared" si="12"/>
        <v/>
      </c>
    </row>
    <row r="35" spans="1:275" ht="14.5" x14ac:dyDescent="0.35">
      <c r="A35" s="59">
        <f>IF('Data input'!A35&lt;&gt;"",'Data input'!A35,"")</f>
        <v>33</v>
      </c>
      <c r="B35" s="60" t="str">
        <f>IF('Data input'!B35&lt;&gt;"",'Data input'!B35,"")</f>
        <v>New York</v>
      </c>
      <c r="C35" s="19">
        <f>IF('Data input'!C35="","",4*('Data input'!C35-'Data input'!C$108)/('Data input'!C$109-'Data input'!C$108)+1)</f>
        <v>1.9143066585032089</v>
      </c>
      <c r="D35" s="19" t="str">
        <f>IF('Data input'!D35="","",4*('Data input'!D35-'Data input'!D$108)/('Data input'!D$109-'Data input'!D$108)+1)</f>
        <v/>
      </c>
      <c r="E35" s="19" t="str">
        <f>IF('Data input'!E35="","",4*('Data input'!E35-'Data input'!E$108)/('Data input'!E$109-'Data input'!E$108)+1)</f>
        <v/>
      </c>
      <c r="F35" s="19" t="str">
        <f>IF('Data input'!F35="","",4*('Data input'!F35-'Data input'!F$108)/('Data input'!F$109-'Data input'!F$108)+1)</f>
        <v/>
      </c>
      <c r="G35" s="19" t="str">
        <f>IF('Data input'!G35="","",4*('Data input'!G35-'Data input'!G$108)/('Data input'!G$109-'Data input'!G$108)+1)</f>
        <v/>
      </c>
      <c r="H35" s="61">
        <f>IF('Data input'!H35="","",4*('Data input'!H35-'Data input'!H$108)/('Data input'!H$109-'Data input'!H$108)+1)</f>
        <v>1.2688897510906809</v>
      </c>
      <c r="I35" s="19">
        <f>IF('Data input'!I35="","",4*('Data input'!I35-'Data input'!I$108)/('Data input'!I$109-'Data input'!I$108)+1)</f>
        <v>1.022647820094793</v>
      </c>
      <c r="J35" s="19" t="str">
        <f>IF('Data input'!J35="","",4*('Data input'!J35-'Data input'!J$108)/('Data input'!J$109-'Data input'!J$108)+1)</f>
        <v/>
      </c>
      <c r="K35" s="19" t="str">
        <f>IF('Data input'!K35="","",4*('Data input'!K35-'Data input'!K$108)/('Data input'!K$109-'Data input'!K$108)+1)</f>
        <v/>
      </c>
      <c r="L35" s="19" t="str">
        <f>IF('Data input'!L35="","",4*('Data input'!L35-'Data input'!L$108)/('Data input'!L$109-'Data input'!L$108)+1)</f>
        <v/>
      </c>
      <c r="M35" s="19">
        <f>IF('Data input'!M35="","",4*('Data input'!M35-'Data input'!M$108)/('Data input'!M$109-'Data input'!M$108)+1)</f>
        <v>2.205711072139469</v>
      </c>
      <c r="N35" s="16" t="str">
        <f>IF('Data input'!N35="","",4*('Data input'!N35-'Data input'!N$108)/('Data input'!N$109-'Data input'!N$108)+1)</f>
        <v/>
      </c>
      <c r="O35" s="19" t="str">
        <f>IF('Data input'!O35="","",4*('Data input'!O35-'Data input'!O$108)/('Data input'!O$109-'Data input'!O$108)+1)</f>
        <v/>
      </c>
      <c r="P35" s="19" t="str">
        <f>IF('Data input'!P35="","",4*('Data input'!P35-'Data input'!P$108)/('Data input'!P$109-'Data input'!P$108)+1)</f>
        <v/>
      </c>
      <c r="Q35" s="19" t="str">
        <f>IF('Data input'!Q35="","",4*('Data input'!Q35-'Data input'!Q$108)/('Data input'!Q$109-'Data input'!Q$108)+1)</f>
        <v/>
      </c>
      <c r="R35" s="19" t="str">
        <f>IF('Data input'!R35="","",4*('Data input'!R35-'Data input'!R$108)/('Data input'!R$109-'Data input'!R$108)+1)</f>
        <v/>
      </c>
      <c r="S35" s="16" t="str">
        <f>IF('Data input'!S35="","",4*('Data input'!S35-'Data input'!S$108)/('Data input'!S$109-'Data input'!S$108)+1)</f>
        <v/>
      </c>
      <c r="T35" s="19" t="str">
        <f>IF('Data input'!T35="","",4*('Data input'!T35-'Data input'!T$108)/('Data input'!T$109-'Data input'!T$108)+1)</f>
        <v/>
      </c>
      <c r="U35" s="19" t="str">
        <f>IF('Data input'!U35="","",4*('Data input'!U35-'Data input'!U$108)/('Data input'!U$109-'Data input'!U$108)+1)</f>
        <v/>
      </c>
      <c r="V35" s="19" t="str">
        <f>IF('Data input'!V35="","",4*('Data input'!V35-'Data input'!V$108)/('Data input'!V$109-'Data input'!V$108)+1)</f>
        <v/>
      </c>
      <c r="W35" s="16" t="str">
        <f>IF('Data input'!W35="","",4*('Data input'!W35-'Data input'!W$108)/('Data input'!W$109-'Data input'!W$108)+1)</f>
        <v/>
      </c>
      <c r="X35" s="16" t="str">
        <f>IF('Data input'!X35="","",4*('Data input'!X35-'Data input'!X$108)/('Data input'!X$109-'Data input'!X$108)+1)</f>
        <v/>
      </c>
      <c r="Y35" s="16" t="str">
        <f>IF('Data input'!Y35="","",4*('Data input'!Y35-'Data input'!Y$108)/('Data input'!Y$109-'Data input'!Y$108)+1)</f>
        <v/>
      </c>
      <c r="Z35" s="16" t="str">
        <f>IF('Data input'!Z35="","",4*('Data input'!Z35-'Data input'!Z$108)/('Data input'!Z$109-'Data input'!Z$108)+1)</f>
        <v/>
      </c>
      <c r="AA35" s="62" t="str">
        <f>IF('Data input'!AA35="","",4*('Data input'!AA35-'Data input'!AA$108)/('Data input'!AA$109-'Data input'!AA$108)+1)</f>
        <v/>
      </c>
      <c r="AB35" s="78"/>
      <c r="AC35" s="79">
        <v>0</v>
      </c>
      <c r="AD35" s="80" t="e">
        <f t="shared" si="13"/>
        <v>#DIV/0!</v>
      </c>
      <c r="AE35" s="4"/>
      <c r="AF35" s="59">
        <f t="shared" si="14"/>
        <v>33</v>
      </c>
      <c r="AG35" s="60" t="str">
        <f t="shared" si="14"/>
        <v>New York</v>
      </c>
      <c r="AH35">
        <v>0</v>
      </c>
      <c r="AI35" t="s">
        <v>69</v>
      </c>
      <c r="AJ35" t="s">
        <v>69</v>
      </c>
      <c r="AK35" t="s">
        <v>69</v>
      </c>
      <c r="AL35" t="s">
        <v>69</v>
      </c>
      <c r="AM35">
        <v>0</v>
      </c>
      <c r="AN35">
        <v>0</v>
      </c>
      <c r="AO35" t="s">
        <v>69</v>
      </c>
      <c r="AP35" t="s">
        <v>69</v>
      </c>
      <c r="AQ35" t="s">
        <v>69</v>
      </c>
      <c r="AR35">
        <v>1</v>
      </c>
      <c r="AS35" s="71">
        <f t="shared" si="15"/>
        <v>1.9143066585032089</v>
      </c>
      <c r="AT35" s="71" t="str">
        <f t="shared" si="15"/>
        <v/>
      </c>
      <c r="AU35" s="71" t="str">
        <f t="shared" si="15"/>
        <v/>
      </c>
      <c r="AV35" s="71" t="str">
        <f t="shared" si="15"/>
        <v/>
      </c>
      <c r="AW35" s="71" t="str">
        <f t="shared" si="15"/>
        <v/>
      </c>
      <c r="AX35" s="71">
        <f t="shared" si="16"/>
        <v>1.2688897510906809</v>
      </c>
      <c r="AY35" s="71">
        <f t="shared" si="16"/>
        <v>1.022647820094793</v>
      </c>
      <c r="AZ35" s="71" t="str">
        <f t="shared" si="16"/>
        <v/>
      </c>
      <c r="BA35" s="71" t="str">
        <f t="shared" si="16"/>
        <v/>
      </c>
      <c r="BB35" s="71" t="str">
        <f t="shared" si="16"/>
        <v/>
      </c>
      <c r="BC35" s="18">
        <f>IF(C35&lt;&gt;"",(('Data input'!C$109-'Data input'!C$108)*(AS35-1)/4)+'Data input'!C$108,"")</f>
        <v>0.88425989154515994</v>
      </c>
      <c r="BD35" s="18" t="str">
        <f>IF(D35&lt;&gt;"",(('Data input'!D$109-'Data input'!D$108)*(AT35-1)/4)+'Data input'!D$108,"")</f>
        <v/>
      </c>
      <c r="BE35" s="18" t="str">
        <f>IF(E35&lt;&gt;"",(('Data input'!E$109-'Data input'!E$108)*(AU35-1)/4)+'Data input'!E$108,"")</f>
        <v/>
      </c>
      <c r="BF35" s="18" t="str">
        <f>IF(F35&lt;&gt;"",(('Data input'!F$109-'Data input'!F$108)*(AV35-1)/4)+'Data input'!F$108,"")</f>
        <v/>
      </c>
      <c r="BG35" s="18" t="str">
        <f>IF(G35&lt;&gt;"",(('Data input'!G$109-'Data input'!G$108)*(AW35-1)/4)+'Data input'!G$108,"")</f>
        <v/>
      </c>
      <c r="BH35" s="19">
        <f>IF(H35&lt;&gt;"",(('Data input'!H$109-'Data input'!H$108)*(AX35-1)/4)+'Data input'!H$108,"")</f>
        <v>6.151578194248235</v>
      </c>
      <c r="BI35" s="18">
        <f>IF(I35&lt;&gt;"",(('Data input'!I$109-'Data input'!I$108)*(AY35-1)/4)+'Data input'!I$108,"")</f>
        <v>9.9443118536197061E-4</v>
      </c>
      <c r="BJ35" s="19" t="str">
        <f>IF(J35&lt;&gt;"",(('Data input'!J$109-'Data input'!J$108)*(AZ35-1)/4)+'Data input'!J$108,"")</f>
        <v/>
      </c>
      <c r="BK35" s="19" t="str">
        <f>IF(K35&lt;&gt;"",(('Data input'!K$109-'Data input'!K$108)*(BA35-1)/4)+'Data input'!K$108,"")</f>
        <v/>
      </c>
      <c r="BL35" s="19" t="str">
        <f>IF(L35&lt;&gt;"",(('Data input'!L$109-'Data input'!L$108)*(BB35-1)/4)+'Data input'!L$108,"")</f>
        <v/>
      </c>
      <c r="BM35" s="18">
        <f>IF(C35&lt;&gt;"",BC35-'Data input'!C35,"")</f>
        <v>0</v>
      </c>
      <c r="BN35" s="18" t="str">
        <f>IF(D35&lt;&gt;"",BD35-'Data input'!D35,"")</f>
        <v/>
      </c>
      <c r="BO35" s="18" t="str">
        <f>IF(E35&lt;&gt;"",BE35-'Data input'!E35,"")</f>
        <v/>
      </c>
      <c r="BP35" s="18" t="str">
        <f>IF(F35&lt;&gt;"",BF35-'Data input'!F35,"")</f>
        <v/>
      </c>
      <c r="BQ35" s="18" t="str">
        <f>IF(G35&lt;&gt;"",BG35-'Data input'!G35,"")</f>
        <v/>
      </c>
      <c r="BR35" s="19">
        <f>IF(H35&lt;&gt;"",BH35-'Data input'!H35,"")</f>
        <v>0</v>
      </c>
      <c r="BS35" s="18">
        <f>IF(I35&lt;&gt;"",BI35-'Data input'!I35,"")</f>
        <v>-2.3852447794681098E-18</v>
      </c>
      <c r="BT35" s="18" t="str">
        <f>IF(J35&lt;&gt;"",BJ35-'Data input'!J35,"")</f>
        <v/>
      </c>
      <c r="BU35" s="18" t="str">
        <f>IF(K35&lt;&gt;"",BK35-'Data input'!K35,"")</f>
        <v/>
      </c>
      <c r="BV35" s="72" t="str">
        <f>IF(L35&lt;&gt;"",BL35-'Data input'!L35,"")</f>
        <v/>
      </c>
      <c r="BW35" s="121" t="str">
        <f t="shared" si="17"/>
        <v xml:space="preserve">New York; </v>
      </c>
      <c r="BX35" s="1">
        <v>0</v>
      </c>
      <c r="BY35" s="1">
        <v>0</v>
      </c>
      <c r="BZ35" s="1">
        <v>0</v>
      </c>
      <c r="CA35" s="1">
        <v>0</v>
      </c>
      <c r="CB35" s="1">
        <v>0</v>
      </c>
      <c r="CC35" s="1">
        <v>0</v>
      </c>
      <c r="CD35" s="1">
        <v>0</v>
      </c>
      <c r="CE35" s="1">
        <v>0</v>
      </c>
      <c r="CF35" s="1">
        <v>0</v>
      </c>
      <c r="CG35" s="1">
        <v>0</v>
      </c>
      <c r="CH35" s="1">
        <v>0</v>
      </c>
      <c r="CI35" s="1">
        <v>0</v>
      </c>
      <c r="CJ35" s="1">
        <v>0</v>
      </c>
      <c r="CK35" s="1">
        <v>0</v>
      </c>
      <c r="CL35" s="1">
        <v>0</v>
      </c>
      <c r="CM35" s="1">
        <v>0</v>
      </c>
      <c r="CN35" s="1">
        <v>0</v>
      </c>
      <c r="CO35" s="1">
        <v>0</v>
      </c>
      <c r="CP35" s="1">
        <v>0</v>
      </c>
      <c r="CQ35" s="1">
        <v>0</v>
      </c>
      <c r="CR35" s="1">
        <v>0</v>
      </c>
      <c r="CS35" s="1">
        <v>0</v>
      </c>
      <c r="CT35" s="1">
        <v>0</v>
      </c>
      <c r="CU35" s="1">
        <v>0</v>
      </c>
      <c r="CV35" s="1">
        <v>0</v>
      </c>
      <c r="CW35" s="1">
        <v>0</v>
      </c>
      <c r="CX35" s="1">
        <v>0</v>
      </c>
      <c r="CY35" s="1">
        <v>0</v>
      </c>
      <c r="CZ35" s="1">
        <v>0</v>
      </c>
      <c r="DA35" s="1">
        <v>0</v>
      </c>
      <c r="DB35" s="1">
        <v>0</v>
      </c>
      <c r="DC35" s="1">
        <v>0</v>
      </c>
      <c r="DD35" s="1">
        <v>1</v>
      </c>
      <c r="DE35" s="1">
        <v>0</v>
      </c>
      <c r="DF35" s="1">
        <v>0</v>
      </c>
      <c r="DG35" s="1">
        <v>0</v>
      </c>
      <c r="DH35" s="1">
        <v>0</v>
      </c>
      <c r="DI35" s="1">
        <v>0</v>
      </c>
      <c r="DJ35" s="1">
        <v>0</v>
      </c>
      <c r="DK35" s="1">
        <v>0</v>
      </c>
      <c r="DL35" s="1">
        <v>0</v>
      </c>
      <c r="DM35" s="1">
        <v>0</v>
      </c>
      <c r="DN35" s="1">
        <v>0</v>
      </c>
      <c r="DO35" s="1">
        <v>0</v>
      </c>
      <c r="DP35" s="1">
        <v>0</v>
      </c>
      <c r="DQ35" s="1">
        <v>0</v>
      </c>
      <c r="DR35" s="1">
        <v>0</v>
      </c>
      <c r="DS35" s="1">
        <v>0</v>
      </c>
      <c r="DT35" s="1">
        <v>0</v>
      </c>
      <c r="DU35" s="1">
        <v>0</v>
      </c>
      <c r="DV35" s="1">
        <v>0</v>
      </c>
      <c r="DW35" s="1">
        <v>0</v>
      </c>
      <c r="DX35" s="1">
        <v>0</v>
      </c>
      <c r="DY35" s="1">
        <v>0</v>
      </c>
      <c r="DZ35" s="1">
        <v>0</v>
      </c>
      <c r="FT35" s="1" t="str">
        <f t="shared" si="25"/>
        <v/>
      </c>
      <c r="FU35" s="1" t="str">
        <f t="shared" si="25"/>
        <v/>
      </c>
      <c r="FV35" s="1" t="str">
        <f t="shared" si="25"/>
        <v/>
      </c>
      <c r="FW35" s="1" t="str">
        <f t="shared" si="25"/>
        <v/>
      </c>
      <c r="FX35" s="1" t="str">
        <f t="shared" si="25"/>
        <v/>
      </c>
      <c r="FY35" s="1" t="str">
        <f t="shared" si="25"/>
        <v/>
      </c>
      <c r="FZ35" s="1" t="str">
        <f t="shared" si="25"/>
        <v/>
      </c>
      <c r="GA35" s="1" t="str">
        <f t="shared" si="25"/>
        <v/>
      </c>
      <c r="GB35" s="1" t="str">
        <f t="shared" si="25"/>
        <v/>
      </c>
      <c r="GC35" s="1" t="str">
        <f t="shared" si="25"/>
        <v/>
      </c>
      <c r="GD35" s="1" t="str">
        <f t="shared" si="25"/>
        <v/>
      </c>
      <c r="GE35" s="1" t="str">
        <f t="shared" si="25"/>
        <v/>
      </c>
      <c r="GF35" s="1" t="str">
        <f t="shared" si="25"/>
        <v/>
      </c>
      <c r="GG35" s="1" t="str">
        <f t="shared" si="25"/>
        <v/>
      </c>
      <c r="GH35" s="1" t="str">
        <f t="shared" si="25"/>
        <v/>
      </c>
      <c r="GI35" s="1" t="str">
        <f t="shared" si="25"/>
        <v/>
      </c>
      <c r="GJ35" s="1" t="str">
        <f t="shared" ref="GJ35:GY52" si="31">IF(CN35&gt;0.0001,CONCATENATE(CN$2,"; "),"")</f>
        <v/>
      </c>
      <c r="GK35" s="1" t="str">
        <f t="shared" si="31"/>
        <v/>
      </c>
      <c r="GL35" s="1" t="str">
        <f t="shared" si="31"/>
        <v/>
      </c>
      <c r="GM35" s="1" t="str">
        <f t="shared" si="31"/>
        <v/>
      </c>
      <c r="GN35" s="1" t="str">
        <f t="shared" si="31"/>
        <v/>
      </c>
      <c r="GO35" s="1" t="str">
        <f t="shared" si="31"/>
        <v/>
      </c>
      <c r="GP35" s="1" t="str">
        <f t="shared" si="31"/>
        <v/>
      </c>
      <c r="GQ35" s="1" t="str">
        <f t="shared" si="31"/>
        <v/>
      </c>
      <c r="GR35" s="1" t="str">
        <f t="shared" si="31"/>
        <v/>
      </c>
      <c r="GS35" s="1" t="str">
        <f t="shared" si="31"/>
        <v/>
      </c>
      <c r="GT35" s="1" t="str">
        <f t="shared" si="31"/>
        <v/>
      </c>
      <c r="GU35" s="1" t="str">
        <f t="shared" si="31"/>
        <v/>
      </c>
      <c r="GV35" s="1" t="str">
        <f t="shared" si="31"/>
        <v/>
      </c>
      <c r="GW35" s="1" t="str">
        <f t="shared" si="31"/>
        <v/>
      </c>
      <c r="GX35" s="1" t="str">
        <f t="shared" si="26"/>
        <v/>
      </c>
      <c r="GY35" s="1" t="str">
        <f t="shared" si="26"/>
        <v/>
      </c>
      <c r="GZ35" s="1" t="str">
        <f t="shared" si="26"/>
        <v xml:space="preserve">New York; </v>
      </c>
      <c r="HA35" s="1" t="str">
        <f t="shared" si="26"/>
        <v/>
      </c>
      <c r="HB35" s="1" t="str">
        <f t="shared" si="26"/>
        <v/>
      </c>
      <c r="HC35" s="1" t="str">
        <f t="shared" si="26"/>
        <v/>
      </c>
      <c r="HD35" s="1" t="str">
        <f t="shared" si="26"/>
        <v/>
      </c>
      <c r="HE35" s="1" t="str">
        <f t="shared" si="26"/>
        <v/>
      </c>
      <c r="HF35" s="1" t="str">
        <f t="shared" si="26"/>
        <v/>
      </c>
      <c r="HG35" s="1" t="str">
        <f t="shared" si="26"/>
        <v/>
      </c>
      <c r="HH35" s="1" t="str">
        <f t="shared" si="26"/>
        <v/>
      </c>
      <c r="HI35" s="1" t="str">
        <f t="shared" si="26"/>
        <v/>
      </c>
      <c r="HJ35" s="1" t="str">
        <f t="shared" si="26"/>
        <v/>
      </c>
      <c r="HK35" s="1" t="str">
        <f t="shared" si="26"/>
        <v/>
      </c>
      <c r="HL35" s="1" t="str">
        <f t="shared" si="26"/>
        <v/>
      </c>
      <c r="HM35" s="1" t="str">
        <f t="shared" si="26"/>
        <v/>
      </c>
      <c r="HN35" s="1" t="str">
        <f t="shared" si="27"/>
        <v/>
      </c>
      <c r="HO35" s="1" t="str">
        <f t="shared" si="27"/>
        <v/>
      </c>
      <c r="HP35" s="1" t="str">
        <f t="shared" si="27"/>
        <v/>
      </c>
      <c r="HQ35" s="1" t="str">
        <f t="shared" si="27"/>
        <v/>
      </c>
      <c r="HR35" s="1" t="str">
        <f t="shared" si="27"/>
        <v/>
      </c>
      <c r="HS35" s="1" t="str">
        <f t="shared" si="27"/>
        <v/>
      </c>
      <c r="HT35" s="1" t="str">
        <f t="shared" si="27"/>
        <v/>
      </c>
      <c r="HU35" s="1" t="str">
        <f t="shared" si="27"/>
        <v/>
      </c>
      <c r="HV35" s="1" t="str">
        <f t="shared" si="27"/>
        <v/>
      </c>
      <c r="HW35" s="1" t="str">
        <f t="shared" si="27"/>
        <v/>
      </c>
      <c r="HX35" s="1" t="str">
        <f t="shared" si="27"/>
        <v/>
      </c>
      <c r="HY35" s="1" t="str">
        <f t="shared" si="27"/>
        <v/>
      </c>
      <c r="HZ35" s="1" t="str">
        <f t="shared" si="27"/>
        <v/>
      </c>
      <c r="IA35" s="1" t="str">
        <f t="shared" si="27"/>
        <v/>
      </c>
      <c r="IB35" s="1" t="str">
        <f t="shared" si="27"/>
        <v/>
      </c>
      <c r="IC35" s="1" t="str">
        <f t="shared" si="27"/>
        <v/>
      </c>
      <c r="ID35" s="1" t="str">
        <f t="shared" si="28"/>
        <v/>
      </c>
      <c r="IE35" s="1" t="str">
        <f t="shared" si="28"/>
        <v/>
      </c>
      <c r="IF35" s="1" t="str">
        <f t="shared" si="28"/>
        <v/>
      </c>
      <c r="IG35" s="1" t="str">
        <f t="shared" si="28"/>
        <v/>
      </c>
      <c r="IH35" s="1" t="str">
        <f t="shared" si="28"/>
        <v/>
      </c>
      <c r="II35" s="1" t="str">
        <f t="shared" si="28"/>
        <v/>
      </c>
      <c r="IJ35" s="1" t="str">
        <f t="shared" si="28"/>
        <v/>
      </c>
      <c r="IK35" s="1" t="str">
        <f t="shared" si="28"/>
        <v/>
      </c>
      <c r="IL35" s="1" t="str">
        <f t="shared" si="28"/>
        <v/>
      </c>
      <c r="IM35" s="1" t="str">
        <f t="shared" si="28"/>
        <v/>
      </c>
      <c r="IN35" s="1" t="str">
        <f t="shared" si="28"/>
        <v/>
      </c>
      <c r="IO35" s="1" t="str">
        <f t="shared" si="28"/>
        <v/>
      </c>
      <c r="IP35" s="1" t="str">
        <f t="shared" si="28"/>
        <v/>
      </c>
      <c r="IQ35" s="1" t="str">
        <f t="shared" si="28"/>
        <v/>
      </c>
      <c r="IR35" s="1" t="str">
        <f t="shared" si="28"/>
        <v/>
      </c>
      <c r="IS35" s="1" t="str">
        <f t="shared" si="28"/>
        <v/>
      </c>
      <c r="IT35" s="1" t="str">
        <f t="shared" si="29"/>
        <v/>
      </c>
      <c r="IU35" s="1" t="str">
        <f t="shared" si="29"/>
        <v/>
      </c>
      <c r="IV35" s="1" t="str">
        <f t="shared" si="29"/>
        <v/>
      </c>
      <c r="IW35" s="1" t="str">
        <f t="shared" si="29"/>
        <v/>
      </c>
      <c r="IX35" s="1" t="str">
        <f t="shared" si="29"/>
        <v/>
      </c>
      <c r="IY35" s="1" t="str">
        <f t="shared" si="29"/>
        <v/>
      </c>
      <c r="IZ35" s="1" t="str">
        <f t="shared" si="29"/>
        <v/>
      </c>
      <c r="JA35" s="1" t="str">
        <f t="shared" si="29"/>
        <v/>
      </c>
      <c r="JB35" s="1" t="str">
        <f t="shared" si="29"/>
        <v/>
      </c>
      <c r="JC35" s="1" t="str">
        <f t="shared" si="29"/>
        <v/>
      </c>
      <c r="JD35" s="1" t="str">
        <f t="shared" si="29"/>
        <v/>
      </c>
      <c r="JE35" s="1" t="str">
        <f t="shared" si="29"/>
        <v/>
      </c>
      <c r="JF35" s="1" t="str">
        <f t="shared" si="29"/>
        <v/>
      </c>
      <c r="JG35" s="1" t="str">
        <f t="shared" si="29"/>
        <v/>
      </c>
      <c r="JH35" s="1" t="str">
        <f t="shared" si="29"/>
        <v/>
      </c>
      <c r="JI35" s="1" t="str">
        <f t="shared" si="29"/>
        <v/>
      </c>
      <c r="JJ35" s="1" t="str">
        <f t="shared" si="30"/>
        <v/>
      </c>
      <c r="JK35" s="1" t="str">
        <f t="shared" si="30"/>
        <v/>
      </c>
      <c r="JL35" s="1" t="str">
        <f t="shared" si="24"/>
        <v/>
      </c>
      <c r="JM35" s="1" t="str">
        <f t="shared" si="12"/>
        <v/>
      </c>
      <c r="JN35" s="1" t="str">
        <f t="shared" si="12"/>
        <v/>
      </c>
      <c r="JO35" s="1" t="str">
        <f t="shared" si="12"/>
        <v/>
      </c>
    </row>
    <row r="36" spans="1:275" ht="14.5" x14ac:dyDescent="0.35">
      <c r="A36" s="59">
        <f>IF('Data input'!A36&lt;&gt;"",'Data input'!A36,"")</f>
        <v>34</v>
      </c>
      <c r="B36" s="60" t="str">
        <f>IF('Data input'!B36&lt;&gt;"",'Data input'!B36,"")</f>
        <v>North Carolina</v>
      </c>
      <c r="C36" s="19">
        <f>IF('Data input'!C36="","",4*('Data input'!C36-'Data input'!C$108)/('Data input'!C$109-'Data input'!C$108)+1)</f>
        <v>4.2953236956916605</v>
      </c>
      <c r="D36" s="19" t="str">
        <f>IF('Data input'!D36="","",4*('Data input'!D36-'Data input'!D$108)/('Data input'!D$109-'Data input'!D$108)+1)</f>
        <v/>
      </c>
      <c r="E36" s="19" t="str">
        <f>IF('Data input'!E36="","",4*('Data input'!E36-'Data input'!E$108)/('Data input'!E$109-'Data input'!E$108)+1)</f>
        <v/>
      </c>
      <c r="F36" s="19" t="str">
        <f>IF('Data input'!F36="","",4*('Data input'!F36-'Data input'!F$108)/('Data input'!F$109-'Data input'!F$108)+1)</f>
        <v/>
      </c>
      <c r="G36" s="19" t="str">
        <f>IF('Data input'!G36="","",4*('Data input'!G36-'Data input'!G$108)/('Data input'!G$109-'Data input'!G$108)+1)</f>
        <v/>
      </c>
      <c r="H36" s="61">
        <f>IF('Data input'!H36="","",4*('Data input'!H36-'Data input'!H$108)/('Data input'!H$109-'Data input'!H$108)+1)</f>
        <v>1.3447876352997368</v>
      </c>
      <c r="I36" s="19">
        <f>IF('Data input'!I36="","",4*('Data input'!I36-'Data input'!I$108)/('Data input'!I$109-'Data input'!I$108)+1)</f>
        <v>3.0554955903646177</v>
      </c>
      <c r="J36" s="19" t="str">
        <f>IF('Data input'!J36="","",4*('Data input'!J36-'Data input'!J$108)/('Data input'!J$109-'Data input'!J$108)+1)</f>
        <v/>
      </c>
      <c r="K36" s="19" t="str">
        <f>IF('Data input'!K36="","",4*('Data input'!K36-'Data input'!K$108)/('Data input'!K$109-'Data input'!K$108)+1)</f>
        <v/>
      </c>
      <c r="L36" s="19" t="str">
        <f>IF('Data input'!L36="","",4*('Data input'!L36-'Data input'!L$108)/('Data input'!L$109-'Data input'!L$108)+1)</f>
        <v/>
      </c>
      <c r="M36" s="19">
        <f>IF('Data input'!M36="","",4*('Data input'!M36-'Data input'!M$108)/('Data input'!M$109-'Data input'!M$108)+1)</f>
        <v>2.0802467422913846</v>
      </c>
      <c r="N36" s="16" t="str">
        <f>IF('Data input'!N36="","",4*('Data input'!N36-'Data input'!N$108)/('Data input'!N$109-'Data input'!N$108)+1)</f>
        <v/>
      </c>
      <c r="O36" s="19" t="str">
        <f>IF('Data input'!O36="","",4*('Data input'!O36-'Data input'!O$108)/('Data input'!O$109-'Data input'!O$108)+1)</f>
        <v/>
      </c>
      <c r="P36" s="19" t="str">
        <f>IF('Data input'!P36="","",4*('Data input'!P36-'Data input'!P$108)/('Data input'!P$109-'Data input'!P$108)+1)</f>
        <v/>
      </c>
      <c r="Q36" s="19" t="str">
        <f>IF('Data input'!Q36="","",4*('Data input'!Q36-'Data input'!Q$108)/('Data input'!Q$109-'Data input'!Q$108)+1)</f>
        <v/>
      </c>
      <c r="R36" s="19" t="str">
        <f>IF('Data input'!R36="","",4*('Data input'!R36-'Data input'!R$108)/('Data input'!R$109-'Data input'!R$108)+1)</f>
        <v/>
      </c>
      <c r="S36" s="16" t="str">
        <f>IF('Data input'!S36="","",4*('Data input'!S36-'Data input'!S$108)/('Data input'!S$109-'Data input'!S$108)+1)</f>
        <v/>
      </c>
      <c r="T36" s="19" t="str">
        <f>IF('Data input'!T36="","",4*('Data input'!T36-'Data input'!T$108)/('Data input'!T$109-'Data input'!T$108)+1)</f>
        <v/>
      </c>
      <c r="U36" s="19" t="str">
        <f>IF('Data input'!U36="","",4*('Data input'!U36-'Data input'!U$108)/('Data input'!U$109-'Data input'!U$108)+1)</f>
        <v/>
      </c>
      <c r="V36" s="19" t="str">
        <f>IF('Data input'!V36="","",4*('Data input'!V36-'Data input'!V$108)/('Data input'!V$109-'Data input'!V$108)+1)</f>
        <v/>
      </c>
      <c r="W36" s="16" t="str">
        <f>IF('Data input'!W36="","",4*('Data input'!W36-'Data input'!W$108)/('Data input'!W$109-'Data input'!W$108)+1)</f>
        <v/>
      </c>
      <c r="X36" s="16" t="str">
        <f>IF('Data input'!X36="","",4*('Data input'!X36-'Data input'!X$108)/('Data input'!X$109-'Data input'!X$108)+1)</f>
        <v/>
      </c>
      <c r="Y36" s="16" t="str">
        <f>IF('Data input'!Y36="","",4*('Data input'!Y36-'Data input'!Y$108)/('Data input'!Y$109-'Data input'!Y$108)+1)</f>
        <v/>
      </c>
      <c r="Z36" s="16" t="str">
        <f>IF('Data input'!Z36="","",4*('Data input'!Z36-'Data input'!Z$108)/('Data input'!Z$109-'Data input'!Z$108)+1)</f>
        <v/>
      </c>
      <c r="AA36" s="62" t="str">
        <f>IF('Data input'!AA36="","",4*('Data input'!AA36-'Data input'!AA$108)/('Data input'!AA$109-'Data input'!AA$108)+1)</f>
        <v/>
      </c>
      <c r="AB36" s="78"/>
      <c r="AC36" s="79">
        <v>0</v>
      </c>
      <c r="AD36" s="80" t="e">
        <f t="shared" si="13"/>
        <v>#DIV/0!</v>
      </c>
      <c r="AE36" s="4"/>
      <c r="AF36" s="59">
        <f t="shared" si="14"/>
        <v>34</v>
      </c>
      <c r="AG36" s="60" t="str">
        <f t="shared" si="14"/>
        <v>North Carolina</v>
      </c>
      <c r="AH36">
        <v>0</v>
      </c>
      <c r="AI36" t="s">
        <v>69</v>
      </c>
      <c r="AJ36" t="s">
        <v>69</v>
      </c>
      <c r="AK36" t="s">
        <v>69</v>
      </c>
      <c r="AL36" t="s">
        <v>69</v>
      </c>
      <c r="AM36">
        <v>0.29645032783522951</v>
      </c>
      <c r="AN36">
        <v>2.0299679738792245</v>
      </c>
      <c r="AO36" t="s">
        <v>69</v>
      </c>
      <c r="AP36" t="s">
        <v>69</v>
      </c>
      <c r="AQ36" t="s">
        <v>69</v>
      </c>
      <c r="AR36">
        <v>0.557594917367364</v>
      </c>
      <c r="AS36" s="71">
        <f t="shared" si="15"/>
        <v>4.2953236956916605</v>
      </c>
      <c r="AT36" s="71" t="str">
        <f t="shared" si="15"/>
        <v/>
      </c>
      <c r="AU36" s="71" t="str">
        <f t="shared" si="15"/>
        <v/>
      </c>
      <c r="AV36" s="71" t="str">
        <f t="shared" si="15"/>
        <v/>
      </c>
      <c r="AW36" s="71" t="str">
        <f t="shared" si="15"/>
        <v/>
      </c>
      <c r="AX36" s="71">
        <f t="shared" si="16"/>
        <v>1.0483373074645073</v>
      </c>
      <c r="AY36" s="71">
        <f t="shared" si="16"/>
        <v>1.0255276164853933</v>
      </c>
      <c r="AZ36" s="71" t="str">
        <f t="shared" si="16"/>
        <v/>
      </c>
      <c r="BA36" s="71" t="str">
        <f t="shared" si="16"/>
        <v/>
      </c>
      <c r="BB36" s="71" t="str">
        <f t="shared" si="16"/>
        <v/>
      </c>
      <c r="BC36" s="18">
        <f>IF(C36&lt;&gt;"",(('Data input'!C$109-'Data input'!C$108)*(AS36-1)/4)+'Data input'!C$108,"")</f>
        <v>0.97070787936577552</v>
      </c>
      <c r="BD36" s="18" t="str">
        <f>IF(D36&lt;&gt;"",(('Data input'!D$109-'Data input'!D$108)*(AT36-1)/4)+'Data input'!D$108,"")</f>
        <v/>
      </c>
      <c r="BE36" s="18" t="str">
        <f>IF(E36&lt;&gt;"",(('Data input'!E$109-'Data input'!E$108)*(AU36-1)/4)+'Data input'!E$108,"")</f>
        <v/>
      </c>
      <c r="BF36" s="18" t="str">
        <f>IF(F36&lt;&gt;"",(('Data input'!F$109-'Data input'!F$108)*(AV36-1)/4)+'Data input'!F$108,"")</f>
        <v/>
      </c>
      <c r="BG36" s="18" t="str">
        <f>IF(G36&lt;&gt;"",(('Data input'!G$109-'Data input'!G$108)*(AW36-1)/4)+'Data input'!G$108,"")</f>
        <v/>
      </c>
      <c r="BH36" s="19">
        <f>IF(H36&lt;&gt;"",(('Data input'!H$109-'Data input'!H$108)*(AX36-1)/4)+'Data input'!H$108,"")</f>
        <v>1.3484243902827648</v>
      </c>
      <c r="BI36" s="18">
        <f>IF(I36&lt;&gt;"",(('Data input'!I$109-'Data input'!I$108)*(AY36-1)/4)+'Data input'!I$108,"")</f>
        <v>1.1208786459263583E-3</v>
      </c>
      <c r="BJ36" s="19" t="str">
        <f>IF(J36&lt;&gt;"",(('Data input'!J$109-'Data input'!J$108)*(AZ36-1)/4)+'Data input'!J$108,"")</f>
        <v/>
      </c>
      <c r="BK36" s="19" t="str">
        <f>IF(K36&lt;&gt;"",(('Data input'!K$109-'Data input'!K$108)*(BA36-1)/4)+'Data input'!K$108,"")</f>
        <v/>
      </c>
      <c r="BL36" s="19" t="str">
        <f>IF(L36&lt;&gt;"",(('Data input'!L$109-'Data input'!L$108)*(BB36-1)/4)+'Data input'!L$108,"")</f>
        <v/>
      </c>
      <c r="BM36" s="18">
        <f>IF(C36&lt;&gt;"",BC36-'Data input'!C36,"")</f>
        <v>0</v>
      </c>
      <c r="BN36" s="18" t="str">
        <f>IF(D36&lt;&gt;"",BD36-'Data input'!D36,"")</f>
        <v/>
      </c>
      <c r="BO36" s="18" t="str">
        <f>IF(E36&lt;&gt;"",BE36-'Data input'!E36,"")</f>
        <v/>
      </c>
      <c r="BP36" s="18" t="str">
        <f>IF(F36&lt;&gt;"",BF36-'Data input'!F36,"")</f>
        <v/>
      </c>
      <c r="BQ36" s="18" t="str">
        <f>IF(G36&lt;&gt;"",BG36-'Data input'!G36,"")</f>
        <v/>
      </c>
      <c r="BR36" s="19">
        <f>IF(H36&lt;&gt;"",BH36-'Data input'!H36,"")</f>
        <v>-6.4560450857757568</v>
      </c>
      <c r="BS36" s="18">
        <f>IF(I36&lt;&gt;"",BI36-'Data input'!I36,"")</f>
        <v>-8.9132792916156417E-2</v>
      </c>
      <c r="BT36" s="18" t="str">
        <f>IF(J36&lt;&gt;"",BJ36-'Data input'!J36,"")</f>
        <v/>
      </c>
      <c r="BU36" s="18" t="str">
        <f>IF(K36&lt;&gt;"",BK36-'Data input'!K36,"")</f>
        <v/>
      </c>
      <c r="BV36" s="72" t="str">
        <f>IF(L36&lt;&gt;"",BL36-'Data input'!L36,"")</f>
        <v/>
      </c>
      <c r="BW36" s="121" t="str">
        <f t="shared" si="17"/>
        <v xml:space="preserve">New York; Texas; </v>
      </c>
      <c r="BX36" s="1">
        <v>0</v>
      </c>
      <c r="BY36" s="1">
        <v>0</v>
      </c>
      <c r="BZ36" s="1">
        <v>0</v>
      </c>
      <c r="CA36" s="1">
        <v>0</v>
      </c>
      <c r="CB36" s="1">
        <v>0</v>
      </c>
      <c r="CC36" s="1">
        <v>0</v>
      </c>
      <c r="CD36" s="1">
        <v>0</v>
      </c>
      <c r="CE36" s="1">
        <v>0</v>
      </c>
      <c r="CF36" s="1">
        <v>0</v>
      </c>
      <c r="CG36" s="1">
        <v>0</v>
      </c>
      <c r="CH36" s="1">
        <v>0</v>
      </c>
      <c r="CI36" s="1">
        <v>0</v>
      </c>
      <c r="CJ36" s="1">
        <v>0</v>
      </c>
      <c r="CK36" s="1">
        <v>0</v>
      </c>
      <c r="CL36" s="1">
        <v>0</v>
      </c>
      <c r="CM36" s="1">
        <v>0</v>
      </c>
      <c r="CN36" s="1">
        <v>0</v>
      </c>
      <c r="CO36" s="1">
        <v>0</v>
      </c>
      <c r="CP36" s="1">
        <v>0</v>
      </c>
      <c r="CQ36" s="1">
        <v>0</v>
      </c>
      <c r="CR36" s="1">
        <v>0</v>
      </c>
      <c r="CS36" s="1">
        <v>0</v>
      </c>
      <c r="CT36" s="1">
        <v>0</v>
      </c>
      <c r="CU36" s="1">
        <v>0</v>
      </c>
      <c r="CV36" s="1">
        <v>0</v>
      </c>
      <c r="CW36" s="1">
        <v>0</v>
      </c>
      <c r="CX36" s="1">
        <v>0</v>
      </c>
      <c r="CY36" s="1">
        <v>0</v>
      </c>
      <c r="CZ36" s="1">
        <v>0</v>
      </c>
      <c r="DA36" s="1">
        <v>0</v>
      </c>
      <c r="DB36" s="1">
        <v>0</v>
      </c>
      <c r="DC36" s="1">
        <v>0</v>
      </c>
      <c r="DD36" s="1">
        <v>0.1797662695154465</v>
      </c>
      <c r="DE36" s="1">
        <v>0</v>
      </c>
      <c r="DF36" s="1">
        <v>0</v>
      </c>
      <c r="DG36" s="1">
        <v>0</v>
      </c>
      <c r="DH36" s="1">
        <v>0</v>
      </c>
      <c r="DI36" s="1">
        <v>0</v>
      </c>
      <c r="DJ36" s="1">
        <v>0</v>
      </c>
      <c r="DK36" s="1">
        <v>0</v>
      </c>
      <c r="DL36" s="1">
        <v>0</v>
      </c>
      <c r="DM36" s="1">
        <v>0</v>
      </c>
      <c r="DN36" s="1">
        <v>0.82023373048455017</v>
      </c>
      <c r="DO36" s="1">
        <v>0</v>
      </c>
      <c r="DP36" s="1">
        <v>0</v>
      </c>
      <c r="DQ36" s="1">
        <v>0</v>
      </c>
      <c r="DR36" s="1">
        <v>0</v>
      </c>
      <c r="DS36" s="1">
        <v>0</v>
      </c>
      <c r="DT36" s="1">
        <v>0</v>
      </c>
      <c r="DU36" s="1">
        <v>0</v>
      </c>
      <c r="DV36" s="1">
        <v>0</v>
      </c>
      <c r="DW36" s="1">
        <v>0</v>
      </c>
      <c r="DX36" s="1">
        <v>0</v>
      </c>
      <c r="DY36" s="1">
        <v>0</v>
      </c>
      <c r="DZ36" s="1">
        <v>0</v>
      </c>
      <c r="FT36" s="1" t="str">
        <f t="shared" si="25"/>
        <v/>
      </c>
      <c r="FU36" s="1" t="str">
        <f t="shared" si="25"/>
        <v/>
      </c>
      <c r="FV36" s="1" t="str">
        <f t="shared" si="25"/>
        <v/>
      </c>
      <c r="FW36" s="1" t="str">
        <f t="shared" si="25"/>
        <v/>
      </c>
      <c r="FX36" s="1" t="str">
        <f t="shared" si="25"/>
        <v/>
      </c>
      <c r="FY36" s="1" t="str">
        <f t="shared" si="25"/>
        <v/>
      </c>
      <c r="FZ36" s="1" t="str">
        <f t="shared" si="25"/>
        <v/>
      </c>
      <c r="GA36" s="1" t="str">
        <f t="shared" si="25"/>
        <v/>
      </c>
      <c r="GB36" s="1" t="str">
        <f t="shared" si="25"/>
        <v/>
      </c>
      <c r="GC36" s="1" t="str">
        <f t="shared" si="25"/>
        <v/>
      </c>
      <c r="GD36" s="1" t="str">
        <f t="shared" si="25"/>
        <v/>
      </c>
      <c r="GE36" s="1" t="str">
        <f t="shared" si="25"/>
        <v/>
      </c>
      <c r="GF36" s="1" t="str">
        <f t="shared" si="25"/>
        <v/>
      </c>
      <c r="GG36" s="1" t="str">
        <f t="shared" si="25"/>
        <v/>
      </c>
      <c r="GH36" s="1" t="str">
        <f t="shared" si="25"/>
        <v/>
      </c>
      <c r="GI36" s="1" t="str">
        <f t="shared" si="25"/>
        <v/>
      </c>
      <c r="GJ36" s="1" t="str">
        <f t="shared" si="31"/>
        <v/>
      </c>
      <c r="GK36" s="1" t="str">
        <f t="shared" si="31"/>
        <v/>
      </c>
      <c r="GL36" s="1" t="str">
        <f t="shared" si="31"/>
        <v/>
      </c>
      <c r="GM36" s="1" t="str">
        <f t="shared" si="31"/>
        <v/>
      </c>
      <c r="GN36" s="1" t="str">
        <f t="shared" si="31"/>
        <v/>
      </c>
      <c r="GO36" s="1" t="str">
        <f t="shared" si="31"/>
        <v/>
      </c>
      <c r="GP36" s="1" t="str">
        <f t="shared" si="31"/>
        <v/>
      </c>
      <c r="GQ36" s="1" t="str">
        <f t="shared" si="31"/>
        <v/>
      </c>
      <c r="GR36" s="1" t="str">
        <f t="shared" si="31"/>
        <v/>
      </c>
      <c r="GS36" s="1" t="str">
        <f t="shared" si="31"/>
        <v/>
      </c>
      <c r="GT36" s="1" t="str">
        <f t="shared" si="31"/>
        <v/>
      </c>
      <c r="GU36" s="1" t="str">
        <f t="shared" si="31"/>
        <v/>
      </c>
      <c r="GV36" s="1" t="str">
        <f t="shared" si="31"/>
        <v/>
      </c>
      <c r="GW36" s="1" t="str">
        <f t="shared" si="31"/>
        <v/>
      </c>
      <c r="GX36" s="1" t="str">
        <f t="shared" si="26"/>
        <v/>
      </c>
      <c r="GY36" s="1" t="str">
        <f t="shared" si="26"/>
        <v/>
      </c>
      <c r="GZ36" s="1" t="str">
        <f t="shared" si="26"/>
        <v xml:space="preserve">New York; </v>
      </c>
      <c r="HA36" s="1" t="str">
        <f t="shared" si="26"/>
        <v/>
      </c>
      <c r="HB36" s="1" t="str">
        <f t="shared" si="26"/>
        <v/>
      </c>
      <c r="HC36" s="1" t="str">
        <f t="shared" si="26"/>
        <v/>
      </c>
      <c r="HD36" s="1" t="str">
        <f t="shared" si="26"/>
        <v/>
      </c>
      <c r="HE36" s="1" t="str">
        <f t="shared" si="26"/>
        <v/>
      </c>
      <c r="HF36" s="1" t="str">
        <f t="shared" si="26"/>
        <v/>
      </c>
      <c r="HG36" s="1" t="str">
        <f t="shared" si="26"/>
        <v/>
      </c>
      <c r="HH36" s="1" t="str">
        <f t="shared" si="26"/>
        <v/>
      </c>
      <c r="HI36" s="1" t="str">
        <f t="shared" si="26"/>
        <v/>
      </c>
      <c r="HJ36" s="1" t="str">
        <f t="shared" si="26"/>
        <v xml:space="preserve">Texas; </v>
      </c>
      <c r="HK36" s="1" t="str">
        <f t="shared" si="26"/>
        <v/>
      </c>
      <c r="HL36" s="1" t="str">
        <f t="shared" si="26"/>
        <v/>
      </c>
      <c r="HM36" s="1" t="str">
        <f t="shared" si="26"/>
        <v/>
      </c>
      <c r="HN36" s="1" t="str">
        <f t="shared" si="27"/>
        <v/>
      </c>
      <c r="HO36" s="1" t="str">
        <f t="shared" si="27"/>
        <v/>
      </c>
      <c r="HP36" s="1" t="str">
        <f t="shared" si="27"/>
        <v/>
      </c>
      <c r="HQ36" s="1" t="str">
        <f t="shared" si="27"/>
        <v/>
      </c>
      <c r="HR36" s="1" t="str">
        <f t="shared" si="27"/>
        <v/>
      </c>
      <c r="HS36" s="1" t="str">
        <f t="shared" si="27"/>
        <v/>
      </c>
      <c r="HT36" s="1" t="str">
        <f t="shared" si="27"/>
        <v/>
      </c>
      <c r="HU36" s="1" t="str">
        <f t="shared" si="27"/>
        <v/>
      </c>
      <c r="HV36" s="1" t="str">
        <f t="shared" si="27"/>
        <v/>
      </c>
      <c r="HW36" s="1" t="str">
        <f t="shared" si="27"/>
        <v/>
      </c>
      <c r="HX36" s="1" t="str">
        <f t="shared" si="27"/>
        <v/>
      </c>
      <c r="HY36" s="1" t="str">
        <f t="shared" si="27"/>
        <v/>
      </c>
      <c r="HZ36" s="1" t="str">
        <f t="shared" si="27"/>
        <v/>
      </c>
      <c r="IA36" s="1" t="str">
        <f t="shared" si="27"/>
        <v/>
      </c>
      <c r="IB36" s="1" t="str">
        <f t="shared" si="27"/>
        <v/>
      </c>
      <c r="IC36" s="1" t="str">
        <f t="shared" si="27"/>
        <v/>
      </c>
      <c r="ID36" s="1" t="str">
        <f t="shared" si="28"/>
        <v/>
      </c>
      <c r="IE36" s="1" t="str">
        <f t="shared" si="28"/>
        <v/>
      </c>
      <c r="IF36" s="1" t="str">
        <f t="shared" si="28"/>
        <v/>
      </c>
      <c r="IG36" s="1" t="str">
        <f t="shared" si="28"/>
        <v/>
      </c>
      <c r="IH36" s="1" t="str">
        <f t="shared" si="28"/>
        <v/>
      </c>
      <c r="II36" s="1" t="str">
        <f t="shared" si="28"/>
        <v/>
      </c>
      <c r="IJ36" s="1" t="str">
        <f t="shared" si="28"/>
        <v/>
      </c>
      <c r="IK36" s="1" t="str">
        <f t="shared" si="28"/>
        <v/>
      </c>
      <c r="IL36" s="1" t="str">
        <f t="shared" si="28"/>
        <v/>
      </c>
      <c r="IM36" s="1" t="str">
        <f t="shared" si="28"/>
        <v/>
      </c>
      <c r="IN36" s="1" t="str">
        <f t="shared" si="28"/>
        <v/>
      </c>
      <c r="IO36" s="1" t="str">
        <f t="shared" si="28"/>
        <v/>
      </c>
      <c r="IP36" s="1" t="str">
        <f t="shared" si="28"/>
        <v/>
      </c>
      <c r="IQ36" s="1" t="str">
        <f t="shared" si="28"/>
        <v/>
      </c>
      <c r="IR36" s="1" t="str">
        <f t="shared" si="28"/>
        <v/>
      </c>
      <c r="IS36" s="1" t="str">
        <f t="shared" si="28"/>
        <v/>
      </c>
      <c r="IT36" s="1" t="str">
        <f t="shared" si="29"/>
        <v/>
      </c>
      <c r="IU36" s="1" t="str">
        <f t="shared" si="29"/>
        <v/>
      </c>
      <c r="IV36" s="1" t="str">
        <f t="shared" si="29"/>
        <v/>
      </c>
      <c r="IW36" s="1" t="str">
        <f t="shared" si="29"/>
        <v/>
      </c>
      <c r="IX36" s="1" t="str">
        <f t="shared" si="29"/>
        <v/>
      </c>
      <c r="IY36" s="1" t="str">
        <f t="shared" si="29"/>
        <v/>
      </c>
      <c r="IZ36" s="1" t="str">
        <f t="shared" si="29"/>
        <v/>
      </c>
      <c r="JA36" s="1" t="str">
        <f t="shared" si="29"/>
        <v/>
      </c>
      <c r="JB36" s="1" t="str">
        <f t="shared" si="29"/>
        <v/>
      </c>
      <c r="JC36" s="1" t="str">
        <f t="shared" si="29"/>
        <v/>
      </c>
      <c r="JD36" s="1" t="str">
        <f t="shared" si="29"/>
        <v/>
      </c>
      <c r="JE36" s="1" t="str">
        <f t="shared" si="29"/>
        <v/>
      </c>
      <c r="JF36" s="1" t="str">
        <f t="shared" si="29"/>
        <v/>
      </c>
      <c r="JG36" s="1" t="str">
        <f t="shared" si="29"/>
        <v/>
      </c>
      <c r="JH36" s="1" t="str">
        <f t="shared" si="29"/>
        <v/>
      </c>
      <c r="JI36" s="1" t="str">
        <f t="shared" si="29"/>
        <v/>
      </c>
      <c r="JJ36" s="1" t="str">
        <f t="shared" si="30"/>
        <v/>
      </c>
      <c r="JK36" s="1" t="str">
        <f t="shared" si="30"/>
        <v/>
      </c>
      <c r="JL36" s="1" t="str">
        <f t="shared" si="24"/>
        <v/>
      </c>
      <c r="JM36" s="1" t="str">
        <f t="shared" si="12"/>
        <v/>
      </c>
      <c r="JN36" s="1" t="str">
        <f t="shared" si="12"/>
        <v/>
      </c>
      <c r="JO36" s="1" t="str">
        <f t="shared" si="12"/>
        <v/>
      </c>
    </row>
    <row r="37" spans="1:275" ht="14.5" x14ac:dyDescent="0.35">
      <c r="A37" s="59">
        <f>IF('Data input'!A37&lt;&gt;"",'Data input'!A37,"")</f>
        <v>35</v>
      </c>
      <c r="B37" s="60" t="str">
        <f>IF('Data input'!B37&lt;&gt;"",'Data input'!B37,"")</f>
        <v>North Dakota</v>
      </c>
      <c r="C37" s="19">
        <f>IF('Data input'!C37="","",4*('Data input'!C37-'Data input'!C$108)/('Data input'!C$109-'Data input'!C$108)+1)</f>
        <v>4.8076046413984717</v>
      </c>
      <c r="D37" s="19" t="str">
        <f>IF('Data input'!D37="","",4*('Data input'!D37-'Data input'!D$108)/('Data input'!D$109-'Data input'!D$108)+1)</f>
        <v/>
      </c>
      <c r="E37" s="19" t="str">
        <f>IF('Data input'!E37="","",4*('Data input'!E37-'Data input'!E$108)/('Data input'!E$109-'Data input'!E$108)+1)</f>
        <v/>
      </c>
      <c r="F37" s="19" t="str">
        <f>IF('Data input'!F37="","",4*('Data input'!F37-'Data input'!F$108)/('Data input'!F$109-'Data input'!F$108)+1)</f>
        <v/>
      </c>
      <c r="G37" s="19" t="str">
        <f>IF('Data input'!G37="","",4*('Data input'!G37-'Data input'!G$108)/('Data input'!G$109-'Data input'!G$108)+1)</f>
        <v/>
      </c>
      <c r="H37" s="61">
        <f>IF('Data input'!H37="","",4*('Data input'!H37-'Data input'!H$108)/('Data input'!H$109-'Data input'!H$108)+1)</f>
        <v>3.0189875372758563</v>
      </c>
      <c r="I37" s="19">
        <f>IF('Data input'!I37="","",4*('Data input'!I37-'Data input'!I$108)/('Data input'!I$109-'Data input'!I$108)+1)</f>
        <v>1</v>
      </c>
      <c r="J37" s="19" t="str">
        <f>IF('Data input'!J37="","",4*('Data input'!J37-'Data input'!J$108)/('Data input'!J$109-'Data input'!J$108)+1)</f>
        <v/>
      </c>
      <c r="K37" s="19" t="str">
        <f>IF('Data input'!K37="","",4*('Data input'!K37-'Data input'!K$108)/('Data input'!K$109-'Data input'!K$108)+1)</f>
        <v/>
      </c>
      <c r="L37" s="19" t="str">
        <f>IF('Data input'!L37="","",4*('Data input'!L37-'Data input'!L$108)/('Data input'!L$109-'Data input'!L$108)+1)</f>
        <v/>
      </c>
      <c r="M37" s="19">
        <f>IF('Data input'!M37="","",4*('Data input'!M37-'Data input'!M$108)/('Data input'!M$109-'Data input'!M$108)+1)</f>
        <v>1.0721181950703338</v>
      </c>
      <c r="N37" s="16" t="str">
        <f>IF('Data input'!N37="","",4*('Data input'!N37-'Data input'!N$108)/('Data input'!N$109-'Data input'!N$108)+1)</f>
        <v/>
      </c>
      <c r="O37" s="19" t="str">
        <f>IF('Data input'!O37="","",4*('Data input'!O37-'Data input'!O$108)/('Data input'!O$109-'Data input'!O$108)+1)</f>
        <v/>
      </c>
      <c r="P37" s="19" t="str">
        <f>IF('Data input'!P37="","",4*('Data input'!P37-'Data input'!P$108)/('Data input'!P$109-'Data input'!P$108)+1)</f>
        <v/>
      </c>
      <c r="Q37" s="19" t="str">
        <f>IF('Data input'!Q37="","",4*('Data input'!Q37-'Data input'!Q$108)/('Data input'!Q$109-'Data input'!Q$108)+1)</f>
        <v/>
      </c>
      <c r="R37" s="19" t="str">
        <f>IF('Data input'!R37="","",4*('Data input'!R37-'Data input'!R$108)/('Data input'!R$109-'Data input'!R$108)+1)</f>
        <v/>
      </c>
      <c r="S37" s="16" t="str">
        <f>IF('Data input'!S37="","",4*('Data input'!S37-'Data input'!S$108)/('Data input'!S$109-'Data input'!S$108)+1)</f>
        <v/>
      </c>
      <c r="T37" s="19" t="str">
        <f>IF('Data input'!T37="","",4*('Data input'!T37-'Data input'!T$108)/('Data input'!T$109-'Data input'!T$108)+1)</f>
        <v/>
      </c>
      <c r="U37" s="19" t="str">
        <f>IF('Data input'!U37="","",4*('Data input'!U37-'Data input'!U$108)/('Data input'!U$109-'Data input'!U$108)+1)</f>
        <v/>
      </c>
      <c r="V37" s="19" t="str">
        <f>IF('Data input'!V37="","",4*('Data input'!V37-'Data input'!V$108)/('Data input'!V$109-'Data input'!V$108)+1)</f>
        <v/>
      </c>
      <c r="W37" s="16" t="str">
        <f>IF('Data input'!W37="","",4*('Data input'!W37-'Data input'!W$108)/('Data input'!W$109-'Data input'!W$108)+1)</f>
        <v/>
      </c>
      <c r="X37" s="16" t="str">
        <f>IF('Data input'!X37="","",4*('Data input'!X37-'Data input'!X$108)/('Data input'!X$109-'Data input'!X$108)+1)</f>
        <v/>
      </c>
      <c r="Y37" s="16" t="str">
        <f>IF('Data input'!Y37="","",4*('Data input'!Y37-'Data input'!Y$108)/('Data input'!Y$109-'Data input'!Y$108)+1)</f>
        <v/>
      </c>
      <c r="Z37" s="16" t="str">
        <f>IF('Data input'!Z37="","",4*('Data input'!Z37-'Data input'!Z$108)/('Data input'!Z$109-'Data input'!Z$108)+1)</f>
        <v/>
      </c>
      <c r="AA37" s="62" t="str">
        <f>IF('Data input'!AA37="","",4*('Data input'!AA37-'Data input'!AA$108)/('Data input'!AA$109-'Data input'!AA$108)+1)</f>
        <v/>
      </c>
      <c r="AB37" s="78"/>
      <c r="AC37" s="79">
        <v>0</v>
      </c>
      <c r="AD37" s="80" t="e">
        <f t="shared" si="13"/>
        <v>#DIV/0!</v>
      </c>
      <c r="AE37" s="4"/>
      <c r="AF37" s="59">
        <f t="shared" si="14"/>
        <v>35</v>
      </c>
      <c r="AG37" s="60" t="str">
        <f t="shared" si="14"/>
        <v>North Dakota</v>
      </c>
      <c r="AH37">
        <v>0</v>
      </c>
      <c r="AI37" t="s">
        <v>69</v>
      </c>
      <c r="AJ37" t="s">
        <v>69</v>
      </c>
      <c r="AK37" t="s">
        <v>69</v>
      </c>
      <c r="AL37" t="s">
        <v>69</v>
      </c>
      <c r="AM37">
        <v>1.425917559575079E-15</v>
      </c>
      <c r="AN37">
        <v>0</v>
      </c>
      <c r="AO37" t="s">
        <v>69</v>
      </c>
      <c r="AP37" t="s">
        <v>69</v>
      </c>
      <c r="AQ37" t="s">
        <v>69</v>
      </c>
      <c r="AR37">
        <v>0.99999999999999978</v>
      </c>
      <c r="AS37" s="71">
        <f t="shared" si="15"/>
        <v>4.8076046413984717</v>
      </c>
      <c r="AT37" s="71" t="str">
        <f t="shared" si="15"/>
        <v/>
      </c>
      <c r="AU37" s="71" t="str">
        <f t="shared" si="15"/>
        <v/>
      </c>
      <c r="AV37" s="71" t="str">
        <f t="shared" si="15"/>
        <v/>
      </c>
      <c r="AW37" s="71" t="str">
        <f t="shared" si="15"/>
        <v/>
      </c>
      <c r="AX37" s="71">
        <f t="shared" si="16"/>
        <v>3.018987537275855</v>
      </c>
      <c r="AY37" s="71">
        <f t="shared" si="16"/>
        <v>1</v>
      </c>
      <c r="AZ37" s="71" t="str">
        <f t="shared" si="16"/>
        <v/>
      </c>
      <c r="BA37" s="71" t="str">
        <f t="shared" si="16"/>
        <v/>
      </c>
      <c r="BB37" s="71" t="str">
        <f t="shared" si="16"/>
        <v/>
      </c>
      <c r="BC37" s="18">
        <f>IF(C37&lt;&gt;"",(('Data input'!C$109-'Data input'!C$108)*(AS37-1)/4)+'Data input'!C$108,"")</f>
        <v>0.98930735020681126</v>
      </c>
      <c r="BD37" s="18" t="str">
        <f>IF(D37&lt;&gt;"",(('Data input'!D$109-'Data input'!D$108)*(AT37-1)/4)+'Data input'!D$108,"")</f>
        <v/>
      </c>
      <c r="BE37" s="18" t="str">
        <f>IF(E37&lt;&gt;"",(('Data input'!E$109-'Data input'!E$108)*(AU37-1)/4)+'Data input'!E$108,"")</f>
        <v/>
      </c>
      <c r="BF37" s="18" t="str">
        <f>IF(F37&lt;&gt;"",(('Data input'!F$109-'Data input'!F$108)*(AV37-1)/4)+'Data input'!F$108,"")</f>
        <v/>
      </c>
      <c r="BG37" s="18" t="str">
        <f>IF(G37&lt;&gt;"",(('Data input'!G$109-'Data input'!G$108)*(AW37-1)/4)+'Data input'!G$108,"")</f>
        <v/>
      </c>
      <c r="BH37" s="19">
        <f>IF(H37&lt;&gt;"",(('Data input'!H$109-'Data input'!H$108)*(AX37-1)/4)+'Data input'!H$108,"")</f>
        <v>44.264911698159139</v>
      </c>
      <c r="BI37" s="18">
        <f>IF(I37&lt;&gt;"",(('Data input'!I$109-'Data input'!I$108)*(AY37-1)/4)+'Data input'!I$108,"")</f>
        <v>0</v>
      </c>
      <c r="BJ37" s="19" t="str">
        <f>IF(J37&lt;&gt;"",(('Data input'!J$109-'Data input'!J$108)*(AZ37-1)/4)+'Data input'!J$108,"")</f>
        <v/>
      </c>
      <c r="BK37" s="19" t="str">
        <f>IF(K37&lt;&gt;"",(('Data input'!K$109-'Data input'!K$108)*(BA37-1)/4)+'Data input'!K$108,"")</f>
        <v/>
      </c>
      <c r="BL37" s="19" t="str">
        <f>IF(L37&lt;&gt;"",(('Data input'!L$109-'Data input'!L$108)*(BB37-1)/4)+'Data input'!L$108,"")</f>
        <v/>
      </c>
      <c r="BM37" s="18">
        <f>IF(C37&lt;&gt;"",BC37-'Data input'!C37,"")</f>
        <v>0</v>
      </c>
      <c r="BN37" s="18" t="str">
        <f>IF(D37&lt;&gt;"",BD37-'Data input'!D37,"")</f>
        <v/>
      </c>
      <c r="BO37" s="18" t="str">
        <f>IF(E37&lt;&gt;"",BE37-'Data input'!E37,"")</f>
        <v/>
      </c>
      <c r="BP37" s="18" t="str">
        <f>IF(F37&lt;&gt;"",BF37-'Data input'!F37,"")</f>
        <v/>
      </c>
      <c r="BQ37" s="18" t="str">
        <f>IF(G37&lt;&gt;"",BG37-'Data input'!G37,"")</f>
        <v/>
      </c>
      <c r="BR37" s="19">
        <f>IF(H37&lt;&gt;"",BH37-'Data input'!H37,"")</f>
        <v>-2.8421709430404007E-14</v>
      </c>
      <c r="BS37" s="18">
        <f>IF(I37&lt;&gt;"",BI37-'Data input'!I37,"")</f>
        <v>0</v>
      </c>
      <c r="BT37" s="18" t="str">
        <f>IF(J37&lt;&gt;"",BJ37-'Data input'!J37,"")</f>
        <v/>
      </c>
      <c r="BU37" s="18" t="str">
        <f>IF(K37&lt;&gt;"",BK37-'Data input'!K37,"")</f>
        <v/>
      </c>
      <c r="BV37" s="72" t="str">
        <f>IF(L37&lt;&gt;"",BL37-'Data input'!L37,"")</f>
        <v/>
      </c>
      <c r="BW37" s="121" t="str">
        <f t="shared" si="17"/>
        <v xml:space="preserve">North Dakota; </v>
      </c>
      <c r="BX37" s="1">
        <v>0</v>
      </c>
      <c r="BY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F37" s="1">
        <v>0</v>
      </c>
      <c r="CG37" s="1">
        <v>0</v>
      </c>
      <c r="CH37" s="1">
        <v>0</v>
      </c>
      <c r="CI37" s="1">
        <v>0</v>
      </c>
      <c r="CJ37" s="1">
        <v>0</v>
      </c>
      <c r="CK37" s="1">
        <v>0</v>
      </c>
      <c r="CL37" s="1">
        <v>0</v>
      </c>
      <c r="CM37" s="1">
        <v>0</v>
      </c>
      <c r="CN37" s="1">
        <v>-4.7297251536047249E-15</v>
      </c>
      <c r="CO37" s="1">
        <v>0</v>
      </c>
      <c r="CP37" s="1">
        <v>-4.2145650271653793E-15</v>
      </c>
      <c r="CQ37" s="1">
        <v>0</v>
      </c>
      <c r="CR37" s="1">
        <v>0</v>
      </c>
      <c r="CS37" s="1">
        <v>0</v>
      </c>
      <c r="CT37" s="1">
        <v>0</v>
      </c>
      <c r="CU37" s="1">
        <v>0</v>
      </c>
      <c r="CV37" s="1">
        <v>6.7392586805622062E-15</v>
      </c>
      <c r="CW37" s="1">
        <v>0</v>
      </c>
      <c r="CX37" s="1">
        <v>0</v>
      </c>
      <c r="CY37" s="1">
        <v>0</v>
      </c>
      <c r="CZ37" s="1">
        <v>0</v>
      </c>
      <c r="DA37" s="1">
        <v>0</v>
      </c>
      <c r="DB37" s="1">
        <v>0</v>
      </c>
      <c r="DC37" s="1">
        <v>0</v>
      </c>
      <c r="DD37" s="1">
        <v>0</v>
      </c>
      <c r="DE37" s="1">
        <v>0</v>
      </c>
      <c r="DF37" s="1">
        <v>1.0000000000000033</v>
      </c>
      <c r="DG37" s="1">
        <v>0</v>
      </c>
      <c r="DH37" s="1">
        <v>0</v>
      </c>
      <c r="DI37" s="1">
        <v>0</v>
      </c>
      <c r="DJ37" s="1">
        <v>0</v>
      </c>
      <c r="DK37" s="1">
        <v>0</v>
      </c>
      <c r="DL37" s="1">
        <v>0</v>
      </c>
      <c r="DM37" s="1">
        <v>0</v>
      </c>
      <c r="DN37" s="1">
        <v>0</v>
      </c>
      <c r="DO37" s="1">
        <v>0</v>
      </c>
      <c r="DP37" s="1">
        <v>0</v>
      </c>
      <c r="DQ37" s="1">
        <v>0</v>
      </c>
      <c r="DR37" s="1">
        <v>0</v>
      </c>
      <c r="DS37" s="1">
        <v>0</v>
      </c>
      <c r="DT37" s="1">
        <v>0</v>
      </c>
      <c r="DU37" s="1">
        <v>0</v>
      </c>
      <c r="DV37" s="1">
        <v>0</v>
      </c>
      <c r="DW37" s="1">
        <v>0</v>
      </c>
      <c r="DX37" s="1">
        <v>0</v>
      </c>
      <c r="DY37" s="1">
        <v>0</v>
      </c>
      <c r="DZ37" s="1">
        <v>0</v>
      </c>
      <c r="FT37" s="1" t="str">
        <f t="shared" si="25"/>
        <v/>
      </c>
      <c r="FU37" s="1" t="str">
        <f t="shared" si="25"/>
        <v/>
      </c>
      <c r="FV37" s="1" t="str">
        <f t="shared" si="25"/>
        <v/>
      </c>
      <c r="FW37" s="1" t="str">
        <f t="shared" si="25"/>
        <v/>
      </c>
      <c r="FX37" s="1" t="str">
        <f t="shared" si="25"/>
        <v/>
      </c>
      <c r="FY37" s="1" t="str">
        <f t="shared" si="25"/>
        <v/>
      </c>
      <c r="FZ37" s="1" t="str">
        <f t="shared" si="25"/>
        <v/>
      </c>
      <c r="GA37" s="1" t="str">
        <f t="shared" si="25"/>
        <v/>
      </c>
      <c r="GB37" s="1" t="str">
        <f t="shared" si="25"/>
        <v/>
      </c>
      <c r="GC37" s="1" t="str">
        <f t="shared" si="25"/>
        <v/>
      </c>
      <c r="GD37" s="1" t="str">
        <f t="shared" si="25"/>
        <v/>
      </c>
      <c r="GE37" s="1" t="str">
        <f t="shared" si="25"/>
        <v/>
      </c>
      <c r="GF37" s="1" t="str">
        <f t="shared" si="25"/>
        <v/>
      </c>
      <c r="GG37" s="1" t="str">
        <f t="shared" si="25"/>
        <v/>
      </c>
      <c r="GH37" s="1" t="str">
        <f t="shared" si="25"/>
        <v/>
      </c>
      <c r="GI37" s="1" t="str">
        <f t="shared" si="25"/>
        <v/>
      </c>
      <c r="GJ37" s="1" t="str">
        <f t="shared" si="31"/>
        <v/>
      </c>
      <c r="GK37" s="1" t="str">
        <f t="shared" si="31"/>
        <v/>
      </c>
      <c r="GL37" s="1" t="str">
        <f t="shared" si="31"/>
        <v/>
      </c>
      <c r="GM37" s="1" t="str">
        <f t="shared" si="31"/>
        <v/>
      </c>
      <c r="GN37" s="1" t="str">
        <f t="shared" si="31"/>
        <v/>
      </c>
      <c r="GO37" s="1" t="str">
        <f t="shared" si="31"/>
        <v/>
      </c>
      <c r="GP37" s="1" t="str">
        <f t="shared" si="31"/>
        <v/>
      </c>
      <c r="GQ37" s="1" t="str">
        <f t="shared" si="31"/>
        <v/>
      </c>
      <c r="GR37" s="1" t="str">
        <f t="shared" si="31"/>
        <v/>
      </c>
      <c r="GS37" s="1" t="str">
        <f t="shared" si="31"/>
        <v/>
      </c>
      <c r="GT37" s="1" t="str">
        <f t="shared" si="31"/>
        <v/>
      </c>
      <c r="GU37" s="1" t="str">
        <f t="shared" si="31"/>
        <v/>
      </c>
      <c r="GV37" s="1" t="str">
        <f t="shared" si="31"/>
        <v/>
      </c>
      <c r="GW37" s="1" t="str">
        <f t="shared" si="31"/>
        <v/>
      </c>
      <c r="GX37" s="1" t="str">
        <f t="shared" si="26"/>
        <v/>
      </c>
      <c r="GY37" s="1" t="str">
        <f t="shared" si="26"/>
        <v/>
      </c>
      <c r="GZ37" s="1" t="str">
        <f t="shared" si="26"/>
        <v/>
      </c>
      <c r="HA37" s="1" t="str">
        <f t="shared" si="26"/>
        <v/>
      </c>
      <c r="HB37" s="1" t="str">
        <f t="shared" si="26"/>
        <v xml:space="preserve">North Dakota; </v>
      </c>
      <c r="HC37" s="1" t="str">
        <f t="shared" si="26"/>
        <v/>
      </c>
      <c r="HD37" s="1" t="str">
        <f t="shared" si="26"/>
        <v/>
      </c>
      <c r="HE37" s="1" t="str">
        <f t="shared" si="26"/>
        <v/>
      </c>
      <c r="HF37" s="1" t="str">
        <f t="shared" si="26"/>
        <v/>
      </c>
      <c r="HG37" s="1" t="str">
        <f t="shared" si="26"/>
        <v/>
      </c>
      <c r="HH37" s="1" t="str">
        <f t="shared" si="26"/>
        <v/>
      </c>
      <c r="HI37" s="1" t="str">
        <f t="shared" si="26"/>
        <v/>
      </c>
      <c r="HJ37" s="1" t="str">
        <f t="shared" si="26"/>
        <v/>
      </c>
      <c r="HK37" s="1" t="str">
        <f t="shared" si="26"/>
        <v/>
      </c>
      <c r="HL37" s="1" t="str">
        <f t="shared" si="26"/>
        <v/>
      </c>
      <c r="HM37" s="1" t="str">
        <f t="shared" si="26"/>
        <v/>
      </c>
      <c r="HN37" s="1" t="str">
        <f t="shared" si="27"/>
        <v/>
      </c>
      <c r="HO37" s="1" t="str">
        <f t="shared" si="27"/>
        <v/>
      </c>
      <c r="HP37" s="1" t="str">
        <f t="shared" si="27"/>
        <v/>
      </c>
      <c r="HQ37" s="1" t="str">
        <f t="shared" si="27"/>
        <v/>
      </c>
      <c r="HR37" s="1" t="str">
        <f t="shared" si="27"/>
        <v/>
      </c>
      <c r="HS37" s="1" t="str">
        <f t="shared" si="27"/>
        <v/>
      </c>
      <c r="HT37" s="1" t="str">
        <f t="shared" si="27"/>
        <v/>
      </c>
      <c r="HU37" s="1" t="str">
        <f t="shared" si="27"/>
        <v/>
      </c>
      <c r="HV37" s="1" t="str">
        <f t="shared" si="27"/>
        <v/>
      </c>
      <c r="HW37" s="1" t="str">
        <f t="shared" si="27"/>
        <v/>
      </c>
      <c r="HX37" s="1" t="str">
        <f t="shared" si="27"/>
        <v/>
      </c>
      <c r="HY37" s="1" t="str">
        <f t="shared" si="27"/>
        <v/>
      </c>
      <c r="HZ37" s="1" t="str">
        <f t="shared" si="27"/>
        <v/>
      </c>
      <c r="IA37" s="1" t="str">
        <f t="shared" si="27"/>
        <v/>
      </c>
      <c r="IB37" s="1" t="str">
        <f t="shared" si="27"/>
        <v/>
      </c>
      <c r="IC37" s="1" t="str">
        <f t="shared" si="27"/>
        <v/>
      </c>
      <c r="ID37" s="1" t="str">
        <f t="shared" si="28"/>
        <v/>
      </c>
      <c r="IE37" s="1" t="str">
        <f t="shared" si="28"/>
        <v/>
      </c>
      <c r="IF37" s="1" t="str">
        <f t="shared" si="28"/>
        <v/>
      </c>
      <c r="IG37" s="1" t="str">
        <f t="shared" si="28"/>
        <v/>
      </c>
      <c r="IH37" s="1" t="str">
        <f t="shared" si="28"/>
        <v/>
      </c>
      <c r="II37" s="1" t="str">
        <f t="shared" si="28"/>
        <v/>
      </c>
      <c r="IJ37" s="1" t="str">
        <f t="shared" si="28"/>
        <v/>
      </c>
      <c r="IK37" s="1" t="str">
        <f t="shared" si="28"/>
        <v/>
      </c>
      <c r="IL37" s="1" t="str">
        <f t="shared" si="28"/>
        <v/>
      </c>
      <c r="IM37" s="1" t="str">
        <f t="shared" si="28"/>
        <v/>
      </c>
      <c r="IN37" s="1" t="str">
        <f t="shared" si="28"/>
        <v/>
      </c>
      <c r="IO37" s="1" t="str">
        <f t="shared" si="28"/>
        <v/>
      </c>
      <c r="IP37" s="1" t="str">
        <f t="shared" si="28"/>
        <v/>
      </c>
      <c r="IQ37" s="1" t="str">
        <f t="shared" si="28"/>
        <v/>
      </c>
      <c r="IR37" s="1" t="str">
        <f t="shared" si="28"/>
        <v/>
      </c>
      <c r="IS37" s="1" t="str">
        <f t="shared" si="28"/>
        <v/>
      </c>
      <c r="IT37" s="1" t="str">
        <f t="shared" si="29"/>
        <v/>
      </c>
      <c r="IU37" s="1" t="str">
        <f t="shared" si="29"/>
        <v/>
      </c>
      <c r="IV37" s="1" t="str">
        <f t="shared" si="29"/>
        <v/>
      </c>
      <c r="IW37" s="1" t="str">
        <f t="shared" si="29"/>
        <v/>
      </c>
      <c r="IX37" s="1" t="str">
        <f t="shared" si="29"/>
        <v/>
      </c>
      <c r="IY37" s="1" t="str">
        <f t="shared" si="29"/>
        <v/>
      </c>
      <c r="IZ37" s="1" t="str">
        <f t="shared" si="29"/>
        <v/>
      </c>
      <c r="JA37" s="1" t="str">
        <f t="shared" si="29"/>
        <v/>
      </c>
      <c r="JB37" s="1" t="str">
        <f t="shared" si="29"/>
        <v/>
      </c>
      <c r="JC37" s="1" t="str">
        <f t="shared" si="29"/>
        <v/>
      </c>
      <c r="JD37" s="1" t="str">
        <f t="shared" si="29"/>
        <v/>
      </c>
      <c r="JE37" s="1" t="str">
        <f t="shared" si="29"/>
        <v/>
      </c>
      <c r="JF37" s="1" t="str">
        <f t="shared" si="29"/>
        <v/>
      </c>
      <c r="JG37" s="1" t="str">
        <f t="shared" si="29"/>
        <v/>
      </c>
      <c r="JH37" s="1" t="str">
        <f t="shared" si="29"/>
        <v/>
      </c>
      <c r="JI37" s="1" t="str">
        <f t="shared" si="29"/>
        <v/>
      </c>
      <c r="JJ37" s="1" t="str">
        <f t="shared" si="30"/>
        <v/>
      </c>
      <c r="JK37" s="1" t="str">
        <f t="shared" si="30"/>
        <v/>
      </c>
      <c r="JL37" s="1" t="str">
        <f t="shared" si="24"/>
        <v/>
      </c>
      <c r="JM37" s="1" t="str">
        <f t="shared" si="12"/>
        <v/>
      </c>
      <c r="JN37" s="1" t="str">
        <f t="shared" si="12"/>
        <v/>
      </c>
      <c r="JO37" s="1" t="str">
        <f t="shared" si="12"/>
        <v/>
      </c>
    </row>
    <row r="38" spans="1:275" ht="14.5" x14ac:dyDescent="0.35">
      <c r="A38" s="59">
        <f>IF('Data input'!A38&lt;&gt;"",'Data input'!A38,"")</f>
        <v>36</v>
      </c>
      <c r="B38" s="60" t="str">
        <f>IF('Data input'!B38&lt;&gt;"",'Data input'!B38,"")</f>
        <v>Ohio</v>
      </c>
      <c r="C38" s="19">
        <f>IF('Data input'!C38="","",4*('Data input'!C38-'Data input'!C$108)/('Data input'!C$109-'Data input'!C$108)+1)</f>
        <v>4.5357544275060189</v>
      </c>
      <c r="D38" s="19" t="str">
        <f>IF('Data input'!D38="","",4*('Data input'!D38-'Data input'!D$108)/('Data input'!D$109-'Data input'!D$108)+1)</f>
        <v/>
      </c>
      <c r="E38" s="19" t="str">
        <f>IF('Data input'!E38="","",4*('Data input'!E38-'Data input'!E$108)/('Data input'!E$109-'Data input'!E$108)+1)</f>
        <v/>
      </c>
      <c r="F38" s="19" t="str">
        <f>IF('Data input'!F38="","",4*('Data input'!F38-'Data input'!F$108)/('Data input'!F$109-'Data input'!F$108)+1)</f>
        <v/>
      </c>
      <c r="G38" s="19" t="str">
        <f>IF('Data input'!G38="","",4*('Data input'!G38-'Data input'!G$108)/('Data input'!G$109-'Data input'!G$108)+1)</f>
        <v/>
      </c>
      <c r="H38" s="61">
        <f>IF('Data input'!H38="","",4*('Data input'!H38-'Data input'!H$108)/('Data input'!H$109-'Data input'!H$108)+1)</f>
        <v>1.044501320535014</v>
      </c>
      <c r="I38" s="19">
        <f>IF('Data input'!I38="","",4*('Data input'!I38-'Data input'!I$108)/('Data input'!I$109-'Data input'!I$108)+1)</f>
        <v>1.6629195124342342</v>
      </c>
      <c r="J38" s="19" t="str">
        <f>IF('Data input'!J38="","",4*('Data input'!J38-'Data input'!J$108)/('Data input'!J$109-'Data input'!J$108)+1)</f>
        <v/>
      </c>
      <c r="K38" s="19" t="str">
        <f>IF('Data input'!K38="","",4*('Data input'!K38-'Data input'!K$108)/('Data input'!K$109-'Data input'!K$108)+1)</f>
        <v/>
      </c>
      <c r="L38" s="19" t="str">
        <f>IF('Data input'!L38="","",4*('Data input'!L38-'Data input'!L$108)/('Data input'!L$109-'Data input'!L$108)+1)</f>
        <v/>
      </c>
      <c r="M38" s="19">
        <f>IF('Data input'!M38="","",4*('Data input'!M38-'Data input'!M$108)/('Data input'!M$109-'Data input'!M$108)+1)</f>
        <v>2.1750884261623047</v>
      </c>
      <c r="N38" s="16" t="str">
        <f>IF('Data input'!N38="","",4*('Data input'!N38-'Data input'!N$108)/('Data input'!N$109-'Data input'!N$108)+1)</f>
        <v/>
      </c>
      <c r="O38" s="19" t="str">
        <f>IF('Data input'!O38="","",4*('Data input'!O38-'Data input'!O$108)/('Data input'!O$109-'Data input'!O$108)+1)</f>
        <v/>
      </c>
      <c r="P38" s="19" t="str">
        <f>IF('Data input'!P38="","",4*('Data input'!P38-'Data input'!P$108)/('Data input'!P$109-'Data input'!P$108)+1)</f>
        <v/>
      </c>
      <c r="Q38" s="19" t="str">
        <f>IF('Data input'!Q38="","",4*('Data input'!Q38-'Data input'!Q$108)/('Data input'!Q$109-'Data input'!Q$108)+1)</f>
        <v/>
      </c>
      <c r="R38" s="19" t="str">
        <f>IF('Data input'!R38="","",4*('Data input'!R38-'Data input'!R$108)/('Data input'!R$109-'Data input'!R$108)+1)</f>
        <v/>
      </c>
      <c r="S38" s="16" t="str">
        <f>IF('Data input'!S38="","",4*('Data input'!S38-'Data input'!S$108)/('Data input'!S$109-'Data input'!S$108)+1)</f>
        <v/>
      </c>
      <c r="T38" s="19" t="str">
        <f>IF('Data input'!T38="","",4*('Data input'!T38-'Data input'!T$108)/('Data input'!T$109-'Data input'!T$108)+1)</f>
        <v/>
      </c>
      <c r="U38" s="19" t="str">
        <f>IF('Data input'!U38="","",4*('Data input'!U38-'Data input'!U$108)/('Data input'!U$109-'Data input'!U$108)+1)</f>
        <v/>
      </c>
      <c r="V38" s="19" t="str">
        <f>IF('Data input'!V38="","",4*('Data input'!V38-'Data input'!V$108)/('Data input'!V$109-'Data input'!V$108)+1)</f>
        <v/>
      </c>
      <c r="W38" s="16" t="str">
        <f>IF('Data input'!W38="","",4*('Data input'!W38-'Data input'!W$108)/('Data input'!W$109-'Data input'!W$108)+1)</f>
        <v/>
      </c>
      <c r="X38" s="16" t="str">
        <f>IF('Data input'!X38="","",4*('Data input'!X38-'Data input'!X$108)/('Data input'!X$109-'Data input'!X$108)+1)</f>
        <v/>
      </c>
      <c r="Y38" s="16" t="str">
        <f>IF('Data input'!Y38="","",4*('Data input'!Y38-'Data input'!Y$108)/('Data input'!Y$109-'Data input'!Y$108)+1)</f>
        <v/>
      </c>
      <c r="Z38" s="16" t="str">
        <f>IF('Data input'!Z38="","",4*('Data input'!Z38-'Data input'!Z$108)/('Data input'!Z$109-'Data input'!Z$108)+1)</f>
        <v/>
      </c>
      <c r="AA38" s="62" t="str">
        <f>IF('Data input'!AA38="","",4*('Data input'!AA38-'Data input'!AA$108)/('Data input'!AA$109-'Data input'!AA$108)+1)</f>
        <v/>
      </c>
      <c r="AB38" s="78"/>
      <c r="AC38" s="79">
        <v>0</v>
      </c>
      <c r="AD38" s="80" t="e">
        <f t="shared" si="13"/>
        <v>#DIV/0!</v>
      </c>
      <c r="AE38" s="4"/>
      <c r="AF38" s="59">
        <f t="shared" si="14"/>
        <v>36</v>
      </c>
      <c r="AG38" s="60" t="str">
        <f t="shared" si="14"/>
        <v>Ohio</v>
      </c>
      <c r="AH38">
        <v>0</v>
      </c>
      <c r="AI38" t="s">
        <v>69</v>
      </c>
      <c r="AJ38" t="s">
        <v>69</v>
      </c>
      <c r="AK38" t="s">
        <v>69</v>
      </c>
      <c r="AL38" t="s">
        <v>69</v>
      </c>
      <c r="AM38">
        <v>1.8434994166513806E-2</v>
      </c>
      <c r="AN38">
        <v>0.63710109939306092</v>
      </c>
      <c r="AO38" t="s">
        <v>69</v>
      </c>
      <c r="AP38" t="s">
        <v>69</v>
      </c>
      <c r="AQ38" t="s">
        <v>69</v>
      </c>
      <c r="AR38">
        <v>0.79961420237721681</v>
      </c>
      <c r="AS38" s="71">
        <f t="shared" si="15"/>
        <v>4.5357544275060189</v>
      </c>
      <c r="AT38" s="71" t="str">
        <f t="shared" si="15"/>
        <v/>
      </c>
      <c r="AU38" s="71" t="str">
        <f t="shared" si="15"/>
        <v/>
      </c>
      <c r="AV38" s="71" t="str">
        <f t="shared" si="15"/>
        <v/>
      </c>
      <c r="AW38" s="71" t="str">
        <f t="shared" si="15"/>
        <v/>
      </c>
      <c r="AX38" s="71">
        <f t="shared" si="16"/>
        <v>1.0260663263685001</v>
      </c>
      <c r="AY38" s="71">
        <f t="shared" si="16"/>
        <v>1.0258184130411734</v>
      </c>
      <c r="AZ38" s="71" t="str">
        <f t="shared" si="16"/>
        <v/>
      </c>
      <c r="BA38" s="71" t="str">
        <f t="shared" si="16"/>
        <v/>
      </c>
      <c r="BB38" s="71" t="str">
        <f t="shared" si="16"/>
        <v/>
      </c>
      <c r="BC38" s="18">
        <f>IF(C38&lt;&gt;"",(('Data input'!C$109-'Data input'!C$108)*(AS38-1)/4)+'Data input'!C$108,"")</f>
        <v>0.97943723856436926</v>
      </c>
      <c r="BD38" s="18" t="str">
        <f>IF(D38&lt;&gt;"",(('Data input'!D$109-'Data input'!D$108)*(AT38-1)/4)+'Data input'!D$108,"")</f>
        <v/>
      </c>
      <c r="BE38" s="18" t="str">
        <f>IF(E38&lt;&gt;"",(('Data input'!E$109-'Data input'!E$108)*(AU38-1)/4)+'Data input'!E$108,"")</f>
        <v/>
      </c>
      <c r="BF38" s="18" t="str">
        <f>IF(F38&lt;&gt;"",(('Data input'!F$109-'Data input'!F$108)*(AV38-1)/4)+'Data input'!F$108,"")</f>
        <v/>
      </c>
      <c r="BG38" s="18" t="str">
        <f>IF(G38&lt;&gt;"",(('Data input'!G$109-'Data input'!G$108)*(AW38-1)/4)+'Data input'!G$108,"")</f>
        <v/>
      </c>
      <c r="BH38" s="19">
        <f>IF(H38&lt;&gt;"",(('Data input'!H$109-'Data input'!H$108)*(AX38-1)/4)+'Data input'!H$108,"")</f>
        <v>0.8634107318050539</v>
      </c>
      <c r="BI38" s="18">
        <f>IF(I38&lt;&gt;"",(('Data input'!I$109-'Data input'!I$108)*(AY38-1)/4)+'Data input'!I$108,"")</f>
        <v>1.1336470784930799E-3</v>
      </c>
      <c r="BJ38" s="19" t="str">
        <f>IF(J38&lt;&gt;"",(('Data input'!J$109-'Data input'!J$108)*(AZ38-1)/4)+'Data input'!J$108,"")</f>
        <v/>
      </c>
      <c r="BK38" s="19" t="str">
        <f>IF(K38&lt;&gt;"",(('Data input'!K$109-'Data input'!K$108)*(BA38-1)/4)+'Data input'!K$108,"")</f>
        <v/>
      </c>
      <c r="BL38" s="19" t="str">
        <f>IF(L38&lt;&gt;"",(('Data input'!L$109-'Data input'!L$108)*(BB38-1)/4)+'Data input'!L$108,"")</f>
        <v/>
      </c>
      <c r="BM38" s="18">
        <f>IF(C38&lt;&gt;"",BC38-'Data input'!C38,"")</f>
        <v>0</v>
      </c>
      <c r="BN38" s="18" t="str">
        <f>IF(D38&lt;&gt;"",BD38-'Data input'!D38,"")</f>
        <v/>
      </c>
      <c r="BO38" s="18" t="str">
        <f>IF(E38&lt;&gt;"",BE38-'Data input'!E38,"")</f>
        <v/>
      </c>
      <c r="BP38" s="18" t="str">
        <f>IF(F38&lt;&gt;"",BF38-'Data input'!F38,"")</f>
        <v/>
      </c>
      <c r="BQ38" s="18" t="str">
        <f>IF(G38&lt;&gt;"",BG38-'Data input'!G38,"")</f>
        <v/>
      </c>
      <c r="BR38" s="19">
        <f>IF(H38&lt;&gt;"",BH38-'Data input'!H38,"")</f>
        <v>-0.40147418410404745</v>
      </c>
      <c r="BS38" s="18">
        <f>IF(I38&lt;&gt;"",BI38-'Data input'!I38,"")</f>
        <v>-2.7974136089614916E-2</v>
      </c>
      <c r="BT38" s="18" t="str">
        <f>IF(J38&lt;&gt;"",BJ38-'Data input'!J38,"")</f>
        <v/>
      </c>
      <c r="BU38" s="18" t="str">
        <f>IF(K38&lt;&gt;"",BK38-'Data input'!K38,"")</f>
        <v/>
      </c>
      <c r="BV38" s="72" t="str">
        <f>IF(L38&lt;&gt;"",BL38-'Data input'!L38,"")</f>
        <v/>
      </c>
      <c r="BW38" s="121" t="str">
        <f t="shared" si="17"/>
        <v xml:space="preserve">New York; Texas; </v>
      </c>
      <c r="BX38" s="1">
        <v>0</v>
      </c>
      <c r="BY38" s="1">
        <v>0</v>
      </c>
      <c r="BZ38" s="1">
        <v>0</v>
      </c>
      <c r="CA38" s="1">
        <v>0</v>
      </c>
      <c r="CB38" s="1">
        <v>0</v>
      </c>
      <c r="CC38" s="1">
        <v>0</v>
      </c>
      <c r="CD38" s="1">
        <v>0</v>
      </c>
      <c r="CE38" s="1">
        <v>0</v>
      </c>
      <c r="CF38" s="1">
        <v>0</v>
      </c>
      <c r="CG38" s="1">
        <v>0</v>
      </c>
      <c r="CH38" s="1">
        <v>0</v>
      </c>
      <c r="CI38" s="1">
        <v>0</v>
      </c>
      <c r="CJ38" s="1">
        <v>0</v>
      </c>
      <c r="CK38" s="1">
        <v>0</v>
      </c>
      <c r="CL38" s="1">
        <v>0</v>
      </c>
      <c r="CM38" s="1">
        <v>0</v>
      </c>
      <c r="CN38" s="1">
        <v>0</v>
      </c>
      <c r="CO38" s="1">
        <v>0</v>
      </c>
      <c r="CP38" s="1">
        <v>0</v>
      </c>
      <c r="CQ38" s="1">
        <v>0</v>
      </c>
      <c r="CR38" s="1">
        <v>0</v>
      </c>
      <c r="CS38" s="1">
        <v>0</v>
      </c>
      <c r="CT38" s="1">
        <v>0</v>
      </c>
      <c r="CU38" s="1">
        <v>0</v>
      </c>
      <c r="CV38" s="1">
        <v>0</v>
      </c>
      <c r="CW38" s="1">
        <v>0</v>
      </c>
      <c r="CX38" s="1">
        <v>0</v>
      </c>
      <c r="CY38" s="1">
        <v>0</v>
      </c>
      <c r="CZ38" s="1">
        <v>0</v>
      </c>
      <c r="DA38" s="1">
        <v>0</v>
      </c>
      <c r="DB38" s="1">
        <v>0</v>
      </c>
      <c r="DC38" s="1">
        <v>0</v>
      </c>
      <c r="DD38" s="1">
        <v>9.6940572345261711E-2</v>
      </c>
      <c r="DE38" s="1">
        <v>0</v>
      </c>
      <c r="DF38" s="1">
        <v>0</v>
      </c>
      <c r="DG38" s="1">
        <v>0</v>
      </c>
      <c r="DH38" s="1">
        <v>0</v>
      </c>
      <c r="DI38" s="1">
        <v>0</v>
      </c>
      <c r="DJ38" s="1">
        <v>0</v>
      </c>
      <c r="DK38" s="1">
        <v>0</v>
      </c>
      <c r="DL38" s="1">
        <v>0</v>
      </c>
      <c r="DM38" s="1">
        <v>0</v>
      </c>
      <c r="DN38" s="1">
        <v>0.90305942765473823</v>
      </c>
      <c r="DO38" s="1">
        <v>0</v>
      </c>
      <c r="DP38" s="1">
        <v>0</v>
      </c>
      <c r="DQ38" s="1">
        <v>0</v>
      </c>
      <c r="DR38" s="1">
        <v>0</v>
      </c>
      <c r="DS38" s="1">
        <v>0</v>
      </c>
      <c r="DT38" s="1">
        <v>0</v>
      </c>
      <c r="DU38" s="1">
        <v>0</v>
      </c>
      <c r="DV38" s="1">
        <v>0</v>
      </c>
      <c r="DW38" s="1">
        <v>0</v>
      </c>
      <c r="DX38" s="1">
        <v>0</v>
      </c>
      <c r="DY38" s="1">
        <v>0</v>
      </c>
      <c r="DZ38" s="1">
        <v>0</v>
      </c>
      <c r="FT38" s="1" t="str">
        <f t="shared" si="25"/>
        <v/>
      </c>
      <c r="FU38" s="1" t="str">
        <f t="shared" si="25"/>
        <v/>
      </c>
      <c r="FV38" s="1" t="str">
        <f t="shared" si="25"/>
        <v/>
      </c>
      <c r="FW38" s="1" t="str">
        <f t="shared" si="25"/>
        <v/>
      </c>
      <c r="FX38" s="1" t="str">
        <f t="shared" si="25"/>
        <v/>
      </c>
      <c r="FY38" s="1" t="str">
        <f t="shared" si="25"/>
        <v/>
      </c>
      <c r="FZ38" s="1" t="str">
        <f t="shared" si="25"/>
        <v/>
      </c>
      <c r="GA38" s="1" t="str">
        <f t="shared" si="25"/>
        <v/>
      </c>
      <c r="GB38" s="1" t="str">
        <f t="shared" si="25"/>
        <v/>
      </c>
      <c r="GC38" s="1" t="str">
        <f t="shared" si="25"/>
        <v/>
      </c>
      <c r="GD38" s="1" t="str">
        <f t="shared" si="25"/>
        <v/>
      </c>
      <c r="GE38" s="1" t="str">
        <f t="shared" si="25"/>
        <v/>
      </c>
      <c r="GF38" s="1" t="str">
        <f t="shared" si="25"/>
        <v/>
      </c>
      <c r="GG38" s="1" t="str">
        <f t="shared" si="25"/>
        <v/>
      </c>
      <c r="GH38" s="1" t="str">
        <f t="shared" si="25"/>
        <v/>
      </c>
      <c r="GI38" s="1" t="str">
        <f t="shared" si="25"/>
        <v/>
      </c>
      <c r="GJ38" s="1" t="str">
        <f t="shared" si="31"/>
        <v/>
      </c>
      <c r="GK38" s="1" t="str">
        <f t="shared" si="31"/>
        <v/>
      </c>
      <c r="GL38" s="1" t="str">
        <f t="shared" si="31"/>
        <v/>
      </c>
      <c r="GM38" s="1" t="str">
        <f t="shared" si="31"/>
        <v/>
      </c>
      <c r="GN38" s="1" t="str">
        <f t="shared" si="31"/>
        <v/>
      </c>
      <c r="GO38" s="1" t="str">
        <f t="shared" si="31"/>
        <v/>
      </c>
      <c r="GP38" s="1" t="str">
        <f t="shared" si="31"/>
        <v/>
      </c>
      <c r="GQ38" s="1" t="str">
        <f t="shared" si="31"/>
        <v/>
      </c>
      <c r="GR38" s="1" t="str">
        <f t="shared" si="31"/>
        <v/>
      </c>
      <c r="GS38" s="1" t="str">
        <f t="shared" si="31"/>
        <v/>
      </c>
      <c r="GT38" s="1" t="str">
        <f t="shared" si="31"/>
        <v/>
      </c>
      <c r="GU38" s="1" t="str">
        <f t="shared" si="31"/>
        <v/>
      </c>
      <c r="GV38" s="1" t="str">
        <f t="shared" si="31"/>
        <v/>
      </c>
      <c r="GW38" s="1" t="str">
        <f t="shared" si="31"/>
        <v/>
      </c>
      <c r="GX38" s="1" t="str">
        <f t="shared" si="26"/>
        <v/>
      </c>
      <c r="GY38" s="1" t="str">
        <f t="shared" si="26"/>
        <v/>
      </c>
      <c r="GZ38" s="1" t="str">
        <f t="shared" si="26"/>
        <v xml:space="preserve">New York; </v>
      </c>
      <c r="HA38" s="1" t="str">
        <f t="shared" si="26"/>
        <v/>
      </c>
      <c r="HB38" s="1" t="str">
        <f t="shared" si="26"/>
        <v/>
      </c>
      <c r="HC38" s="1" t="str">
        <f t="shared" si="26"/>
        <v/>
      </c>
      <c r="HD38" s="1" t="str">
        <f t="shared" si="26"/>
        <v/>
      </c>
      <c r="HE38" s="1" t="str">
        <f t="shared" si="26"/>
        <v/>
      </c>
      <c r="HF38" s="1" t="str">
        <f t="shared" si="26"/>
        <v/>
      </c>
      <c r="HG38" s="1" t="str">
        <f t="shared" si="26"/>
        <v/>
      </c>
      <c r="HH38" s="1" t="str">
        <f t="shared" si="26"/>
        <v/>
      </c>
      <c r="HI38" s="1" t="str">
        <f t="shared" si="26"/>
        <v/>
      </c>
      <c r="HJ38" s="1" t="str">
        <f t="shared" si="26"/>
        <v xml:space="preserve">Texas; </v>
      </c>
      <c r="HK38" s="1" t="str">
        <f t="shared" si="26"/>
        <v/>
      </c>
      <c r="HL38" s="1" t="str">
        <f t="shared" si="26"/>
        <v/>
      </c>
      <c r="HM38" s="1" t="str">
        <f t="shared" si="26"/>
        <v/>
      </c>
      <c r="HN38" s="1" t="str">
        <f t="shared" si="27"/>
        <v/>
      </c>
      <c r="HO38" s="1" t="str">
        <f t="shared" si="27"/>
        <v/>
      </c>
      <c r="HP38" s="1" t="str">
        <f t="shared" si="27"/>
        <v/>
      </c>
      <c r="HQ38" s="1" t="str">
        <f t="shared" si="27"/>
        <v/>
      </c>
      <c r="HR38" s="1" t="str">
        <f t="shared" si="27"/>
        <v/>
      </c>
      <c r="HS38" s="1" t="str">
        <f t="shared" si="27"/>
        <v/>
      </c>
      <c r="HT38" s="1" t="str">
        <f t="shared" si="27"/>
        <v/>
      </c>
      <c r="HU38" s="1" t="str">
        <f t="shared" si="27"/>
        <v/>
      </c>
      <c r="HV38" s="1" t="str">
        <f t="shared" si="27"/>
        <v/>
      </c>
      <c r="HW38" s="1" t="str">
        <f t="shared" si="27"/>
        <v/>
      </c>
      <c r="HX38" s="1" t="str">
        <f t="shared" si="27"/>
        <v/>
      </c>
      <c r="HY38" s="1" t="str">
        <f t="shared" si="27"/>
        <v/>
      </c>
      <c r="HZ38" s="1" t="str">
        <f t="shared" si="27"/>
        <v/>
      </c>
      <c r="IA38" s="1" t="str">
        <f t="shared" si="27"/>
        <v/>
      </c>
      <c r="IB38" s="1" t="str">
        <f t="shared" si="27"/>
        <v/>
      </c>
      <c r="IC38" s="1" t="str">
        <f t="shared" si="27"/>
        <v/>
      </c>
      <c r="ID38" s="1" t="str">
        <f t="shared" si="28"/>
        <v/>
      </c>
      <c r="IE38" s="1" t="str">
        <f t="shared" si="28"/>
        <v/>
      </c>
      <c r="IF38" s="1" t="str">
        <f t="shared" si="28"/>
        <v/>
      </c>
      <c r="IG38" s="1" t="str">
        <f t="shared" si="28"/>
        <v/>
      </c>
      <c r="IH38" s="1" t="str">
        <f t="shared" si="28"/>
        <v/>
      </c>
      <c r="II38" s="1" t="str">
        <f t="shared" si="28"/>
        <v/>
      </c>
      <c r="IJ38" s="1" t="str">
        <f t="shared" si="28"/>
        <v/>
      </c>
      <c r="IK38" s="1" t="str">
        <f t="shared" si="28"/>
        <v/>
      </c>
      <c r="IL38" s="1" t="str">
        <f t="shared" si="28"/>
        <v/>
      </c>
      <c r="IM38" s="1" t="str">
        <f t="shared" si="28"/>
        <v/>
      </c>
      <c r="IN38" s="1" t="str">
        <f t="shared" si="28"/>
        <v/>
      </c>
      <c r="IO38" s="1" t="str">
        <f t="shared" si="28"/>
        <v/>
      </c>
      <c r="IP38" s="1" t="str">
        <f t="shared" si="28"/>
        <v/>
      </c>
      <c r="IQ38" s="1" t="str">
        <f t="shared" si="28"/>
        <v/>
      </c>
      <c r="IR38" s="1" t="str">
        <f t="shared" si="28"/>
        <v/>
      </c>
      <c r="IS38" s="1" t="str">
        <f t="shared" si="28"/>
        <v/>
      </c>
      <c r="IT38" s="1" t="str">
        <f t="shared" si="29"/>
        <v/>
      </c>
      <c r="IU38" s="1" t="str">
        <f t="shared" si="29"/>
        <v/>
      </c>
      <c r="IV38" s="1" t="str">
        <f t="shared" si="29"/>
        <v/>
      </c>
      <c r="IW38" s="1" t="str">
        <f t="shared" si="29"/>
        <v/>
      </c>
      <c r="IX38" s="1" t="str">
        <f t="shared" si="29"/>
        <v/>
      </c>
      <c r="IY38" s="1" t="str">
        <f t="shared" si="29"/>
        <v/>
      </c>
      <c r="IZ38" s="1" t="str">
        <f t="shared" si="29"/>
        <v/>
      </c>
      <c r="JA38" s="1" t="str">
        <f t="shared" si="29"/>
        <v/>
      </c>
      <c r="JB38" s="1" t="str">
        <f t="shared" si="29"/>
        <v/>
      </c>
      <c r="JC38" s="1" t="str">
        <f t="shared" si="29"/>
        <v/>
      </c>
      <c r="JD38" s="1" t="str">
        <f t="shared" si="29"/>
        <v/>
      </c>
      <c r="JE38" s="1" t="str">
        <f t="shared" si="29"/>
        <v/>
      </c>
      <c r="JF38" s="1" t="str">
        <f t="shared" si="29"/>
        <v/>
      </c>
      <c r="JG38" s="1" t="str">
        <f t="shared" si="29"/>
        <v/>
      </c>
      <c r="JH38" s="1" t="str">
        <f t="shared" si="29"/>
        <v/>
      </c>
      <c r="JI38" s="1" t="str">
        <f t="shared" si="29"/>
        <v/>
      </c>
      <c r="JJ38" s="1" t="str">
        <f t="shared" si="30"/>
        <v/>
      </c>
      <c r="JK38" s="1" t="str">
        <f t="shared" si="30"/>
        <v/>
      </c>
      <c r="JL38" s="1" t="str">
        <f t="shared" si="24"/>
        <v/>
      </c>
      <c r="JM38" s="1" t="str">
        <f t="shared" si="12"/>
        <v/>
      </c>
      <c r="JN38" s="1" t="str">
        <f t="shared" si="12"/>
        <v/>
      </c>
      <c r="JO38" s="1" t="str">
        <f t="shared" si="12"/>
        <v/>
      </c>
    </row>
    <row r="39" spans="1:275" ht="14.5" x14ac:dyDescent="0.35">
      <c r="A39" s="59">
        <f>IF('Data input'!A39&lt;&gt;"",'Data input'!A39,"")</f>
        <v>37</v>
      </c>
      <c r="B39" s="60" t="str">
        <f>IF('Data input'!B39&lt;&gt;"",'Data input'!B39,"")</f>
        <v>Oklahoma</v>
      </c>
      <c r="C39" s="19">
        <f>IF('Data input'!C39="","",4*('Data input'!C39-'Data input'!C$108)/('Data input'!C$109-'Data input'!C$108)+1)</f>
        <v>4.6951979206734915</v>
      </c>
      <c r="D39" s="19" t="str">
        <f>IF('Data input'!D39="","",4*('Data input'!D39-'Data input'!D$108)/('Data input'!D$109-'Data input'!D$108)+1)</f>
        <v/>
      </c>
      <c r="E39" s="19" t="str">
        <f>IF('Data input'!E39="","",4*('Data input'!E39-'Data input'!E$108)/('Data input'!E$109-'Data input'!E$108)+1)</f>
        <v/>
      </c>
      <c r="F39" s="19" t="str">
        <f>IF('Data input'!F39="","",4*('Data input'!F39-'Data input'!F$108)/('Data input'!F$109-'Data input'!F$108)+1)</f>
        <v/>
      </c>
      <c r="G39" s="19" t="str">
        <f>IF('Data input'!G39="","",4*('Data input'!G39-'Data input'!G$108)/('Data input'!G$109-'Data input'!G$108)+1)</f>
        <v/>
      </c>
      <c r="H39" s="61">
        <f>IF('Data input'!H39="","",4*('Data input'!H39-'Data input'!H$108)/('Data input'!H$109-'Data input'!H$108)+1)</f>
        <v>1.4490200820212698</v>
      </c>
      <c r="I39" s="19">
        <f>IF('Data input'!I39="","",4*('Data input'!I39-'Data input'!I$108)/('Data input'!I$109-'Data input'!I$108)+1)</f>
        <v>1.1383425839776702</v>
      </c>
      <c r="J39" s="19" t="str">
        <f>IF('Data input'!J39="","",4*('Data input'!J39-'Data input'!J$108)/('Data input'!J$109-'Data input'!J$108)+1)</f>
        <v/>
      </c>
      <c r="K39" s="19" t="str">
        <f>IF('Data input'!K39="","",4*('Data input'!K39-'Data input'!K$108)/('Data input'!K$109-'Data input'!K$108)+1)</f>
        <v/>
      </c>
      <c r="L39" s="19" t="str">
        <f>IF('Data input'!L39="","",4*('Data input'!L39-'Data input'!L$108)/('Data input'!L$109-'Data input'!L$108)+1)</f>
        <v/>
      </c>
      <c r="M39" s="19">
        <f>IF('Data input'!M39="","",4*('Data input'!M39-'Data input'!M$108)/('Data input'!M$109-'Data input'!M$108)+1)</f>
        <v>1.9634021133482806</v>
      </c>
      <c r="N39" s="16" t="str">
        <f>IF('Data input'!N39="","",4*('Data input'!N39-'Data input'!N$108)/('Data input'!N$109-'Data input'!N$108)+1)</f>
        <v/>
      </c>
      <c r="O39" s="19" t="str">
        <f>IF('Data input'!O39="","",4*('Data input'!O39-'Data input'!O$108)/('Data input'!O$109-'Data input'!O$108)+1)</f>
        <v/>
      </c>
      <c r="P39" s="19" t="str">
        <f>IF('Data input'!P39="","",4*('Data input'!P39-'Data input'!P$108)/('Data input'!P$109-'Data input'!P$108)+1)</f>
        <v/>
      </c>
      <c r="Q39" s="19" t="str">
        <f>IF('Data input'!Q39="","",4*('Data input'!Q39-'Data input'!Q$108)/('Data input'!Q$109-'Data input'!Q$108)+1)</f>
        <v/>
      </c>
      <c r="R39" s="19" t="str">
        <f>IF('Data input'!R39="","",4*('Data input'!R39-'Data input'!R$108)/('Data input'!R$109-'Data input'!R$108)+1)</f>
        <v/>
      </c>
      <c r="S39" s="16" t="str">
        <f>IF('Data input'!S39="","",4*('Data input'!S39-'Data input'!S$108)/('Data input'!S$109-'Data input'!S$108)+1)</f>
        <v/>
      </c>
      <c r="T39" s="19" t="str">
        <f>IF('Data input'!T39="","",4*('Data input'!T39-'Data input'!T$108)/('Data input'!T$109-'Data input'!T$108)+1)</f>
        <v/>
      </c>
      <c r="U39" s="19" t="str">
        <f>IF('Data input'!U39="","",4*('Data input'!U39-'Data input'!U$108)/('Data input'!U$109-'Data input'!U$108)+1)</f>
        <v/>
      </c>
      <c r="V39" s="19" t="str">
        <f>IF('Data input'!V39="","",4*('Data input'!V39-'Data input'!V$108)/('Data input'!V$109-'Data input'!V$108)+1)</f>
        <v/>
      </c>
      <c r="W39" s="16" t="str">
        <f>IF('Data input'!W39="","",4*('Data input'!W39-'Data input'!W$108)/('Data input'!W$109-'Data input'!W$108)+1)</f>
        <v/>
      </c>
      <c r="X39" s="16" t="str">
        <f>IF('Data input'!X39="","",4*('Data input'!X39-'Data input'!X$108)/('Data input'!X$109-'Data input'!X$108)+1)</f>
        <v/>
      </c>
      <c r="Y39" s="16" t="str">
        <f>IF('Data input'!Y39="","",4*('Data input'!Y39-'Data input'!Y$108)/('Data input'!Y$109-'Data input'!Y$108)+1)</f>
        <v/>
      </c>
      <c r="Z39" s="16" t="str">
        <f>IF('Data input'!Z39="","",4*('Data input'!Z39-'Data input'!Z$108)/('Data input'!Z$109-'Data input'!Z$108)+1)</f>
        <v/>
      </c>
      <c r="AA39" s="62" t="str">
        <f>IF('Data input'!AA39="","",4*('Data input'!AA39-'Data input'!AA$108)/('Data input'!AA$109-'Data input'!AA$108)+1)</f>
        <v/>
      </c>
      <c r="AB39" s="78"/>
      <c r="AC39" s="79">
        <v>0</v>
      </c>
      <c r="AD39" s="80" t="e">
        <f t="shared" si="13"/>
        <v>#DIV/0!</v>
      </c>
      <c r="AE39" s="4"/>
      <c r="AF39" s="59">
        <f t="shared" si="14"/>
        <v>37</v>
      </c>
      <c r="AG39" s="60" t="str">
        <f t="shared" si="14"/>
        <v>Oklahoma</v>
      </c>
      <c r="AH39">
        <v>0</v>
      </c>
      <c r="AI39" t="s">
        <v>69</v>
      </c>
      <c r="AJ39" t="s">
        <v>69</v>
      </c>
      <c r="AK39" t="s">
        <v>69</v>
      </c>
      <c r="AL39" t="s">
        <v>69</v>
      </c>
      <c r="AM39">
        <v>0.43350464315189086</v>
      </c>
      <c r="AN39">
        <v>0.11232117754445037</v>
      </c>
      <c r="AO39" t="s">
        <v>69</v>
      </c>
      <c r="AP39" t="s">
        <v>69</v>
      </c>
      <c r="AQ39" t="s">
        <v>69</v>
      </c>
      <c r="AR39">
        <v>0.8010791478170296</v>
      </c>
      <c r="AS39" s="71">
        <f t="shared" si="15"/>
        <v>4.6951979206734915</v>
      </c>
      <c r="AT39" s="71" t="str">
        <f t="shared" si="15"/>
        <v/>
      </c>
      <c r="AU39" s="71" t="str">
        <f t="shared" si="15"/>
        <v/>
      </c>
      <c r="AV39" s="71" t="str">
        <f t="shared" si="15"/>
        <v/>
      </c>
      <c r="AW39" s="71" t="str">
        <f t="shared" si="15"/>
        <v/>
      </c>
      <c r="AX39" s="71">
        <f t="shared" si="16"/>
        <v>1.0155154388693788</v>
      </c>
      <c r="AY39" s="71">
        <f t="shared" si="16"/>
        <v>1.0260214064332198</v>
      </c>
      <c r="AZ39" s="71" t="str">
        <f t="shared" si="16"/>
        <v/>
      </c>
      <c r="BA39" s="71" t="str">
        <f t="shared" si="16"/>
        <v/>
      </c>
      <c r="BB39" s="71" t="str">
        <f t="shared" si="16"/>
        <v/>
      </c>
      <c r="BC39" s="18">
        <f>IF(C39&lt;&gt;"",(('Data input'!C$109-'Data input'!C$108)*(AS39-1)/4)+'Data input'!C$108,"")</f>
        <v>0.98522618040734489</v>
      </c>
      <c r="BD39" s="18" t="str">
        <f>IF(D39&lt;&gt;"",(('Data input'!D$109-'Data input'!D$108)*(AT39-1)/4)+'Data input'!D$108,"")</f>
        <v/>
      </c>
      <c r="BE39" s="18" t="str">
        <f>IF(E39&lt;&gt;"",(('Data input'!E$109-'Data input'!E$108)*(AU39-1)/4)+'Data input'!E$108,"")</f>
        <v/>
      </c>
      <c r="BF39" s="18" t="str">
        <f>IF(F39&lt;&gt;"",(('Data input'!F$109-'Data input'!F$108)*(AV39-1)/4)+'Data input'!F$108,"")</f>
        <v/>
      </c>
      <c r="BG39" s="18" t="str">
        <f>IF(G39&lt;&gt;"",(('Data input'!G$109-'Data input'!G$108)*(AW39-1)/4)+'Data input'!G$108,"")</f>
        <v/>
      </c>
      <c r="BH39" s="19">
        <f>IF(H39&lt;&gt;"",(('Data input'!H$109-'Data input'!H$108)*(AX39-1)/4)+'Data input'!H$108,"")</f>
        <v>0.63363528886091391</v>
      </c>
      <c r="BI39" s="18">
        <f>IF(I39&lt;&gt;"",(('Data input'!I$109-'Data input'!I$108)*(AY39-1)/4)+'Data input'!I$108,"")</f>
        <v>1.1425602082613525E-3</v>
      </c>
      <c r="BJ39" s="19" t="str">
        <f>IF(J39&lt;&gt;"",(('Data input'!J$109-'Data input'!J$108)*(AZ39-1)/4)+'Data input'!J$108,"")</f>
        <v/>
      </c>
      <c r="BK39" s="19" t="str">
        <f>IF(K39&lt;&gt;"",(('Data input'!K$109-'Data input'!K$108)*(BA39-1)/4)+'Data input'!K$108,"")</f>
        <v/>
      </c>
      <c r="BL39" s="19" t="str">
        <f>IF(L39&lt;&gt;"",(('Data input'!L$109-'Data input'!L$108)*(BB39-1)/4)+'Data input'!L$108,"")</f>
        <v/>
      </c>
      <c r="BM39" s="18">
        <f>IF(C39&lt;&gt;"",BC39-'Data input'!C39,"")</f>
        <v>0</v>
      </c>
      <c r="BN39" s="18" t="str">
        <f>IF(D39&lt;&gt;"",BD39-'Data input'!D39,"")</f>
        <v/>
      </c>
      <c r="BO39" s="18" t="str">
        <f>IF(E39&lt;&gt;"",BE39-'Data input'!E39,"")</f>
        <v/>
      </c>
      <c r="BP39" s="18" t="str">
        <f>IF(F39&lt;&gt;"",BF39-'Data input'!F39,"")</f>
        <v/>
      </c>
      <c r="BQ39" s="18" t="str">
        <f>IF(G39&lt;&gt;"",BG39-'Data input'!G39,"")</f>
        <v/>
      </c>
      <c r="BR39" s="19">
        <f>IF(H39&lt;&gt;"",BH39-'Data input'!H39,"")</f>
        <v>-9.440790777729557</v>
      </c>
      <c r="BS39" s="18">
        <f>IF(I39&lt;&gt;"",BI39-'Data input'!I39,"")</f>
        <v>-4.9318513331205764E-3</v>
      </c>
      <c r="BT39" s="18" t="str">
        <f>IF(J39&lt;&gt;"",BJ39-'Data input'!J39,"")</f>
        <v/>
      </c>
      <c r="BU39" s="18" t="str">
        <f>IF(K39&lt;&gt;"",BK39-'Data input'!K39,"")</f>
        <v/>
      </c>
      <c r="BV39" s="72" t="str">
        <f>IF(L39&lt;&gt;"",BL39-'Data input'!L39,"")</f>
        <v/>
      </c>
      <c r="BW39" s="121" t="str">
        <f t="shared" si="17"/>
        <v xml:space="preserve">Kansas; New York; Texas; </v>
      </c>
      <c r="BX39" s="1">
        <v>0</v>
      </c>
      <c r="BY39" s="1">
        <v>0</v>
      </c>
      <c r="BZ39" s="1">
        <v>0</v>
      </c>
      <c r="CA39" s="1">
        <v>0</v>
      </c>
      <c r="CB39" s="1">
        <v>0</v>
      </c>
      <c r="CC39" s="1">
        <v>0</v>
      </c>
      <c r="CD39" s="1">
        <v>0</v>
      </c>
      <c r="CE39" s="1">
        <v>0</v>
      </c>
      <c r="CF39" s="1">
        <v>0</v>
      </c>
      <c r="CG39" s="1">
        <v>0</v>
      </c>
      <c r="CH39" s="1">
        <v>0</v>
      </c>
      <c r="CI39" s="1">
        <v>0</v>
      </c>
      <c r="CJ39" s="1">
        <v>0</v>
      </c>
      <c r="CK39" s="1">
        <v>0</v>
      </c>
      <c r="CL39" s="1">
        <v>0</v>
      </c>
      <c r="CM39" s="1">
        <v>0</v>
      </c>
      <c r="CN39" s="1">
        <v>4.9206265480826294E-2</v>
      </c>
      <c r="CO39" s="1">
        <v>0</v>
      </c>
      <c r="CP39" s="1">
        <v>0</v>
      </c>
      <c r="CQ39" s="1">
        <v>0</v>
      </c>
      <c r="CR39" s="1">
        <v>0</v>
      </c>
      <c r="CS39" s="1">
        <v>0</v>
      </c>
      <c r="CT39" s="1">
        <v>0</v>
      </c>
      <c r="CU39" s="1">
        <v>0</v>
      </c>
      <c r="CV39" s="1">
        <v>0</v>
      </c>
      <c r="CW39" s="1">
        <v>0</v>
      </c>
      <c r="CX39" s="1">
        <v>0</v>
      </c>
      <c r="CY39" s="1">
        <v>0</v>
      </c>
      <c r="CZ39" s="1">
        <v>0</v>
      </c>
      <c r="DA39" s="1">
        <v>0</v>
      </c>
      <c r="DB39" s="1">
        <v>0</v>
      </c>
      <c r="DC39" s="1">
        <v>0</v>
      </c>
      <c r="DD39" s="1">
        <v>3.6184593329678244E-2</v>
      </c>
      <c r="DE39" s="1">
        <v>0</v>
      </c>
      <c r="DF39" s="1">
        <v>0</v>
      </c>
      <c r="DG39" s="1">
        <v>0</v>
      </c>
      <c r="DH39" s="1">
        <v>0</v>
      </c>
      <c r="DI39" s="1">
        <v>0</v>
      </c>
      <c r="DJ39" s="1">
        <v>0</v>
      </c>
      <c r="DK39" s="1">
        <v>0</v>
      </c>
      <c r="DL39" s="1">
        <v>0</v>
      </c>
      <c r="DM39" s="1">
        <v>0</v>
      </c>
      <c r="DN39" s="1">
        <v>0.91460914118949588</v>
      </c>
      <c r="DO39" s="1">
        <v>0</v>
      </c>
      <c r="DP39" s="1">
        <v>0</v>
      </c>
      <c r="DQ39" s="1">
        <v>0</v>
      </c>
      <c r="DR39" s="1">
        <v>0</v>
      </c>
      <c r="DS39" s="1">
        <v>0</v>
      </c>
      <c r="DT39" s="1">
        <v>0</v>
      </c>
      <c r="DU39" s="1">
        <v>0</v>
      </c>
      <c r="DV39" s="1">
        <v>0</v>
      </c>
      <c r="DW39" s="1">
        <v>0</v>
      </c>
      <c r="DX39" s="1">
        <v>0</v>
      </c>
      <c r="DY39" s="1">
        <v>0</v>
      </c>
      <c r="DZ39" s="1">
        <v>0</v>
      </c>
      <c r="FT39" s="1" t="str">
        <f t="shared" si="25"/>
        <v/>
      </c>
      <c r="FU39" s="1" t="str">
        <f t="shared" si="25"/>
        <v/>
      </c>
      <c r="FV39" s="1" t="str">
        <f t="shared" si="25"/>
        <v/>
      </c>
      <c r="FW39" s="1" t="str">
        <f t="shared" si="25"/>
        <v/>
      </c>
      <c r="FX39" s="1" t="str">
        <f t="shared" si="25"/>
        <v/>
      </c>
      <c r="FY39" s="1" t="str">
        <f t="shared" si="25"/>
        <v/>
      </c>
      <c r="FZ39" s="1" t="str">
        <f t="shared" si="25"/>
        <v/>
      </c>
      <c r="GA39" s="1" t="str">
        <f t="shared" si="25"/>
        <v/>
      </c>
      <c r="GB39" s="1" t="str">
        <f t="shared" si="25"/>
        <v/>
      </c>
      <c r="GC39" s="1" t="str">
        <f t="shared" si="25"/>
        <v/>
      </c>
      <c r="GD39" s="1" t="str">
        <f t="shared" si="25"/>
        <v/>
      </c>
      <c r="GE39" s="1" t="str">
        <f t="shared" si="25"/>
        <v/>
      </c>
      <c r="GF39" s="1" t="str">
        <f t="shared" si="25"/>
        <v/>
      </c>
      <c r="GG39" s="1" t="str">
        <f t="shared" si="25"/>
        <v/>
      </c>
      <c r="GH39" s="1" t="str">
        <f t="shared" si="25"/>
        <v/>
      </c>
      <c r="GI39" s="1" t="str">
        <f t="shared" si="25"/>
        <v/>
      </c>
      <c r="GJ39" s="1" t="str">
        <f t="shared" si="31"/>
        <v xml:space="preserve">Kansas; </v>
      </c>
      <c r="GK39" s="1" t="str">
        <f t="shared" si="31"/>
        <v/>
      </c>
      <c r="GL39" s="1" t="str">
        <f t="shared" si="31"/>
        <v/>
      </c>
      <c r="GM39" s="1" t="str">
        <f t="shared" si="31"/>
        <v/>
      </c>
      <c r="GN39" s="1" t="str">
        <f t="shared" si="31"/>
        <v/>
      </c>
      <c r="GO39" s="1" t="str">
        <f t="shared" si="31"/>
        <v/>
      </c>
      <c r="GP39" s="1" t="str">
        <f t="shared" si="31"/>
        <v/>
      </c>
      <c r="GQ39" s="1" t="str">
        <f t="shared" si="31"/>
        <v/>
      </c>
      <c r="GR39" s="1" t="str">
        <f t="shared" si="31"/>
        <v/>
      </c>
      <c r="GS39" s="1" t="str">
        <f t="shared" si="31"/>
        <v/>
      </c>
      <c r="GT39" s="1" t="str">
        <f t="shared" si="31"/>
        <v/>
      </c>
      <c r="GU39" s="1" t="str">
        <f t="shared" si="31"/>
        <v/>
      </c>
      <c r="GV39" s="1" t="str">
        <f t="shared" si="31"/>
        <v/>
      </c>
      <c r="GW39" s="1" t="str">
        <f t="shared" si="31"/>
        <v/>
      </c>
      <c r="GX39" s="1" t="str">
        <f t="shared" si="26"/>
        <v/>
      </c>
      <c r="GY39" s="1" t="str">
        <f t="shared" si="26"/>
        <v/>
      </c>
      <c r="GZ39" s="1" t="str">
        <f t="shared" si="26"/>
        <v xml:space="preserve">New York; </v>
      </c>
      <c r="HA39" s="1" t="str">
        <f t="shared" si="26"/>
        <v/>
      </c>
      <c r="HB39" s="1" t="str">
        <f t="shared" si="26"/>
        <v/>
      </c>
      <c r="HC39" s="1" t="str">
        <f t="shared" si="26"/>
        <v/>
      </c>
      <c r="HD39" s="1" t="str">
        <f t="shared" si="26"/>
        <v/>
      </c>
      <c r="HE39" s="1" t="str">
        <f t="shared" si="26"/>
        <v/>
      </c>
      <c r="HF39" s="1" t="str">
        <f t="shared" si="26"/>
        <v/>
      </c>
      <c r="HG39" s="1" t="str">
        <f t="shared" si="26"/>
        <v/>
      </c>
      <c r="HH39" s="1" t="str">
        <f t="shared" si="26"/>
        <v/>
      </c>
      <c r="HI39" s="1" t="str">
        <f t="shared" si="26"/>
        <v/>
      </c>
      <c r="HJ39" s="1" t="str">
        <f t="shared" si="26"/>
        <v xml:space="preserve">Texas; </v>
      </c>
      <c r="HK39" s="1" t="str">
        <f t="shared" si="26"/>
        <v/>
      </c>
      <c r="HL39" s="1" t="str">
        <f t="shared" si="26"/>
        <v/>
      </c>
      <c r="HM39" s="1" t="str">
        <f t="shared" si="26"/>
        <v/>
      </c>
      <c r="HN39" s="1" t="str">
        <f t="shared" si="27"/>
        <v/>
      </c>
      <c r="HO39" s="1" t="str">
        <f t="shared" si="27"/>
        <v/>
      </c>
      <c r="HP39" s="1" t="str">
        <f t="shared" si="27"/>
        <v/>
      </c>
      <c r="HQ39" s="1" t="str">
        <f t="shared" si="27"/>
        <v/>
      </c>
      <c r="HR39" s="1" t="str">
        <f t="shared" si="27"/>
        <v/>
      </c>
      <c r="HS39" s="1" t="str">
        <f t="shared" si="27"/>
        <v/>
      </c>
      <c r="HT39" s="1" t="str">
        <f t="shared" si="27"/>
        <v/>
      </c>
      <c r="HU39" s="1" t="str">
        <f t="shared" si="27"/>
        <v/>
      </c>
      <c r="HV39" s="1" t="str">
        <f t="shared" si="27"/>
        <v/>
      </c>
      <c r="HW39" s="1" t="str">
        <f t="shared" si="27"/>
        <v/>
      </c>
      <c r="HX39" s="1" t="str">
        <f t="shared" si="27"/>
        <v/>
      </c>
      <c r="HY39" s="1" t="str">
        <f t="shared" si="27"/>
        <v/>
      </c>
      <c r="HZ39" s="1" t="str">
        <f t="shared" si="27"/>
        <v/>
      </c>
      <c r="IA39" s="1" t="str">
        <f t="shared" si="27"/>
        <v/>
      </c>
      <c r="IB39" s="1" t="str">
        <f t="shared" si="27"/>
        <v/>
      </c>
      <c r="IC39" s="1" t="str">
        <f t="shared" si="27"/>
        <v/>
      </c>
      <c r="ID39" s="1" t="str">
        <f t="shared" si="28"/>
        <v/>
      </c>
      <c r="IE39" s="1" t="str">
        <f t="shared" si="28"/>
        <v/>
      </c>
      <c r="IF39" s="1" t="str">
        <f t="shared" si="28"/>
        <v/>
      </c>
      <c r="IG39" s="1" t="str">
        <f t="shared" si="28"/>
        <v/>
      </c>
      <c r="IH39" s="1" t="str">
        <f t="shared" si="28"/>
        <v/>
      </c>
      <c r="II39" s="1" t="str">
        <f t="shared" si="28"/>
        <v/>
      </c>
      <c r="IJ39" s="1" t="str">
        <f t="shared" si="28"/>
        <v/>
      </c>
      <c r="IK39" s="1" t="str">
        <f t="shared" si="28"/>
        <v/>
      </c>
      <c r="IL39" s="1" t="str">
        <f t="shared" si="28"/>
        <v/>
      </c>
      <c r="IM39" s="1" t="str">
        <f t="shared" si="28"/>
        <v/>
      </c>
      <c r="IN39" s="1" t="str">
        <f t="shared" si="28"/>
        <v/>
      </c>
      <c r="IO39" s="1" t="str">
        <f t="shared" si="28"/>
        <v/>
      </c>
      <c r="IP39" s="1" t="str">
        <f t="shared" si="28"/>
        <v/>
      </c>
      <c r="IQ39" s="1" t="str">
        <f t="shared" si="28"/>
        <v/>
      </c>
      <c r="IR39" s="1" t="str">
        <f t="shared" si="28"/>
        <v/>
      </c>
      <c r="IS39" s="1" t="str">
        <f t="shared" si="28"/>
        <v/>
      </c>
      <c r="IT39" s="1" t="str">
        <f t="shared" si="29"/>
        <v/>
      </c>
      <c r="IU39" s="1" t="str">
        <f t="shared" si="29"/>
        <v/>
      </c>
      <c r="IV39" s="1" t="str">
        <f t="shared" si="29"/>
        <v/>
      </c>
      <c r="IW39" s="1" t="str">
        <f t="shared" si="29"/>
        <v/>
      </c>
      <c r="IX39" s="1" t="str">
        <f t="shared" si="29"/>
        <v/>
      </c>
      <c r="IY39" s="1" t="str">
        <f t="shared" si="29"/>
        <v/>
      </c>
      <c r="IZ39" s="1" t="str">
        <f t="shared" si="29"/>
        <v/>
      </c>
      <c r="JA39" s="1" t="str">
        <f t="shared" si="29"/>
        <v/>
      </c>
      <c r="JB39" s="1" t="str">
        <f t="shared" si="29"/>
        <v/>
      </c>
      <c r="JC39" s="1" t="str">
        <f t="shared" si="29"/>
        <v/>
      </c>
      <c r="JD39" s="1" t="str">
        <f t="shared" si="29"/>
        <v/>
      </c>
      <c r="JE39" s="1" t="str">
        <f t="shared" si="29"/>
        <v/>
      </c>
      <c r="JF39" s="1" t="str">
        <f t="shared" si="29"/>
        <v/>
      </c>
      <c r="JG39" s="1" t="str">
        <f t="shared" si="29"/>
        <v/>
      </c>
      <c r="JH39" s="1" t="str">
        <f t="shared" si="29"/>
        <v/>
      </c>
      <c r="JI39" s="1" t="str">
        <f t="shared" si="29"/>
        <v/>
      </c>
      <c r="JJ39" s="1" t="str">
        <f t="shared" si="30"/>
        <v/>
      </c>
      <c r="JK39" s="1" t="str">
        <f t="shared" si="30"/>
        <v/>
      </c>
      <c r="JL39" s="1" t="str">
        <f t="shared" si="24"/>
        <v/>
      </c>
      <c r="JM39" s="1" t="str">
        <f t="shared" si="12"/>
        <v/>
      </c>
      <c r="JN39" s="1" t="str">
        <f t="shared" si="12"/>
        <v/>
      </c>
      <c r="JO39" s="1" t="str">
        <f t="shared" si="12"/>
        <v/>
      </c>
    </row>
    <row r="40" spans="1:275" ht="14.5" x14ac:dyDescent="0.35">
      <c r="A40" s="59">
        <f>IF('Data input'!A40&lt;&gt;"",'Data input'!A40,"")</f>
        <v>38</v>
      </c>
      <c r="B40" s="60" t="str">
        <f>IF('Data input'!B40&lt;&gt;"",'Data input'!B40,"")</f>
        <v>Oregon</v>
      </c>
      <c r="C40" s="19">
        <f>IF('Data input'!C40="","",4*('Data input'!C40-'Data input'!C$108)/('Data input'!C$109-'Data input'!C$108)+1)</f>
        <v>4.7087241374755813</v>
      </c>
      <c r="D40" s="19" t="str">
        <f>IF('Data input'!D40="","",4*('Data input'!D40-'Data input'!D$108)/('Data input'!D$109-'Data input'!D$108)+1)</f>
        <v/>
      </c>
      <c r="E40" s="19" t="str">
        <f>IF('Data input'!E40="","",4*('Data input'!E40-'Data input'!E$108)/('Data input'!E$109-'Data input'!E$108)+1)</f>
        <v/>
      </c>
      <c r="F40" s="19" t="str">
        <f>IF('Data input'!F40="","",4*('Data input'!F40-'Data input'!F$108)/('Data input'!F$109-'Data input'!F$108)+1)</f>
        <v/>
      </c>
      <c r="G40" s="19" t="str">
        <f>IF('Data input'!G40="","",4*('Data input'!G40-'Data input'!G$108)/('Data input'!G$109-'Data input'!G$108)+1)</f>
        <v/>
      </c>
      <c r="H40" s="61">
        <f>IF('Data input'!H40="","",4*('Data input'!H40-'Data input'!H$108)/('Data input'!H$109-'Data input'!H$108)+1)</f>
        <v>1.1236121325643358</v>
      </c>
      <c r="I40" s="19">
        <f>IF('Data input'!I40="","",4*('Data input'!I40-'Data input'!I$108)/('Data input'!I$109-'Data input'!I$108)+1)</f>
        <v>2.6637323943661984</v>
      </c>
      <c r="J40" s="19" t="str">
        <f>IF('Data input'!J40="","",4*('Data input'!J40-'Data input'!J$108)/('Data input'!J$109-'Data input'!J$108)+1)</f>
        <v/>
      </c>
      <c r="K40" s="19" t="str">
        <f>IF('Data input'!K40="","",4*('Data input'!K40-'Data input'!K$108)/('Data input'!K$109-'Data input'!K$108)+1)</f>
        <v/>
      </c>
      <c r="L40" s="19" t="str">
        <f>IF('Data input'!L40="","",4*('Data input'!L40-'Data input'!L$108)/('Data input'!L$109-'Data input'!L$108)+1)</f>
        <v/>
      </c>
      <c r="M40" s="19">
        <f>IF('Data input'!M40="","",4*('Data input'!M40-'Data input'!M$108)/('Data input'!M$109-'Data input'!M$108)+1)</f>
        <v>1.7271608912173213</v>
      </c>
      <c r="N40" s="16" t="str">
        <f>IF('Data input'!N40="","",4*('Data input'!N40-'Data input'!N$108)/('Data input'!N$109-'Data input'!N$108)+1)</f>
        <v/>
      </c>
      <c r="O40" s="19" t="str">
        <f>IF('Data input'!O40="","",4*('Data input'!O40-'Data input'!O$108)/('Data input'!O$109-'Data input'!O$108)+1)</f>
        <v/>
      </c>
      <c r="P40" s="19" t="str">
        <f>IF('Data input'!P40="","",4*('Data input'!P40-'Data input'!P$108)/('Data input'!P$109-'Data input'!P$108)+1)</f>
        <v/>
      </c>
      <c r="Q40" s="19" t="str">
        <f>IF('Data input'!Q40="","",4*('Data input'!Q40-'Data input'!Q$108)/('Data input'!Q$109-'Data input'!Q$108)+1)</f>
        <v/>
      </c>
      <c r="R40" s="19" t="str">
        <f>IF('Data input'!R40="","",4*('Data input'!R40-'Data input'!R$108)/('Data input'!R$109-'Data input'!R$108)+1)</f>
        <v/>
      </c>
      <c r="S40" s="16" t="str">
        <f>IF('Data input'!S40="","",4*('Data input'!S40-'Data input'!S$108)/('Data input'!S$109-'Data input'!S$108)+1)</f>
        <v/>
      </c>
      <c r="T40" s="19" t="str">
        <f>IF('Data input'!T40="","",4*('Data input'!T40-'Data input'!T$108)/('Data input'!T$109-'Data input'!T$108)+1)</f>
        <v/>
      </c>
      <c r="U40" s="19" t="str">
        <f>IF('Data input'!U40="","",4*('Data input'!U40-'Data input'!U$108)/('Data input'!U$109-'Data input'!U$108)+1)</f>
        <v/>
      </c>
      <c r="V40" s="19" t="str">
        <f>IF('Data input'!V40="","",4*('Data input'!V40-'Data input'!V$108)/('Data input'!V$109-'Data input'!V$108)+1)</f>
        <v/>
      </c>
      <c r="W40" s="16" t="str">
        <f>IF('Data input'!W40="","",4*('Data input'!W40-'Data input'!W$108)/('Data input'!W$109-'Data input'!W$108)+1)</f>
        <v/>
      </c>
      <c r="X40" s="16" t="str">
        <f>IF('Data input'!X40="","",4*('Data input'!X40-'Data input'!X$108)/('Data input'!X$109-'Data input'!X$108)+1)</f>
        <v/>
      </c>
      <c r="Y40" s="16" t="str">
        <f>IF('Data input'!Y40="","",4*('Data input'!Y40-'Data input'!Y$108)/('Data input'!Y$109-'Data input'!Y$108)+1)</f>
        <v/>
      </c>
      <c r="Z40" s="16" t="str">
        <f>IF('Data input'!Z40="","",4*('Data input'!Z40-'Data input'!Z$108)/('Data input'!Z$109-'Data input'!Z$108)+1)</f>
        <v/>
      </c>
      <c r="AA40" s="62" t="str">
        <f>IF('Data input'!AA40="","",4*('Data input'!AA40-'Data input'!AA$108)/('Data input'!AA$109-'Data input'!AA$108)+1)</f>
        <v/>
      </c>
      <c r="AB40" s="78"/>
      <c r="AC40" s="79">
        <v>0</v>
      </c>
      <c r="AD40" s="80" t="e">
        <f t="shared" si="13"/>
        <v>#DIV/0!</v>
      </c>
      <c r="AE40" s="4"/>
      <c r="AF40" s="59">
        <f t="shared" si="14"/>
        <v>38</v>
      </c>
      <c r="AG40" s="60" t="str">
        <f t="shared" si="14"/>
        <v>Oregon</v>
      </c>
      <c r="AH40">
        <v>0</v>
      </c>
      <c r="AI40" t="s">
        <v>69</v>
      </c>
      <c r="AJ40" t="s">
        <v>69</v>
      </c>
      <c r="AK40" t="s">
        <v>69</v>
      </c>
      <c r="AL40" t="s">
        <v>69</v>
      </c>
      <c r="AM40">
        <v>8.2060075574466332E-2</v>
      </c>
      <c r="AN40">
        <v>1.5449382547873656</v>
      </c>
      <c r="AO40" t="s">
        <v>69</v>
      </c>
      <c r="AP40" t="s">
        <v>69</v>
      </c>
      <c r="AQ40" t="s">
        <v>69</v>
      </c>
      <c r="AR40">
        <v>0.67348878733044393</v>
      </c>
      <c r="AS40" s="71">
        <f t="shared" si="15"/>
        <v>4.7087241374755813</v>
      </c>
      <c r="AT40" s="71" t="str">
        <f t="shared" si="15"/>
        <v/>
      </c>
      <c r="AU40" s="71" t="str">
        <f t="shared" si="15"/>
        <v/>
      </c>
      <c r="AV40" s="71" t="str">
        <f t="shared" si="15"/>
        <v/>
      </c>
      <c r="AW40" s="71" t="str">
        <f t="shared" si="15"/>
        <v/>
      </c>
      <c r="AX40" s="71">
        <f t="shared" si="16"/>
        <v>1.0415520569898695</v>
      </c>
      <c r="AY40" s="71">
        <f t="shared" si="16"/>
        <v>1.1187941395788328</v>
      </c>
      <c r="AZ40" s="71" t="str">
        <f t="shared" si="16"/>
        <v/>
      </c>
      <c r="BA40" s="71" t="str">
        <f t="shared" si="16"/>
        <v/>
      </c>
      <c r="BB40" s="71" t="str">
        <f t="shared" si="16"/>
        <v/>
      </c>
      <c r="BC40" s="18">
        <f>IF(C40&lt;&gt;"",(('Data input'!C$109-'Data input'!C$108)*(AS40-1)/4)+'Data input'!C$108,"")</f>
        <v>0.985717279045911</v>
      </c>
      <c r="BD40" s="18" t="str">
        <f>IF(D40&lt;&gt;"",(('Data input'!D$109-'Data input'!D$108)*(AT40-1)/4)+'Data input'!D$108,"")</f>
        <v/>
      </c>
      <c r="BE40" s="18" t="str">
        <f>IF(E40&lt;&gt;"",(('Data input'!E$109-'Data input'!E$108)*(AU40-1)/4)+'Data input'!E$108,"")</f>
        <v/>
      </c>
      <c r="BF40" s="18" t="str">
        <f>IF(F40&lt;&gt;"",(('Data input'!F$109-'Data input'!F$108)*(AV40-1)/4)+'Data input'!F$108,"")</f>
        <v/>
      </c>
      <c r="BG40" s="18" t="str">
        <f>IF(G40&lt;&gt;"",(('Data input'!G$109-'Data input'!G$108)*(AW40-1)/4)+'Data input'!G$108,"")</f>
        <v/>
      </c>
      <c r="BH40" s="19">
        <f>IF(H40&lt;&gt;"",(('Data input'!H$109-'Data input'!H$108)*(AX40-1)/4)+'Data input'!H$108,"")</f>
        <v>1.2006563533828685</v>
      </c>
      <c r="BI40" s="18">
        <f>IF(I40&lt;&gt;"",(('Data input'!I$109-'Data input'!I$108)*(AY40-1)/4)+'Data input'!I$108,"")</f>
        <v>5.2160692084707036E-3</v>
      </c>
      <c r="BJ40" s="19" t="str">
        <f>IF(J40&lt;&gt;"",(('Data input'!J$109-'Data input'!J$108)*(AZ40-1)/4)+'Data input'!J$108,"")</f>
        <v/>
      </c>
      <c r="BK40" s="19" t="str">
        <f>IF(K40&lt;&gt;"",(('Data input'!K$109-'Data input'!K$108)*(BA40-1)/4)+'Data input'!K$108,"")</f>
        <v/>
      </c>
      <c r="BL40" s="19" t="str">
        <f>IF(L40&lt;&gt;"",(('Data input'!L$109-'Data input'!L$108)*(BB40-1)/4)+'Data input'!L$108,"")</f>
        <v/>
      </c>
      <c r="BM40" s="18">
        <f>IF(C40&lt;&gt;"",BC40-'Data input'!C40,"")</f>
        <v>0</v>
      </c>
      <c r="BN40" s="18" t="str">
        <f>IF(D40&lt;&gt;"",BD40-'Data input'!D40,"")</f>
        <v/>
      </c>
      <c r="BO40" s="18" t="str">
        <f>IF(E40&lt;&gt;"",BE40-'Data input'!E40,"")</f>
        <v/>
      </c>
      <c r="BP40" s="18" t="str">
        <f>IF(F40&lt;&gt;"",BF40-'Data input'!F40,"")</f>
        <v/>
      </c>
      <c r="BQ40" s="18" t="str">
        <f>IF(G40&lt;&gt;"",BG40-'Data input'!G40,"")</f>
        <v/>
      </c>
      <c r="BR40" s="19">
        <f>IF(H40&lt;&gt;"",BH40-'Data input'!H40,"")</f>
        <v>-1.7870904428393162</v>
      </c>
      <c r="BS40" s="18">
        <f>IF(I40&lt;&gt;"",BI40-'Data input'!I40,"")</f>
        <v>-6.7835878843477401E-2</v>
      </c>
      <c r="BT40" s="18" t="str">
        <f>IF(J40&lt;&gt;"",BJ40-'Data input'!J40,"")</f>
        <v/>
      </c>
      <c r="BU40" s="18" t="str">
        <f>IF(K40&lt;&gt;"",BK40-'Data input'!K40,"")</f>
        <v/>
      </c>
      <c r="BV40" s="72" t="str">
        <f>IF(L40&lt;&gt;"",BL40-'Data input'!L40,"")</f>
        <v/>
      </c>
      <c r="BW40" s="121" t="str">
        <f t="shared" si="17"/>
        <v xml:space="preserve">Alabama; Kansas; Texas; </v>
      </c>
      <c r="BX40" s="1">
        <v>4.7232188442040628E-2</v>
      </c>
      <c r="BY40" s="1">
        <v>0</v>
      </c>
      <c r="BZ40" s="1">
        <v>0</v>
      </c>
      <c r="CA40" s="1">
        <v>0</v>
      </c>
      <c r="CB40" s="1">
        <v>0</v>
      </c>
      <c r="CC40" s="1">
        <v>0</v>
      </c>
      <c r="CD40" s="1">
        <v>0</v>
      </c>
      <c r="CE40" s="1">
        <v>0</v>
      </c>
      <c r="CF40" s="1">
        <v>0</v>
      </c>
      <c r="CG40" s="1">
        <v>0</v>
      </c>
      <c r="CH40" s="1">
        <v>0</v>
      </c>
      <c r="CI40" s="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0.3286981542321441</v>
      </c>
      <c r="CO40" s="1">
        <v>0</v>
      </c>
      <c r="CP40" s="1">
        <v>0</v>
      </c>
      <c r="CQ40" s="1">
        <v>0</v>
      </c>
      <c r="CR40" s="1">
        <v>0</v>
      </c>
      <c r="CS40" s="1">
        <v>0</v>
      </c>
      <c r="CT40" s="1">
        <v>0</v>
      </c>
      <c r="CU40" s="1">
        <v>0</v>
      </c>
      <c r="CV40" s="1">
        <v>0</v>
      </c>
      <c r="CW40" s="1">
        <v>0</v>
      </c>
      <c r="CX40" s="1">
        <v>0</v>
      </c>
      <c r="CY40" s="1">
        <v>0</v>
      </c>
      <c r="CZ40" s="1">
        <v>0</v>
      </c>
      <c r="DA40" s="1">
        <v>0</v>
      </c>
      <c r="DB40" s="1">
        <v>0</v>
      </c>
      <c r="DC40" s="1">
        <v>0</v>
      </c>
      <c r="DD40" s="1">
        <v>0</v>
      </c>
      <c r="DE40" s="1">
        <v>0</v>
      </c>
      <c r="DF40" s="1">
        <v>0</v>
      </c>
      <c r="DG40" s="1">
        <v>0</v>
      </c>
      <c r="DH40" s="1">
        <v>0</v>
      </c>
      <c r="DI40" s="1">
        <v>0</v>
      </c>
      <c r="DJ40" s="1">
        <v>0</v>
      </c>
      <c r="DK40" s="1">
        <v>0</v>
      </c>
      <c r="DL40" s="1">
        <v>0</v>
      </c>
      <c r="DM40" s="1">
        <v>0</v>
      </c>
      <c r="DN40" s="1">
        <v>0.62406965732581443</v>
      </c>
      <c r="DO40" s="1">
        <v>0</v>
      </c>
      <c r="DP40" s="1">
        <v>0</v>
      </c>
      <c r="DQ40" s="1">
        <v>0</v>
      </c>
      <c r="DR40" s="1">
        <v>0</v>
      </c>
      <c r="DS40" s="1">
        <v>0</v>
      </c>
      <c r="DT40" s="1">
        <v>0</v>
      </c>
      <c r="DU40" s="1">
        <v>0</v>
      </c>
      <c r="DV40" s="1">
        <v>0</v>
      </c>
      <c r="DW40" s="1">
        <v>0</v>
      </c>
      <c r="DX40" s="1">
        <v>0</v>
      </c>
      <c r="DY40" s="1">
        <v>0</v>
      </c>
      <c r="DZ40" s="1">
        <v>0</v>
      </c>
      <c r="FT40" s="1" t="str">
        <f t="shared" si="25"/>
        <v xml:space="preserve">Alabama; </v>
      </c>
      <c r="FU40" s="1" t="str">
        <f t="shared" si="25"/>
        <v/>
      </c>
      <c r="FV40" s="1" t="str">
        <f t="shared" si="25"/>
        <v/>
      </c>
      <c r="FW40" s="1" t="str">
        <f t="shared" si="25"/>
        <v/>
      </c>
      <c r="FX40" s="1" t="str">
        <f t="shared" si="25"/>
        <v/>
      </c>
      <c r="FY40" s="1" t="str">
        <f t="shared" si="25"/>
        <v/>
      </c>
      <c r="FZ40" s="1" t="str">
        <f t="shared" si="25"/>
        <v/>
      </c>
      <c r="GA40" s="1" t="str">
        <f t="shared" si="25"/>
        <v/>
      </c>
      <c r="GB40" s="1" t="str">
        <f t="shared" si="25"/>
        <v/>
      </c>
      <c r="GC40" s="1" t="str">
        <f t="shared" si="25"/>
        <v/>
      </c>
      <c r="GD40" s="1" t="str">
        <f t="shared" si="25"/>
        <v/>
      </c>
      <c r="GE40" s="1" t="str">
        <f t="shared" si="25"/>
        <v/>
      </c>
      <c r="GF40" s="1" t="str">
        <f t="shared" si="25"/>
        <v/>
      </c>
      <c r="GG40" s="1" t="str">
        <f t="shared" si="25"/>
        <v/>
      </c>
      <c r="GH40" s="1" t="str">
        <f t="shared" si="25"/>
        <v/>
      </c>
      <c r="GI40" s="1" t="str">
        <f t="shared" si="25"/>
        <v/>
      </c>
      <c r="GJ40" s="1" t="str">
        <f t="shared" si="31"/>
        <v xml:space="preserve">Kansas; </v>
      </c>
      <c r="GK40" s="1" t="str">
        <f t="shared" si="31"/>
        <v/>
      </c>
      <c r="GL40" s="1" t="str">
        <f t="shared" si="31"/>
        <v/>
      </c>
      <c r="GM40" s="1" t="str">
        <f t="shared" si="31"/>
        <v/>
      </c>
      <c r="GN40" s="1" t="str">
        <f t="shared" si="31"/>
        <v/>
      </c>
      <c r="GO40" s="1" t="str">
        <f t="shared" si="31"/>
        <v/>
      </c>
      <c r="GP40" s="1" t="str">
        <f t="shared" si="31"/>
        <v/>
      </c>
      <c r="GQ40" s="1" t="str">
        <f t="shared" si="31"/>
        <v/>
      </c>
      <c r="GR40" s="1" t="str">
        <f t="shared" si="31"/>
        <v/>
      </c>
      <c r="GS40" s="1" t="str">
        <f t="shared" si="31"/>
        <v/>
      </c>
      <c r="GT40" s="1" t="str">
        <f t="shared" si="31"/>
        <v/>
      </c>
      <c r="GU40" s="1" t="str">
        <f t="shared" si="31"/>
        <v/>
      </c>
      <c r="GV40" s="1" t="str">
        <f t="shared" si="31"/>
        <v/>
      </c>
      <c r="GW40" s="1" t="str">
        <f t="shared" si="31"/>
        <v/>
      </c>
      <c r="GX40" s="1" t="str">
        <f t="shared" si="26"/>
        <v/>
      </c>
      <c r="GY40" s="1" t="str">
        <f t="shared" si="26"/>
        <v/>
      </c>
      <c r="GZ40" s="1" t="str">
        <f t="shared" si="26"/>
        <v/>
      </c>
      <c r="HA40" s="1" t="str">
        <f t="shared" si="26"/>
        <v/>
      </c>
      <c r="HB40" s="1" t="str">
        <f t="shared" si="26"/>
        <v/>
      </c>
      <c r="HC40" s="1" t="str">
        <f t="shared" si="26"/>
        <v/>
      </c>
      <c r="HD40" s="1" t="str">
        <f t="shared" si="26"/>
        <v/>
      </c>
      <c r="HE40" s="1" t="str">
        <f t="shared" si="26"/>
        <v/>
      </c>
      <c r="HF40" s="1" t="str">
        <f t="shared" si="26"/>
        <v/>
      </c>
      <c r="HG40" s="1" t="str">
        <f t="shared" si="26"/>
        <v/>
      </c>
      <c r="HH40" s="1" t="str">
        <f t="shared" si="26"/>
        <v/>
      </c>
      <c r="HI40" s="1" t="str">
        <f t="shared" si="26"/>
        <v/>
      </c>
      <c r="HJ40" s="1" t="str">
        <f t="shared" si="26"/>
        <v xml:space="preserve">Texas; </v>
      </c>
      <c r="HK40" s="1" t="str">
        <f t="shared" si="26"/>
        <v/>
      </c>
      <c r="HL40" s="1" t="str">
        <f t="shared" si="26"/>
        <v/>
      </c>
      <c r="HM40" s="1" t="str">
        <f t="shared" si="26"/>
        <v/>
      </c>
      <c r="HN40" s="1" t="str">
        <f t="shared" si="27"/>
        <v/>
      </c>
      <c r="HO40" s="1" t="str">
        <f t="shared" si="27"/>
        <v/>
      </c>
      <c r="HP40" s="1" t="str">
        <f t="shared" si="27"/>
        <v/>
      </c>
      <c r="HQ40" s="1" t="str">
        <f t="shared" si="27"/>
        <v/>
      </c>
      <c r="HR40" s="1" t="str">
        <f t="shared" si="27"/>
        <v/>
      </c>
      <c r="HS40" s="1" t="str">
        <f t="shared" si="27"/>
        <v/>
      </c>
      <c r="HT40" s="1" t="str">
        <f t="shared" si="27"/>
        <v/>
      </c>
      <c r="HU40" s="1" t="str">
        <f t="shared" si="27"/>
        <v/>
      </c>
      <c r="HV40" s="1" t="str">
        <f t="shared" si="27"/>
        <v/>
      </c>
      <c r="HW40" s="1" t="str">
        <f t="shared" si="27"/>
        <v/>
      </c>
      <c r="HX40" s="1" t="str">
        <f t="shared" si="27"/>
        <v/>
      </c>
      <c r="HY40" s="1" t="str">
        <f t="shared" si="27"/>
        <v/>
      </c>
      <c r="HZ40" s="1" t="str">
        <f t="shared" si="27"/>
        <v/>
      </c>
      <c r="IA40" s="1" t="str">
        <f t="shared" si="27"/>
        <v/>
      </c>
      <c r="IB40" s="1" t="str">
        <f t="shared" si="27"/>
        <v/>
      </c>
      <c r="IC40" s="1" t="str">
        <f t="shared" si="27"/>
        <v/>
      </c>
      <c r="ID40" s="1" t="str">
        <f t="shared" si="28"/>
        <v/>
      </c>
      <c r="IE40" s="1" t="str">
        <f t="shared" si="28"/>
        <v/>
      </c>
      <c r="IF40" s="1" t="str">
        <f t="shared" si="28"/>
        <v/>
      </c>
      <c r="IG40" s="1" t="str">
        <f t="shared" si="28"/>
        <v/>
      </c>
      <c r="IH40" s="1" t="str">
        <f t="shared" si="28"/>
        <v/>
      </c>
      <c r="II40" s="1" t="str">
        <f t="shared" si="28"/>
        <v/>
      </c>
      <c r="IJ40" s="1" t="str">
        <f t="shared" si="28"/>
        <v/>
      </c>
      <c r="IK40" s="1" t="str">
        <f t="shared" si="28"/>
        <v/>
      </c>
      <c r="IL40" s="1" t="str">
        <f t="shared" si="28"/>
        <v/>
      </c>
      <c r="IM40" s="1" t="str">
        <f t="shared" si="28"/>
        <v/>
      </c>
      <c r="IN40" s="1" t="str">
        <f t="shared" si="28"/>
        <v/>
      </c>
      <c r="IO40" s="1" t="str">
        <f t="shared" si="28"/>
        <v/>
      </c>
      <c r="IP40" s="1" t="str">
        <f t="shared" si="28"/>
        <v/>
      </c>
      <c r="IQ40" s="1" t="str">
        <f t="shared" si="28"/>
        <v/>
      </c>
      <c r="IR40" s="1" t="str">
        <f t="shared" si="28"/>
        <v/>
      </c>
      <c r="IS40" s="1" t="str">
        <f t="shared" si="28"/>
        <v/>
      </c>
      <c r="IT40" s="1" t="str">
        <f t="shared" si="29"/>
        <v/>
      </c>
      <c r="IU40" s="1" t="str">
        <f t="shared" si="29"/>
        <v/>
      </c>
      <c r="IV40" s="1" t="str">
        <f t="shared" si="29"/>
        <v/>
      </c>
      <c r="IW40" s="1" t="str">
        <f t="shared" si="29"/>
        <v/>
      </c>
      <c r="IX40" s="1" t="str">
        <f t="shared" si="29"/>
        <v/>
      </c>
      <c r="IY40" s="1" t="str">
        <f t="shared" si="29"/>
        <v/>
      </c>
      <c r="IZ40" s="1" t="str">
        <f t="shared" si="29"/>
        <v/>
      </c>
      <c r="JA40" s="1" t="str">
        <f t="shared" si="29"/>
        <v/>
      </c>
      <c r="JB40" s="1" t="str">
        <f t="shared" si="29"/>
        <v/>
      </c>
      <c r="JC40" s="1" t="str">
        <f t="shared" si="29"/>
        <v/>
      </c>
      <c r="JD40" s="1" t="str">
        <f t="shared" si="29"/>
        <v/>
      </c>
      <c r="JE40" s="1" t="str">
        <f t="shared" si="29"/>
        <v/>
      </c>
      <c r="JF40" s="1" t="str">
        <f t="shared" si="29"/>
        <v/>
      </c>
      <c r="JG40" s="1" t="str">
        <f t="shared" si="29"/>
        <v/>
      </c>
      <c r="JH40" s="1" t="str">
        <f t="shared" si="29"/>
        <v/>
      </c>
      <c r="JI40" s="1" t="str">
        <f t="shared" si="29"/>
        <v/>
      </c>
      <c r="JJ40" s="1" t="str">
        <f t="shared" si="30"/>
        <v/>
      </c>
      <c r="JK40" s="1" t="str">
        <f t="shared" si="30"/>
        <v/>
      </c>
      <c r="JL40" s="1" t="str">
        <f t="shared" si="24"/>
        <v/>
      </c>
      <c r="JM40" s="1" t="str">
        <f t="shared" si="12"/>
        <v/>
      </c>
      <c r="JN40" s="1" t="str">
        <f t="shared" si="12"/>
        <v/>
      </c>
      <c r="JO40" s="1" t="str">
        <f t="shared" si="12"/>
        <v/>
      </c>
    </row>
    <row r="41" spans="1:275" ht="14.5" x14ac:dyDescent="0.35">
      <c r="A41" s="59">
        <f>IF('Data input'!A41&lt;&gt;"",'Data input'!A41,"")</f>
        <v>39</v>
      </c>
      <c r="B41" s="60" t="str">
        <f>IF('Data input'!B41&lt;&gt;"",'Data input'!B41,"")</f>
        <v>Pennsylvania</v>
      </c>
      <c r="C41" s="19">
        <f>IF('Data input'!C41="","",4*('Data input'!C41-'Data input'!C$108)/('Data input'!C$109-'Data input'!C$108)+1)</f>
        <v>3.5902511199049516</v>
      </c>
      <c r="D41" s="19" t="str">
        <f>IF('Data input'!D41="","",4*('Data input'!D41-'Data input'!D$108)/('Data input'!D$109-'Data input'!D$108)+1)</f>
        <v/>
      </c>
      <c r="E41" s="19" t="str">
        <f>IF('Data input'!E41="","",4*('Data input'!E41-'Data input'!E$108)/('Data input'!E$109-'Data input'!E$108)+1)</f>
        <v/>
      </c>
      <c r="F41" s="19" t="str">
        <f>IF('Data input'!F41="","",4*('Data input'!F41-'Data input'!F$108)/('Data input'!F$109-'Data input'!F$108)+1)</f>
        <v/>
      </c>
      <c r="G41" s="19" t="str">
        <f>IF('Data input'!G41="","",4*('Data input'!G41-'Data input'!G$108)/('Data input'!G$109-'Data input'!G$108)+1)</f>
        <v/>
      </c>
      <c r="H41" s="61">
        <f>IF('Data input'!H41="","",4*('Data input'!H41-'Data input'!H$108)/('Data input'!H$109-'Data input'!H$108)+1)</f>
        <v>1.2204099237761081</v>
      </c>
      <c r="I41" s="19">
        <f>IF('Data input'!I41="","",4*('Data input'!I41-'Data input'!I$108)/('Data input'!I$109-'Data input'!I$108)+1)</f>
        <v>1</v>
      </c>
      <c r="J41" s="19" t="str">
        <f>IF('Data input'!J41="","",4*('Data input'!J41-'Data input'!J$108)/('Data input'!J$109-'Data input'!J$108)+1)</f>
        <v/>
      </c>
      <c r="K41" s="19" t="str">
        <f>IF('Data input'!K41="","",4*('Data input'!K41-'Data input'!K$108)/('Data input'!K$109-'Data input'!K$108)+1)</f>
        <v/>
      </c>
      <c r="L41" s="19" t="str">
        <f>IF('Data input'!L41="","",4*('Data input'!L41-'Data input'!L$108)/('Data input'!L$109-'Data input'!L$108)+1)</f>
        <v/>
      </c>
      <c r="M41" s="19">
        <f>IF('Data input'!M41="","",4*('Data input'!M41-'Data input'!M$108)/('Data input'!M$109-'Data input'!M$108)+1)</f>
        <v>2.0051483265626269</v>
      </c>
      <c r="N41" s="16" t="str">
        <f>IF('Data input'!N41="","",4*('Data input'!N41-'Data input'!N$108)/('Data input'!N$109-'Data input'!N$108)+1)</f>
        <v/>
      </c>
      <c r="O41" s="19" t="str">
        <f>IF('Data input'!O41="","",4*('Data input'!O41-'Data input'!O$108)/('Data input'!O$109-'Data input'!O$108)+1)</f>
        <v/>
      </c>
      <c r="P41" s="19" t="str">
        <f>IF('Data input'!P41="","",4*('Data input'!P41-'Data input'!P$108)/('Data input'!P$109-'Data input'!P$108)+1)</f>
        <v/>
      </c>
      <c r="Q41" s="19" t="str">
        <f>IF('Data input'!Q41="","",4*('Data input'!Q41-'Data input'!Q$108)/('Data input'!Q$109-'Data input'!Q$108)+1)</f>
        <v/>
      </c>
      <c r="R41" s="19" t="str">
        <f>IF('Data input'!R41="","",4*('Data input'!R41-'Data input'!R$108)/('Data input'!R$109-'Data input'!R$108)+1)</f>
        <v/>
      </c>
      <c r="S41" s="16" t="str">
        <f>IF('Data input'!S41="","",4*('Data input'!S41-'Data input'!S$108)/('Data input'!S$109-'Data input'!S$108)+1)</f>
        <v/>
      </c>
      <c r="T41" s="19" t="str">
        <f>IF('Data input'!T41="","",4*('Data input'!T41-'Data input'!T$108)/('Data input'!T$109-'Data input'!T$108)+1)</f>
        <v/>
      </c>
      <c r="U41" s="19" t="str">
        <f>IF('Data input'!U41="","",4*('Data input'!U41-'Data input'!U$108)/('Data input'!U$109-'Data input'!U$108)+1)</f>
        <v/>
      </c>
      <c r="V41" s="19" t="str">
        <f>IF('Data input'!V41="","",4*('Data input'!V41-'Data input'!V$108)/('Data input'!V$109-'Data input'!V$108)+1)</f>
        <v/>
      </c>
      <c r="W41" s="16" t="str">
        <f>IF('Data input'!W41="","",4*('Data input'!W41-'Data input'!W$108)/('Data input'!W$109-'Data input'!W$108)+1)</f>
        <v/>
      </c>
      <c r="X41" s="16" t="str">
        <f>IF('Data input'!X41="","",4*('Data input'!X41-'Data input'!X$108)/('Data input'!X$109-'Data input'!X$108)+1)</f>
        <v/>
      </c>
      <c r="Y41" s="16" t="str">
        <f>IF('Data input'!Y41="","",4*('Data input'!Y41-'Data input'!Y$108)/('Data input'!Y$109-'Data input'!Y$108)+1)</f>
        <v/>
      </c>
      <c r="Z41" s="16" t="str">
        <f>IF('Data input'!Z41="","",4*('Data input'!Z41-'Data input'!Z$108)/('Data input'!Z$109-'Data input'!Z$108)+1)</f>
        <v/>
      </c>
      <c r="AA41" s="62" t="str">
        <f>IF('Data input'!AA41="","",4*('Data input'!AA41-'Data input'!AA$108)/('Data input'!AA$109-'Data input'!AA$108)+1)</f>
        <v/>
      </c>
      <c r="AB41" s="78"/>
      <c r="AC41" s="79">
        <v>0</v>
      </c>
      <c r="AD41" s="80" t="e">
        <f t="shared" si="13"/>
        <v>#DIV/0!</v>
      </c>
      <c r="AE41" s="4"/>
      <c r="AF41" s="59">
        <f t="shared" si="14"/>
        <v>39</v>
      </c>
      <c r="AG41" s="60" t="str">
        <f t="shared" si="14"/>
        <v>Pennsylvania</v>
      </c>
      <c r="AH41">
        <v>0</v>
      </c>
      <c r="AI41" t="s">
        <v>69</v>
      </c>
      <c r="AJ41" t="s">
        <v>69</v>
      </c>
      <c r="AK41" t="s">
        <v>69</v>
      </c>
      <c r="AL41" t="s">
        <v>69</v>
      </c>
      <c r="AM41">
        <v>1.4658413372004022E-16</v>
      </c>
      <c r="AN41">
        <v>0</v>
      </c>
      <c r="AO41" t="s">
        <v>69</v>
      </c>
      <c r="AP41" t="s">
        <v>69</v>
      </c>
      <c r="AQ41" t="s">
        <v>69</v>
      </c>
      <c r="AR41">
        <v>0.99999999999999978</v>
      </c>
      <c r="AS41" s="71">
        <f t="shared" si="15"/>
        <v>3.5902511199049516</v>
      </c>
      <c r="AT41" s="71" t="str">
        <f t="shared" si="15"/>
        <v/>
      </c>
      <c r="AU41" s="71" t="str">
        <f t="shared" si="15"/>
        <v/>
      </c>
      <c r="AV41" s="71" t="str">
        <f t="shared" si="15"/>
        <v/>
      </c>
      <c r="AW41" s="71" t="str">
        <f t="shared" si="15"/>
        <v/>
      </c>
      <c r="AX41" s="71">
        <f t="shared" si="16"/>
        <v>1.2204099237761079</v>
      </c>
      <c r="AY41" s="71">
        <f t="shared" si="16"/>
        <v>1</v>
      </c>
      <c r="AZ41" s="71" t="str">
        <f t="shared" si="16"/>
        <v/>
      </c>
      <c r="BA41" s="71" t="str">
        <f t="shared" si="16"/>
        <v/>
      </c>
      <c r="BB41" s="71" t="str">
        <f t="shared" si="16"/>
        <v/>
      </c>
      <c r="BC41" s="18">
        <f>IF(C41&lt;&gt;"",(('Data input'!C$109-'Data input'!C$108)*(AS41-1)/4)+'Data input'!C$108,"")</f>
        <v>0.94510869024101696</v>
      </c>
      <c r="BD41" s="18" t="str">
        <f>IF(D41&lt;&gt;"",(('Data input'!D$109-'Data input'!D$108)*(AT41-1)/4)+'Data input'!D$108,"")</f>
        <v/>
      </c>
      <c r="BE41" s="18" t="str">
        <f>IF(E41&lt;&gt;"",(('Data input'!E$109-'Data input'!E$108)*(AU41-1)/4)+'Data input'!E$108,"")</f>
        <v/>
      </c>
      <c r="BF41" s="18" t="str">
        <f>IF(F41&lt;&gt;"",(('Data input'!F$109-'Data input'!F$108)*(AV41-1)/4)+'Data input'!F$108,"")</f>
        <v/>
      </c>
      <c r="BG41" s="18" t="str">
        <f>IF(G41&lt;&gt;"",(('Data input'!G$109-'Data input'!G$108)*(AW41-1)/4)+'Data input'!G$108,"")</f>
        <v/>
      </c>
      <c r="BH41" s="19">
        <f>IF(H41&lt;&gt;"",(('Data input'!H$109-'Data input'!H$108)*(AX41-1)/4)+'Data input'!H$108,"")</f>
        <v>5.095792716866443</v>
      </c>
      <c r="BI41" s="18">
        <f>IF(I41&lt;&gt;"",(('Data input'!I$109-'Data input'!I$108)*(AY41-1)/4)+'Data input'!I$108,"")</f>
        <v>0</v>
      </c>
      <c r="BJ41" s="19" t="str">
        <f>IF(J41&lt;&gt;"",(('Data input'!J$109-'Data input'!J$108)*(AZ41-1)/4)+'Data input'!J$108,"")</f>
        <v/>
      </c>
      <c r="BK41" s="19" t="str">
        <f>IF(K41&lt;&gt;"",(('Data input'!K$109-'Data input'!K$108)*(BA41-1)/4)+'Data input'!K$108,"")</f>
        <v/>
      </c>
      <c r="BL41" s="19" t="str">
        <f>IF(L41&lt;&gt;"",(('Data input'!L$109-'Data input'!L$108)*(BB41-1)/4)+'Data input'!L$108,"")</f>
        <v/>
      </c>
      <c r="BM41" s="18">
        <f>IF(C41&lt;&gt;"",BC41-'Data input'!C41,"")</f>
        <v>0</v>
      </c>
      <c r="BN41" s="18" t="str">
        <f>IF(D41&lt;&gt;"",BD41-'Data input'!D41,"")</f>
        <v/>
      </c>
      <c r="BO41" s="18" t="str">
        <f>IF(E41&lt;&gt;"",BE41-'Data input'!E41,"")</f>
        <v/>
      </c>
      <c r="BP41" s="18" t="str">
        <f>IF(F41&lt;&gt;"",BF41-'Data input'!F41,"")</f>
        <v/>
      </c>
      <c r="BQ41" s="18" t="str">
        <f>IF(G41&lt;&gt;"",BG41-'Data input'!G41,"")</f>
        <v/>
      </c>
      <c r="BR41" s="19">
        <f>IF(H41&lt;&gt;"",BH41-'Data input'!H41,"")</f>
        <v>-4.4408920985006262E-15</v>
      </c>
      <c r="BS41" s="18">
        <f>IF(I41&lt;&gt;"",BI41-'Data input'!I41,"")</f>
        <v>0</v>
      </c>
      <c r="BT41" s="18" t="str">
        <f>IF(J41&lt;&gt;"",BJ41-'Data input'!J41,"")</f>
        <v/>
      </c>
      <c r="BU41" s="18" t="str">
        <f>IF(K41&lt;&gt;"",BK41-'Data input'!K41,"")</f>
        <v/>
      </c>
      <c r="BV41" s="72" t="str">
        <f>IF(L41&lt;&gt;"",BL41-'Data input'!L41,"")</f>
        <v/>
      </c>
      <c r="BW41" s="121" t="str">
        <f t="shared" si="17"/>
        <v xml:space="preserve">Pennsylvania; </v>
      </c>
      <c r="BX41" s="1">
        <v>0</v>
      </c>
      <c r="BY41" s="1">
        <v>0</v>
      </c>
      <c r="BZ41" s="1">
        <v>0</v>
      </c>
      <c r="CA41" s="1">
        <v>0</v>
      </c>
      <c r="CB41" s="1">
        <v>0</v>
      </c>
      <c r="CC41" s="1">
        <v>0</v>
      </c>
      <c r="CD41" s="1">
        <v>0</v>
      </c>
      <c r="CE41" s="1">
        <v>0</v>
      </c>
      <c r="CF41" s="1">
        <v>0</v>
      </c>
      <c r="CG41" s="1">
        <v>0</v>
      </c>
      <c r="CH41" s="1">
        <v>0</v>
      </c>
      <c r="CI41" s="1">
        <v>0</v>
      </c>
      <c r="CJ41" s="1">
        <v>0</v>
      </c>
      <c r="CK41" s="1">
        <v>0</v>
      </c>
      <c r="CL41" s="1">
        <v>0</v>
      </c>
      <c r="CM41" s="1">
        <v>0</v>
      </c>
      <c r="CN41" s="1">
        <v>9.6311847386232346E-15</v>
      </c>
      <c r="CO41" s="1">
        <v>6.1839422471621232E-14</v>
      </c>
      <c r="CP41" s="1">
        <v>0</v>
      </c>
      <c r="CQ41" s="1">
        <v>0</v>
      </c>
      <c r="CR41" s="1">
        <v>0</v>
      </c>
      <c r="CS41" s="1">
        <v>0</v>
      </c>
      <c r="CT41" s="1">
        <v>0</v>
      </c>
      <c r="CU41" s="1">
        <v>0</v>
      </c>
      <c r="CV41" s="1">
        <v>0</v>
      </c>
      <c r="CW41" s="1">
        <v>0</v>
      </c>
      <c r="CX41" s="1">
        <v>0</v>
      </c>
      <c r="CY41" s="1">
        <v>0</v>
      </c>
      <c r="CZ41" s="1">
        <v>0</v>
      </c>
      <c r="DA41" s="1">
        <v>0</v>
      </c>
      <c r="DB41" s="1">
        <v>0</v>
      </c>
      <c r="DC41" s="1">
        <v>0</v>
      </c>
      <c r="DD41" s="1">
        <v>2.0733414984874802E-14</v>
      </c>
      <c r="DE41" s="1">
        <v>0</v>
      </c>
      <c r="DF41" s="1">
        <v>0</v>
      </c>
      <c r="DG41" s="1">
        <v>0</v>
      </c>
      <c r="DH41" s="1">
        <v>0</v>
      </c>
      <c r="DI41" s="1">
        <v>0</v>
      </c>
      <c r="DJ41" s="1">
        <v>0.99999999999990774</v>
      </c>
      <c r="DK41" s="1">
        <v>0</v>
      </c>
      <c r="DL41" s="1">
        <v>0</v>
      </c>
      <c r="DM41" s="1">
        <v>0</v>
      </c>
      <c r="DN41" s="1">
        <v>0</v>
      </c>
      <c r="DO41" s="1">
        <v>0</v>
      </c>
      <c r="DP41" s="1">
        <v>0</v>
      </c>
      <c r="DQ41" s="1">
        <v>0</v>
      </c>
      <c r="DR41" s="1">
        <v>0</v>
      </c>
      <c r="DS41" s="1">
        <v>0</v>
      </c>
      <c r="DT41" s="1">
        <v>0</v>
      </c>
      <c r="DU41" s="1">
        <v>0</v>
      </c>
      <c r="DV41" s="1">
        <v>0</v>
      </c>
      <c r="DW41" s="1">
        <v>0</v>
      </c>
      <c r="DX41" s="1">
        <v>0</v>
      </c>
      <c r="DY41" s="1">
        <v>0</v>
      </c>
      <c r="DZ41" s="1">
        <v>0</v>
      </c>
      <c r="FT41" s="1" t="str">
        <f t="shared" si="25"/>
        <v/>
      </c>
      <c r="FU41" s="1" t="str">
        <f t="shared" si="25"/>
        <v/>
      </c>
      <c r="FV41" s="1" t="str">
        <f t="shared" si="25"/>
        <v/>
      </c>
      <c r="FW41" s="1" t="str">
        <f t="shared" si="25"/>
        <v/>
      </c>
      <c r="FX41" s="1" t="str">
        <f t="shared" si="25"/>
        <v/>
      </c>
      <c r="FY41" s="1" t="str">
        <f t="shared" si="25"/>
        <v/>
      </c>
      <c r="FZ41" s="1" t="str">
        <f t="shared" si="25"/>
        <v/>
      </c>
      <c r="GA41" s="1" t="str">
        <f t="shared" si="25"/>
        <v/>
      </c>
      <c r="GB41" s="1" t="str">
        <f t="shared" si="25"/>
        <v/>
      </c>
      <c r="GC41" s="1" t="str">
        <f t="shared" si="25"/>
        <v/>
      </c>
      <c r="GD41" s="1" t="str">
        <f t="shared" si="25"/>
        <v/>
      </c>
      <c r="GE41" s="1" t="str">
        <f t="shared" si="25"/>
        <v/>
      </c>
      <c r="GF41" s="1" t="str">
        <f t="shared" si="25"/>
        <v/>
      </c>
      <c r="GG41" s="1" t="str">
        <f t="shared" si="25"/>
        <v/>
      </c>
      <c r="GH41" s="1" t="str">
        <f t="shared" si="25"/>
        <v/>
      </c>
      <c r="GI41" s="1" t="str">
        <f t="shared" si="25"/>
        <v/>
      </c>
      <c r="GJ41" s="1" t="str">
        <f t="shared" si="31"/>
        <v/>
      </c>
      <c r="GK41" s="1" t="str">
        <f t="shared" si="31"/>
        <v/>
      </c>
      <c r="GL41" s="1" t="str">
        <f t="shared" si="31"/>
        <v/>
      </c>
      <c r="GM41" s="1" t="str">
        <f t="shared" si="31"/>
        <v/>
      </c>
      <c r="GN41" s="1" t="str">
        <f t="shared" si="31"/>
        <v/>
      </c>
      <c r="GO41" s="1" t="str">
        <f t="shared" si="31"/>
        <v/>
      </c>
      <c r="GP41" s="1" t="str">
        <f t="shared" si="31"/>
        <v/>
      </c>
      <c r="GQ41" s="1" t="str">
        <f t="shared" si="31"/>
        <v/>
      </c>
      <c r="GR41" s="1" t="str">
        <f t="shared" si="31"/>
        <v/>
      </c>
      <c r="GS41" s="1" t="str">
        <f t="shared" si="31"/>
        <v/>
      </c>
      <c r="GT41" s="1" t="str">
        <f t="shared" si="31"/>
        <v/>
      </c>
      <c r="GU41" s="1" t="str">
        <f t="shared" si="31"/>
        <v/>
      </c>
      <c r="GV41" s="1" t="str">
        <f t="shared" si="31"/>
        <v/>
      </c>
      <c r="GW41" s="1" t="str">
        <f t="shared" si="31"/>
        <v/>
      </c>
      <c r="GX41" s="1" t="str">
        <f t="shared" si="26"/>
        <v/>
      </c>
      <c r="GY41" s="1" t="str">
        <f t="shared" si="26"/>
        <v/>
      </c>
      <c r="GZ41" s="1" t="str">
        <f t="shared" si="26"/>
        <v/>
      </c>
      <c r="HA41" s="1" t="str">
        <f t="shared" si="26"/>
        <v/>
      </c>
      <c r="HB41" s="1" t="str">
        <f t="shared" si="26"/>
        <v/>
      </c>
      <c r="HC41" s="1" t="str">
        <f t="shared" si="26"/>
        <v/>
      </c>
      <c r="HD41" s="1" t="str">
        <f t="shared" si="26"/>
        <v/>
      </c>
      <c r="HE41" s="1" t="str">
        <f t="shared" si="26"/>
        <v/>
      </c>
      <c r="HF41" s="1" t="str">
        <f t="shared" si="26"/>
        <v xml:space="preserve">Pennsylvania; </v>
      </c>
      <c r="HG41" s="1" t="str">
        <f t="shared" si="26"/>
        <v/>
      </c>
      <c r="HH41" s="1" t="str">
        <f t="shared" si="26"/>
        <v/>
      </c>
      <c r="HI41" s="1" t="str">
        <f t="shared" si="26"/>
        <v/>
      </c>
      <c r="HJ41" s="1" t="str">
        <f t="shared" si="26"/>
        <v/>
      </c>
      <c r="HK41" s="1" t="str">
        <f t="shared" si="26"/>
        <v/>
      </c>
      <c r="HL41" s="1" t="str">
        <f t="shared" si="26"/>
        <v/>
      </c>
      <c r="HM41" s="1" t="str">
        <f t="shared" si="26"/>
        <v/>
      </c>
      <c r="HN41" s="1" t="str">
        <f t="shared" si="27"/>
        <v/>
      </c>
      <c r="HO41" s="1" t="str">
        <f t="shared" si="27"/>
        <v/>
      </c>
      <c r="HP41" s="1" t="str">
        <f t="shared" si="27"/>
        <v/>
      </c>
      <c r="HQ41" s="1" t="str">
        <f t="shared" si="27"/>
        <v/>
      </c>
      <c r="HR41" s="1" t="str">
        <f t="shared" si="27"/>
        <v/>
      </c>
      <c r="HS41" s="1" t="str">
        <f t="shared" si="27"/>
        <v/>
      </c>
      <c r="HT41" s="1" t="str">
        <f t="shared" si="27"/>
        <v/>
      </c>
      <c r="HU41" s="1" t="str">
        <f t="shared" si="27"/>
        <v/>
      </c>
      <c r="HV41" s="1" t="str">
        <f t="shared" si="27"/>
        <v/>
      </c>
      <c r="HW41" s="1" t="str">
        <f t="shared" si="27"/>
        <v/>
      </c>
      <c r="HX41" s="1" t="str">
        <f t="shared" si="27"/>
        <v/>
      </c>
      <c r="HY41" s="1" t="str">
        <f t="shared" si="27"/>
        <v/>
      </c>
      <c r="HZ41" s="1" t="str">
        <f t="shared" si="27"/>
        <v/>
      </c>
      <c r="IA41" s="1" t="str">
        <f t="shared" si="27"/>
        <v/>
      </c>
      <c r="IB41" s="1" t="str">
        <f t="shared" si="27"/>
        <v/>
      </c>
      <c r="IC41" s="1" t="str">
        <f t="shared" si="27"/>
        <v/>
      </c>
      <c r="ID41" s="1" t="str">
        <f t="shared" si="28"/>
        <v/>
      </c>
      <c r="IE41" s="1" t="str">
        <f t="shared" si="28"/>
        <v/>
      </c>
      <c r="IF41" s="1" t="str">
        <f t="shared" si="28"/>
        <v/>
      </c>
      <c r="IG41" s="1" t="str">
        <f t="shared" si="28"/>
        <v/>
      </c>
      <c r="IH41" s="1" t="str">
        <f t="shared" si="28"/>
        <v/>
      </c>
      <c r="II41" s="1" t="str">
        <f t="shared" si="28"/>
        <v/>
      </c>
      <c r="IJ41" s="1" t="str">
        <f t="shared" si="28"/>
        <v/>
      </c>
      <c r="IK41" s="1" t="str">
        <f t="shared" si="28"/>
        <v/>
      </c>
      <c r="IL41" s="1" t="str">
        <f t="shared" si="28"/>
        <v/>
      </c>
      <c r="IM41" s="1" t="str">
        <f t="shared" si="28"/>
        <v/>
      </c>
      <c r="IN41" s="1" t="str">
        <f t="shared" si="28"/>
        <v/>
      </c>
      <c r="IO41" s="1" t="str">
        <f t="shared" si="28"/>
        <v/>
      </c>
      <c r="IP41" s="1" t="str">
        <f t="shared" si="28"/>
        <v/>
      </c>
      <c r="IQ41" s="1" t="str">
        <f t="shared" si="28"/>
        <v/>
      </c>
      <c r="IR41" s="1" t="str">
        <f t="shared" si="28"/>
        <v/>
      </c>
      <c r="IS41" s="1" t="str">
        <f t="shared" si="28"/>
        <v/>
      </c>
      <c r="IT41" s="1" t="str">
        <f t="shared" si="29"/>
        <v/>
      </c>
      <c r="IU41" s="1" t="str">
        <f t="shared" si="29"/>
        <v/>
      </c>
      <c r="IV41" s="1" t="str">
        <f t="shared" si="29"/>
        <v/>
      </c>
      <c r="IW41" s="1" t="str">
        <f t="shared" si="29"/>
        <v/>
      </c>
      <c r="IX41" s="1" t="str">
        <f t="shared" si="29"/>
        <v/>
      </c>
      <c r="IY41" s="1" t="str">
        <f t="shared" si="29"/>
        <v/>
      </c>
      <c r="IZ41" s="1" t="str">
        <f t="shared" si="29"/>
        <v/>
      </c>
      <c r="JA41" s="1" t="str">
        <f t="shared" si="29"/>
        <v/>
      </c>
      <c r="JB41" s="1" t="str">
        <f t="shared" si="29"/>
        <v/>
      </c>
      <c r="JC41" s="1" t="str">
        <f t="shared" si="29"/>
        <v/>
      </c>
      <c r="JD41" s="1" t="str">
        <f t="shared" si="29"/>
        <v/>
      </c>
      <c r="JE41" s="1" t="str">
        <f t="shared" si="29"/>
        <v/>
      </c>
      <c r="JF41" s="1" t="str">
        <f t="shared" si="29"/>
        <v/>
      </c>
      <c r="JG41" s="1" t="str">
        <f t="shared" si="29"/>
        <v/>
      </c>
      <c r="JH41" s="1" t="str">
        <f t="shared" si="29"/>
        <v/>
      </c>
      <c r="JI41" s="1" t="str">
        <f t="shared" si="29"/>
        <v/>
      </c>
      <c r="JJ41" s="1" t="str">
        <f t="shared" si="30"/>
        <v/>
      </c>
      <c r="JK41" s="1" t="str">
        <f t="shared" si="30"/>
        <v/>
      </c>
      <c r="JL41" s="1" t="str">
        <f t="shared" si="24"/>
        <v/>
      </c>
      <c r="JM41" s="1" t="str">
        <f t="shared" si="12"/>
        <v/>
      </c>
      <c r="JN41" s="1" t="str">
        <f t="shared" si="12"/>
        <v/>
      </c>
      <c r="JO41" s="1" t="str">
        <f t="shared" si="12"/>
        <v/>
      </c>
    </row>
    <row r="42" spans="1:275" ht="14.5" x14ac:dyDescent="0.35">
      <c r="A42" s="59">
        <f>IF('Data input'!A42&lt;&gt;"",'Data input'!A42,"")</f>
        <v>40</v>
      </c>
      <c r="B42" s="60" t="str">
        <f>IF('Data input'!B42&lt;&gt;"",'Data input'!B42,"")</f>
        <v>South Carolina</v>
      </c>
      <c r="C42" s="19">
        <f>IF('Data input'!C42="","",4*('Data input'!C42-'Data input'!C$108)/('Data input'!C$109-'Data input'!C$108)+1)</f>
        <v>4.1687639173668085</v>
      </c>
      <c r="D42" s="19" t="str">
        <f>IF('Data input'!D42="","",4*('Data input'!D42-'Data input'!D$108)/('Data input'!D$109-'Data input'!D$108)+1)</f>
        <v/>
      </c>
      <c r="E42" s="19" t="str">
        <f>IF('Data input'!E42="","",4*('Data input'!E42-'Data input'!E$108)/('Data input'!E$109-'Data input'!E$108)+1)</f>
        <v/>
      </c>
      <c r="F42" s="19" t="str">
        <f>IF('Data input'!F42="","",4*('Data input'!F42-'Data input'!F$108)/('Data input'!F$109-'Data input'!F$108)+1)</f>
        <v/>
      </c>
      <c r="G42" s="19" t="str">
        <f>IF('Data input'!G42="","",4*('Data input'!G42-'Data input'!G$108)/('Data input'!G$109-'Data input'!G$108)+1)</f>
        <v/>
      </c>
      <c r="H42" s="61">
        <f>IF('Data input'!H42="","",4*('Data input'!H42-'Data input'!H$108)/('Data input'!H$109-'Data input'!H$108)+1)</f>
        <v>1.3266332564858823</v>
      </c>
      <c r="I42" s="19">
        <f>IF('Data input'!I42="","",4*('Data input'!I42-'Data input'!I$108)/('Data input'!I$109-'Data input'!I$108)+1)</f>
        <v>1.1176646561342798</v>
      </c>
      <c r="J42" s="19" t="str">
        <f>IF('Data input'!J42="","",4*('Data input'!J42-'Data input'!J$108)/('Data input'!J$109-'Data input'!J$108)+1)</f>
        <v/>
      </c>
      <c r="K42" s="19" t="str">
        <f>IF('Data input'!K42="","",4*('Data input'!K42-'Data input'!K$108)/('Data input'!K$109-'Data input'!K$108)+1)</f>
        <v/>
      </c>
      <c r="L42" s="19" t="str">
        <f>IF('Data input'!L42="","",4*('Data input'!L42-'Data input'!L$108)/('Data input'!L$109-'Data input'!L$108)+1)</f>
        <v/>
      </c>
      <c r="M42" s="19">
        <f>IF('Data input'!M42="","",4*('Data input'!M42-'Data input'!M$108)/('Data input'!M$109-'Data input'!M$108)+1)</f>
        <v>1.4579513249124987</v>
      </c>
      <c r="N42" s="16" t="str">
        <f>IF('Data input'!N42="","",4*('Data input'!N42-'Data input'!N$108)/('Data input'!N$109-'Data input'!N$108)+1)</f>
        <v/>
      </c>
      <c r="O42" s="19" t="str">
        <f>IF('Data input'!O42="","",4*('Data input'!O42-'Data input'!O$108)/('Data input'!O$109-'Data input'!O$108)+1)</f>
        <v/>
      </c>
      <c r="P42" s="19" t="str">
        <f>IF('Data input'!P42="","",4*('Data input'!P42-'Data input'!P$108)/('Data input'!P$109-'Data input'!P$108)+1)</f>
        <v/>
      </c>
      <c r="Q42" s="19" t="str">
        <f>IF('Data input'!Q42="","",4*('Data input'!Q42-'Data input'!Q$108)/('Data input'!Q$109-'Data input'!Q$108)+1)</f>
        <v/>
      </c>
      <c r="R42" s="19" t="str">
        <f>IF('Data input'!R42="","",4*('Data input'!R42-'Data input'!R$108)/('Data input'!R$109-'Data input'!R$108)+1)</f>
        <v/>
      </c>
      <c r="S42" s="16" t="str">
        <f>IF('Data input'!S42="","",4*('Data input'!S42-'Data input'!S$108)/('Data input'!S$109-'Data input'!S$108)+1)</f>
        <v/>
      </c>
      <c r="T42" s="19" t="str">
        <f>IF('Data input'!T42="","",4*('Data input'!T42-'Data input'!T$108)/('Data input'!T$109-'Data input'!T$108)+1)</f>
        <v/>
      </c>
      <c r="U42" s="19" t="str">
        <f>IF('Data input'!U42="","",4*('Data input'!U42-'Data input'!U$108)/('Data input'!U$109-'Data input'!U$108)+1)</f>
        <v/>
      </c>
      <c r="V42" s="19" t="str">
        <f>IF('Data input'!V42="","",4*('Data input'!V42-'Data input'!V$108)/('Data input'!V$109-'Data input'!V$108)+1)</f>
        <v/>
      </c>
      <c r="W42" s="16" t="str">
        <f>IF('Data input'!W42="","",4*('Data input'!W42-'Data input'!W$108)/('Data input'!W$109-'Data input'!W$108)+1)</f>
        <v/>
      </c>
      <c r="X42" s="16" t="str">
        <f>IF('Data input'!X42="","",4*('Data input'!X42-'Data input'!X$108)/('Data input'!X$109-'Data input'!X$108)+1)</f>
        <v/>
      </c>
      <c r="Y42" s="16" t="str">
        <f>IF('Data input'!Y42="","",4*('Data input'!Y42-'Data input'!Y$108)/('Data input'!Y$109-'Data input'!Y$108)+1)</f>
        <v/>
      </c>
      <c r="Z42" s="16" t="str">
        <f>IF('Data input'!Z42="","",4*('Data input'!Z42-'Data input'!Z$108)/('Data input'!Z$109-'Data input'!Z$108)+1)</f>
        <v/>
      </c>
      <c r="AA42" s="62" t="str">
        <f>IF('Data input'!AA42="","",4*('Data input'!AA42-'Data input'!AA$108)/('Data input'!AA$109-'Data input'!AA$108)+1)</f>
        <v/>
      </c>
      <c r="AB42" s="78"/>
      <c r="AC42" s="79">
        <v>0</v>
      </c>
      <c r="AD42" s="80" t="e">
        <f t="shared" si="13"/>
        <v>#DIV/0!</v>
      </c>
      <c r="AE42" s="4"/>
      <c r="AF42" s="59">
        <f t="shared" si="14"/>
        <v>40</v>
      </c>
      <c r="AG42" s="60" t="str">
        <f t="shared" si="14"/>
        <v>South Carolina</v>
      </c>
      <c r="AH42">
        <v>0</v>
      </c>
      <c r="AI42" t="s">
        <v>69</v>
      </c>
      <c r="AJ42" t="s">
        <v>69</v>
      </c>
      <c r="AK42" t="s">
        <v>69</v>
      </c>
      <c r="AL42" t="s">
        <v>69</v>
      </c>
      <c r="AM42">
        <v>0.20217605186743748</v>
      </c>
      <c r="AN42">
        <v>9.2135169492840091E-2</v>
      </c>
      <c r="AO42" t="s">
        <v>69</v>
      </c>
      <c r="AP42" t="s">
        <v>69</v>
      </c>
      <c r="AQ42" t="s">
        <v>69</v>
      </c>
      <c r="AR42">
        <v>0.88258336023965334</v>
      </c>
      <c r="AS42" s="71">
        <f t="shared" si="15"/>
        <v>4.1687639173668085</v>
      </c>
      <c r="AT42" s="71" t="str">
        <f t="shared" si="15"/>
        <v/>
      </c>
      <c r="AU42" s="71" t="str">
        <f t="shared" si="15"/>
        <v/>
      </c>
      <c r="AV42" s="71" t="str">
        <f t="shared" si="15"/>
        <v/>
      </c>
      <c r="AW42" s="71" t="str">
        <f t="shared" si="15"/>
        <v/>
      </c>
      <c r="AX42" s="71">
        <f t="shared" si="16"/>
        <v>1.1244572046184449</v>
      </c>
      <c r="AY42" s="71">
        <f t="shared" si="16"/>
        <v>1.0255294866414397</v>
      </c>
      <c r="AZ42" s="71" t="str">
        <f t="shared" si="16"/>
        <v/>
      </c>
      <c r="BA42" s="71" t="str">
        <f t="shared" si="16"/>
        <v/>
      </c>
      <c r="BB42" s="71" t="str">
        <f t="shared" si="16"/>
        <v/>
      </c>
      <c r="BC42" s="18">
        <f>IF(C42&lt;&gt;"",(('Data input'!C$109-'Data input'!C$108)*(AS42-1)/4)+'Data input'!C$108,"")</f>
        <v>0.9661128521129988</v>
      </c>
      <c r="BD42" s="18" t="str">
        <f>IF(D42&lt;&gt;"",(('Data input'!D$109-'Data input'!D$108)*(AT42-1)/4)+'Data input'!D$108,"")</f>
        <v/>
      </c>
      <c r="BE42" s="18" t="str">
        <f>IF(E42&lt;&gt;"",(('Data input'!E$109-'Data input'!E$108)*(AU42-1)/4)+'Data input'!E$108,"")</f>
        <v/>
      </c>
      <c r="BF42" s="18" t="str">
        <f>IF(F42&lt;&gt;"",(('Data input'!F$109-'Data input'!F$108)*(AV42-1)/4)+'Data input'!F$108,"")</f>
        <v/>
      </c>
      <c r="BG42" s="18" t="str">
        <f>IF(G42&lt;&gt;"",(('Data input'!G$109-'Data input'!G$108)*(AW42-1)/4)+'Data input'!G$108,"")</f>
        <v/>
      </c>
      <c r="BH42" s="19">
        <f>IF(H42&lt;&gt;"",(('Data input'!H$109-'Data input'!H$108)*(AX42-1)/4)+'Data input'!H$108,"")</f>
        <v>3.006150632446273</v>
      </c>
      <c r="BI42" s="18">
        <f>IF(I42&lt;&gt;"",(('Data input'!I$109-'Data input'!I$108)*(AY42-1)/4)+'Data input'!I$108,"")</f>
        <v>1.1209607616216577E-3</v>
      </c>
      <c r="BJ42" s="19" t="str">
        <f>IF(J42&lt;&gt;"",(('Data input'!J$109-'Data input'!J$108)*(AZ42-1)/4)+'Data input'!J$108,"")</f>
        <v/>
      </c>
      <c r="BK42" s="19" t="str">
        <f>IF(K42&lt;&gt;"",(('Data input'!K$109-'Data input'!K$108)*(BA42-1)/4)+'Data input'!K$108,"")</f>
        <v/>
      </c>
      <c r="BL42" s="19" t="str">
        <f>IF(L42&lt;&gt;"",(('Data input'!L$109-'Data input'!L$108)*(BB42-1)/4)+'Data input'!L$108,"")</f>
        <v/>
      </c>
      <c r="BM42" s="18">
        <f>IF(C42&lt;&gt;"",BC42-'Data input'!C42,"")</f>
        <v>0</v>
      </c>
      <c r="BN42" s="18" t="str">
        <f>IF(D42&lt;&gt;"",BD42-'Data input'!D42,"")</f>
        <v/>
      </c>
      <c r="BO42" s="18" t="str">
        <f>IF(E42&lt;&gt;"",BE42-'Data input'!E42,"")</f>
        <v/>
      </c>
      <c r="BP42" s="18" t="str">
        <f>IF(F42&lt;&gt;"",BF42-'Data input'!F42,"")</f>
        <v/>
      </c>
      <c r="BQ42" s="18" t="str">
        <f>IF(G42&lt;&gt;"",BG42-'Data input'!G42,"")</f>
        <v/>
      </c>
      <c r="BR42" s="19">
        <f>IF(H42&lt;&gt;"",BH42-'Data input'!H42,"")</f>
        <v>-4.4029558531835757</v>
      </c>
      <c r="BS42" s="18">
        <f>IF(I42&lt;&gt;"",BI42-'Data input'!I42,"")</f>
        <v>-4.0455145541073894E-3</v>
      </c>
      <c r="BT42" s="18" t="str">
        <f>IF(J42&lt;&gt;"",BJ42-'Data input'!J42,"")</f>
        <v/>
      </c>
      <c r="BU42" s="18" t="str">
        <f>IF(K42&lt;&gt;"",BK42-'Data input'!K42,"")</f>
        <v/>
      </c>
      <c r="BV42" s="72" t="str">
        <f>IF(L42&lt;&gt;"",BL42-'Data input'!L42,"")</f>
        <v/>
      </c>
      <c r="BW42" s="121" t="str">
        <f t="shared" si="17"/>
        <v xml:space="preserve">Kansas; New York; Texas; </v>
      </c>
      <c r="BX42" s="1">
        <v>0</v>
      </c>
      <c r="BY42" s="1">
        <v>0</v>
      </c>
      <c r="BZ42" s="1">
        <v>0</v>
      </c>
      <c r="CA42" s="1">
        <v>0</v>
      </c>
      <c r="CB42" s="1">
        <v>0</v>
      </c>
      <c r="CC42" s="1">
        <v>0</v>
      </c>
      <c r="CD42" s="1">
        <v>0</v>
      </c>
      <c r="CE42" s="1">
        <v>0</v>
      </c>
      <c r="CF42" s="1">
        <v>0</v>
      </c>
      <c r="CG42" s="1">
        <v>0</v>
      </c>
      <c r="CH42" s="1">
        <v>0</v>
      </c>
      <c r="CI42" s="1">
        <v>0</v>
      </c>
      <c r="CJ42" s="1">
        <v>0</v>
      </c>
      <c r="CK42" s="1">
        <v>0</v>
      </c>
      <c r="CL42" s="1">
        <v>0</v>
      </c>
      <c r="CM42" s="1">
        <v>0</v>
      </c>
      <c r="CN42" s="1">
        <v>0.75118732276238742</v>
      </c>
      <c r="CO42" s="1">
        <v>0</v>
      </c>
      <c r="CP42" s="1">
        <v>0</v>
      </c>
      <c r="CQ42" s="1">
        <v>0</v>
      </c>
      <c r="CR42" s="1">
        <v>0</v>
      </c>
      <c r="CS42" s="1">
        <v>0</v>
      </c>
      <c r="CT42" s="1">
        <v>0</v>
      </c>
      <c r="CU42" s="1">
        <v>0</v>
      </c>
      <c r="CV42" s="1">
        <v>0</v>
      </c>
      <c r="CW42" s="1">
        <v>0</v>
      </c>
      <c r="CX42" s="1">
        <v>0</v>
      </c>
      <c r="CY42" s="1">
        <v>0</v>
      </c>
      <c r="CZ42" s="1">
        <v>0</v>
      </c>
      <c r="DA42" s="1">
        <v>0</v>
      </c>
      <c r="DB42" s="1">
        <v>0</v>
      </c>
      <c r="DC42" s="1">
        <v>0</v>
      </c>
      <c r="DD42" s="1">
        <v>0.13437133352300787</v>
      </c>
      <c r="DE42" s="1">
        <v>0</v>
      </c>
      <c r="DF42" s="1">
        <v>0</v>
      </c>
      <c r="DG42" s="1">
        <v>0</v>
      </c>
      <c r="DH42" s="1">
        <v>0</v>
      </c>
      <c r="DI42" s="1">
        <v>0</v>
      </c>
      <c r="DJ42" s="1">
        <v>0</v>
      </c>
      <c r="DK42" s="1">
        <v>0</v>
      </c>
      <c r="DL42" s="1">
        <v>0</v>
      </c>
      <c r="DM42" s="1">
        <v>0</v>
      </c>
      <c r="DN42" s="1">
        <v>0.11444134371460407</v>
      </c>
      <c r="DO42" s="1">
        <v>0</v>
      </c>
      <c r="DP42" s="1">
        <v>0</v>
      </c>
      <c r="DQ42" s="1">
        <v>0</v>
      </c>
      <c r="DR42" s="1">
        <v>0</v>
      </c>
      <c r="DS42" s="1">
        <v>0</v>
      </c>
      <c r="DT42" s="1">
        <v>0</v>
      </c>
      <c r="DU42" s="1">
        <v>0</v>
      </c>
      <c r="DV42" s="1">
        <v>0</v>
      </c>
      <c r="DW42" s="1">
        <v>0</v>
      </c>
      <c r="DX42" s="1">
        <v>0</v>
      </c>
      <c r="DY42" s="1">
        <v>0</v>
      </c>
      <c r="DZ42" s="1">
        <v>0</v>
      </c>
      <c r="FT42" s="1" t="str">
        <f t="shared" si="25"/>
        <v/>
      </c>
      <c r="FU42" s="1" t="str">
        <f t="shared" si="25"/>
        <v/>
      </c>
      <c r="FV42" s="1" t="str">
        <f t="shared" si="25"/>
        <v/>
      </c>
      <c r="FW42" s="1" t="str">
        <f t="shared" si="25"/>
        <v/>
      </c>
      <c r="FX42" s="1" t="str">
        <f t="shared" si="25"/>
        <v/>
      </c>
      <c r="FY42" s="1" t="str">
        <f t="shared" si="25"/>
        <v/>
      </c>
      <c r="FZ42" s="1" t="str">
        <f t="shared" si="25"/>
        <v/>
      </c>
      <c r="GA42" s="1" t="str">
        <f t="shared" si="25"/>
        <v/>
      </c>
      <c r="GB42" s="1" t="str">
        <f t="shared" si="25"/>
        <v/>
      </c>
      <c r="GC42" s="1" t="str">
        <f t="shared" si="25"/>
        <v/>
      </c>
      <c r="GD42" s="1" t="str">
        <f t="shared" si="25"/>
        <v/>
      </c>
      <c r="GE42" s="1" t="str">
        <f t="shared" si="25"/>
        <v/>
      </c>
      <c r="GF42" s="1" t="str">
        <f t="shared" si="25"/>
        <v/>
      </c>
      <c r="GG42" s="1" t="str">
        <f t="shared" si="25"/>
        <v/>
      </c>
      <c r="GH42" s="1" t="str">
        <f t="shared" si="25"/>
        <v/>
      </c>
      <c r="GI42" s="1" t="str">
        <f t="shared" si="25"/>
        <v/>
      </c>
      <c r="GJ42" s="1" t="str">
        <f t="shared" si="31"/>
        <v xml:space="preserve">Kansas; </v>
      </c>
      <c r="GK42" s="1" t="str">
        <f t="shared" si="31"/>
        <v/>
      </c>
      <c r="GL42" s="1" t="str">
        <f t="shared" si="31"/>
        <v/>
      </c>
      <c r="GM42" s="1" t="str">
        <f t="shared" si="31"/>
        <v/>
      </c>
      <c r="GN42" s="1" t="str">
        <f t="shared" si="31"/>
        <v/>
      </c>
      <c r="GO42" s="1" t="str">
        <f t="shared" si="31"/>
        <v/>
      </c>
      <c r="GP42" s="1" t="str">
        <f t="shared" si="31"/>
        <v/>
      </c>
      <c r="GQ42" s="1" t="str">
        <f t="shared" si="31"/>
        <v/>
      </c>
      <c r="GR42" s="1" t="str">
        <f t="shared" si="31"/>
        <v/>
      </c>
      <c r="GS42" s="1" t="str">
        <f t="shared" si="31"/>
        <v/>
      </c>
      <c r="GT42" s="1" t="str">
        <f t="shared" si="31"/>
        <v/>
      </c>
      <c r="GU42" s="1" t="str">
        <f t="shared" si="31"/>
        <v/>
      </c>
      <c r="GV42" s="1" t="str">
        <f t="shared" si="31"/>
        <v/>
      </c>
      <c r="GW42" s="1" t="str">
        <f t="shared" si="31"/>
        <v/>
      </c>
      <c r="GX42" s="1" t="str">
        <f t="shared" si="26"/>
        <v/>
      </c>
      <c r="GY42" s="1" t="str">
        <f t="shared" si="26"/>
        <v/>
      </c>
      <c r="GZ42" s="1" t="str">
        <f t="shared" si="26"/>
        <v xml:space="preserve">New York; </v>
      </c>
      <c r="HA42" s="1" t="str">
        <f t="shared" si="26"/>
        <v/>
      </c>
      <c r="HB42" s="1" t="str">
        <f t="shared" si="26"/>
        <v/>
      </c>
      <c r="HC42" s="1" t="str">
        <f t="shared" si="26"/>
        <v/>
      </c>
      <c r="HD42" s="1" t="str">
        <f t="shared" si="26"/>
        <v/>
      </c>
      <c r="HE42" s="1" t="str">
        <f t="shared" si="26"/>
        <v/>
      </c>
      <c r="HF42" s="1" t="str">
        <f t="shared" si="26"/>
        <v/>
      </c>
      <c r="HG42" s="1" t="str">
        <f t="shared" si="26"/>
        <v/>
      </c>
      <c r="HH42" s="1" t="str">
        <f t="shared" si="26"/>
        <v/>
      </c>
      <c r="HI42" s="1" t="str">
        <f t="shared" si="26"/>
        <v/>
      </c>
      <c r="HJ42" s="1" t="str">
        <f t="shared" si="26"/>
        <v xml:space="preserve">Texas; </v>
      </c>
      <c r="HK42" s="1" t="str">
        <f t="shared" si="26"/>
        <v/>
      </c>
      <c r="HL42" s="1" t="str">
        <f t="shared" si="26"/>
        <v/>
      </c>
      <c r="HM42" s="1" t="str">
        <f t="shared" si="26"/>
        <v/>
      </c>
      <c r="HN42" s="1" t="str">
        <f t="shared" si="27"/>
        <v/>
      </c>
      <c r="HO42" s="1" t="str">
        <f t="shared" si="27"/>
        <v/>
      </c>
      <c r="HP42" s="1" t="str">
        <f t="shared" si="27"/>
        <v/>
      </c>
      <c r="HQ42" s="1" t="str">
        <f t="shared" si="27"/>
        <v/>
      </c>
      <c r="HR42" s="1" t="str">
        <f t="shared" si="27"/>
        <v/>
      </c>
      <c r="HS42" s="1" t="str">
        <f t="shared" si="27"/>
        <v/>
      </c>
      <c r="HT42" s="1" t="str">
        <f t="shared" si="27"/>
        <v/>
      </c>
      <c r="HU42" s="1" t="str">
        <f t="shared" si="27"/>
        <v/>
      </c>
      <c r="HV42" s="1" t="str">
        <f t="shared" si="27"/>
        <v/>
      </c>
      <c r="HW42" s="1" t="str">
        <f t="shared" si="27"/>
        <v/>
      </c>
      <c r="HX42" s="1" t="str">
        <f t="shared" si="27"/>
        <v/>
      </c>
      <c r="HY42" s="1" t="str">
        <f t="shared" si="27"/>
        <v/>
      </c>
      <c r="HZ42" s="1" t="str">
        <f t="shared" si="27"/>
        <v/>
      </c>
      <c r="IA42" s="1" t="str">
        <f t="shared" si="27"/>
        <v/>
      </c>
      <c r="IB42" s="1" t="str">
        <f t="shared" si="27"/>
        <v/>
      </c>
      <c r="IC42" s="1" t="str">
        <f t="shared" si="27"/>
        <v/>
      </c>
      <c r="ID42" s="1" t="str">
        <f t="shared" si="28"/>
        <v/>
      </c>
      <c r="IE42" s="1" t="str">
        <f t="shared" si="28"/>
        <v/>
      </c>
      <c r="IF42" s="1" t="str">
        <f t="shared" si="28"/>
        <v/>
      </c>
      <c r="IG42" s="1" t="str">
        <f t="shared" si="28"/>
        <v/>
      </c>
      <c r="IH42" s="1" t="str">
        <f t="shared" si="28"/>
        <v/>
      </c>
      <c r="II42" s="1" t="str">
        <f t="shared" si="28"/>
        <v/>
      </c>
      <c r="IJ42" s="1" t="str">
        <f t="shared" si="28"/>
        <v/>
      </c>
      <c r="IK42" s="1" t="str">
        <f t="shared" si="28"/>
        <v/>
      </c>
      <c r="IL42" s="1" t="str">
        <f t="shared" si="28"/>
        <v/>
      </c>
      <c r="IM42" s="1" t="str">
        <f t="shared" si="28"/>
        <v/>
      </c>
      <c r="IN42" s="1" t="str">
        <f t="shared" si="28"/>
        <v/>
      </c>
      <c r="IO42" s="1" t="str">
        <f t="shared" si="28"/>
        <v/>
      </c>
      <c r="IP42" s="1" t="str">
        <f t="shared" si="28"/>
        <v/>
      </c>
      <c r="IQ42" s="1" t="str">
        <f t="shared" si="28"/>
        <v/>
      </c>
      <c r="IR42" s="1" t="str">
        <f t="shared" si="28"/>
        <v/>
      </c>
      <c r="IS42" s="1" t="str">
        <f t="shared" si="28"/>
        <v/>
      </c>
      <c r="IT42" s="1" t="str">
        <f t="shared" si="29"/>
        <v/>
      </c>
      <c r="IU42" s="1" t="str">
        <f t="shared" si="29"/>
        <v/>
      </c>
      <c r="IV42" s="1" t="str">
        <f t="shared" si="29"/>
        <v/>
      </c>
      <c r="IW42" s="1" t="str">
        <f t="shared" si="29"/>
        <v/>
      </c>
      <c r="IX42" s="1" t="str">
        <f t="shared" si="29"/>
        <v/>
      </c>
      <c r="IY42" s="1" t="str">
        <f t="shared" si="29"/>
        <v/>
      </c>
      <c r="IZ42" s="1" t="str">
        <f t="shared" si="29"/>
        <v/>
      </c>
      <c r="JA42" s="1" t="str">
        <f t="shared" si="29"/>
        <v/>
      </c>
      <c r="JB42" s="1" t="str">
        <f t="shared" si="29"/>
        <v/>
      </c>
      <c r="JC42" s="1" t="str">
        <f t="shared" si="29"/>
        <v/>
      </c>
      <c r="JD42" s="1" t="str">
        <f t="shared" si="29"/>
        <v/>
      </c>
      <c r="JE42" s="1" t="str">
        <f t="shared" si="29"/>
        <v/>
      </c>
      <c r="JF42" s="1" t="str">
        <f t="shared" si="29"/>
        <v/>
      </c>
      <c r="JG42" s="1" t="str">
        <f t="shared" si="29"/>
        <v/>
      </c>
      <c r="JH42" s="1" t="str">
        <f t="shared" si="29"/>
        <v/>
      </c>
      <c r="JI42" s="1" t="str">
        <f t="shared" si="29"/>
        <v/>
      </c>
      <c r="JJ42" s="1" t="str">
        <f t="shared" si="30"/>
        <v/>
      </c>
      <c r="JK42" s="1" t="str">
        <f t="shared" si="30"/>
        <v/>
      </c>
      <c r="JL42" s="1" t="str">
        <f t="shared" si="24"/>
        <v/>
      </c>
      <c r="JM42" s="1" t="str">
        <f t="shared" si="12"/>
        <v/>
      </c>
      <c r="JN42" s="1" t="str">
        <f t="shared" si="12"/>
        <v/>
      </c>
      <c r="JO42" s="1" t="str">
        <f t="shared" si="12"/>
        <v/>
      </c>
    </row>
    <row r="43" spans="1:275" ht="14.5" x14ac:dyDescent="0.35">
      <c r="A43" s="59">
        <f>IF('Data input'!A43&lt;&gt;"",'Data input'!A43,"")</f>
        <v>41</v>
      </c>
      <c r="B43" s="60" t="str">
        <f>IF('Data input'!B43&lt;&gt;"",'Data input'!B43,"")</f>
        <v>South Dakota</v>
      </c>
      <c r="C43" s="19">
        <f>IF('Data input'!C43="","",4*('Data input'!C43-'Data input'!C$108)/('Data input'!C$109-'Data input'!C$108)+1)</f>
        <v>4.3501956438083944</v>
      </c>
      <c r="D43" s="19" t="str">
        <f>IF('Data input'!D43="","",4*('Data input'!D43-'Data input'!D$108)/('Data input'!D$109-'Data input'!D$108)+1)</f>
        <v/>
      </c>
      <c r="E43" s="19" t="str">
        <f>IF('Data input'!E43="","",4*('Data input'!E43-'Data input'!E$108)/('Data input'!E$109-'Data input'!E$108)+1)</f>
        <v/>
      </c>
      <c r="F43" s="19" t="str">
        <f>IF('Data input'!F43="","",4*('Data input'!F43-'Data input'!F$108)/('Data input'!F$109-'Data input'!F$108)+1)</f>
        <v/>
      </c>
      <c r="G43" s="19" t="str">
        <f>IF('Data input'!G43="","",4*('Data input'!G43-'Data input'!G$108)/('Data input'!G$109-'Data input'!G$108)+1)</f>
        <v/>
      </c>
      <c r="H43" s="61">
        <f>IF('Data input'!H43="","",4*('Data input'!H43-'Data input'!H$108)/('Data input'!H$109-'Data input'!H$108)+1)</f>
        <v>3.3444685413747308</v>
      </c>
      <c r="I43" s="19">
        <f>IF('Data input'!I43="","",4*('Data input'!I43-'Data input'!I$108)/('Data input'!I$109-'Data input'!I$108)+1)</f>
        <v>2.55229034430387</v>
      </c>
      <c r="J43" s="19" t="str">
        <f>IF('Data input'!J43="","",4*('Data input'!J43-'Data input'!J$108)/('Data input'!J$109-'Data input'!J$108)+1)</f>
        <v/>
      </c>
      <c r="K43" s="19" t="str">
        <f>IF('Data input'!K43="","",4*('Data input'!K43-'Data input'!K$108)/('Data input'!K$109-'Data input'!K$108)+1)</f>
        <v/>
      </c>
      <c r="L43" s="19" t="str">
        <f>IF('Data input'!L43="","",4*('Data input'!L43-'Data input'!L$108)/('Data input'!L$109-'Data input'!L$108)+1)</f>
        <v/>
      </c>
      <c r="M43" s="19">
        <f>IF('Data input'!M43="","",4*('Data input'!M43-'Data input'!M$108)/('Data input'!M$109-'Data input'!M$108)+1)</f>
        <v>1.2404423898002825</v>
      </c>
      <c r="N43" s="16" t="str">
        <f>IF('Data input'!N43="","",4*('Data input'!N43-'Data input'!N$108)/('Data input'!N$109-'Data input'!N$108)+1)</f>
        <v/>
      </c>
      <c r="O43" s="19" t="str">
        <f>IF('Data input'!O43="","",4*('Data input'!O43-'Data input'!O$108)/('Data input'!O$109-'Data input'!O$108)+1)</f>
        <v/>
      </c>
      <c r="P43" s="19" t="str">
        <f>IF('Data input'!P43="","",4*('Data input'!P43-'Data input'!P$108)/('Data input'!P$109-'Data input'!P$108)+1)</f>
        <v/>
      </c>
      <c r="Q43" s="19" t="str">
        <f>IF('Data input'!Q43="","",4*('Data input'!Q43-'Data input'!Q$108)/('Data input'!Q$109-'Data input'!Q$108)+1)</f>
        <v/>
      </c>
      <c r="R43" s="19" t="str">
        <f>IF('Data input'!R43="","",4*('Data input'!R43-'Data input'!R$108)/('Data input'!R$109-'Data input'!R$108)+1)</f>
        <v/>
      </c>
      <c r="S43" s="16" t="str">
        <f>IF('Data input'!S43="","",4*('Data input'!S43-'Data input'!S$108)/('Data input'!S$109-'Data input'!S$108)+1)</f>
        <v/>
      </c>
      <c r="T43" s="19" t="str">
        <f>IF('Data input'!T43="","",4*('Data input'!T43-'Data input'!T$108)/('Data input'!T$109-'Data input'!T$108)+1)</f>
        <v/>
      </c>
      <c r="U43" s="19" t="str">
        <f>IF('Data input'!U43="","",4*('Data input'!U43-'Data input'!U$108)/('Data input'!U$109-'Data input'!U$108)+1)</f>
        <v/>
      </c>
      <c r="V43" s="19" t="str">
        <f>IF('Data input'!V43="","",4*('Data input'!V43-'Data input'!V$108)/('Data input'!V$109-'Data input'!V$108)+1)</f>
        <v/>
      </c>
      <c r="W43" s="16" t="str">
        <f>IF('Data input'!W43="","",4*('Data input'!W43-'Data input'!W$108)/('Data input'!W$109-'Data input'!W$108)+1)</f>
        <v/>
      </c>
      <c r="X43" s="16" t="str">
        <f>IF('Data input'!X43="","",4*('Data input'!X43-'Data input'!X$108)/('Data input'!X$109-'Data input'!X$108)+1)</f>
        <v/>
      </c>
      <c r="Y43" s="16" t="str">
        <f>IF('Data input'!Y43="","",4*('Data input'!Y43-'Data input'!Y$108)/('Data input'!Y$109-'Data input'!Y$108)+1)</f>
        <v/>
      </c>
      <c r="Z43" s="16" t="str">
        <f>IF('Data input'!Z43="","",4*('Data input'!Z43-'Data input'!Z$108)/('Data input'!Z$109-'Data input'!Z$108)+1)</f>
        <v/>
      </c>
      <c r="AA43" s="62" t="str">
        <f>IF('Data input'!AA43="","",4*('Data input'!AA43-'Data input'!AA$108)/('Data input'!AA$109-'Data input'!AA$108)+1)</f>
        <v/>
      </c>
      <c r="AB43" s="78"/>
      <c r="AC43" s="79">
        <v>0</v>
      </c>
      <c r="AD43" s="80" t="e">
        <f t="shared" si="13"/>
        <v>#DIV/0!</v>
      </c>
      <c r="AE43" s="4"/>
      <c r="AF43" s="59">
        <f t="shared" si="14"/>
        <v>41</v>
      </c>
      <c r="AG43" s="60" t="str">
        <f t="shared" si="14"/>
        <v>South Dakota</v>
      </c>
      <c r="AH43">
        <v>0</v>
      </c>
      <c r="AI43" t="s">
        <v>69</v>
      </c>
      <c r="AJ43" t="s">
        <v>69</v>
      </c>
      <c r="AK43" t="s">
        <v>69</v>
      </c>
      <c r="AL43" t="s">
        <v>69</v>
      </c>
      <c r="AM43">
        <v>2.1968779222531287</v>
      </c>
      <c r="AN43">
        <v>1.5075681493651325</v>
      </c>
      <c r="AO43" t="s">
        <v>69</v>
      </c>
      <c r="AP43" t="s">
        <v>69</v>
      </c>
      <c r="AQ43" t="s">
        <v>69</v>
      </c>
      <c r="AR43">
        <v>0.37622913328756646</v>
      </c>
      <c r="AS43" s="71">
        <f t="shared" si="15"/>
        <v>4.3501956438083944</v>
      </c>
      <c r="AT43" s="71" t="str">
        <f t="shared" si="15"/>
        <v/>
      </c>
      <c r="AU43" s="71" t="str">
        <f t="shared" si="15"/>
        <v/>
      </c>
      <c r="AV43" s="71" t="str">
        <f t="shared" si="15"/>
        <v/>
      </c>
      <c r="AW43" s="71" t="str">
        <f t="shared" si="15"/>
        <v/>
      </c>
      <c r="AX43" s="71">
        <f t="shared" si="16"/>
        <v>1.1475906191216021</v>
      </c>
      <c r="AY43" s="71">
        <f t="shared" si="16"/>
        <v>1.0447221949387375</v>
      </c>
      <c r="AZ43" s="71" t="str">
        <f t="shared" si="16"/>
        <v/>
      </c>
      <c r="BA43" s="71" t="str">
        <f t="shared" si="16"/>
        <v/>
      </c>
      <c r="BB43" s="71" t="str">
        <f t="shared" si="16"/>
        <v/>
      </c>
      <c r="BC43" s="18">
        <f>IF(C43&lt;&gt;"",(('Data input'!C$109-'Data input'!C$108)*(AS43-1)/4)+'Data input'!C$108,"")</f>
        <v>0.97270012445617193</v>
      </c>
      <c r="BD43" s="18" t="str">
        <f>IF(D43&lt;&gt;"",(('Data input'!D$109-'Data input'!D$108)*(AT43-1)/4)+'Data input'!D$108,"")</f>
        <v/>
      </c>
      <c r="BE43" s="18" t="str">
        <f>IF(E43&lt;&gt;"",(('Data input'!E$109-'Data input'!E$108)*(AU43-1)/4)+'Data input'!E$108,"")</f>
        <v/>
      </c>
      <c r="BF43" s="18" t="str">
        <f>IF(F43&lt;&gt;"",(('Data input'!F$109-'Data input'!F$108)*(AV43-1)/4)+'Data input'!F$108,"")</f>
        <v/>
      </c>
      <c r="BG43" s="18" t="str">
        <f>IF(G43&lt;&gt;"",(('Data input'!G$109-'Data input'!G$108)*(AW43-1)/4)+'Data input'!G$108,"")</f>
        <v/>
      </c>
      <c r="BH43" s="19">
        <f>IF(H43&lt;&gt;"",(('Data input'!H$109-'Data input'!H$108)*(AX43-1)/4)+'Data input'!H$108,"")</f>
        <v>3.5099462197573872</v>
      </c>
      <c r="BI43" s="18">
        <f>IF(I43&lt;&gt;"",(('Data input'!I$109-'Data input'!I$108)*(AY43-1)/4)+'Data input'!I$108,"")</f>
        <v>1.9636832657083268E-3</v>
      </c>
      <c r="BJ43" s="19" t="str">
        <f>IF(J43&lt;&gt;"",(('Data input'!J$109-'Data input'!J$108)*(AZ43-1)/4)+'Data input'!J$108,"")</f>
        <v/>
      </c>
      <c r="BK43" s="19" t="str">
        <f>IF(K43&lt;&gt;"",(('Data input'!K$109-'Data input'!K$108)*(BA43-1)/4)+'Data input'!K$108,"")</f>
        <v/>
      </c>
      <c r="BL43" s="19" t="str">
        <f>IF(L43&lt;&gt;"",(('Data input'!L$109-'Data input'!L$108)*(BB43-1)/4)+'Data input'!L$108,"")</f>
        <v/>
      </c>
      <c r="BM43" s="18">
        <f>IF(C43&lt;&gt;"",BC43-'Data input'!C43,"")</f>
        <v>0</v>
      </c>
      <c r="BN43" s="18" t="str">
        <f>IF(D43&lt;&gt;"",BD43-'Data input'!D43,"")</f>
        <v/>
      </c>
      <c r="BO43" s="18" t="str">
        <f>IF(E43&lt;&gt;"",BE43-'Data input'!E43,"")</f>
        <v/>
      </c>
      <c r="BP43" s="18" t="str">
        <f>IF(F43&lt;&gt;"",BF43-'Data input'!F43,"")</f>
        <v/>
      </c>
      <c r="BQ43" s="18" t="str">
        <f>IF(G43&lt;&gt;"",BG43-'Data input'!G43,"")</f>
        <v/>
      </c>
      <c r="BR43" s="19">
        <f>IF(H43&lt;&gt;"",BH43-'Data input'!H43,"")</f>
        <v>-47.843235720402774</v>
      </c>
      <c r="BS43" s="18">
        <f>IF(I43&lt;&gt;"",BI43-'Data input'!I43,"")</f>
        <v>-6.6195014597974278E-2</v>
      </c>
      <c r="BT43" s="18" t="str">
        <f>IF(J43&lt;&gt;"",BJ43-'Data input'!J43,"")</f>
        <v/>
      </c>
      <c r="BU43" s="18" t="str">
        <f>IF(K43&lt;&gt;"",BK43-'Data input'!K43,"")</f>
        <v/>
      </c>
      <c r="BV43" s="72" t="str">
        <f>IF(L43&lt;&gt;"",BL43-'Data input'!L43,"")</f>
        <v/>
      </c>
      <c r="BW43" s="121" t="str">
        <f t="shared" si="17"/>
        <v xml:space="preserve">Kansas; Louisiana; West Virginia; </v>
      </c>
      <c r="BX43" s="1">
        <v>0</v>
      </c>
      <c r="BY43" s="1">
        <v>0</v>
      </c>
      <c r="BZ43" s="1">
        <v>0</v>
      </c>
      <c r="CA43" s="1">
        <v>0</v>
      </c>
      <c r="CB43" s="1">
        <v>0</v>
      </c>
      <c r="CC43" s="1">
        <v>0</v>
      </c>
      <c r="CD43" s="1">
        <v>0</v>
      </c>
      <c r="CE43" s="1">
        <v>0</v>
      </c>
      <c r="CF43" s="1">
        <v>0</v>
      </c>
      <c r="CG43" s="1">
        <v>0</v>
      </c>
      <c r="CH43" s="1">
        <v>0</v>
      </c>
      <c r="CI43" s="1">
        <v>0</v>
      </c>
      <c r="CJ43" s="1">
        <v>0</v>
      </c>
      <c r="CK43" s="1">
        <v>0</v>
      </c>
      <c r="CL43" s="1">
        <v>0</v>
      </c>
      <c r="CM43" s="1">
        <v>0</v>
      </c>
      <c r="CN43" s="1">
        <v>0.95397538007252325</v>
      </c>
      <c r="CO43" s="1">
        <v>0</v>
      </c>
      <c r="CP43" s="1">
        <v>1.4858032907868454E-2</v>
      </c>
      <c r="CQ43" s="1">
        <v>0</v>
      </c>
      <c r="CR43" s="1">
        <v>0</v>
      </c>
      <c r="CS43" s="1">
        <v>0</v>
      </c>
      <c r="CT43" s="1">
        <v>0</v>
      </c>
      <c r="CU43" s="1">
        <v>0</v>
      </c>
      <c r="CV43" s="1">
        <v>0</v>
      </c>
      <c r="CW43" s="1">
        <v>0</v>
      </c>
      <c r="CX43" s="1">
        <v>0</v>
      </c>
      <c r="CY43" s="1">
        <v>0</v>
      </c>
      <c r="CZ43" s="1">
        <v>0</v>
      </c>
      <c r="DA43" s="1">
        <v>0</v>
      </c>
      <c r="DB43" s="1">
        <v>0</v>
      </c>
      <c r="DC43" s="1">
        <v>0</v>
      </c>
      <c r="DD43" s="1">
        <v>0</v>
      </c>
      <c r="DE43" s="1">
        <v>0</v>
      </c>
      <c r="DF43" s="1">
        <v>0</v>
      </c>
      <c r="DG43" s="1">
        <v>0</v>
      </c>
      <c r="DH43" s="1">
        <v>0</v>
      </c>
      <c r="DI43" s="1">
        <v>0</v>
      </c>
      <c r="DJ43" s="1">
        <v>0</v>
      </c>
      <c r="DK43" s="1">
        <v>0</v>
      </c>
      <c r="DL43" s="1">
        <v>0</v>
      </c>
      <c r="DM43" s="1">
        <v>0</v>
      </c>
      <c r="DN43" s="1">
        <v>0</v>
      </c>
      <c r="DO43" s="1">
        <v>0</v>
      </c>
      <c r="DP43" s="1">
        <v>0</v>
      </c>
      <c r="DQ43" s="1">
        <v>0</v>
      </c>
      <c r="DR43" s="1">
        <v>0</v>
      </c>
      <c r="DS43" s="1">
        <v>3.1166587019608748E-2</v>
      </c>
      <c r="DT43" s="1">
        <v>0</v>
      </c>
      <c r="DU43" s="1">
        <v>0</v>
      </c>
      <c r="DV43" s="1">
        <v>0</v>
      </c>
      <c r="DW43" s="1">
        <v>0</v>
      </c>
      <c r="DX43" s="1">
        <v>0</v>
      </c>
      <c r="DY43" s="1">
        <v>0</v>
      </c>
      <c r="DZ43" s="1">
        <v>0</v>
      </c>
      <c r="FT43" s="1" t="str">
        <f t="shared" si="25"/>
        <v/>
      </c>
      <c r="FU43" s="1" t="str">
        <f t="shared" si="25"/>
        <v/>
      </c>
      <c r="FV43" s="1" t="str">
        <f t="shared" si="25"/>
        <v/>
      </c>
      <c r="FW43" s="1" t="str">
        <f t="shared" si="25"/>
        <v/>
      </c>
      <c r="FX43" s="1" t="str">
        <f t="shared" si="25"/>
        <v/>
      </c>
      <c r="FY43" s="1" t="str">
        <f t="shared" si="25"/>
        <v/>
      </c>
      <c r="FZ43" s="1" t="str">
        <f t="shared" si="25"/>
        <v/>
      </c>
      <c r="GA43" s="1" t="str">
        <f t="shared" si="25"/>
        <v/>
      </c>
      <c r="GB43" s="1" t="str">
        <f t="shared" si="25"/>
        <v/>
      </c>
      <c r="GC43" s="1" t="str">
        <f t="shared" si="25"/>
        <v/>
      </c>
      <c r="GD43" s="1" t="str">
        <f t="shared" si="25"/>
        <v/>
      </c>
      <c r="GE43" s="1" t="str">
        <f t="shared" si="25"/>
        <v/>
      </c>
      <c r="GF43" s="1" t="str">
        <f t="shared" si="25"/>
        <v/>
      </c>
      <c r="GG43" s="1" t="str">
        <f t="shared" si="25"/>
        <v/>
      </c>
      <c r="GH43" s="1" t="str">
        <f t="shared" si="25"/>
        <v/>
      </c>
      <c r="GI43" s="1" t="str">
        <f t="shared" si="25"/>
        <v/>
      </c>
      <c r="GJ43" s="1" t="str">
        <f t="shared" si="31"/>
        <v xml:space="preserve">Kansas; </v>
      </c>
      <c r="GK43" s="1" t="str">
        <f t="shared" si="31"/>
        <v/>
      </c>
      <c r="GL43" s="1" t="str">
        <f t="shared" si="31"/>
        <v xml:space="preserve">Louisiana; </v>
      </c>
      <c r="GM43" s="1" t="str">
        <f t="shared" si="31"/>
        <v/>
      </c>
      <c r="GN43" s="1" t="str">
        <f t="shared" si="31"/>
        <v/>
      </c>
      <c r="GO43" s="1" t="str">
        <f t="shared" si="31"/>
        <v/>
      </c>
      <c r="GP43" s="1" t="str">
        <f t="shared" si="31"/>
        <v/>
      </c>
      <c r="GQ43" s="1" t="str">
        <f t="shared" si="31"/>
        <v/>
      </c>
      <c r="GR43" s="1" t="str">
        <f t="shared" si="31"/>
        <v/>
      </c>
      <c r="GS43" s="1" t="str">
        <f t="shared" si="31"/>
        <v/>
      </c>
      <c r="GT43" s="1" t="str">
        <f t="shared" si="31"/>
        <v/>
      </c>
      <c r="GU43" s="1" t="str">
        <f t="shared" si="31"/>
        <v/>
      </c>
      <c r="GV43" s="1" t="str">
        <f t="shared" si="31"/>
        <v/>
      </c>
      <c r="GW43" s="1" t="str">
        <f t="shared" si="31"/>
        <v/>
      </c>
      <c r="GX43" s="1" t="str">
        <f t="shared" si="26"/>
        <v/>
      </c>
      <c r="GY43" s="1" t="str">
        <f t="shared" si="26"/>
        <v/>
      </c>
      <c r="GZ43" s="1" t="str">
        <f t="shared" si="26"/>
        <v/>
      </c>
      <c r="HA43" s="1" t="str">
        <f t="shared" si="26"/>
        <v/>
      </c>
      <c r="HB43" s="1" t="str">
        <f t="shared" si="26"/>
        <v/>
      </c>
      <c r="HC43" s="1" t="str">
        <f t="shared" si="26"/>
        <v/>
      </c>
      <c r="HD43" s="1" t="str">
        <f t="shared" si="26"/>
        <v/>
      </c>
      <c r="HE43" s="1" t="str">
        <f t="shared" si="26"/>
        <v/>
      </c>
      <c r="HF43" s="1" t="str">
        <f t="shared" si="26"/>
        <v/>
      </c>
      <c r="HG43" s="1" t="str">
        <f t="shared" si="26"/>
        <v/>
      </c>
      <c r="HH43" s="1" t="str">
        <f t="shared" si="26"/>
        <v/>
      </c>
      <c r="HI43" s="1" t="str">
        <f t="shared" si="26"/>
        <v/>
      </c>
      <c r="HJ43" s="1" t="str">
        <f t="shared" si="26"/>
        <v/>
      </c>
      <c r="HK43" s="1" t="str">
        <f t="shared" si="26"/>
        <v/>
      </c>
      <c r="HL43" s="1" t="str">
        <f t="shared" si="26"/>
        <v/>
      </c>
      <c r="HM43" s="1" t="str">
        <f t="shared" si="26"/>
        <v/>
      </c>
      <c r="HN43" s="1" t="str">
        <f t="shared" si="27"/>
        <v/>
      </c>
      <c r="HO43" s="1" t="str">
        <f t="shared" si="27"/>
        <v xml:space="preserve">West Virginia; </v>
      </c>
      <c r="HP43" s="1" t="str">
        <f t="shared" si="27"/>
        <v/>
      </c>
      <c r="HQ43" s="1" t="str">
        <f t="shared" si="27"/>
        <v/>
      </c>
      <c r="HR43" s="1" t="str">
        <f t="shared" si="27"/>
        <v/>
      </c>
      <c r="HS43" s="1" t="str">
        <f t="shared" si="27"/>
        <v/>
      </c>
      <c r="HT43" s="1" t="str">
        <f t="shared" si="27"/>
        <v/>
      </c>
      <c r="HU43" s="1" t="str">
        <f t="shared" si="27"/>
        <v/>
      </c>
      <c r="HV43" s="1" t="str">
        <f t="shared" si="27"/>
        <v/>
      </c>
      <c r="HW43" s="1" t="str">
        <f t="shared" si="27"/>
        <v/>
      </c>
      <c r="HX43" s="1" t="str">
        <f t="shared" si="27"/>
        <v/>
      </c>
      <c r="HY43" s="1" t="str">
        <f t="shared" si="27"/>
        <v/>
      </c>
      <c r="HZ43" s="1" t="str">
        <f t="shared" si="27"/>
        <v/>
      </c>
      <c r="IA43" s="1" t="str">
        <f t="shared" si="27"/>
        <v/>
      </c>
      <c r="IB43" s="1" t="str">
        <f t="shared" si="27"/>
        <v/>
      </c>
      <c r="IC43" s="1" t="str">
        <f t="shared" si="27"/>
        <v/>
      </c>
      <c r="ID43" s="1" t="str">
        <f t="shared" si="28"/>
        <v/>
      </c>
      <c r="IE43" s="1" t="str">
        <f t="shared" si="28"/>
        <v/>
      </c>
      <c r="IF43" s="1" t="str">
        <f t="shared" si="28"/>
        <v/>
      </c>
      <c r="IG43" s="1" t="str">
        <f t="shared" si="28"/>
        <v/>
      </c>
      <c r="IH43" s="1" t="str">
        <f t="shared" si="28"/>
        <v/>
      </c>
      <c r="II43" s="1" t="str">
        <f t="shared" si="28"/>
        <v/>
      </c>
      <c r="IJ43" s="1" t="str">
        <f t="shared" si="28"/>
        <v/>
      </c>
      <c r="IK43" s="1" t="str">
        <f t="shared" si="28"/>
        <v/>
      </c>
      <c r="IL43" s="1" t="str">
        <f t="shared" si="28"/>
        <v/>
      </c>
      <c r="IM43" s="1" t="str">
        <f t="shared" si="28"/>
        <v/>
      </c>
      <c r="IN43" s="1" t="str">
        <f t="shared" si="28"/>
        <v/>
      </c>
      <c r="IO43" s="1" t="str">
        <f t="shared" si="28"/>
        <v/>
      </c>
      <c r="IP43" s="1" t="str">
        <f t="shared" si="28"/>
        <v/>
      </c>
      <c r="IQ43" s="1" t="str">
        <f t="shared" si="28"/>
        <v/>
      </c>
      <c r="IR43" s="1" t="str">
        <f t="shared" si="28"/>
        <v/>
      </c>
      <c r="IS43" s="1" t="str">
        <f t="shared" si="28"/>
        <v/>
      </c>
      <c r="IT43" s="1" t="str">
        <f t="shared" si="29"/>
        <v/>
      </c>
      <c r="IU43" s="1" t="str">
        <f t="shared" si="29"/>
        <v/>
      </c>
      <c r="IV43" s="1" t="str">
        <f t="shared" si="29"/>
        <v/>
      </c>
      <c r="IW43" s="1" t="str">
        <f t="shared" si="29"/>
        <v/>
      </c>
      <c r="IX43" s="1" t="str">
        <f t="shared" si="29"/>
        <v/>
      </c>
      <c r="IY43" s="1" t="str">
        <f t="shared" si="29"/>
        <v/>
      </c>
      <c r="IZ43" s="1" t="str">
        <f t="shared" si="29"/>
        <v/>
      </c>
      <c r="JA43" s="1" t="str">
        <f t="shared" si="29"/>
        <v/>
      </c>
      <c r="JB43" s="1" t="str">
        <f t="shared" si="29"/>
        <v/>
      </c>
      <c r="JC43" s="1" t="str">
        <f t="shared" si="29"/>
        <v/>
      </c>
      <c r="JD43" s="1" t="str">
        <f t="shared" si="29"/>
        <v/>
      </c>
      <c r="JE43" s="1" t="str">
        <f t="shared" si="29"/>
        <v/>
      </c>
      <c r="JF43" s="1" t="str">
        <f t="shared" si="29"/>
        <v/>
      </c>
      <c r="JG43" s="1" t="str">
        <f t="shared" si="29"/>
        <v/>
      </c>
      <c r="JH43" s="1" t="str">
        <f t="shared" si="29"/>
        <v/>
      </c>
      <c r="JI43" s="1" t="str">
        <f t="shared" si="29"/>
        <v/>
      </c>
      <c r="JJ43" s="1" t="str">
        <f t="shared" si="30"/>
        <v/>
      </c>
      <c r="JK43" s="1" t="str">
        <f t="shared" si="30"/>
        <v/>
      </c>
      <c r="JL43" s="1" t="str">
        <f t="shared" si="24"/>
        <v/>
      </c>
      <c r="JM43" s="1" t="str">
        <f t="shared" si="12"/>
        <v/>
      </c>
      <c r="JN43" s="1" t="str">
        <f t="shared" si="12"/>
        <v/>
      </c>
      <c r="JO43" s="1" t="str">
        <f t="shared" si="12"/>
        <v/>
      </c>
    </row>
    <row r="44" spans="1:275" ht="14.5" x14ac:dyDescent="0.35">
      <c r="A44" s="59">
        <f>IF('Data input'!A44&lt;&gt;"",'Data input'!A44,"")</f>
        <v>42</v>
      </c>
      <c r="B44" s="60" t="str">
        <f>IF('Data input'!B44&lt;&gt;"",'Data input'!B44,"")</f>
        <v>Tennessee</v>
      </c>
      <c r="C44" s="19">
        <f>IF('Data input'!C44="","",4*('Data input'!C44-'Data input'!C$108)/('Data input'!C$109-'Data input'!C$108)+1)</f>
        <v>3.8340522985527117</v>
      </c>
      <c r="D44" s="19" t="str">
        <f>IF('Data input'!D44="","",4*('Data input'!D44-'Data input'!D$108)/('Data input'!D$109-'Data input'!D$108)+1)</f>
        <v/>
      </c>
      <c r="E44" s="19" t="str">
        <f>IF('Data input'!E44="","",4*('Data input'!E44-'Data input'!E$108)/('Data input'!E$109-'Data input'!E$108)+1)</f>
        <v/>
      </c>
      <c r="F44" s="19" t="str">
        <f>IF('Data input'!F44="","",4*('Data input'!F44-'Data input'!F$108)/('Data input'!F$109-'Data input'!F$108)+1)</f>
        <v/>
      </c>
      <c r="G44" s="19" t="str">
        <f>IF('Data input'!G44="","",4*('Data input'!G44-'Data input'!G$108)/('Data input'!G$109-'Data input'!G$108)+1)</f>
        <v/>
      </c>
      <c r="H44" s="61">
        <f>IF('Data input'!H44="","",4*('Data input'!H44-'Data input'!H$108)/('Data input'!H$109-'Data input'!H$108)+1)</f>
        <v>1.057907429210976</v>
      </c>
      <c r="I44" s="19">
        <f>IF('Data input'!I44="","",4*('Data input'!I44-'Data input'!I$108)/('Data input'!I$109-'Data input'!I$108)+1)</f>
        <v>2.8550710580270984</v>
      </c>
      <c r="J44" s="19" t="str">
        <f>IF('Data input'!J44="","",4*('Data input'!J44-'Data input'!J$108)/('Data input'!J$109-'Data input'!J$108)+1)</f>
        <v/>
      </c>
      <c r="K44" s="19" t="str">
        <f>IF('Data input'!K44="","",4*('Data input'!K44-'Data input'!K$108)/('Data input'!K$109-'Data input'!K$108)+1)</f>
        <v/>
      </c>
      <c r="L44" s="19" t="str">
        <f>IF('Data input'!L44="","",4*('Data input'!L44-'Data input'!L$108)/('Data input'!L$109-'Data input'!L$108)+1)</f>
        <v/>
      </c>
      <c r="M44" s="19">
        <f>IF('Data input'!M44="","",4*('Data input'!M44-'Data input'!M$108)/('Data input'!M$109-'Data input'!M$108)+1)</f>
        <v>2.9274812973116968</v>
      </c>
      <c r="N44" s="16" t="str">
        <f>IF('Data input'!N44="","",4*('Data input'!N44-'Data input'!N$108)/('Data input'!N$109-'Data input'!N$108)+1)</f>
        <v/>
      </c>
      <c r="O44" s="19" t="str">
        <f>IF('Data input'!O44="","",4*('Data input'!O44-'Data input'!O$108)/('Data input'!O$109-'Data input'!O$108)+1)</f>
        <v/>
      </c>
      <c r="P44" s="19" t="str">
        <f>IF('Data input'!P44="","",4*('Data input'!P44-'Data input'!P$108)/('Data input'!P$109-'Data input'!P$108)+1)</f>
        <v/>
      </c>
      <c r="Q44" s="19" t="str">
        <f>IF('Data input'!Q44="","",4*('Data input'!Q44-'Data input'!Q$108)/('Data input'!Q$109-'Data input'!Q$108)+1)</f>
        <v/>
      </c>
      <c r="R44" s="19" t="str">
        <f>IF('Data input'!R44="","",4*('Data input'!R44-'Data input'!R$108)/('Data input'!R$109-'Data input'!R$108)+1)</f>
        <v/>
      </c>
      <c r="S44" s="16" t="str">
        <f>IF('Data input'!S44="","",4*('Data input'!S44-'Data input'!S$108)/('Data input'!S$109-'Data input'!S$108)+1)</f>
        <v/>
      </c>
      <c r="T44" s="19" t="str">
        <f>IF('Data input'!T44="","",4*('Data input'!T44-'Data input'!T$108)/('Data input'!T$109-'Data input'!T$108)+1)</f>
        <v/>
      </c>
      <c r="U44" s="19" t="str">
        <f>IF('Data input'!U44="","",4*('Data input'!U44-'Data input'!U$108)/('Data input'!U$109-'Data input'!U$108)+1)</f>
        <v/>
      </c>
      <c r="V44" s="19" t="str">
        <f>IF('Data input'!V44="","",4*('Data input'!V44-'Data input'!V$108)/('Data input'!V$109-'Data input'!V$108)+1)</f>
        <v/>
      </c>
      <c r="W44" s="16" t="str">
        <f>IF('Data input'!W44="","",4*('Data input'!W44-'Data input'!W$108)/('Data input'!W$109-'Data input'!W$108)+1)</f>
        <v/>
      </c>
      <c r="X44" s="16" t="str">
        <f>IF('Data input'!X44="","",4*('Data input'!X44-'Data input'!X$108)/('Data input'!X$109-'Data input'!X$108)+1)</f>
        <v/>
      </c>
      <c r="Y44" s="16" t="str">
        <f>IF('Data input'!Y44="","",4*('Data input'!Y44-'Data input'!Y$108)/('Data input'!Y$109-'Data input'!Y$108)+1)</f>
        <v/>
      </c>
      <c r="Z44" s="16" t="str">
        <f>IF('Data input'!Z44="","",4*('Data input'!Z44-'Data input'!Z$108)/('Data input'!Z$109-'Data input'!Z$108)+1)</f>
        <v/>
      </c>
      <c r="AA44" s="62" t="str">
        <f>IF('Data input'!AA44="","",4*('Data input'!AA44-'Data input'!AA$108)/('Data input'!AA$109-'Data input'!AA$108)+1)</f>
        <v/>
      </c>
      <c r="AB44" s="78"/>
      <c r="AC44" s="79">
        <v>0</v>
      </c>
      <c r="AD44" s="80" t="e">
        <f t="shared" si="13"/>
        <v>#DIV/0!</v>
      </c>
      <c r="AE44" s="4"/>
      <c r="AF44" s="59">
        <f t="shared" si="14"/>
        <v>42</v>
      </c>
      <c r="AG44" s="60" t="str">
        <f t="shared" si="14"/>
        <v>Tennessee</v>
      </c>
      <c r="AH44">
        <v>0</v>
      </c>
      <c r="AI44" t="s">
        <v>69</v>
      </c>
      <c r="AJ44" t="s">
        <v>69</v>
      </c>
      <c r="AK44" t="s">
        <v>69</v>
      </c>
      <c r="AL44" t="s">
        <v>69</v>
      </c>
      <c r="AM44">
        <v>0</v>
      </c>
      <c r="AN44">
        <v>9.6363739151207176E-2</v>
      </c>
      <c r="AO44" t="s">
        <v>69</v>
      </c>
      <c r="AP44" t="s">
        <v>69</v>
      </c>
      <c r="AQ44" t="s">
        <v>69</v>
      </c>
      <c r="AR44">
        <v>0.98312410843851361</v>
      </c>
      <c r="AS44" s="71">
        <f t="shared" si="15"/>
        <v>3.8340522985527117</v>
      </c>
      <c r="AT44" s="71" t="str">
        <f t="shared" si="15"/>
        <v/>
      </c>
      <c r="AU44" s="71" t="str">
        <f t="shared" si="15"/>
        <v/>
      </c>
      <c r="AV44" s="71" t="str">
        <f t="shared" si="15"/>
        <v/>
      </c>
      <c r="AW44" s="71" t="str">
        <f t="shared" si="15"/>
        <v/>
      </c>
      <c r="AX44" s="71">
        <f t="shared" si="16"/>
        <v>1.057907429210976</v>
      </c>
      <c r="AY44" s="71">
        <f t="shared" si="16"/>
        <v>2.7587073188758913</v>
      </c>
      <c r="AZ44" s="71" t="str">
        <f t="shared" si="16"/>
        <v/>
      </c>
      <c r="BA44" s="71" t="str">
        <f t="shared" si="16"/>
        <v/>
      </c>
      <c r="BB44" s="71" t="str">
        <f t="shared" si="16"/>
        <v/>
      </c>
      <c r="BC44" s="18">
        <f>IF(C44&lt;&gt;"",(('Data input'!C$109-'Data input'!C$108)*(AS44-1)/4)+'Data input'!C$108,"")</f>
        <v>0.95396042082219767</v>
      </c>
      <c r="BD44" s="18" t="str">
        <f>IF(D44&lt;&gt;"",(('Data input'!D$109-'Data input'!D$108)*(AT44-1)/4)+'Data input'!D$108,"")</f>
        <v/>
      </c>
      <c r="BE44" s="18" t="str">
        <f>IF(E44&lt;&gt;"",(('Data input'!E$109-'Data input'!E$108)*(AU44-1)/4)+'Data input'!E$108,"")</f>
        <v/>
      </c>
      <c r="BF44" s="18" t="str">
        <f>IF(F44&lt;&gt;"",(('Data input'!F$109-'Data input'!F$108)*(AV44-1)/4)+'Data input'!F$108,"")</f>
        <v/>
      </c>
      <c r="BG44" s="18" t="str">
        <f>IF(G44&lt;&gt;"",(('Data input'!G$109-'Data input'!G$108)*(AW44-1)/4)+'Data input'!G$108,"")</f>
        <v/>
      </c>
      <c r="BH44" s="19">
        <f>IF(H44&lt;&gt;"",(('Data input'!H$109-'Data input'!H$108)*(AX44-1)/4)+'Data input'!H$108,"")</f>
        <v>1.5568408825927558</v>
      </c>
      <c r="BI44" s="18">
        <f>IF(I44&lt;&gt;"",(('Data input'!I$109-'Data input'!I$108)*(AY44-1)/4)+'Data input'!I$108,"")</f>
        <v>7.7222151911062645E-2</v>
      </c>
      <c r="BJ44" s="19" t="str">
        <f>IF(J44&lt;&gt;"",(('Data input'!J$109-'Data input'!J$108)*(AZ44-1)/4)+'Data input'!J$108,"")</f>
        <v/>
      </c>
      <c r="BK44" s="19" t="str">
        <f>IF(K44&lt;&gt;"",(('Data input'!K$109-'Data input'!K$108)*(BA44-1)/4)+'Data input'!K$108,"")</f>
        <v/>
      </c>
      <c r="BL44" s="19" t="str">
        <f>IF(L44&lt;&gt;"",(('Data input'!L$109-'Data input'!L$108)*(BB44-1)/4)+'Data input'!L$108,"")</f>
        <v/>
      </c>
      <c r="BM44" s="18">
        <f>IF(C44&lt;&gt;"",BC44-'Data input'!C44,"")</f>
        <v>0</v>
      </c>
      <c r="BN44" s="18" t="str">
        <f>IF(D44&lt;&gt;"",BD44-'Data input'!D44,"")</f>
        <v/>
      </c>
      <c r="BO44" s="18" t="str">
        <f>IF(E44&lt;&gt;"",BE44-'Data input'!E44,"")</f>
        <v/>
      </c>
      <c r="BP44" s="18" t="str">
        <f>IF(F44&lt;&gt;"",BF44-'Data input'!F44,"")</f>
        <v/>
      </c>
      <c r="BQ44" s="18" t="str">
        <f>IF(G44&lt;&gt;"",BG44-'Data input'!G44,"")</f>
        <v/>
      </c>
      <c r="BR44" s="19">
        <f>IF(H44&lt;&gt;"",BH44-'Data input'!H44,"")</f>
        <v>1.1102230246251565E-15</v>
      </c>
      <c r="BS44" s="18">
        <f>IF(I44&lt;&gt;"",BI44-'Data input'!I44,"")</f>
        <v>-4.2311845885811411E-3</v>
      </c>
      <c r="BT44" s="18" t="str">
        <f>IF(J44&lt;&gt;"",BJ44-'Data input'!J44,"")</f>
        <v/>
      </c>
      <c r="BU44" s="18" t="str">
        <f>IF(K44&lt;&gt;"",BK44-'Data input'!K44,"")</f>
        <v/>
      </c>
      <c r="BV44" s="72" t="str">
        <f>IF(L44&lt;&gt;"",BL44-'Data input'!L44,"")</f>
        <v/>
      </c>
      <c r="BW44" s="121" t="str">
        <f t="shared" si="17"/>
        <v xml:space="preserve">California; Louisiana; Texas; </v>
      </c>
      <c r="BX44" s="1">
        <v>0</v>
      </c>
      <c r="BY44" s="1">
        <v>0</v>
      </c>
      <c r="BZ44" s="1">
        <v>0</v>
      </c>
      <c r="CA44" s="1">
        <v>0</v>
      </c>
      <c r="CB44" s="1">
        <v>0.6561001492464027</v>
      </c>
      <c r="CC44" s="1">
        <v>0</v>
      </c>
      <c r="CD44" s="1">
        <v>0</v>
      </c>
      <c r="CE44" s="1">
        <v>0</v>
      </c>
      <c r="CF44" s="1">
        <v>0</v>
      </c>
      <c r="CG44" s="1">
        <v>0</v>
      </c>
      <c r="CH44" s="1">
        <v>0</v>
      </c>
      <c r="CI44" s="1">
        <v>0</v>
      </c>
      <c r="CJ44" s="1">
        <v>0</v>
      </c>
      <c r="CK44" s="1">
        <v>0</v>
      </c>
      <c r="CL44" s="1">
        <v>0</v>
      </c>
      <c r="CM44" s="1">
        <v>0</v>
      </c>
      <c r="CN44" s="1">
        <v>0</v>
      </c>
      <c r="CO44" s="1">
        <v>0</v>
      </c>
      <c r="CP44" s="1">
        <v>0.18429465409715157</v>
      </c>
      <c r="CQ44" s="1">
        <v>0</v>
      </c>
      <c r="CR44" s="1">
        <v>0</v>
      </c>
      <c r="CS44" s="1">
        <v>0</v>
      </c>
      <c r="CT44" s="1">
        <v>0</v>
      </c>
      <c r="CU44" s="1">
        <v>0</v>
      </c>
      <c r="CV44" s="1">
        <v>0</v>
      </c>
      <c r="CW44" s="1">
        <v>0</v>
      </c>
      <c r="CX44" s="1">
        <v>0</v>
      </c>
      <c r="CY44" s="1">
        <v>0</v>
      </c>
      <c r="CZ44" s="1">
        <v>0</v>
      </c>
      <c r="DA44" s="1">
        <v>0</v>
      </c>
      <c r="DB44" s="1">
        <v>0</v>
      </c>
      <c r="DC44" s="1">
        <v>0</v>
      </c>
      <c r="DD44" s="1">
        <v>0</v>
      </c>
      <c r="DE44" s="1">
        <v>0</v>
      </c>
      <c r="DF44" s="1">
        <v>0</v>
      </c>
      <c r="DG44" s="1">
        <v>0</v>
      </c>
      <c r="DH44" s="1">
        <v>0</v>
      </c>
      <c r="DI44" s="1">
        <v>0</v>
      </c>
      <c r="DJ44" s="1">
        <v>0</v>
      </c>
      <c r="DK44" s="1">
        <v>0</v>
      </c>
      <c r="DL44" s="1">
        <v>0</v>
      </c>
      <c r="DM44" s="1">
        <v>0</v>
      </c>
      <c r="DN44" s="1">
        <v>0.15960519665644579</v>
      </c>
      <c r="DO44" s="1">
        <v>0</v>
      </c>
      <c r="DP44" s="1">
        <v>0</v>
      </c>
      <c r="DQ44" s="1">
        <v>0</v>
      </c>
      <c r="DR44" s="1">
        <v>0</v>
      </c>
      <c r="DS44" s="1">
        <v>0</v>
      </c>
      <c r="DT44" s="1">
        <v>0</v>
      </c>
      <c r="DU44" s="1">
        <v>0</v>
      </c>
      <c r="DV44" s="1">
        <v>0</v>
      </c>
      <c r="DW44" s="1">
        <v>0</v>
      </c>
      <c r="DX44" s="1">
        <v>0</v>
      </c>
      <c r="DY44" s="1">
        <v>0</v>
      </c>
      <c r="DZ44" s="1">
        <v>0</v>
      </c>
      <c r="FT44" s="1" t="str">
        <f t="shared" si="25"/>
        <v/>
      </c>
      <c r="FU44" s="1" t="str">
        <f t="shared" si="25"/>
        <v/>
      </c>
      <c r="FV44" s="1" t="str">
        <f t="shared" si="25"/>
        <v/>
      </c>
      <c r="FW44" s="1" t="str">
        <f t="shared" si="25"/>
        <v/>
      </c>
      <c r="FX44" s="1" t="str">
        <f t="shared" si="25"/>
        <v xml:space="preserve">California; </v>
      </c>
      <c r="FY44" s="1" t="str">
        <f t="shared" si="25"/>
        <v/>
      </c>
      <c r="FZ44" s="1" t="str">
        <f t="shared" si="25"/>
        <v/>
      </c>
      <c r="GA44" s="1" t="str">
        <f t="shared" si="25"/>
        <v/>
      </c>
      <c r="GB44" s="1" t="str">
        <f t="shared" si="25"/>
        <v/>
      </c>
      <c r="GC44" s="1" t="str">
        <f t="shared" si="25"/>
        <v/>
      </c>
      <c r="GD44" s="1" t="str">
        <f t="shared" si="25"/>
        <v/>
      </c>
      <c r="GE44" s="1" t="str">
        <f t="shared" si="25"/>
        <v/>
      </c>
      <c r="GF44" s="1" t="str">
        <f t="shared" si="25"/>
        <v/>
      </c>
      <c r="GG44" s="1" t="str">
        <f t="shared" si="25"/>
        <v/>
      </c>
      <c r="GH44" s="1" t="str">
        <f t="shared" si="25"/>
        <v/>
      </c>
      <c r="GI44" s="1" t="str">
        <f t="shared" si="25"/>
        <v/>
      </c>
      <c r="GJ44" s="1" t="str">
        <f t="shared" si="31"/>
        <v/>
      </c>
      <c r="GK44" s="1" t="str">
        <f t="shared" si="31"/>
        <v/>
      </c>
      <c r="GL44" s="1" t="str">
        <f t="shared" si="31"/>
        <v xml:space="preserve">Louisiana; </v>
      </c>
      <c r="GM44" s="1" t="str">
        <f t="shared" si="31"/>
        <v/>
      </c>
      <c r="GN44" s="1" t="str">
        <f t="shared" si="31"/>
        <v/>
      </c>
      <c r="GO44" s="1" t="str">
        <f t="shared" si="31"/>
        <v/>
      </c>
      <c r="GP44" s="1" t="str">
        <f t="shared" si="31"/>
        <v/>
      </c>
      <c r="GQ44" s="1" t="str">
        <f t="shared" si="31"/>
        <v/>
      </c>
      <c r="GR44" s="1" t="str">
        <f t="shared" si="31"/>
        <v/>
      </c>
      <c r="GS44" s="1" t="str">
        <f t="shared" si="31"/>
        <v/>
      </c>
      <c r="GT44" s="1" t="str">
        <f t="shared" si="31"/>
        <v/>
      </c>
      <c r="GU44" s="1" t="str">
        <f t="shared" si="31"/>
        <v/>
      </c>
      <c r="GV44" s="1" t="str">
        <f t="shared" si="31"/>
        <v/>
      </c>
      <c r="GW44" s="1" t="str">
        <f t="shared" si="31"/>
        <v/>
      </c>
      <c r="GX44" s="1" t="str">
        <f t="shared" si="26"/>
        <v/>
      </c>
      <c r="GY44" s="1" t="str">
        <f t="shared" si="26"/>
        <v/>
      </c>
      <c r="GZ44" s="1" t="str">
        <f t="shared" si="26"/>
        <v/>
      </c>
      <c r="HA44" s="1" t="str">
        <f t="shared" si="26"/>
        <v/>
      </c>
      <c r="HB44" s="1" t="str">
        <f t="shared" si="26"/>
        <v/>
      </c>
      <c r="HC44" s="1" t="str">
        <f t="shared" si="26"/>
        <v/>
      </c>
      <c r="HD44" s="1" t="str">
        <f t="shared" si="26"/>
        <v/>
      </c>
      <c r="HE44" s="1" t="str">
        <f t="shared" si="26"/>
        <v/>
      </c>
      <c r="HF44" s="1" t="str">
        <f t="shared" si="26"/>
        <v/>
      </c>
      <c r="HG44" s="1" t="str">
        <f t="shared" si="26"/>
        <v/>
      </c>
      <c r="HH44" s="1" t="str">
        <f t="shared" si="26"/>
        <v/>
      </c>
      <c r="HI44" s="1" t="str">
        <f t="shared" si="26"/>
        <v/>
      </c>
      <c r="HJ44" s="1" t="str">
        <f t="shared" si="26"/>
        <v xml:space="preserve">Texas; </v>
      </c>
      <c r="HK44" s="1" t="str">
        <f t="shared" si="26"/>
        <v/>
      </c>
      <c r="HL44" s="1" t="str">
        <f t="shared" si="26"/>
        <v/>
      </c>
      <c r="HM44" s="1" t="str">
        <f t="shared" si="26"/>
        <v/>
      </c>
      <c r="HN44" s="1" t="str">
        <f t="shared" si="27"/>
        <v/>
      </c>
      <c r="HO44" s="1" t="str">
        <f t="shared" si="27"/>
        <v/>
      </c>
      <c r="HP44" s="1" t="str">
        <f t="shared" si="27"/>
        <v/>
      </c>
      <c r="HQ44" s="1" t="str">
        <f t="shared" si="27"/>
        <v/>
      </c>
      <c r="HR44" s="1" t="str">
        <f t="shared" si="27"/>
        <v/>
      </c>
      <c r="HS44" s="1" t="str">
        <f t="shared" si="27"/>
        <v/>
      </c>
      <c r="HT44" s="1" t="str">
        <f t="shared" si="27"/>
        <v/>
      </c>
      <c r="HU44" s="1" t="str">
        <f t="shared" si="27"/>
        <v/>
      </c>
      <c r="HV44" s="1" t="str">
        <f t="shared" si="27"/>
        <v/>
      </c>
      <c r="HW44" s="1" t="str">
        <f t="shared" si="27"/>
        <v/>
      </c>
      <c r="HX44" s="1" t="str">
        <f t="shared" si="27"/>
        <v/>
      </c>
      <c r="HY44" s="1" t="str">
        <f t="shared" si="27"/>
        <v/>
      </c>
      <c r="HZ44" s="1" t="str">
        <f t="shared" si="27"/>
        <v/>
      </c>
      <c r="IA44" s="1" t="str">
        <f t="shared" si="27"/>
        <v/>
      </c>
      <c r="IB44" s="1" t="str">
        <f t="shared" si="27"/>
        <v/>
      </c>
      <c r="IC44" s="1" t="str">
        <f t="shared" si="27"/>
        <v/>
      </c>
      <c r="ID44" s="1" t="str">
        <f t="shared" si="28"/>
        <v/>
      </c>
      <c r="IE44" s="1" t="str">
        <f t="shared" si="28"/>
        <v/>
      </c>
      <c r="IF44" s="1" t="str">
        <f t="shared" si="28"/>
        <v/>
      </c>
      <c r="IG44" s="1" t="str">
        <f t="shared" si="28"/>
        <v/>
      </c>
      <c r="IH44" s="1" t="str">
        <f t="shared" si="28"/>
        <v/>
      </c>
      <c r="II44" s="1" t="str">
        <f t="shared" si="28"/>
        <v/>
      </c>
      <c r="IJ44" s="1" t="str">
        <f t="shared" si="28"/>
        <v/>
      </c>
      <c r="IK44" s="1" t="str">
        <f t="shared" si="28"/>
        <v/>
      </c>
      <c r="IL44" s="1" t="str">
        <f t="shared" si="28"/>
        <v/>
      </c>
      <c r="IM44" s="1" t="str">
        <f t="shared" si="28"/>
        <v/>
      </c>
      <c r="IN44" s="1" t="str">
        <f t="shared" si="28"/>
        <v/>
      </c>
      <c r="IO44" s="1" t="str">
        <f t="shared" si="28"/>
        <v/>
      </c>
      <c r="IP44" s="1" t="str">
        <f t="shared" si="28"/>
        <v/>
      </c>
      <c r="IQ44" s="1" t="str">
        <f t="shared" si="28"/>
        <v/>
      </c>
      <c r="IR44" s="1" t="str">
        <f t="shared" si="28"/>
        <v/>
      </c>
      <c r="IS44" s="1" t="str">
        <f t="shared" si="28"/>
        <v/>
      </c>
      <c r="IT44" s="1" t="str">
        <f t="shared" si="29"/>
        <v/>
      </c>
      <c r="IU44" s="1" t="str">
        <f t="shared" si="29"/>
        <v/>
      </c>
      <c r="IV44" s="1" t="str">
        <f t="shared" si="29"/>
        <v/>
      </c>
      <c r="IW44" s="1" t="str">
        <f t="shared" si="29"/>
        <v/>
      </c>
      <c r="IX44" s="1" t="str">
        <f t="shared" si="29"/>
        <v/>
      </c>
      <c r="IY44" s="1" t="str">
        <f t="shared" si="29"/>
        <v/>
      </c>
      <c r="IZ44" s="1" t="str">
        <f t="shared" si="29"/>
        <v/>
      </c>
      <c r="JA44" s="1" t="str">
        <f t="shared" si="29"/>
        <v/>
      </c>
      <c r="JB44" s="1" t="str">
        <f t="shared" si="29"/>
        <v/>
      </c>
      <c r="JC44" s="1" t="str">
        <f t="shared" si="29"/>
        <v/>
      </c>
      <c r="JD44" s="1" t="str">
        <f t="shared" si="29"/>
        <v/>
      </c>
      <c r="JE44" s="1" t="str">
        <f t="shared" si="29"/>
        <v/>
      </c>
      <c r="JF44" s="1" t="str">
        <f t="shared" si="29"/>
        <v/>
      </c>
      <c r="JG44" s="1" t="str">
        <f t="shared" si="29"/>
        <v/>
      </c>
      <c r="JH44" s="1" t="str">
        <f t="shared" si="29"/>
        <v/>
      </c>
      <c r="JI44" s="1" t="str">
        <f t="shared" si="29"/>
        <v/>
      </c>
      <c r="JJ44" s="1" t="str">
        <f t="shared" si="30"/>
        <v/>
      </c>
      <c r="JK44" s="1" t="str">
        <f t="shared" si="30"/>
        <v/>
      </c>
      <c r="JL44" s="1" t="str">
        <f t="shared" si="24"/>
        <v/>
      </c>
      <c r="JM44" s="1" t="str">
        <f t="shared" si="12"/>
        <v/>
      </c>
      <c r="JN44" s="1" t="str">
        <f t="shared" si="12"/>
        <v/>
      </c>
      <c r="JO44" s="1" t="str">
        <f t="shared" si="12"/>
        <v/>
      </c>
    </row>
    <row r="45" spans="1:275" ht="14.5" x14ac:dyDescent="0.35">
      <c r="A45" s="59">
        <f>IF('Data input'!A45&lt;&gt;"",'Data input'!A45,"")</f>
        <v>43</v>
      </c>
      <c r="B45" s="60" t="str">
        <f>IF('Data input'!B45&lt;&gt;"",'Data input'!B45,"")</f>
        <v>Texas</v>
      </c>
      <c r="C45" s="19">
        <f>IF('Data input'!C45="","",4*('Data input'!C45-'Data input'!C$108)/('Data input'!C$109-'Data input'!C$108)+1)</f>
        <v>4.8171585514409268</v>
      </c>
      <c r="D45" s="19" t="str">
        <f>IF('Data input'!D45="","",4*('Data input'!D45-'Data input'!D$108)/('Data input'!D$109-'Data input'!D$108)+1)</f>
        <v/>
      </c>
      <c r="E45" s="19" t="str">
        <f>IF('Data input'!E45="","",4*('Data input'!E45-'Data input'!E$108)/('Data input'!E$109-'Data input'!E$108)+1)</f>
        <v/>
      </c>
      <c r="F45" s="19" t="str">
        <f>IF('Data input'!F45="","",4*('Data input'!F45-'Data input'!F$108)/('Data input'!F$109-'Data input'!F$108)+1)</f>
        <v/>
      </c>
      <c r="G45" s="19" t="str">
        <f>IF('Data input'!G45="","",4*('Data input'!G45-'Data input'!G$108)/('Data input'!G$109-'Data input'!G$108)+1)</f>
        <v/>
      </c>
      <c r="H45" s="61">
        <f>IF('Data input'!H45="","",4*('Data input'!H45-'Data input'!H$108)/('Data input'!H$109-'Data input'!H$108)+1)</f>
        <v>1</v>
      </c>
      <c r="I45" s="19">
        <f>IF('Data input'!I45="","",4*('Data input'!I45-'Data input'!I$108)/('Data input'!I$109-'Data input'!I$108)+1)</f>
        <v>1.0261587661624443</v>
      </c>
      <c r="J45" s="19" t="str">
        <f>IF('Data input'!J45="","",4*('Data input'!J45-'Data input'!J$108)/('Data input'!J$109-'Data input'!J$108)+1)</f>
        <v/>
      </c>
      <c r="K45" s="19" t="str">
        <f>IF('Data input'!K45="","",4*('Data input'!K45-'Data input'!K$108)/('Data input'!K$109-'Data input'!K$108)+1)</f>
        <v/>
      </c>
      <c r="L45" s="19" t="str">
        <f>IF('Data input'!L45="","",4*('Data input'!L45-'Data input'!L$108)/('Data input'!L$109-'Data input'!L$108)+1)</f>
        <v/>
      </c>
      <c r="M45" s="19">
        <f>IF('Data input'!M45="","",4*('Data input'!M45-'Data input'!M$108)/('Data input'!M$109-'Data input'!M$108)+1)</f>
        <v>1.9925873717080678</v>
      </c>
      <c r="N45" s="16" t="str">
        <f>IF('Data input'!N45="","",4*('Data input'!N45-'Data input'!N$108)/('Data input'!N$109-'Data input'!N$108)+1)</f>
        <v/>
      </c>
      <c r="O45" s="19" t="str">
        <f>IF('Data input'!O45="","",4*('Data input'!O45-'Data input'!O$108)/('Data input'!O$109-'Data input'!O$108)+1)</f>
        <v/>
      </c>
      <c r="P45" s="19" t="str">
        <f>IF('Data input'!P45="","",4*('Data input'!P45-'Data input'!P$108)/('Data input'!P$109-'Data input'!P$108)+1)</f>
        <v/>
      </c>
      <c r="Q45" s="19" t="str">
        <f>IF('Data input'!Q45="","",4*('Data input'!Q45-'Data input'!Q$108)/('Data input'!Q$109-'Data input'!Q$108)+1)</f>
        <v/>
      </c>
      <c r="R45" s="19" t="str">
        <f>IF('Data input'!R45="","",4*('Data input'!R45-'Data input'!R$108)/('Data input'!R$109-'Data input'!R$108)+1)</f>
        <v/>
      </c>
      <c r="S45" s="16" t="str">
        <f>IF('Data input'!S45="","",4*('Data input'!S45-'Data input'!S$108)/('Data input'!S$109-'Data input'!S$108)+1)</f>
        <v/>
      </c>
      <c r="T45" s="19" t="str">
        <f>IF('Data input'!T45="","",4*('Data input'!T45-'Data input'!T$108)/('Data input'!T$109-'Data input'!T$108)+1)</f>
        <v/>
      </c>
      <c r="U45" s="19" t="str">
        <f>IF('Data input'!U45="","",4*('Data input'!U45-'Data input'!U$108)/('Data input'!U$109-'Data input'!U$108)+1)</f>
        <v/>
      </c>
      <c r="V45" s="19" t="str">
        <f>IF('Data input'!V45="","",4*('Data input'!V45-'Data input'!V$108)/('Data input'!V$109-'Data input'!V$108)+1)</f>
        <v/>
      </c>
      <c r="W45" s="16" t="str">
        <f>IF('Data input'!W45="","",4*('Data input'!W45-'Data input'!W$108)/('Data input'!W$109-'Data input'!W$108)+1)</f>
        <v/>
      </c>
      <c r="X45" s="16" t="str">
        <f>IF('Data input'!X45="","",4*('Data input'!X45-'Data input'!X$108)/('Data input'!X$109-'Data input'!X$108)+1)</f>
        <v/>
      </c>
      <c r="Y45" s="16" t="str">
        <f>IF('Data input'!Y45="","",4*('Data input'!Y45-'Data input'!Y$108)/('Data input'!Y$109-'Data input'!Y$108)+1)</f>
        <v/>
      </c>
      <c r="Z45" s="16" t="str">
        <f>IF('Data input'!Z45="","",4*('Data input'!Z45-'Data input'!Z$108)/('Data input'!Z$109-'Data input'!Z$108)+1)</f>
        <v/>
      </c>
      <c r="AA45" s="62" t="str">
        <f>IF('Data input'!AA45="","",4*('Data input'!AA45-'Data input'!AA$108)/('Data input'!AA$109-'Data input'!AA$108)+1)</f>
        <v/>
      </c>
      <c r="AB45" s="78"/>
      <c r="AC45" s="79">
        <v>0</v>
      </c>
      <c r="AD45" s="80" t="e">
        <f t="shared" si="13"/>
        <v>#DIV/0!</v>
      </c>
      <c r="AE45" s="4"/>
      <c r="AF45" s="59">
        <f t="shared" si="14"/>
        <v>43</v>
      </c>
      <c r="AG45" s="60" t="str">
        <f t="shared" si="14"/>
        <v>Texas</v>
      </c>
      <c r="AH45">
        <v>0</v>
      </c>
      <c r="AI45" t="s">
        <v>69</v>
      </c>
      <c r="AJ45" t="s">
        <v>69</v>
      </c>
      <c r="AK45" t="s">
        <v>69</v>
      </c>
      <c r="AL45" t="s">
        <v>69</v>
      </c>
      <c r="AM45">
        <v>0</v>
      </c>
      <c r="AN45">
        <v>0</v>
      </c>
      <c r="AO45" t="s">
        <v>69</v>
      </c>
      <c r="AP45" t="s">
        <v>69</v>
      </c>
      <c r="AQ45" t="s">
        <v>69</v>
      </c>
      <c r="AR45">
        <v>1</v>
      </c>
      <c r="AS45" s="71">
        <f t="shared" si="15"/>
        <v>4.8171585514409268</v>
      </c>
      <c r="AT45" s="71" t="str">
        <f t="shared" si="15"/>
        <v/>
      </c>
      <c r="AU45" s="71" t="str">
        <f t="shared" si="15"/>
        <v/>
      </c>
      <c r="AV45" s="71" t="str">
        <f t="shared" si="15"/>
        <v/>
      </c>
      <c r="AW45" s="71" t="str">
        <f t="shared" si="15"/>
        <v/>
      </c>
      <c r="AX45" s="71">
        <f t="shared" si="16"/>
        <v>1</v>
      </c>
      <c r="AY45" s="71">
        <f t="shared" si="16"/>
        <v>1.0261587661624443</v>
      </c>
      <c r="AZ45" s="71" t="str">
        <f t="shared" si="16"/>
        <v/>
      </c>
      <c r="BA45" s="71" t="str">
        <f t="shared" si="16"/>
        <v/>
      </c>
      <c r="BB45" s="71" t="str">
        <f t="shared" si="16"/>
        <v/>
      </c>
      <c r="BC45" s="18">
        <f>IF(C45&lt;&gt;"",(('Data input'!C$109-'Data input'!C$108)*(AS45-1)/4)+'Data input'!C$108,"")</f>
        <v>0.98965422563276984</v>
      </c>
      <c r="BD45" s="18" t="str">
        <f>IF(D45&lt;&gt;"",(('Data input'!D$109-'Data input'!D$108)*(AT45-1)/4)+'Data input'!D$108,"")</f>
        <v/>
      </c>
      <c r="BE45" s="18" t="str">
        <f>IF(E45&lt;&gt;"",(('Data input'!E$109-'Data input'!E$108)*(AU45-1)/4)+'Data input'!E$108,"")</f>
        <v/>
      </c>
      <c r="BF45" s="18" t="str">
        <f>IF(F45&lt;&gt;"",(('Data input'!F$109-'Data input'!F$108)*(AV45-1)/4)+'Data input'!F$108,"")</f>
        <v/>
      </c>
      <c r="BG45" s="18" t="str">
        <f>IF(G45&lt;&gt;"",(('Data input'!G$109-'Data input'!G$108)*(AW45-1)/4)+'Data input'!G$108,"")</f>
        <v/>
      </c>
      <c r="BH45" s="19">
        <f>IF(H45&lt;&gt;"",(('Data input'!H$109-'Data input'!H$108)*(AX45-1)/4)+'Data input'!H$108,"")</f>
        <v>0.29574268608402715</v>
      </c>
      <c r="BI45" s="18">
        <f>IF(I45&lt;&gt;"",(('Data input'!I$109-'Data input'!I$108)*(AY45-1)/4)+'Data input'!I$108,"")</f>
        <v>1.1485914641518515E-3</v>
      </c>
      <c r="BJ45" s="19" t="str">
        <f>IF(J45&lt;&gt;"",(('Data input'!J$109-'Data input'!J$108)*(AZ45-1)/4)+'Data input'!J$108,"")</f>
        <v/>
      </c>
      <c r="BK45" s="19" t="str">
        <f>IF(K45&lt;&gt;"",(('Data input'!K$109-'Data input'!K$108)*(BA45-1)/4)+'Data input'!K$108,"")</f>
        <v/>
      </c>
      <c r="BL45" s="19" t="str">
        <f>IF(L45&lt;&gt;"",(('Data input'!L$109-'Data input'!L$108)*(BB45-1)/4)+'Data input'!L$108,"")</f>
        <v/>
      </c>
      <c r="BM45" s="18">
        <f>IF(C45&lt;&gt;"",BC45-'Data input'!C45,"")</f>
        <v>0</v>
      </c>
      <c r="BN45" s="18" t="str">
        <f>IF(D45&lt;&gt;"",BD45-'Data input'!D45,"")</f>
        <v/>
      </c>
      <c r="BO45" s="18" t="str">
        <f>IF(E45&lt;&gt;"",BE45-'Data input'!E45,"")</f>
        <v/>
      </c>
      <c r="BP45" s="18" t="str">
        <f>IF(F45&lt;&gt;"",BF45-'Data input'!F45,"")</f>
        <v/>
      </c>
      <c r="BQ45" s="18" t="str">
        <f>IF(G45&lt;&gt;"",BG45-'Data input'!G45,"")</f>
        <v/>
      </c>
      <c r="BR45" s="19">
        <f>IF(H45&lt;&gt;"",BH45-'Data input'!H45,"")</f>
        <v>0</v>
      </c>
      <c r="BS45" s="18">
        <f>IF(I45&lt;&gt;"",BI45-'Data input'!I45,"")</f>
        <v>-4.3368086899420177E-18</v>
      </c>
      <c r="BT45" s="18" t="str">
        <f>IF(J45&lt;&gt;"",BJ45-'Data input'!J45,"")</f>
        <v/>
      </c>
      <c r="BU45" s="18" t="str">
        <f>IF(K45&lt;&gt;"",BK45-'Data input'!K45,"")</f>
        <v/>
      </c>
      <c r="BV45" s="72" t="str">
        <f>IF(L45&lt;&gt;"",BL45-'Data input'!L45,"")</f>
        <v/>
      </c>
      <c r="BW45" s="121" t="str">
        <f t="shared" si="17"/>
        <v xml:space="preserve">Texas; 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0</v>
      </c>
      <c r="CE45" s="1">
        <v>0</v>
      </c>
      <c r="CF45" s="1">
        <v>0</v>
      </c>
      <c r="CG45" s="1">
        <v>0</v>
      </c>
      <c r="CH45" s="1">
        <v>0</v>
      </c>
      <c r="CI45" s="1">
        <v>0</v>
      </c>
      <c r="CJ45" s="1">
        <v>0</v>
      </c>
      <c r="CK45" s="1">
        <v>0</v>
      </c>
      <c r="CL45" s="1">
        <v>0</v>
      </c>
      <c r="CM45" s="1">
        <v>0</v>
      </c>
      <c r="CN45" s="1">
        <v>0</v>
      </c>
      <c r="CO45" s="1">
        <v>0</v>
      </c>
      <c r="CP45" s="1">
        <v>0</v>
      </c>
      <c r="CQ45" s="1">
        <v>0</v>
      </c>
      <c r="CR45" s="1">
        <v>0</v>
      </c>
      <c r="CS45" s="1">
        <v>0</v>
      </c>
      <c r="CT45" s="1">
        <v>0</v>
      </c>
      <c r="CU45" s="1">
        <v>0</v>
      </c>
      <c r="CV45" s="1">
        <v>0</v>
      </c>
      <c r="CW45" s="1">
        <v>0</v>
      </c>
      <c r="CX45" s="1">
        <v>0</v>
      </c>
      <c r="CY45" s="1">
        <v>0</v>
      </c>
      <c r="CZ45" s="1">
        <v>0</v>
      </c>
      <c r="DA45" s="1">
        <v>0</v>
      </c>
      <c r="DB45" s="1">
        <v>0</v>
      </c>
      <c r="DC45" s="1">
        <v>0</v>
      </c>
      <c r="DD45" s="1">
        <v>0</v>
      </c>
      <c r="DE45" s="1">
        <v>0</v>
      </c>
      <c r="DF45" s="1">
        <v>0</v>
      </c>
      <c r="DG45" s="1">
        <v>0</v>
      </c>
      <c r="DH45" s="1">
        <v>0</v>
      </c>
      <c r="DI45" s="1">
        <v>0</v>
      </c>
      <c r="DJ45" s="1">
        <v>0</v>
      </c>
      <c r="DK45" s="1">
        <v>0</v>
      </c>
      <c r="DL45" s="1">
        <v>0</v>
      </c>
      <c r="DM45" s="1">
        <v>0</v>
      </c>
      <c r="DN45" s="1">
        <v>1</v>
      </c>
      <c r="DO45" s="1">
        <v>0</v>
      </c>
      <c r="DP45" s="1">
        <v>0</v>
      </c>
      <c r="DQ45" s="1">
        <v>0</v>
      </c>
      <c r="DR45" s="1">
        <v>0</v>
      </c>
      <c r="DS45" s="1">
        <v>0</v>
      </c>
      <c r="DT45" s="1">
        <v>0</v>
      </c>
      <c r="DU45" s="1">
        <v>0</v>
      </c>
      <c r="DV45" s="1">
        <v>0</v>
      </c>
      <c r="DW45" s="1">
        <v>0</v>
      </c>
      <c r="DX45" s="1">
        <v>0</v>
      </c>
      <c r="DY45" s="1">
        <v>0</v>
      </c>
      <c r="DZ45" s="1">
        <v>0</v>
      </c>
      <c r="FT45" s="1" t="str">
        <f t="shared" si="25"/>
        <v/>
      </c>
      <c r="FU45" s="1" t="str">
        <f t="shared" si="25"/>
        <v/>
      </c>
      <c r="FV45" s="1" t="str">
        <f t="shared" si="25"/>
        <v/>
      </c>
      <c r="FW45" s="1" t="str">
        <f t="shared" si="25"/>
        <v/>
      </c>
      <c r="FX45" s="1" t="str">
        <f t="shared" si="25"/>
        <v/>
      </c>
      <c r="FY45" s="1" t="str">
        <f t="shared" si="25"/>
        <v/>
      </c>
      <c r="FZ45" s="1" t="str">
        <f t="shared" si="25"/>
        <v/>
      </c>
      <c r="GA45" s="1" t="str">
        <f t="shared" si="25"/>
        <v/>
      </c>
      <c r="GB45" s="1" t="str">
        <f t="shared" si="25"/>
        <v/>
      </c>
      <c r="GC45" s="1" t="str">
        <f t="shared" si="25"/>
        <v/>
      </c>
      <c r="GD45" s="1" t="str">
        <f t="shared" si="25"/>
        <v/>
      </c>
      <c r="GE45" s="1" t="str">
        <f t="shared" si="25"/>
        <v/>
      </c>
      <c r="GF45" s="1" t="str">
        <f t="shared" si="25"/>
        <v/>
      </c>
      <c r="GG45" s="1" t="str">
        <f t="shared" si="25"/>
        <v/>
      </c>
      <c r="GH45" s="1" t="str">
        <f t="shared" si="25"/>
        <v/>
      </c>
      <c r="GI45" s="1" t="str">
        <f t="shared" si="25"/>
        <v/>
      </c>
      <c r="GJ45" s="1" t="str">
        <f t="shared" si="31"/>
        <v/>
      </c>
      <c r="GK45" s="1" t="str">
        <f t="shared" si="31"/>
        <v/>
      </c>
      <c r="GL45" s="1" t="str">
        <f t="shared" si="31"/>
        <v/>
      </c>
      <c r="GM45" s="1" t="str">
        <f t="shared" si="31"/>
        <v/>
      </c>
      <c r="GN45" s="1" t="str">
        <f t="shared" si="31"/>
        <v/>
      </c>
      <c r="GO45" s="1" t="str">
        <f t="shared" si="31"/>
        <v/>
      </c>
      <c r="GP45" s="1" t="str">
        <f t="shared" si="31"/>
        <v/>
      </c>
      <c r="GQ45" s="1" t="str">
        <f t="shared" si="31"/>
        <v/>
      </c>
      <c r="GR45" s="1" t="str">
        <f t="shared" si="31"/>
        <v/>
      </c>
      <c r="GS45" s="1" t="str">
        <f t="shared" si="31"/>
        <v/>
      </c>
      <c r="GT45" s="1" t="str">
        <f t="shared" si="31"/>
        <v/>
      </c>
      <c r="GU45" s="1" t="str">
        <f t="shared" si="31"/>
        <v/>
      </c>
      <c r="GV45" s="1" t="str">
        <f t="shared" si="31"/>
        <v/>
      </c>
      <c r="GW45" s="1" t="str">
        <f t="shared" si="31"/>
        <v/>
      </c>
      <c r="GX45" s="1" t="str">
        <f t="shared" si="26"/>
        <v/>
      </c>
      <c r="GY45" s="1" t="str">
        <f t="shared" si="26"/>
        <v/>
      </c>
      <c r="GZ45" s="1" t="str">
        <f t="shared" si="26"/>
        <v/>
      </c>
      <c r="HA45" s="1" t="str">
        <f t="shared" si="26"/>
        <v/>
      </c>
      <c r="HB45" s="1" t="str">
        <f t="shared" si="26"/>
        <v/>
      </c>
      <c r="HC45" s="1" t="str">
        <f t="shared" si="26"/>
        <v/>
      </c>
      <c r="HD45" s="1" t="str">
        <f t="shared" si="26"/>
        <v/>
      </c>
      <c r="HE45" s="1" t="str">
        <f t="shared" si="26"/>
        <v/>
      </c>
      <c r="HF45" s="1" t="str">
        <f t="shared" si="26"/>
        <v/>
      </c>
      <c r="HG45" s="1" t="str">
        <f t="shared" si="26"/>
        <v/>
      </c>
      <c r="HH45" s="1" t="str">
        <f t="shared" si="26"/>
        <v/>
      </c>
      <c r="HI45" s="1" t="str">
        <f t="shared" si="26"/>
        <v/>
      </c>
      <c r="HJ45" s="1" t="str">
        <f t="shared" si="26"/>
        <v xml:space="preserve">Texas; </v>
      </c>
      <c r="HK45" s="1" t="str">
        <f t="shared" si="26"/>
        <v/>
      </c>
      <c r="HL45" s="1" t="str">
        <f t="shared" si="26"/>
        <v/>
      </c>
      <c r="HM45" s="1" t="str">
        <f t="shared" si="26"/>
        <v/>
      </c>
      <c r="HN45" s="1" t="str">
        <f t="shared" si="27"/>
        <v/>
      </c>
      <c r="HO45" s="1" t="str">
        <f t="shared" si="27"/>
        <v/>
      </c>
      <c r="HP45" s="1" t="str">
        <f t="shared" si="27"/>
        <v/>
      </c>
      <c r="HQ45" s="1" t="str">
        <f t="shared" si="27"/>
        <v/>
      </c>
      <c r="HR45" s="1" t="str">
        <f t="shared" si="27"/>
        <v/>
      </c>
      <c r="HS45" s="1" t="str">
        <f t="shared" si="27"/>
        <v/>
      </c>
      <c r="HT45" s="1" t="str">
        <f t="shared" si="27"/>
        <v/>
      </c>
      <c r="HU45" s="1" t="str">
        <f t="shared" si="27"/>
        <v/>
      </c>
      <c r="HV45" s="1" t="str">
        <f t="shared" si="27"/>
        <v/>
      </c>
      <c r="HW45" s="1" t="str">
        <f t="shared" si="27"/>
        <v/>
      </c>
      <c r="HX45" s="1" t="str">
        <f t="shared" si="27"/>
        <v/>
      </c>
      <c r="HY45" s="1" t="str">
        <f t="shared" si="27"/>
        <v/>
      </c>
      <c r="HZ45" s="1" t="str">
        <f t="shared" si="27"/>
        <v/>
      </c>
      <c r="IA45" s="1" t="str">
        <f t="shared" si="27"/>
        <v/>
      </c>
      <c r="IB45" s="1" t="str">
        <f t="shared" si="27"/>
        <v/>
      </c>
      <c r="IC45" s="1" t="str">
        <f t="shared" si="27"/>
        <v/>
      </c>
      <c r="ID45" s="1" t="str">
        <f t="shared" si="28"/>
        <v/>
      </c>
      <c r="IE45" s="1" t="str">
        <f t="shared" si="28"/>
        <v/>
      </c>
      <c r="IF45" s="1" t="str">
        <f t="shared" si="28"/>
        <v/>
      </c>
      <c r="IG45" s="1" t="str">
        <f t="shared" si="28"/>
        <v/>
      </c>
      <c r="IH45" s="1" t="str">
        <f t="shared" si="28"/>
        <v/>
      </c>
      <c r="II45" s="1" t="str">
        <f t="shared" si="28"/>
        <v/>
      </c>
      <c r="IJ45" s="1" t="str">
        <f t="shared" si="28"/>
        <v/>
      </c>
      <c r="IK45" s="1" t="str">
        <f t="shared" si="28"/>
        <v/>
      </c>
      <c r="IL45" s="1" t="str">
        <f t="shared" si="28"/>
        <v/>
      </c>
      <c r="IM45" s="1" t="str">
        <f t="shared" si="28"/>
        <v/>
      </c>
      <c r="IN45" s="1" t="str">
        <f t="shared" si="28"/>
        <v/>
      </c>
      <c r="IO45" s="1" t="str">
        <f t="shared" si="28"/>
        <v/>
      </c>
      <c r="IP45" s="1" t="str">
        <f t="shared" si="28"/>
        <v/>
      </c>
      <c r="IQ45" s="1" t="str">
        <f t="shared" si="28"/>
        <v/>
      </c>
      <c r="IR45" s="1" t="str">
        <f t="shared" si="28"/>
        <v/>
      </c>
      <c r="IS45" s="1" t="str">
        <f t="shared" si="28"/>
        <v/>
      </c>
      <c r="IT45" s="1" t="str">
        <f t="shared" si="29"/>
        <v/>
      </c>
      <c r="IU45" s="1" t="str">
        <f t="shared" si="29"/>
        <v/>
      </c>
      <c r="IV45" s="1" t="str">
        <f t="shared" si="29"/>
        <v/>
      </c>
      <c r="IW45" s="1" t="str">
        <f t="shared" si="29"/>
        <v/>
      </c>
      <c r="IX45" s="1" t="str">
        <f t="shared" si="29"/>
        <v/>
      </c>
      <c r="IY45" s="1" t="str">
        <f t="shared" si="29"/>
        <v/>
      </c>
      <c r="IZ45" s="1" t="str">
        <f t="shared" si="29"/>
        <v/>
      </c>
      <c r="JA45" s="1" t="str">
        <f t="shared" si="29"/>
        <v/>
      </c>
      <c r="JB45" s="1" t="str">
        <f t="shared" si="29"/>
        <v/>
      </c>
      <c r="JC45" s="1" t="str">
        <f t="shared" si="29"/>
        <v/>
      </c>
      <c r="JD45" s="1" t="str">
        <f t="shared" si="29"/>
        <v/>
      </c>
      <c r="JE45" s="1" t="str">
        <f t="shared" si="29"/>
        <v/>
      </c>
      <c r="JF45" s="1" t="str">
        <f t="shared" si="29"/>
        <v/>
      </c>
      <c r="JG45" s="1" t="str">
        <f t="shared" si="29"/>
        <v/>
      </c>
      <c r="JH45" s="1" t="str">
        <f t="shared" si="29"/>
        <v/>
      </c>
      <c r="JI45" s="1" t="str">
        <f t="shared" si="29"/>
        <v/>
      </c>
      <c r="JJ45" s="1" t="str">
        <f t="shared" si="30"/>
        <v/>
      </c>
      <c r="JK45" s="1" t="str">
        <f t="shared" si="30"/>
        <v/>
      </c>
      <c r="JL45" s="1" t="str">
        <f t="shared" si="24"/>
        <v/>
      </c>
      <c r="JM45" s="1" t="str">
        <f t="shared" si="12"/>
        <v/>
      </c>
      <c r="JN45" s="1" t="str">
        <f t="shared" si="12"/>
        <v/>
      </c>
      <c r="JO45" s="1" t="str">
        <f t="shared" si="12"/>
        <v/>
      </c>
    </row>
    <row r="46" spans="1:275" ht="14.5" x14ac:dyDescent="0.35">
      <c r="A46" s="59">
        <f>IF('Data input'!A46&lt;&gt;"",'Data input'!A46,"")</f>
        <v>44</v>
      </c>
      <c r="B46" s="60" t="str">
        <f>IF('Data input'!B46&lt;&gt;"",'Data input'!B46,"")</f>
        <v>Utah</v>
      </c>
      <c r="C46" s="19">
        <f>IF('Data input'!C46="","",4*('Data input'!C46-'Data input'!C$108)/('Data input'!C$109-'Data input'!C$108)+1)</f>
        <v>5</v>
      </c>
      <c r="D46" s="19" t="str">
        <f>IF('Data input'!D46="","",4*('Data input'!D46-'Data input'!D$108)/('Data input'!D$109-'Data input'!D$108)+1)</f>
        <v/>
      </c>
      <c r="E46" s="19" t="str">
        <f>IF('Data input'!E46="","",4*('Data input'!E46-'Data input'!E$108)/('Data input'!E$109-'Data input'!E$108)+1)</f>
        <v/>
      </c>
      <c r="F46" s="19" t="str">
        <f>IF('Data input'!F46="","",4*('Data input'!F46-'Data input'!F$108)/('Data input'!F$109-'Data input'!F$108)+1)</f>
        <v/>
      </c>
      <c r="G46" s="19" t="str">
        <f>IF('Data input'!G46="","",4*('Data input'!G46-'Data input'!G$108)/('Data input'!G$109-'Data input'!G$108)+1)</f>
        <v/>
      </c>
      <c r="H46" s="61">
        <f>IF('Data input'!H46="","",4*('Data input'!H46-'Data input'!H$108)/('Data input'!H$109-'Data input'!H$108)+1)</f>
        <v>1.0731282555329211</v>
      </c>
      <c r="I46" s="19">
        <f>IF('Data input'!I46="","",4*('Data input'!I46-'Data input'!I$108)/('Data input'!I$109-'Data input'!I$108)+1)</f>
        <v>1.8996569026448376</v>
      </c>
      <c r="J46" s="19" t="str">
        <f>IF('Data input'!J46="","",4*('Data input'!J46-'Data input'!J$108)/('Data input'!J$109-'Data input'!J$108)+1)</f>
        <v/>
      </c>
      <c r="K46" s="19" t="str">
        <f>IF('Data input'!K46="","",4*('Data input'!K46-'Data input'!K$108)/('Data input'!K$109-'Data input'!K$108)+1)</f>
        <v/>
      </c>
      <c r="L46" s="19" t="str">
        <f>IF('Data input'!L46="","",4*('Data input'!L46-'Data input'!L$108)/('Data input'!L$109-'Data input'!L$108)+1)</f>
        <v/>
      </c>
      <c r="M46" s="19">
        <f>IF('Data input'!M46="","",4*('Data input'!M46-'Data input'!M$108)/('Data input'!M$109-'Data input'!M$108)+1)</f>
        <v>5</v>
      </c>
      <c r="N46" s="16" t="str">
        <f>IF('Data input'!N46="","",4*('Data input'!N46-'Data input'!N$108)/('Data input'!N$109-'Data input'!N$108)+1)</f>
        <v/>
      </c>
      <c r="O46" s="19" t="str">
        <f>IF('Data input'!O46="","",4*('Data input'!O46-'Data input'!O$108)/('Data input'!O$109-'Data input'!O$108)+1)</f>
        <v/>
      </c>
      <c r="P46" s="19" t="str">
        <f>IF('Data input'!P46="","",4*('Data input'!P46-'Data input'!P$108)/('Data input'!P$109-'Data input'!P$108)+1)</f>
        <v/>
      </c>
      <c r="Q46" s="19" t="str">
        <f>IF('Data input'!Q46="","",4*('Data input'!Q46-'Data input'!Q$108)/('Data input'!Q$109-'Data input'!Q$108)+1)</f>
        <v/>
      </c>
      <c r="R46" s="19" t="str">
        <f>IF('Data input'!R46="","",4*('Data input'!R46-'Data input'!R$108)/('Data input'!R$109-'Data input'!R$108)+1)</f>
        <v/>
      </c>
      <c r="S46" s="16" t="str">
        <f>IF('Data input'!S46="","",4*('Data input'!S46-'Data input'!S$108)/('Data input'!S$109-'Data input'!S$108)+1)</f>
        <v/>
      </c>
      <c r="T46" s="19" t="str">
        <f>IF('Data input'!T46="","",4*('Data input'!T46-'Data input'!T$108)/('Data input'!T$109-'Data input'!T$108)+1)</f>
        <v/>
      </c>
      <c r="U46" s="19" t="str">
        <f>IF('Data input'!U46="","",4*('Data input'!U46-'Data input'!U$108)/('Data input'!U$109-'Data input'!U$108)+1)</f>
        <v/>
      </c>
      <c r="V46" s="19" t="str">
        <f>IF('Data input'!V46="","",4*('Data input'!V46-'Data input'!V$108)/('Data input'!V$109-'Data input'!V$108)+1)</f>
        <v/>
      </c>
      <c r="W46" s="16" t="str">
        <f>IF('Data input'!W46="","",4*('Data input'!W46-'Data input'!W$108)/('Data input'!W$109-'Data input'!W$108)+1)</f>
        <v/>
      </c>
      <c r="X46" s="16" t="str">
        <f>IF('Data input'!X46="","",4*('Data input'!X46-'Data input'!X$108)/('Data input'!X$109-'Data input'!X$108)+1)</f>
        <v/>
      </c>
      <c r="Y46" s="16" t="str">
        <f>IF('Data input'!Y46="","",4*('Data input'!Y46-'Data input'!Y$108)/('Data input'!Y$109-'Data input'!Y$108)+1)</f>
        <v/>
      </c>
      <c r="Z46" s="16" t="str">
        <f>IF('Data input'!Z46="","",4*('Data input'!Z46-'Data input'!Z$108)/('Data input'!Z$109-'Data input'!Z$108)+1)</f>
        <v/>
      </c>
      <c r="AA46" s="62" t="str">
        <f>IF('Data input'!AA46="","",4*('Data input'!AA46-'Data input'!AA$108)/('Data input'!AA$109-'Data input'!AA$108)+1)</f>
        <v/>
      </c>
      <c r="AB46" s="78"/>
      <c r="AC46" s="79">
        <v>0</v>
      </c>
      <c r="AD46" s="80" t="e">
        <f t="shared" si="13"/>
        <v>#DIV/0!</v>
      </c>
      <c r="AE46" s="4"/>
      <c r="AF46" s="59">
        <f t="shared" si="14"/>
        <v>44</v>
      </c>
      <c r="AG46" s="60" t="str">
        <f t="shared" si="14"/>
        <v>Utah</v>
      </c>
      <c r="AH46">
        <v>0</v>
      </c>
      <c r="AI46" t="s">
        <v>69</v>
      </c>
      <c r="AJ46" t="s">
        <v>69</v>
      </c>
      <c r="AK46" t="s">
        <v>69</v>
      </c>
      <c r="AL46" t="s">
        <v>69</v>
      </c>
      <c r="AM46">
        <v>0</v>
      </c>
      <c r="AN46">
        <v>0</v>
      </c>
      <c r="AO46" t="s">
        <v>69</v>
      </c>
      <c r="AP46" t="s">
        <v>69</v>
      </c>
      <c r="AQ46" t="s">
        <v>69</v>
      </c>
      <c r="AR46">
        <v>0.99999999999999989</v>
      </c>
      <c r="AS46" s="71">
        <f t="shared" si="15"/>
        <v>5</v>
      </c>
      <c r="AT46" s="71" t="str">
        <f t="shared" si="15"/>
        <v/>
      </c>
      <c r="AU46" s="71" t="str">
        <f t="shared" si="15"/>
        <v/>
      </c>
      <c r="AV46" s="71" t="str">
        <f t="shared" si="15"/>
        <v/>
      </c>
      <c r="AW46" s="71" t="str">
        <f t="shared" si="15"/>
        <v/>
      </c>
      <c r="AX46" s="71">
        <f t="shared" si="16"/>
        <v>1.0731282555329211</v>
      </c>
      <c r="AY46" s="71">
        <f t="shared" si="16"/>
        <v>1.8996569026448376</v>
      </c>
      <c r="AZ46" s="71" t="str">
        <f t="shared" si="16"/>
        <v/>
      </c>
      <c r="BA46" s="71" t="str">
        <f t="shared" si="16"/>
        <v/>
      </c>
      <c r="BB46" s="71" t="str">
        <f t="shared" si="16"/>
        <v/>
      </c>
      <c r="BC46" s="18">
        <f>IF(C46&lt;&gt;"",(('Data input'!C$109-'Data input'!C$108)*(AS46-1)/4)+'Data input'!C$108,"")</f>
        <v>0.99629268099502244</v>
      </c>
      <c r="BD46" s="18" t="str">
        <f>IF(D46&lt;&gt;"",(('Data input'!D$109-'Data input'!D$108)*(AT46-1)/4)+'Data input'!D$108,"")</f>
        <v/>
      </c>
      <c r="BE46" s="18" t="str">
        <f>IF(E46&lt;&gt;"",(('Data input'!E$109-'Data input'!E$108)*(AU46-1)/4)+'Data input'!E$108,"")</f>
        <v/>
      </c>
      <c r="BF46" s="18" t="str">
        <f>IF(F46&lt;&gt;"",(('Data input'!F$109-'Data input'!F$108)*(AV46-1)/4)+'Data input'!F$108,"")</f>
        <v/>
      </c>
      <c r="BG46" s="18" t="str">
        <f>IF(G46&lt;&gt;"",(('Data input'!G$109-'Data input'!G$108)*(AW46-1)/4)+'Data input'!G$108,"")</f>
        <v/>
      </c>
      <c r="BH46" s="19">
        <f>IF(H46&lt;&gt;"",(('Data input'!H$109-'Data input'!H$108)*(AX46-1)/4)+'Data input'!H$108,"")</f>
        <v>1.8883174631545339</v>
      </c>
      <c r="BI46" s="18">
        <f>IF(I46&lt;&gt;"",(('Data input'!I$109-'Data input'!I$108)*(AY46-1)/4)+'Data input'!I$108,"")</f>
        <v>3.9502560351133871E-2</v>
      </c>
      <c r="BJ46" s="19" t="str">
        <f>IF(J46&lt;&gt;"",(('Data input'!J$109-'Data input'!J$108)*(AZ46-1)/4)+'Data input'!J$108,"")</f>
        <v/>
      </c>
      <c r="BK46" s="19" t="str">
        <f>IF(K46&lt;&gt;"",(('Data input'!K$109-'Data input'!K$108)*(BA46-1)/4)+'Data input'!K$108,"")</f>
        <v/>
      </c>
      <c r="BL46" s="19" t="str">
        <f>IF(L46&lt;&gt;"",(('Data input'!L$109-'Data input'!L$108)*(BB46-1)/4)+'Data input'!L$108,"")</f>
        <v/>
      </c>
      <c r="BM46" s="18">
        <f>IF(C46&lt;&gt;"",BC46-'Data input'!C46,"")</f>
        <v>0</v>
      </c>
      <c r="BN46" s="18" t="str">
        <f>IF(D46&lt;&gt;"",BD46-'Data input'!D46,"")</f>
        <v/>
      </c>
      <c r="BO46" s="18" t="str">
        <f>IF(E46&lt;&gt;"",BE46-'Data input'!E46,"")</f>
        <v/>
      </c>
      <c r="BP46" s="18" t="str">
        <f>IF(F46&lt;&gt;"",BF46-'Data input'!F46,"")</f>
        <v/>
      </c>
      <c r="BQ46" s="18" t="str">
        <f>IF(G46&lt;&gt;"",BG46-'Data input'!G46,"")</f>
        <v/>
      </c>
      <c r="BR46" s="19">
        <f>IF(H46&lt;&gt;"",BH46-'Data input'!H46,"")</f>
        <v>1.7763568394002505E-15</v>
      </c>
      <c r="BS46" s="18">
        <f>IF(I46&lt;&gt;"",BI46-'Data input'!I46,"")</f>
        <v>0</v>
      </c>
      <c r="BT46" s="18" t="str">
        <f>IF(J46&lt;&gt;"",BJ46-'Data input'!J46,"")</f>
        <v/>
      </c>
      <c r="BU46" s="18" t="str">
        <f>IF(K46&lt;&gt;"",BK46-'Data input'!K46,"")</f>
        <v/>
      </c>
      <c r="BV46" s="72" t="str">
        <f>IF(L46&lt;&gt;"",BL46-'Data input'!L46,"")</f>
        <v/>
      </c>
      <c r="BW46" s="121" t="str">
        <f t="shared" si="17"/>
        <v xml:space="preserve">Utah; </v>
      </c>
      <c r="BX46" s="1">
        <v>0</v>
      </c>
      <c r="BY46" s="1">
        <v>0</v>
      </c>
      <c r="BZ46" s="1">
        <v>0</v>
      </c>
      <c r="CA46" s="1">
        <v>0</v>
      </c>
      <c r="CB46" s="1">
        <v>0</v>
      </c>
      <c r="CC46" s="1">
        <v>0</v>
      </c>
      <c r="CD46" s="1">
        <v>0</v>
      </c>
      <c r="CE46" s="1">
        <v>0</v>
      </c>
      <c r="CF46" s="1">
        <v>0</v>
      </c>
      <c r="CG46" s="1">
        <v>0</v>
      </c>
      <c r="CH46" s="1">
        <v>0</v>
      </c>
      <c r="CI46" s="1">
        <v>0</v>
      </c>
      <c r="CJ46" s="1">
        <v>0</v>
      </c>
      <c r="CK46" s="1">
        <v>0</v>
      </c>
      <c r="CL46" s="1">
        <v>0</v>
      </c>
      <c r="CM46" s="1">
        <v>0</v>
      </c>
      <c r="CN46" s="1">
        <v>0</v>
      </c>
      <c r="CO46" s="1">
        <v>0</v>
      </c>
      <c r="CP46" s="1">
        <v>0</v>
      </c>
      <c r="CQ46" s="1">
        <v>0</v>
      </c>
      <c r="CR46" s="1">
        <v>0</v>
      </c>
      <c r="CS46" s="1">
        <v>0</v>
      </c>
      <c r="CT46" s="1">
        <v>0</v>
      </c>
      <c r="CU46" s="1">
        <v>0</v>
      </c>
      <c r="CV46" s="1">
        <v>0</v>
      </c>
      <c r="CW46" s="1">
        <v>0</v>
      </c>
      <c r="CX46" s="1">
        <v>0</v>
      </c>
      <c r="CY46" s="1">
        <v>0</v>
      </c>
      <c r="CZ46" s="1">
        <v>0</v>
      </c>
      <c r="DA46" s="1">
        <v>0</v>
      </c>
      <c r="DB46" s="1">
        <v>0</v>
      </c>
      <c r="DC46" s="1">
        <v>0</v>
      </c>
      <c r="DD46" s="1">
        <v>0</v>
      </c>
      <c r="DE46" s="1">
        <v>0</v>
      </c>
      <c r="DF46" s="1">
        <v>0</v>
      </c>
      <c r="DG46" s="1">
        <v>0</v>
      </c>
      <c r="DH46" s="1">
        <v>0</v>
      </c>
      <c r="DI46" s="1">
        <v>0</v>
      </c>
      <c r="DJ46" s="1">
        <v>0</v>
      </c>
      <c r="DK46" s="1">
        <v>0</v>
      </c>
      <c r="DL46" s="1">
        <v>0</v>
      </c>
      <c r="DM46" s="1">
        <v>0</v>
      </c>
      <c r="DN46" s="1">
        <v>0</v>
      </c>
      <c r="DO46" s="1">
        <v>1</v>
      </c>
      <c r="DP46" s="1">
        <v>0</v>
      </c>
      <c r="DQ46" s="1">
        <v>0</v>
      </c>
      <c r="DR46" s="1">
        <v>0</v>
      </c>
      <c r="DS46" s="1">
        <v>0</v>
      </c>
      <c r="DT46" s="1">
        <v>0</v>
      </c>
      <c r="DU46" s="1">
        <v>0</v>
      </c>
      <c r="DV46" s="1">
        <v>0</v>
      </c>
      <c r="DW46" s="1">
        <v>0</v>
      </c>
      <c r="DX46" s="1">
        <v>0</v>
      </c>
      <c r="DY46" s="1">
        <v>0</v>
      </c>
      <c r="DZ46" s="1">
        <v>0</v>
      </c>
      <c r="FT46" s="1" t="str">
        <f t="shared" si="25"/>
        <v/>
      </c>
      <c r="FU46" s="1" t="str">
        <f t="shared" si="25"/>
        <v/>
      </c>
      <c r="FV46" s="1" t="str">
        <f t="shared" si="25"/>
        <v/>
      </c>
      <c r="FW46" s="1" t="str">
        <f t="shared" si="25"/>
        <v/>
      </c>
      <c r="FX46" s="1" t="str">
        <f t="shared" si="25"/>
        <v/>
      </c>
      <c r="FY46" s="1" t="str">
        <f t="shared" si="25"/>
        <v/>
      </c>
      <c r="FZ46" s="1" t="str">
        <f t="shared" si="25"/>
        <v/>
      </c>
      <c r="GA46" s="1" t="str">
        <f t="shared" si="25"/>
        <v/>
      </c>
      <c r="GB46" s="1" t="str">
        <f t="shared" si="25"/>
        <v/>
      </c>
      <c r="GC46" s="1" t="str">
        <f t="shared" si="25"/>
        <v/>
      </c>
      <c r="GD46" s="1" t="str">
        <f t="shared" si="25"/>
        <v/>
      </c>
      <c r="GE46" s="1" t="str">
        <f t="shared" si="25"/>
        <v/>
      </c>
      <c r="GF46" s="1" t="str">
        <f t="shared" si="25"/>
        <v/>
      </c>
      <c r="GG46" s="1" t="str">
        <f t="shared" si="25"/>
        <v/>
      </c>
      <c r="GH46" s="1" t="str">
        <f t="shared" si="25"/>
        <v/>
      </c>
      <c r="GI46" s="1" t="str">
        <f t="shared" si="25"/>
        <v/>
      </c>
      <c r="GJ46" s="1" t="str">
        <f t="shared" si="31"/>
        <v/>
      </c>
      <c r="GK46" s="1" t="str">
        <f t="shared" si="31"/>
        <v/>
      </c>
      <c r="GL46" s="1" t="str">
        <f t="shared" si="31"/>
        <v/>
      </c>
      <c r="GM46" s="1" t="str">
        <f t="shared" si="31"/>
        <v/>
      </c>
      <c r="GN46" s="1" t="str">
        <f t="shared" si="31"/>
        <v/>
      </c>
      <c r="GO46" s="1" t="str">
        <f t="shared" si="31"/>
        <v/>
      </c>
      <c r="GP46" s="1" t="str">
        <f t="shared" si="31"/>
        <v/>
      </c>
      <c r="GQ46" s="1" t="str">
        <f t="shared" si="31"/>
        <v/>
      </c>
      <c r="GR46" s="1" t="str">
        <f t="shared" si="31"/>
        <v/>
      </c>
      <c r="GS46" s="1" t="str">
        <f t="shared" si="31"/>
        <v/>
      </c>
      <c r="GT46" s="1" t="str">
        <f t="shared" si="31"/>
        <v/>
      </c>
      <c r="GU46" s="1" t="str">
        <f t="shared" si="31"/>
        <v/>
      </c>
      <c r="GV46" s="1" t="str">
        <f t="shared" si="31"/>
        <v/>
      </c>
      <c r="GW46" s="1" t="str">
        <f t="shared" si="31"/>
        <v/>
      </c>
      <c r="GX46" s="1" t="str">
        <f t="shared" si="26"/>
        <v/>
      </c>
      <c r="GY46" s="1" t="str">
        <f t="shared" si="26"/>
        <v/>
      </c>
      <c r="GZ46" s="1" t="str">
        <f t="shared" si="26"/>
        <v/>
      </c>
      <c r="HA46" s="1" t="str">
        <f t="shared" si="26"/>
        <v/>
      </c>
      <c r="HB46" s="1" t="str">
        <f t="shared" si="26"/>
        <v/>
      </c>
      <c r="HC46" s="1" t="str">
        <f t="shared" si="26"/>
        <v/>
      </c>
      <c r="HD46" s="1" t="str">
        <f t="shared" si="26"/>
        <v/>
      </c>
      <c r="HE46" s="1" t="str">
        <f t="shared" si="26"/>
        <v/>
      </c>
      <c r="HF46" s="1" t="str">
        <f t="shared" si="26"/>
        <v/>
      </c>
      <c r="HG46" s="1" t="str">
        <f t="shared" si="26"/>
        <v/>
      </c>
      <c r="HH46" s="1" t="str">
        <f t="shared" si="26"/>
        <v/>
      </c>
      <c r="HI46" s="1" t="str">
        <f t="shared" si="26"/>
        <v/>
      </c>
      <c r="HJ46" s="1" t="str">
        <f t="shared" si="26"/>
        <v/>
      </c>
      <c r="HK46" s="1" t="str">
        <f t="shared" si="26"/>
        <v xml:space="preserve">Utah; </v>
      </c>
      <c r="HL46" s="1" t="str">
        <f t="shared" si="26"/>
        <v/>
      </c>
      <c r="HM46" s="1" t="str">
        <f t="shared" si="26"/>
        <v/>
      </c>
      <c r="HN46" s="1" t="str">
        <f t="shared" si="27"/>
        <v/>
      </c>
      <c r="HO46" s="1" t="str">
        <f t="shared" si="27"/>
        <v/>
      </c>
      <c r="HP46" s="1" t="str">
        <f t="shared" si="27"/>
        <v/>
      </c>
      <c r="HQ46" s="1" t="str">
        <f t="shared" si="27"/>
        <v/>
      </c>
      <c r="HR46" s="1" t="str">
        <f t="shared" si="27"/>
        <v/>
      </c>
      <c r="HS46" s="1" t="str">
        <f t="shared" si="27"/>
        <v/>
      </c>
      <c r="HT46" s="1" t="str">
        <f t="shared" si="27"/>
        <v/>
      </c>
      <c r="HU46" s="1" t="str">
        <f t="shared" si="27"/>
        <v/>
      </c>
      <c r="HV46" s="1" t="str">
        <f t="shared" si="27"/>
        <v/>
      </c>
      <c r="HW46" s="1" t="str">
        <f t="shared" si="27"/>
        <v/>
      </c>
      <c r="HX46" s="1" t="str">
        <f t="shared" si="27"/>
        <v/>
      </c>
      <c r="HY46" s="1" t="str">
        <f t="shared" si="27"/>
        <v/>
      </c>
      <c r="HZ46" s="1" t="str">
        <f t="shared" si="27"/>
        <v/>
      </c>
      <c r="IA46" s="1" t="str">
        <f t="shared" si="27"/>
        <v/>
      </c>
      <c r="IB46" s="1" t="str">
        <f t="shared" si="27"/>
        <v/>
      </c>
      <c r="IC46" s="1" t="str">
        <f t="shared" si="27"/>
        <v/>
      </c>
      <c r="ID46" s="1" t="str">
        <f t="shared" si="28"/>
        <v/>
      </c>
      <c r="IE46" s="1" t="str">
        <f t="shared" si="28"/>
        <v/>
      </c>
      <c r="IF46" s="1" t="str">
        <f t="shared" si="28"/>
        <v/>
      </c>
      <c r="IG46" s="1" t="str">
        <f t="shared" si="28"/>
        <v/>
      </c>
      <c r="IH46" s="1" t="str">
        <f t="shared" si="28"/>
        <v/>
      </c>
      <c r="II46" s="1" t="str">
        <f t="shared" si="28"/>
        <v/>
      </c>
      <c r="IJ46" s="1" t="str">
        <f t="shared" si="28"/>
        <v/>
      </c>
      <c r="IK46" s="1" t="str">
        <f t="shared" si="28"/>
        <v/>
      </c>
      <c r="IL46" s="1" t="str">
        <f t="shared" si="28"/>
        <v/>
      </c>
      <c r="IM46" s="1" t="str">
        <f t="shared" si="28"/>
        <v/>
      </c>
      <c r="IN46" s="1" t="str">
        <f t="shared" si="28"/>
        <v/>
      </c>
      <c r="IO46" s="1" t="str">
        <f t="shared" si="28"/>
        <v/>
      </c>
      <c r="IP46" s="1" t="str">
        <f t="shared" si="28"/>
        <v/>
      </c>
      <c r="IQ46" s="1" t="str">
        <f t="shared" si="28"/>
        <v/>
      </c>
      <c r="IR46" s="1" t="str">
        <f t="shared" si="28"/>
        <v/>
      </c>
      <c r="IS46" s="1" t="str">
        <f t="shared" si="28"/>
        <v/>
      </c>
      <c r="IT46" s="1" t="str">
        <f t="shared" si="29"/>
        <v/>
      </c>
      <c r="IU46" s="1" t="str">
        <f t="shared" si="29"/>
        <v/>
      </c>
      <c r="IV46" s="1" t="str">
        <f t="shared" si="29"/>
        <v/>
      </c>
      <c r="IW46" s="1" t="str">
        <f t="shared" si="29"/>
        <v/>
      </c>
      <c r="IX46" s="1" t="str">
        <f t="shared" si="29"/>
        <v/>
      </c>
      <c r="IY46" s="1" t="str">
        <f t="shared" si="29"/>
        <v/>
      </c>
      <c r="IZ46" s="1" t="str">
        <f t="shared" si="29"/>
        <v/>
      </c>
      <c r="JA46" s="1" t="str">
        <f t="shared" si="29"/>
        <v/>
      </c>
      <c r="JB46" s="1" t="str">
        <f t="shared" si="29"/>
        <v/>
      </c>
      <c r="JC46" s="1" t="str">
        <f t="shared" si="29"/>
        <v/>
      </c>
      <c r="JD46" s="1" t="str">
        <f t="shared" si="29"/>
        <v/>
      </c>
      <c r="JE46" s="1" t="str">
        <f t="shared" si="29"/>
        <v/>
      </c>
      <c r="JF46" s="1" t="str">
        <f t="shared" si="29"/>
        <v/>
      </c>
      <c r="JG46" s="1" t="str">
        <f t="shared" si="29"/>
        <v/>
      </c>
      <c r="JH46" s="1" t="str">
        <f t="shared" si="29"/>
        <v/>
      </c>
      <c r="JI46" s="1" t="str">
        <f t="shared" si="29"/>
        <v/>
      </c>
      <c r="JJ46" s="1" t="str">
        <f t="shared" si="30"/>
        <v/>
      </c>
      <c r="JK46" s="1" t="str">
        <f t="shared" si="30"/>
        <v/>
      </c>
      <c r="JL46" s="1" t="str">
        <f t="shared" si="24"/>
        <v/>
      </c>
      <c r="JM46" s="1" t="str">
        <f t="shared" si="12"/>
        <v/>
      </c>
      <c r="JN46" s="1" t="str">
        <f t="shared" si="12"/>
        <v/>
      </c>
      <c r="JO46" s="1" t="str">
        <f t="shared" si="12"/>
        <v/>
      </c>
    </row>
    <row r="47" spans="1:275" ht="14.5" x14ac:dyDescent="0.35">
      <c r="A47" s="59">
        <f>IF('Data input'!A47&lt;&gt;"",'Data input'!A47,"")</f>
        <v>45</v>
      </c>
      <c r="B47" s="60" t="str">
        <f>IF('Data input'!B47&lt;&gt;"",'Data input'!B47,"")</f>
        <v>Vermont</v>
      </c>
      <c r="C47" s="19">
        <f>IF('Data input'!C47="","",4*('Data input'!C47-'Data input'!C$108)/('Data input'!C$109-'Data input'!C$108)+1)</f>
        <v>4.1685000527906677</v>
      </c>
      <c r="D47" s="19" t="str">
        <f>IF('Data input'!D47="","",4*('Data input'!D47-'Data input'!D$108)/('Data input'!D$109-'Data input'!D$108)+1)</f>
        <v/>
      </c>
      <c r="E47" s="19" t="str">
        <f>IF('Data input'!E47="","",4*('Data input'!E47-'Data input'!E$108)/('Data input'!E$109-'Data input'!E$108)+1)</f>
        <v/>
      </c>
      <c r="F47" s="19" t="str">
        <f>IF('Data input'!F47="","",4*('Data input'!F47-'Data input'!F$108)/('Data input'!F$109-'Data input'!F$108)+1)</f>
        <v/>
      </c>
      <c r="G47" s="19" t="str">
        <f>IF('Data input'!G47="","",4*('Data input'!G47-'Data input'!G$108)/('Data input'!G$109-'Data input'!G$108)+1)</f>
        <v/>
      </c>
      <c r="H47" s="61">
        <f>IF('Data input'!H47="","",4*('Data input'!H47-'Data input'!H$108)/('Data input'!H$109-'Data input'!H$108)+1)</f>
        <v>1.9087911594104545</v>
      </c>
      <c r="I47" s="19">
        <f>IF('Data input'!I47="","",4*('Data input'!I47-'Data input'!I$108)/('Data input'!I$109-'Data input'!I$108)+1)</f>
        <v>1</v>
      </c>
      <c r="J47" s="19" t="str">
        <f>IF('Data input'!J47="","",4*('Data input'!J47-'Data input'!J$108)/('Data input'!J$109-'Data input'!J$108)+1)</f>
        <v/>
      </c>
      <c r="K47" s="19" t="str">
        <f>IF('Data input'!K47="","",4*('Data input'!K47-'Data input'!K$108)/('Data input'!K$109-'Data input'!K$108)+1)</f>
        <v/>
      </c>
      <c r="L47" s="19" t="str">
        <f>IF('Data input'!L47="","",4*('Data input'!L47-'Data input'!L$108)/('Data input'!L$109-'Data input'!L$108)+1)</f>
        <v/>
      </c>
      <c r="M47" s="19">
        <f>IF('Data input'!M47="","",4*('Data input'!M47-'Data input'!M$108)/('Data input'!M$109-'Data input'!M$108)+1)</f>
        <v>2.0557982033579743</v>
      </c>
      <c r="N47" s="16" t="str">
        <f>IF('Data input'!N47="","",4*('Data input'!N47-'Data input'!N$108)/('Data input'!N$109-'Data input'!N$108)+1)</f>
        <v/>
      </c>
      <c r="O47" s="19" t="str">
        <f>IF('Data input'!O47="","",4*('Data input'!O47-'Data input'!O$108)/('Data input'!O$109-'Data input'!O$108)+1)</f>
        <v/>
      </c>
      <c r="P47" s="19" t="str">
        <f>IF('Data input'!P47="","",4*('Data input'!P47-'Data input'!P$108)/('Data input'!P$109-'Data input'!P$108)+1)</f>
        <v/>
      </c>
      <c r="Q47" s="19" t="str">
        <f>IF('Data input'!Q47="","",4*('Data input'!Q47-'Data input'!Q$108)/('Data input'!Q$109-'Data input'!Q$108)+1)</f>
        <v/>
      </c>
      <c r="R47" s="19" t="str">
        <f>IF('Data input'!R47="","",4*('Data input'!R47-'Data input'!R$108)/('Data input'!R$109-'Data input'!R$108)+1)</f>
        <v/>
      </c>
      <c r="S47" s="16" t="str">
        <f>IF('Data input'!S47="","",4*('Data input'!S47-'Data input'!S$108)/('Data input'!S$109-'Data input'!S$108)+1)</f>
        <v/>
      </c>
      <c r="T47" s="19" t="str">
        <f>IF('Data input'!T47="","",4*('Data input'!T47-'Data input'!T$108)/('Data input'!T$109-'Data input'!T$108)+1)</f>
        <v/>
      </c>
      <c r="U47" s="19" t="str">
        <f>IF('Data input'!U47="","",4*('Data input'!U47-'Data input'!U$108)/('Data input'!U$109-'Data input'!U$108)+1)</f>
        <v/>
      </c>
      <c r="V47" s="19" t="str">
        <f>IF('Data input'!V47="","",4*('Data input'!V47-'Data input'!V$108)/('Data input'!V$109-'Data input'!V$108)+1)</f>
        <v/>
      </c>
      <c r="W47" s="16" t="str">
        <f>IF('Data input'!W47="","",4*('Data input'!W47-'Data input'!W$108)/('Data input'!W$109-'Data input'!W$108)+1)</f>
        <v/>
      </c>
      <c r="X47" s="16" t="str">
        <f>IF('Data input'!X47="","",4*('Data input'!X47-'Data input'!X$108)/('Data input'!X$109-'Data input'!X$108)+1)</f>
        <v/>
      </c>
      <c r="Y47" s="16" t="str">
        <f>IF('Data input'!Y47="","",4*('Data input'!Y47-'Data input'!Y$108)/('Data input'!Y$109-'Data input'!Y$108)+1)</f>
        <v/>
      </c>
      <c r="Z47" s="16" t="str">
        <f>IF('Data input'!Z47="","",4*('Data input'!Z47-'Data input'!Z$108)/('Data input'!Z$109-'Data input'!Z$108)+1)</f>
        <v/>
      </c>
      <c r="AA47" s="62" t="str">
        <f>IF('Data input'!AA47="","",4*('Data input'!AA47-'Data input'!AA$108)/('Data input'!AA$109-'Data input'!AA$108)+1)</f>
        <v/>
      </c>
      <c r="AB47" s="78"/>
      <c r="AC47" s="79">
        <v>0</v>
      </c>
      <c r="AD47" s="80" t="e">
        <f t="shared" si="13"/>
        <v>#DIV/0!</v>
      </c>
      <c r="AE47" s="4"/>
      <c r="AF47" s="59">
        <f t="shared" si="14"/>
        <v>45</v>
      </c>
      <c r="AG47" s="60" t="str">
        <f t="shared" si="14"/>
        <v>Vermont</v>
      </c>
      <c r="AH47">
        <v>0</v>
      </c>
      <c r="AI47" t="s">
        <v>69</v>
      </c>
      <c r="AJ47" t="s">
        <v>69</v>
      </c>
      <c r="AK47" t="s">
        <v>69</v>
      </c>
      <c r="AL47" t="s">
        <v>69</v>
      </c>
      <c r="AM47">
        <v>0.4830279880885211</v>
      </c>
      <c r="AN47">
        <v>0</v>
      </c>
      <c r="AO47" t="s">
        <v>69</v>
      </c>
      <c r="AP47" t="s">
        <v>69</v>
      </c>
      <c r="AQ47" t="s">
        <v>69</v>
      </c>
      <c r="AR47">
        <v>0.87347280353139622</v>
      </c>
      <c r="AS47" s="71">
        <f t="shared" si="15"/>
        <v>4.1685000527906677</v>
      </c>
      <c r="AT47" s="71" t="str">
        <f t="shared" si="15"/>
        <v/>
      </c>
      <c r="AU47" s="71" t="str">
        <f t="shared" si="15"/>
        <v/>
      </c>
      <c r="AV47" s="71" t="str">
        <f t="shared" si="15"/>
        <v/>
      </c>
      <c r="AW47" s="71" t="str">
        <f t="shared" si="15"/>
        <v/>
      </c>
      <c r="AX47" s="71">
        <f t="shared" si="16"/>
        <v>1.4257631713219334</v>
      </c>
      <c r="AY47" s="71">
        <f t="shared" si="16"/>
        <v>1</v>
      </c>
      <c r="AZ47" s="71" t="str">
        <f t="shared" si="16"/>
        <v/>
      </c>
      <c r="BA47" s="71" t="str">
        <f t="shared" si="16"/>
        <v/>
      </c>
      <c r="BB47" s="71" t="str">
        <f t="shared" si="16"/>
        <v/>
      </c>
      <c r="BC47" s="18">
        <f>IF(C47&lt;&gt;"",(('Data input'!C$109-'Data input'!C$108)*(AS47-1)/4)+'Data input'!C$108,"")</f>
        <v>0.96610327193725531</v>
      </c>
      <c r="BD47" s="18" t="str">
        <f>IF(D47&lt;&gt;"",(('Data input'!D$109-'Data input'!D$108)*(AT47-1)/4)+'Data input'!D$108,"")</f>
        <v/>
      </c>
      <c r="BE47" s="18" t="str">
        <f>IF(E47&lt;&gt;"",(('Data input'!E$109-'Data input'!E$108)*(AU47-1)/4)+'Data input'!E$108,"")</f>
        <v/>
      </c>
      <c r="BF47" s="18" t="str">
        <f>IF(F47&lt;&gt;"",(('Data input'!F$109-'Data input'!F$108)*(AV47-1)/4)+'Data input'!F$108,"")</f>
        <v/>
      </c>
      <c r="BG47" s="18" t="str">
        <f>IF(G47&lt;&gt;"",(('Data input'!G$109-'Data input'!G$108)*(AW47-1)/4)+'Data input'!G$108,"")</f>
        <v/>
      </c>
      <c r="BH47" s="19">
        <f>IF(H47&lt;&gt;"",(('Data input'!H$109-'Data input'!H$108)*(AX47-1)/4)+'Data input'!H$108,"")</f>
        <v>9.5679410000122029</v>
      </c>
      <c r="BI47" s="18">
        <f>IF(I47&lt;&gt;"",(('Data input'!I$109-'Data input'!I$108)*(AY47-1)/4)+'Data input'!I$108,"")</f>
        <v>0</v>
      </c>
      <c r="BJ47" s="19" t="str">
        <f>IF(J47&lt;&gt;"",(('Data input'!J$109-'Data input'!J$108)*(AZ47-1)/4)+'Data input'!J$108,"")</f>
        <v/>
      </c>
      <c r="BK47" s="19" t="str">
        <f>IF(K47&lt;&gt;"",(('Data input'!K$109-'Data input'!K$108)*(BA47-1)/4)+'Data input'!K$108,"")</f>
        <v/>
      </c>
      <c r="BL47" s="19" t="str">
        <f>IF(L47&lt;&gt;"",(('Data input'!L$109-'Data input'!L$108)*(BB47-1)/4)+'Data input'!L$108,"")</f>
        <v/>
      </c>
      <c r="BM47" s="18">
        <f>IF(C47&lt;&gt;"",BC47-'Data input'!C47,"")</f>
        <v>0</v>
      </c>
      <c r="BN47" s="18" t="str">
        <f>IF(D47&lt;&gt;"",BD47-'Data input'!D47,"")</f>
        <v/>
      </c>
      <c r="BO47" s="18" t="str">
        <f>IF(E47&lt;&gt;"",BE47-'Data input'!E47,"")</f>
        <v/>
      </c>
      <c r="BP47" s="18" t="str">
        <f>IF(F47&lt;&gt;"",BF47-'Data input'!F47,"")</f>
        <v/>
      </c>
      <c r="BQ47" s="18" t="str">
        <f>IF(G47&lt;&gt;"",BG47-'Data input'!G47,"")</f>
        <v/>
      </c>
      <c r="BR47" s="19">
        <f>IF(H47&lt;&gt;"",BH47-'Data input'!H47,"")</f>
        <v>-10.519301805340953</v>
      </c>
      <c r="BS47" s="18">
        <f>IF(I47&lt;&gt;"",BI47-'Data input'!I47,"")</f>
        <v>0</v>
      </c>
      <c r="BT47" s="18" t="str">
        <f>IF(J47&lt;&gt;"",BJ47-'Data input'!J47,"")</f>
        <v/>
      </c>
      <c r="BU47" s="18" t="str">
        <f>IF(K47&lt;&gt;"",BK47-'Data input'!K47,"")</f>
        <v/>
      </c>
      <c r="BV47" s="72" t="str">
        <f>IF(L47&lt;&gt;"",BL47-'Data input'!L47,"")</f>
        <v/>
      </c>
      <c r="BW47" s="121" t="str">
        <f t="shared" si="17"/>
        <v xml:space="preserve">Kentucky; North Dakota; </v>
      </c>
      <c r="BX47" s="1">
        <v>0</v>
      </c>
      <c r="BY47" s="1">
        <v>0</v>
      </c>
      <c r="BZ47" s="1">
        <v>0</v>
      </c>
      <c r="CA47" s="1">
        <v>0</v>
      </c>
      <c r="CB47" s="1">
        <v>0</v>
      </c>
      <c r="CC47" s="1">
        <v>0</v>
      </c>
      <c r="CD47" s="1">
        <v>0</v>
      </c>
      <c r="CE47" s="1">
        <v>0</v>
      </c>
      <c r="CF47" s="1">
        <v>0</v>
      </c>
      <c r="CG47" s="1">
        <v>0</v>
      </c>
      <c r="CH47" s="1">
        <v>0</v>
      </c>
      <c r="CI47" s="1">
        <v>0</v>
      </c>
      <c r="CJ47" s="1">
        <v>0</v>
      </c>
      <c r="CK47" s="1">
        <v>0</v>
      </c>
      <c r="CL47" s="1">
        <v>0</v>
      </c>
      <c r="CM47" s="1">
        <v>0</v>
      </c>
      <c r="CN47" s="1">
        <v>0</v>
      </c>
      <c r="CO47" s="1">
        <v>0.83663551597620267</v>
      </c>
      <c r="CP47" s="1">
        <v>0</v>
      </c>
      <c r="CQ47" s="1">
        <v>0</v>
      </c>
      <c r="CR47" s="1">
        <v>0</v>
      </c>
      <c r="CS47" s="1">
        <v>0</v>
      </c>
      <c r="CT47" s="1">
        <v>0</v>
      </c>
      <c r="CU47" s="1">
        <v>0</v>
      </c>
      <c r="CV47" s="1">
        <v>0</v>
      </c>
      <c r="CW47" s="1">
        <v>0</v>
      </c>
      <c r="CX47" s="1">
        <v>0</v>
      </c>
      <c r="CY47" s="1">
        <v>0</v>
      </c>
      <c r="CZ47" s="1">
        <v>0</v>
      </c>
      <c r="DA47" s="1">
        <v>0</v>
      </c>
      <c r="DB47" s="1">
        <v>0</v>
      </c>
      <c r="DC47" s="1">
        <v>0</v>
      </c>
      <c r="DD47" s="1">
        <v>0</v>
      </c>
      <c r="DE47" s="1">
        <v>0</v>
      </c>
      <c r="DF47" s="1">
        <v>0.16336448402380524</v>
      </c>
      <c r="DG47" s="1">
        <v>0</v>
      </c>
      <c r="DH47" s="1">
        <v>0</v>
      </c>
      <c r="DI47" s="1">
        <v>0</v>
      </c>
      <c r="DJ47" s="1">
        <v>0</v>
      </c>
      <c r="DK47" s="1">
        <v>0</v>
      </c>
      <c r="DL47" s="1">
        <v>0</v>
      </c>
      <c r="DM47" s="1">
        <v>0</v>
      </c>
      <c r="DN47" s="1">
        <v>-7.9057648186938672E-15</v>
      </c>
      <c r="DO47" s="1">
        <v>0</v>
      </c>
      <c r="DP47" s="1">
        <v>0</v>
      </c>
      <c r="DQ47" s="1">
        <v>0</v>
      </c>
      <c r="DR47" s="1">
        <v>0</v>
      </c>
      <c r="DS47" s="1">
        <v>0</v>
      </c>
      <c r="DT47" s="1">
        <v>0</v>
      </c>
      <c r="DU47" s="1">
        <v>0</v>
      </c>
      <c r="DV47" s="1">
        <v>0</v>
      </c>
      <c r="DW47" s="1">
        <v>0</v>
      </c>
      <c r="DX47" s="1">
        <v>0</v>
      </c>
      <c r="DY47" s="1">
        <v>0</v>
      </c>
      <c r="DZ47" s="1">
        <v>0</v>
      </c>
      <c r="FT47" s="1" t="str">
        <f t="shared" si="25"/>
        <v/>
      </c>
      <c r="FU47" s="1" t="str">
        <f t="shared" si="25"/>
        <v/>
      </c>
      <c r="FV47" s="1" t="str">
        <f t="shared" si="25"/>
        <v/>
      </c>
      <c r="FW47" s="1" t="str">
        <f t="shared" si="25"/>
        <v/>
      </c>
      <c r="FX47" s="1" t="str">
        <f t="shared" si="25"/>
        <v/>
      </c>
      <c r="FY47" s="1" t="str">
        <f t="shared" si="25"/>
        <v/>
      </c>
      <c r="FZ47" s="1" t="str">
        <f t="shared" si="25"/>
        <v/>
      </c>
      <c r="GA47" s="1" t="str">
        <f t="shared" si="25"/>
        <v/>
      </c>
      <c r="GB47" s="1" t="str">
        <f t="shared" si="25"/>
        <v/>
      </c>
      <c r="GC47" s="1" t="str">
        <f t="shared" si="25"/>
        <v/>
      </c>
      <c r="GD47" s="1" t="str">
        <f t="shared" si="25"/>
        <v/>
      </c>
      <c r="GE47" s="1" t="str">
        <f t="shared" si="25"/>
        <v/>
      </c>
      <c r="GF47" s="1" t="str">
        <f t="shared" si="25"/>
        <v/>
      </c>
      <c r="GG47" s="1" t="str">
        <f t="shared" si="25"/>
        <v/>
      </c>
      <c r="GH47" s="1" t="str">
        <f t="shared" si="25"/>
        <v/>
      </c>
      <c r="GI47" s="1" t="str">
        <f t="shared" si="25"/>
        <v/>
      </c>
      <c r="GJ47" s="1" t="str">
        <f t="shared" si="31"/>
        <v/>
      </c>
      <c r="GK47" s="1" t="str">
        <f t="shared" si="31"/>
        <v xml:space="preserve">Kentucky; </v>
      </c>
      <c r="GL47" s="1" t="str">
        <f t="shared" si="31"/>
        <v/>
      </c>
      <c r="GM47" s="1" t="str">
        <f t="shared" si="31"/>
        <v/>
      </c>
      <c r="GN47" s="1" t="str">
        <f t="shared" si="31"/>
        <v/>
      </c>
      <c r="GO47" s="1" t="str">
        <f t="shared" si="31"/>
        <v/>
      </c>
      <c r="GP47" s="1" t="str">
        <f t="shared" si="31"/>
        <v/>
      </c>
      <c r="GQ47" s="1" t="str">
        <f t="shared" si="31"/>
        <v/>
      </c>
      <c r="GR47" s="1" t="str">
        <f t="shared" si="31"/>
        <v/>
      </c>
      <c r="GS47" s="1" t="str">
        <f t="shared" si="31"/>
        <v/>
      </c>
      <c r="GT47" s="1" t="str">
        <f t="shared" si="31"/>
        <v/>
      </c>
      <c r="GU47" s="1" t="str">
        <f t="shared" si="31"/>
        <v/>
      </c>
      <c r="GV47" s="1" t="str">
        <f t="shared" si="31"/>
        <v/>
      </c>
      <c r="GW47" s="1" t="str">
        <f t="shared" si="31"/>
        <v/>
      </c>
      <c r="GX47" s="1" t="str">
        <f t="shared" si="26"/>
        <v/>
      </c>
      <c r="GY47" s="1" t="str">
        <f t="shared" si="26"/>
        <v/>
      </c>
      <c r="GZ47" s="1" t="str">
        <f t="shared" si="26"/>
        <v/>
      </c>
      <c r="HA47" s="1" t="str">
        <f t="shared" si="26"/>
        <v/>
      </c>
      <c r="HB47" s="1" t="str">
        <f t="shared" si="26"/>
        <v xml:space="preserve">North Dakota; </v>
      </c>
      <c r="HC47" s="1" t="str">
        <f t="shared" si="26"/>
        <v/>
      </c>
      <c r="HD47" s="1" t="str">
        <f t="shared" si="26"/>
        <v/>
      </c>
      <c r="HE47" s="1" t="str">
        <f t="shared" si="26"/>
        <v/>
      </c>
      <c r="HF47" s="1" t="str">
        <f t="shared" si="26"/>
        <v/>
      </c>
      <c r="HG47" s="1" t="str">
        <f t="shared" si="26"/>
        <v/>
      </c>
      <c r="HH47" s="1" t="str">
        <f t="shared" si="26"/>
        <v/>
      </c>
      <c r="HI47" s="1" t="str">
        <f t="shared" si="26"/>
        <v/>
      </c>
      <c r="HJ47" s="1" t="str">
        <f t="shared" si="26"/>
        <v/>
      </c>
      <c r="HK47" s="1" t="str">
        <f t="shared" si="26"/>
        <v/>
      </c>
      <c r="HL47" s="1" t="str">
        <f t="shared" si="26"/>
        <v/>
      </c>
      <c r="HM47" s="1" t="str">
        <f t="shared" si="26"/>
        <v/>
      </c>
      <c r="HN47" s="1" t="str">
        <f t="shared" si="27"/>
        <v/>
      </c>
      <c r="HO47" s="1" t="str">
        <f t="shared" si="27"/>
        <v/>
      </c>
      <c r="HP47" s="1" t="str">
        <f t="shared" si="27"/>
        <v/>
      </c>
      <c r="HQ47" s="1" t="str">
        <f t="shared" si="27"/>
        <v/>
      </c>
      <c r="HR47" s="1" t="str">
        <f t="shared" si="27"/>
        <v/>
      </c>
      <c r="HS47" s="1" t="str">
        <f t="shared" si="27"/>
        <v/>
      </c>
      <c r="HT47" s="1" t="str">
        <f t="shared" si="27"/>
        <v/>
      </c>
      <c r="HU47" s="1" t="str">
        <f t="shared" si="27"/>
        <v/>
      </c>
      <c r="HV47" s="1" t="str">
        <f t="shared" si="27"/>
        <v/>
      </c>
      <c r="HW47" s="1" t="str">
        <f t="shared" si="27"/>
        <v/>
      </c>
      <c r="HX47" s="1" t="str">
        <f t="shared" si="27"/>
        <v/>
      </c>
      <c r="HY47" s="1" t="str">
        <f t="shared" si="27"/>
        <v/>
      </c>
      <c r="HZ47" s="1" t="str">
        <f t="shared" si="27"/>
        <v/>
      </c>
      <c r="IA47" s="1" t="str">
        <f t="shared" si="27"/>
        <v/>
      </c>
      <c r="IB47" s="1" t="str">
        <f t="shared" si="27"/>
        <v/>
      </c>
      <c r="IC47" s="1" t="str">
        <f t="shared" si="27"/>
        <v/>
      </c>
      <c r="ID47" s="1" t="str">
        <f t="shared" si="28"/>
        <v/>
      </c>
      <c r="IE47" s="1" t="str">
        <f t="shared" si="28"/>
        <v/>
      </c>
      <c r="IF47" s="1" t="str">
        <f t="shared" si="28"/>
        <v/>
      </c>
      <c r="IG47" s="1" t="str">
        <f t="shared" si="28"/>
        <v/>
      </c>
      <c r="IH47" s="1" t="str">
        <f t="shared" si="28"/>
        <v/>
      </c>
      <c r="II47" s="1" t="str">
        <f t="shared" si="28"/>
        <v/>
      </c>
      <c r="IJ47" s="1" t="str">
        <f t="shared" si="28"/>
        <v/>
      </c>
      <c r="IK47" s="1" t="str">
        <f t="shared" si="28"/>
        <v/>
      </c>
      <c r="IL47" s="1" t="str">
        <f t="shared" si="28"/>
        <v/>
      </c>
      <c r="IM47" s="1" t="str">
        <f t="shared" si="28"/>
        <v/>
      </c>
      <c r="IN47" s="1" t="str">
        <f t="shared" si="28"/>
        <v/>
      </c>
      <c r="IO47" s="1" t="str">
        <f t="shared" si="28"/>
        <v/>
      </c>
      <c r="IP47" s="1" t="str">
        <f t="shared" si="28"/>
        <v/>
      </c>
      <c r="IQ47" s="1" t="str">
        <f t="shared" si="28"/>
        <v/>
      </c>
      <c r="IR47" s="1" t="str">
        <f t="shared" si="28"/>
        <v/>
      </c>
      <c r="IS47" s="1" t="str">
        <f t="shared" si="28"/>
        <v/>
      </c>
      <c r="IT47" s="1" t="str">
        <f t="shared" si="29"/>
        <v/>
      </c>
      <c r="IU47" s="1" t="str">
        <f t="shared" si="29"/>
        <v/>
      </c>
      <c r="IV47" s="1" t="str">
        <f t="shared" si="29"/>
        <v/>
      </c>
      <c r="IW47" s="1" t="str">
        <f t="shared" si="29"/>
        <v/>
      </c>
      <c r="IX47" s="1" t="str">
        <f t="shared" si="29"/>
        <v/>
      </c>
      <c r="IY47" s="1" t="str">
        <f t="shared" si="29"/>
        <v/>
      </c>
      <c r="IZ47" s="1" t="str">
        <f t="shared" si="29"/>
        <v/>
      </c>
      <c r="JA47" s="1" t="str">
        <f t="shared" si="29"/>
        <v/>
      </c>
      <c r="JB47" s="1" t="str">
        <f t="shared" si="29"/>
        <v/>
      </c>
      <c r="JC47" s="1" t="str">
        <f t="shared" si="29"/>
        <v/>
      </c>
      <c r="JD47" s="1" t="str">
        <f t="shared" si="29"/>
        <v/>
      </c>
      <c r="JE47" s="1" t="str">
        <f t="shared" si="29"/>
        <v/>
      </c>
      <c r="JF47" s="1" t="str">
        <f t="shared" si="29"/>
        <v/>
      </c>
      <c r="JG47" s="1" t="str">
        <f t="shared" si="29"/>
        <v/>
      </c>
      <c r="JH47" s="1" t="str">
        <f t="shared" si="29"/>
        <v/>
      </c>
      <c r="JI47" s="1" t="str">
        <f t="shared" si="29"/>
        <v/>
      </c>
      <c r="JJ47" s="1" t="str">
        <f t="shared" si="30"/>
        <v/>
      </c>
      <c r="JK47" s="1" t="str">
        <f t="shared" si="30"/>
        <v/>
      </c>
      <c r="JL47" s="1" t="str">
        <f t="shared" si="24"/>
        <v/>
      </c>
      <c r="JM47" s="1" t="str">
        <f t="shared" si="12"/>
        <v/>
      </c>
      <c r="JN47" s="1" t="str">
        <f t="shared" si="12"/>
        <v/>
      </c>
      <c r="JO47" s="1" t="str">
        <f t="shared" si="12"/>
        <v/>
      </c>
    </row>
    <row r="48" spans="1:275" ht="14.5" x14ac:dyDescent="0.35">
      <c r="A48" s="59">
        <f>IF('Data input'!A48&lt;&gt;"",'Data input'!A48,"")</f>
        <v>46</v>
      </c>
      <c r="B48" s="60" t="str">
        <f>IF('Data input'!B48&lt;&gt;"",'Data input'!B48,"")</f>
        <v>Virginia</v>
      </c>
      <c r="C48" s="19">
        <f>IF('Data input'!C48="","",4*('Data input'!C48-'Data input'!C$108)/('Data input'!C$109-'Data input'!C$108)+1)</f>
        <v>4.4195034207384225</v>
      </c>
      <c r="D48" s="19" t="str">
        <f>IF('Data input'!D48="","",4*('Data input'!D48-'Data input'!D$108)/('Data input'!D$109-'Data input'!D$108)+1)</f>
        <v/>
      </c>
      <c r="E48" s="19" t="str">
        <f>IF('Data input'!E48="","",4*('Data input'!E48-'Data input'!E$108)/('Data input'!E$109-'Data input'!E$108)+1)</f>
        <v/>
      </c>
      <c r="F48" s="19" t="str">
        <f>IF('Data input'!F48="","",4*('Data input'!F48-'Data input'!F$108)/('Data input'!F$109-'Data input'!F$108)+1)</f>
        <v/>
      </c>
      <c r="G48" s="19" t="str">
        <f>IF('Data input'!G48="","",4*('Data input'!G48-'Data input'!G$108)/('Data input'!G$109-'Data input'!G$108)+1)</f>
        <v/>
      </c>
      <c r="H48" s="61">
        <f>IF('Data input'!H48="","",4*('Data input'!H48-'Data input'!H$108)/('Data input'!H$109-'Data input'!H$108)+1)</f>
        <v>1.0544847768756793</v>
      </c>
      <c r="I48" s="19">
        <f>IF('Data input'!I48="","",4*('Data input'!I48-'Data input'!I$108)/('Data input'!I$109-'Data input'!I$108)+1)</f>
        <v>2.9588428776250315</v>
      </c>
      <c r="J48" s="19" t="str">
        <f>IF('Data input'!J48="","",4*('Data input'!J48-'Data input'!J$108)/('Data input'!J$109-'Data input'!J$108)+1)</f>
        <v/>
      </c>
      <c r="K48" s="19" t="str">
        <f>IF('Data input'!K48="","",4*('Data input'!K48-'Data input'!K$108)/('Data input'!K$109-'Data input'!K$108)+1)</f>
        <v/>
      </c>
      <c r="L48" s="19" t="str">
        <f>IF('Data input'!L48="","",4*('Data input'!L48-'Data input'!L$108)/('Data input'!L$109-'Data input'!L$108)+1)</f>
        <v/>
      </c>
      <c r="M48" s="19">
        <f>IF('Data input'!M48="","",4*('Data input'!M48-'Data input'!M$108)/('Data input'!M$109-'Data input'!M$108)+1)</f>
        <v>2.1559870801607213</v>
      </c>
      <c r="N48" s="16" t="str">
        <f>IF('Data input'!N48="","",4*('Data input'!N48-'Data input'!N$108)/('Data input'!N$109-'Data input'!N$108)+1)</f>
        <v/>
      </c>
      <c r="O48" s="19" t="str">
        <f>IF('Data input'!O48="","",4*('Data input'!O48-'Data input'!O$108)/('Data input'!O$109-'Data input'!O$108)+1)</f>
        <v/>
      </c>
      <c r="P48" s="19" t="str">
        <f>IF('Data input'!P48="","",4*('Data input'!P48-'Data input'!P$108)/('Data input'!P$109-'Data input'!P$108)+1)</f>
        <v/>
      </c>
      <c r="Q48" s="19" t="str">
        <f>IF('Data input'!Q48="","",4*('Data input'!Q48-'Data input'!Q$108)/('Data input'!Q$109-'Data input'!Q$108)+1)</f>
        <v/>
      </c>
      <c r="R48" s="19" t="str">
        <f>IF('Data input'!R48="","",4*('Data input'!R48-'Data input'!R$108)/('Data input'!R$109-'Data input'!R$108)+1)</f>
        <v/>
      </c>
      <c r="S48" s="16" t="str">
        <f>IF('Data input'!S48="","",4*('Data input'!S48-'Data input'!S$108)/('Data input'!S$109-'Data input'!S$108)+1)</f>
        <v/>
      </c>
      <c r="T48" s="19" t="str">
        <f>IF('Data input'!T48="","",4*('Data input'!T48-'Data input'!T$108)/('Data input'!T$109-'Data input'!T$108)+1)</f>
        <v/>
      </c>
      <c r="U48" s="19" t="str">
        <f>IF('Data input'!U48="","",4*('Data input'!U48-'Data input'!U$108)/('Data input'!U$109-'Data input'!U$108)+1)</f>
        <v/>
      </c>
      <c r="V48" s="19" t="str">
        <f>IF('Data input'!V48="","",4*('Data input'!V48-'Data input'!V$108)/('Data input'!V$109-'Data input'!V$108)+1)</f>
        <v/>
      </c>
      <c r="W48" s="16" t="str">
        <f>IF('Data input'!W48="","",4*('Data input'!W48-'Data input'!W$108)/('Data input'!W$109-'Data input'!W$108)+1)</f>
        <v/>
      </c>
      <c r="X48" s="16" t="str">
        <f>IF('Data input'!X48="","",4*('Data input'!X48-'Data input'!X$108)/('Data input'!X$109-'Data input'!X$108)+1)</f>
        <v/>
      </c>
      <c r="Y48" s="16" t="str">
        <f>IF('Data input'!Y48="","",4*('Data input'!Y48-'Data input'!Y$108)/('Data input'!Y$109-'Data input'!Y$108)+1)</f>
        <v/>
      </c>
      <c r="Z48" s="16" t="str">
        <f>IF('Data input'!Z48="","",4*('Data input'!Z48-'Data input'!Z$108)/('Data input'!Z$109-'Data input'!Z$108)+1)</f>
        <v/>
      </c>
      <c r="AA48" s="62" t="str">
        <f>IF('Data input'!AA48="","",4*('Data input'!AA48-'Data input'!AA$108)/('Data input'!AA$109-'Data input'!AA$108)+1)</f>
        <v/>
      </c>
      <c r="AB48" s="78"/>
      <c r="AC48" s="79">
        <v>0</v>
      </c>
      <c r="AD48" s="80" t="e">
        <f t="shared" si="13"/>
        <v>#DIV/0!</v>
      </c>
      <c r="AE48" s="4"/>
      <c r="AF48" s="59">
        <f t="shared" si="14"/>
        <v>46</v>
      </c>
      <c r="AG48" s="60" t="str">
        <f t="shared" si="14"/>
        <v>Virginia</v>
      </c>
      <c r="AH48">
        <v>0</v>
      </c>
      <c r="AI48" t="s">
        <v>69</v>
      </c>
      <c r="AJ48" t="s">
        <v>69</v>
      </c>
      <c r="AK48" t="s">
        <v>69</v>
      </c>
      <c r="AL48" t="s">
        <v>69</v>
      </c>
      <c r="AM48">
        <v>1.765017660735315E-2</v>
      </c>
      <c r="AN48">
        <v>1.9331650680421621</v>
      </c>
      <c r="AO48" t="s">
        <v>69</v>
      </c>
      <c r="AP48" t="s">
        <v>69</v>
      </c>
      <c r="AQ48" t="s">
        <v>69</v>
      </c>
      <c r="AR48">
        <v>0.66495504280931517</v>
      </c>
      <c r="AS48" s="71">
        <f t="shared" si="15"/>
        <v>4.4195034207384225</v>
      </c>
      <c r="AT48" s="71" t="str">
        <f t="shared" si="15"/>
        <v/>
      </c>
      <c r="AU48" s="71" t="str">
        <f t="shared" si="15"/>
        <v/>
      </c>
      <c r="AV48" s="71" t="str">
        <f t="shared" si="15"/>
        <v/>
      </c>
      <c r="AW48" s="71" t="str">
        <f t="shared" si="15"/>
        <v/>
      </c>
      <c r="AX48" s="71">
        <f t="shared" si="16"/>
        <v>1.0368346002683262</v>
      </c>
      <c r="AY48" s="71">
        <f t="shared" si="16"/>
        <v>1.0256778095828694</v>
      </c>
      <c r="AZ48" s="71" t="str">
        <f t="shared" si="16"/>
        <v/>
      </c>
      <c r="BA48" s="71" t="str">
        <f t="shared" si="16"/>
        <v/>
      </c>
      <c r="BB48" s="71" t="str">
        <f t="shared" si="16"/>
        <v/>
      </c>
      <c r="BC48" s="18">
        <f>IF(C48&lt;&gt;"",(('Data input'!C$109-'Data input'!C$108)*(AS48-1)/4)+'Data input'!C$108,"")</f>
        <v>0.97521649362209606</v>
      </c>
      <c r="BD48" s="18" t="str">
        <f>IF(D48&lt;&gt;"",(('Data input'!D$109-'Data input'!D$108)*(AT48-1)/4)+'Data input'!D$108,"")</f>
        <v/>
      </c>
      <c r="BE48" s="18" t="str">
        <f>IF(E48&lt;&gt;"",(('Data input'!E$109-'Data input'!E$108)*(AU48-1)/4)+'Data input'!E$108,"")</f>
        <v/>
      </c>
      <c r="BF48" s="18" t="str">
        <f>IF(F48&lt;&gt;"",(('Data input'!F$109-'Data input'!F$108)*(AV48-1)/4)+'Data input'!F$108,"")</f>
        <v/>
      </c>
      <c r="BG48" s="18" t="str">
        <f>IF(G48&lt;&gt;"",(('Data input'!G$109-'Data input'!G$108)*(AW48-1)/4)+'Data input'!G$108,"")</f>
        <v/>
      </c>
      <c r="BH48" s="19">
        <f>IF(H48&lt;&gt;"",(('Data input'!H$109-'Data input'!H$108)*(AX48-1)/4)+'Data input'!H$108,"")</f>
        <v>1.0979203790060499</v>
      </c>
      <c r="BI48" s="18">
        <f>IF(I48&lt;&gt;"",(('Data input'!I$109-'Data input'!I$108)*(AY48-1)/4)+'Data input'!I$108,"")</f>
        <v>1.1274733954135588E-3</v>
      </c>
      <c r="BJ48" s="19" t="str">
        <f>IF(J48&lt;&gt;"",(('Data input'!J$109-'Data input'!J$108)*(AZ48-1)/4)+'Data input'!J$108,"")</f>
        <v/>
      </c>
      <c r="BK48" s="19" t="str">
        <f>IF(K48&lt;&gt;"",(('Data input'!K$109-'Data input'!K$108)*(BA48-1)/4)+'Data input'!K$108,"")</f>
        <v/>
      </c>
      <c r="BL48" s="19" t="str">
        <f>IF(L48&lt;&gt;"",(('Data input'!L$109-'Data input'!L$108)*(BB48-1)/4)+'Data input'!L$108,"")</f>
        <v/>
      </c>
      <c r="BM48" s="18">
        <f>IF(C48&lt;&gt;"",BC48-'Data input'!C48,"")</f>
        <v>0</v>
      </c>
      <c r="BN48" s="18" t="str">
        <f>IF(D48&lt;&gt;"",BD48-'Data input'!D48,"")</f>
        <v/>
      </c>
      <c r="BO48" s="18" t="str">
        <f>IF(E48&lt;&gt;"",BE48-'Data input'!E48,"")</f>
        <v/>
      </c>
      <c r="BP48" s="18" t="str">
        <f>IF(F48&lt;&gt;"",BF48-'Data input'!F48,"")</f>
        <v/>
      </c>
      <c r="BQ48" s="18" t="str">
        <f>IF(G48&lt;&gt;"",BG48-'Data input'!G48,"")</f>
        <v/>
      </c>
      <c r="BR48" s="19">
        <f>IF(H48&lt;&gt;"",BH48-'Data input'!H48,"")</f>
        <v>-0.38438256007701721</v>
      </c>
      <c r="BS48" s="18">
        <f>IF(I48&lt;&gt;"",BI48-'Data input'!I48,"")</f>
        <v>-8.488232518923533E-2</v>
      </c>
      <c r="BT48" s="18" t="str">
        <f>IF(J48&lt;&gt;"",BJ48-'Data input'!J48,"")</f>
        <v/>
      </c>
      <c r="BU48" s="18" t="str">
        <f>IF(K48&lt;&gt;"",BK48-'Data input'!K48,"")</f>
        <v/>
      </c>
      <c r="BV48" s="72" t="str">
        <f>IF(L48&lt;&gt;"",BL48-'Data input'!L48,"")</f>
        <v/>
      </c>
      <c r="BW48" s="121" t="str">
        <f t="shared" si="17"/>
        <v xml:space="preserve">New York; Texas; </v>
      </c>
      <c r="BX48" s="1">
        <v>0</v>
      </c>
      <c r="BY48" s="1">
        <v>0</v>
      </c>
      <c r="BZ48" s="1">
        <v>0</v>
      </c>
      <c r="CA48" s="1">
        <v>0</v>
      </c>
      <c r="CB48" s="1">
        <v>0</v>
      </c>
      <c r="CC48" s="1">
        <v>0</v>
      </c>
      <c r="CD48" s="1">
        <v>0</v>
      </c>
      <c r="CE48" s="1">
        <v>0</v>
      </c>
      <c r="CF48" s="1">
        <v>0</v>
      </c>
      <c r="CG48" s="1">
        <v>0</v>
      </c>
      <c r="CH48" s="1">
        <v>0</v>
      </c>
      <c r="CI48" s="1">
        <v>0</v>
      </c>
      <c r="CJ48" s="1">
        <v>0</v>
      </c>
      <c r="CK48" s="1">
        <v>0</v>
      </c>
      <c r="CL48" s="1">
        <v>0</v>
      </c>
      <c r="CM48" s="1">
        <v>0</v>
      </c>
      <c r="CN48" s="1">
        <v>0</v>
      </c>
      <c r="CO48" s="1">
        <v>0</v>
      </c>
      <c r="CP48" s="1">
        <v>0</v>
      </c>
      <c r="CQ48" s="1">
        <v>0</v>
      </c>
      <c r="CR48" s="1">
        <v>0</v>
      </c>
      <c r="CS48" s="1">
        <v>0</v>
      </c>
      <c r="CT48" s="1">
        <v>0</v>
      </c>
      <c r="CU48" s="1">
        <v>0</v>
      </c>
      <c r="CV48" s="1">
        <v>0</v>
      </c>
      <c r="CW48" s="1">
        <v>0</v>
      </c>
      <c r="CX48" s="1">
        <v>0</v>
      </c>
      <c r="CY48" s="1">
        <v>0</v>
      </c>
      <c r="CZ48" s="1">
        <v>0</v>
      </c>
      <c r="DA48" s="1">
        <v>0</v>
      </c>
      <c r="DB48" s="1">
        <v>0</v>
      </c>
      <c r="DC48" s="1">
        <v>0</v>
      </c>
      <c r="DD48" s="1">
        <v>0.13698774356002805</v>
      </c>
      <c r="DE48" s="1">
        <v>0</v>
      </c>
      <c r="DF48" s="1">
        <v>0</v>
      </c>
      <c r="DG48" s="1">
        <v>0</v>
      </c>
      <c r="DH48" s="1">
        <v>0</v>
      </c>
      <c r="DI48" s="1">
        <v>0</v>
      </c>
      <c r="DJ48" s="1">
        <v>0</v>
      </c>
      <c r="DK48" s="1">
        <v>0</v>
      </c>
      <c r="DL48" s="1">
        <v>0</v>
      </c>
      <c r="DM48" s="1">
        <v>0</v>
      </c>
      <c r="DN48" s="1">
        <v>0.86301225643997159</v>
      </c>
      <c r="DO48" s="1">
        <v>0</v>
      </c>
      <c r="DP48" s="1">
        <v>0</v>
      </c>
      <c r="DQ48" s="1">
        <v>0</v>
      </c>
      <c r="DR48" s="1">
        <v>0</v>
      </c>
      <c r="DS48" s="1">
        <v>0</v>
      </c>
      <c r="DT48" s="1">
        <v>0</v>
      </c>
      <c r="DU48" s="1">
        <v>0</v>
      </c>
      <c r="DV48" s="1">
        <v>0</v>
      </c>
      <c r="DW48" s="1">
        <v>0</v>
      </c>
      <c r="DX48" s="1">
        <v>0</v>
      </c>
      <c r="DY48" s="1">
        <v>0</v>
      </c>
      <c r="DZ48" s="1">
        <v>0</v>
      </c>
      <c r="FT48" s="1" t="str">
        <f t="shared" si="25"/>
        <v/>
      </c>
      <c r="FU48" s="1" t="str">
        <f t="shared" si="25"/>
        <v/>
      </c>
      <c r="FV48" s="1" t="str">
        <f t="shared" si="25"/>
        <v/>
      </c>
      <c r="FW48" s="1" t="str">
        <f t="shared" si="25"/>
        <v/>
      </c>
      <c r="FX48" s="1" t="str">
        <f t="shared" si="25"/>
        <v/>
      </c>
      <c r="FY48" s="1" t="str">
        <f t="shared" si="25"/>
        <v/>
      </c>
      <c r="FZ48" s="1" t="str">
        <f t="shared" si="25"/>
        <v/>
      </c>
      <c r="GA48" s="1" t="str">
        <f t="shared" si="25"/>
        <v/>
      </c>
      <c r="GB48" s="1" t="str">
        <f t="shared" si="25"/>
        <v/>
      </c>
      <c r="GC48" s="1" t="str">
        <f t="shared" si="25"/>
        <v/>
      </c>
      <c r="GD48" s="1" t="str">
        <f t="shared" si="25"/>
        <v/>
      </c>
      <c r="GE48" s="1" t="str">
        <f t="shared" si="25"/>
        <v/>
      </c>
      <c r="GF48" s="1" t="str">
        <f t="shared" si="25"/>
        <v/>
      </c>
      <c r="GG48" s="1" t="str">
        <f t="shared" si="25"/>
        <v/>
      </c>
      <c r="GH48" s="1" t="str">
        <f t="shared" si="25"/>
        <v/>
      </c>
      <c r="GI48" s="1" t="str">
        <f t="shared" si="25"/>
        <v/>
      </c>
      <c r="GJ48" s="1" t="str">
        <f t="shared" si="31"/>
        <v/>
      </c>
      <c r="GK48" s="1" t="str">
        <f t="shared" si="31"/>
        <v/>
      </c>
      <c r="GL48" s="1" t="str">
        <f t="shared" si="31"/>
        <v/>
      </c>
      <c r="GM48" s="1" t="str">
        <f t="shared" si="31"/>
        <v/>
      </c>
      <c r="GN48" s="1" t="str">
        <f t="shared" si="31"/>
        <v/>
      </c>
      <c r="GO48" s="1" t="str">
        <f t="shared" si="31"/>
        <v/>
      </c>
      <c r="GP48" s="1" t="str">
        <f t="shared" si="31"/>
        <v/>
      </c>
      <c r="GQ48" s="1" t="str">
        <f t="shared" si="31"/>
        <v/>
      </c>
      <c r="GR48" s="1" t="str">
        <f t="shared" si="31"/>
        <v/>
      </c>
      <c r="GS48" s="1" t="str">
        <f t="shared" si="31"/>
        <v/>
      </c>
      <c r="GT48" s="1" t="str">
        <f t="shared" si="31"/>
        <v/>
      </c>
      <c r="GU48" s="1" t="str">
        <f t="shared" si="31"/>
        <v/>
      </c>
      <c r="GV48" s="1" t="str">
        <f t="shared" si="31"/>
        <v/>
      </c>
      <c r="GW48" s="1" t="str">
        <f t="shared" si="31"/>
        <v/>
      </c>
      <c r="GX48" s="1" t="str">
        <f t="shared" si="26"/>
        <v/>
      </c>
      <c r="GY48" s="1" t="str">
        <f t="shared" si="26"/>
        <v/>
      </c>
      <c r="GZ48" s="1" t="str">
        <f t="shared" si="26"/>
        <v xml:space="preserve">New York; </v>
      </c>
      <c r="HA48" s="1" t="str">
        <f t="shared" si="26"/>
        <v/>
      </c>
      <c r="HB48" s="1" t="str">
        <f t="shared" si="26"/>
        <v/>
      </c>
      <c r="HC48" s="1" t="str">
        <f t="shared" si="26"/>
        <v/>
      </c>
      <c r="HD48" s="1" t="str">
        <f t="shared" si="26"/>
        <v/>
      </c>
      <c r="HE48" s="1" t="str">
        <f t="shared" si="26"/>
        <v/>
      </c>
      <c r="HF48" s="1" t="str">
        <f t="shared" si="26"/>
        <v/>
      </c>
      <c r="HG48" s="1" t="str">
        <f t="shared" si="26"/>
        <v/>
      </c>
      <c r="HH48" s="1" t="str">
        <f t="shared" si="26"/>
        <v/>
      </c>
      <c r="HI48" s="1" t="str">
        <f t="shared" si="26"/>
        <v/>
      </c>
      <c r="HJ48" s="1" t="str">
        <f t="shared" si="26"/>
        <v xml:space="preserve">Texas; </v>
      </c>
      <c r="HK48" s="1" t="str">
        <f t="shared" si="26"/>
        <v/>
      </c>
      <c r="HL48" s="1" t="str">
        <f t="shared" si="26"/>
        <v/>
      </c>
      <c r="HM48" s="1" t="str">
        <f t="shared" si="26"/>
        <v/>
      </c>
      <c r="HN48" s="1" t="str">
        <f t="shared" si="27"/>
        <v/>
      </c>
      <c r="HO48" s="1" t="str">
        <f t="shared" si="27"/>
        <v/>
      </c>
      <c r="HP48" s="1" t="str">
        <f t="shared" si="27"/>
        <v/>
      </c>
      <c r="HQ48" s="1" t="str">
        <f t="shared" si="27"/>
        <v/>
      </c>
      <c r="HR48" s="1" t="str">
        <f t="shared" si="27"/>
        <v/>
      </c>
      <c r="HS48" s="1" t="str">
        <f t="shared" si="27"/>
        <v/>
      </c>
      <c r="HT48" s="1" t="str">
        <f t="shared" si="27"/>
        <v/>
      </c>
      <c r="HU48" s="1" t="str">
        <f t="shared" si="27"/>
        <v/>
      </c>
      <c r="HV48" s="1" t="str">
        <f t="shared" si="27"/>
        <v/>
      </c>
      <c r="HW48" s="1" t="str">
        <f t="shared" si="27"/>
        <v/>
      </c>
      <c r="HX48" s="1" t="str">
        <f t="shared" si="27"/>
        <v/>
      </c>
      <c r="HY48" s="1" t="str">
        <f t="shared" si="27"/>
        <v/>
      </c>
      <c r="HZ48" s="1" t="str">
        <f t="shared" si="27"/>
        <v/>
      </c>
      <c r="IA48" s="1" t="str">
        <f t="shared" si="27"/>
        <v/>
      </c>
      <c r="IB48" s="1" t="str">
        <f t="shared" si="27"/>
        <v/>
      </c>
      <c r="IC48" s="1" t="str">
        <f t="shared" si="27"/>
        <v/>
      </c>
      <c r="ID48" s="1" t="str">
        <f t="shared" si="28"/>
        <v/>
      </c>
      <c r="IE48" s="1" t="str">
        <f t="shared" si="28"/>
        <v/>
      </c>
      <c r="IF48" s="1" t="str">
        <f t="shared" si="28"/>
        <v/>
      </c>
      <c r="IG48" s="1" t="str">
        <f t="shared" si="28"/>
        <v/>
      </c>
      <c r="IH48" s="1" t="str">
        <f t="shared" si="28"/>
        <v/>
      </c>
      <c r="II48" s="1" t="str">
        <f t="shared" si="28"/>
        <v/>
      </c>
      <c r="IJ48" s="1" t="str">
        <f t="shared" si="28"/>
        <v/>
      </c>
      <c r="IK48" s="1" t="str">
        <f t="shared" si="28"/>
        <v/>
      </c>
      <c r="IL48" s="1" t="str">
        <f t="shared" si="28"/>
        <v/>
      </c>
      <c r="IM48" s="1" t="str">
        <f t="shared" si="28"/>
        <v/>
      </c>
      <c r="IN48" s="1" t="str">
        <f t="shared" si="28"/>
        <v/>
      </c>
      <c r="IO48" s="1" t="str">
        <f t="shared" si="28"/>
        <v/>
      </c>
      <c r="IP48" s="1" t="str">
        <f t="shared" si="28"/>
        <v/>
      </c>
      <c r="IQ48" s="1" t="str">
        <f t="shared" si="28"/>
        <v/>
      </c>
      <c r="IR48" s="1" t="str">
        <f t="shared" si="28"/>
        <v/>
      </c>
      <c r="IS48" s="1" t="str">
        <f t="shared" si="28"/>
        <v/>
      </c>
      <c r="IT48" s="1" t="str">
        <f t="shared" si="29"/>
        <v/>
      </c>
      <c r="IU48" s="1" t="str">
        <f t="shared" si="29"/>
        <v/>
      </c>
      <c r="IV48" s="1" t="str">
        <f t="shared" si="29"/>
        <v/>
      </c>
      <c r="IW48" s="1" t="str">
        <f t="shared" si="29"/>
        <v/>
      </c>
      <c r="IX48" s="1" t="str">
        <f t="shared" si="29"/>
        <v/>
      </c>
      <c r="IY48" s="1" t="str">
        <f t="shared" si="29"/>
        <v/>
      </c>
      <c r="IZ48" s="1" t="str">
        <f t="shared" si="29"/>
        <v/>
      </c>
      <c r="JA48" s="1" t="str">
        <f t="shared" si="29"/>
        <v/>
      </c>
      <c r="JB48" s="1" t="str">
        <f t="shared" si="29"/>
        <v/>
      </c>
      <c r="JC48" s="1" t="str">
        <f t="shared" si="29"/>
        <v/>
      </c>
      <c r="JD48" s="1" t="str">
        <f t="shared" si="29"/>
        <v/>
      </c>
      <c r="JE48" s="1" t="str">
        <f t="shared" si="29"/>
        <v/>
      </c>
      <c r="JF48" s="1" t="str">
        <f t="shared" si="29"/>
        <v/>
      </c>
      <c r="JG48" s="1" t="str">
        <f t="shared" si="29"/>
        <v/>
      </c>
      <c r="JH48" s="1" t="str">
        <f t="shared" si="29"/>
        <v/>
      </c>
      <c r="JI48" s="1" t="str">
        <f t="shared" si="29"/>
        <v/>
      </c>
      <c r="JJ48" s="1" t="str">
        <f t="shared" si="30"/>
        <v/>
      </c>
      <c r="JK48" s="1" t="str">
        <f t="shared" si="30"/>
        <v/>
      </c>
      <c r="JL48" s="1" t="str">
        <f t="shared" si="24"/>
        <v/>
      </c>
      <c r="JM48" s="1" t="str">
        <f t="shared" si="12"/>
        <v/>
      </c>
      <c r="JN48" s="1" t="str">
        <f t="shared" si="12"/>
        <v/>
      </c>
      <c r="JO48" s="1" t="str">
        <f t="shared" si="12"/>
        <v/>
      </c>
    </row>
    <row r="49" spans="1:275" ht="14.5" x14ac:dyDescent="0.35">
      <c r="A49" s="59">
        <f>IF('Data input'!A49&lt;&gt;"",'Data input'!A49,"")</f>
        <v>47</v>
      </c>
      <c r="B49" s="60" t="str">
        <f>IF('Data input'!B49&lt;&gt;"",'Data input'!B49,"")</f>
        <v>Washington</v>
      </c>
      <c r="C49" s="19">
        <f>IF('Data input'!C49="","",4*('Data input'!C49-'Data input'!C$108)/('Data input'!C$109-'Data input'!C$108)+1)</f>
        <v>3.3558042867662161</v>
      </c>
      <c r="D49" s="19" t="str">
        <f>IF('Data input'!D49="","",4*('Data input'!D49-'Data input'!D$108)/('Data input'!D$109-'Data input'!D$108)+1)</f>
        <v/>
      </c>
      <c r="E49" s="19" t="str">
        <f>IF('Data input'!E49="","",4*('Data input'!E49-'Data input'!E$108)/('Data input'!E$109-'Data input'!E$108)+1)</f>
        <v/>
      </c>
      <c r="F49" s="19" t="str">
        <f>IF('Data input'!F49="","",4*('Data input'!F49-'Data input'!F$108)/('Data input'!F$109-'Data input'!F$108)+1)</f>
        <v/>
      </c>
      <c r="G49" s="19" t="str">
        <f>IF('Data input'!G49="","",4*('Data input'!G49-'Data input'!G$108)/('Data input'!G$109-'Data input'!G$108)+1)</f>
        <v/>
      </c>
      <c r="H49" s="61">
        <f>IF('Data input'!H49="","",4*('Data input'!H49-'Data input'!H$108)/('Data input'!H$109-'Data input'!H$108)+1)</f>
        <v>1.2933621783546037</v>
      </c>
      <c r="I49" s="19">
        <f>IF('Data input'!I49="","",4*('Data input'!I49-'Data input'!I$108)/('Data input'!I$109-'Data input'!I$108)+1)</f>
        <v>1.2159587314483504</v>
      </c>
      <c r="J49" s="19" t="str">
        <f>IF('Data input'!J49="","",4*('Data input'!J49-'Data input'!J$108)/('Data input'!J$109-'Data input'!J$108)+1)</f>
        <v/>
      </c>
      <c r="K49" s="19" t="str">
        <f>IF('Data input'!K49="","",4*('Data input'!K49-'Data input'!K$108)/('Data input'!K$109-'Data input'!K$108)+1)</f>
        <v/>
      </c>
      <c r="L49" s="19" t="str">
        <f>IF('Data input'!L49="","",4*('Data input'!L49-'Data input'!L$108)/('Data input'!L$109-'Data input'!L$108)+1)</f>
        <v/>
      </c>
      <c r="M49" s="19">
        <f>IF('Data input'!M49="","",4*('Data input'!M49-'Data input'!M$108)/('Data input'!M$109-'Data input'!M$108)+1)</f>
        <v>1.7607045604220777</v>
      </c>
      <c r="N49" s="16" t="str">
        <f>IF('Data input'!N49="","",4*('Data input'!N49-'Data input'!N$108)/('Data input'!N$109-'Data input'!N$108)+1)</f>
        <v/>
      </c>
      <c r="O49" s="19" t="str">
        <f>IF('Data input'!O49="","",4*('Data input'!O49-'Data input'!O$108)/('Data input'!O$109-'Data input'!O$108)+1)</f>
        <v/>
      </c>
      <c r="P49" s="19" t="str">
        <f>IF('Data input'!P49="","",4*('Data input'!P49-'Data input'!P$108)/('Data input'!P$109-'Data input'!P$108)+1)</f>
        <v/>
      </c>
      <c r="Q49" s="19" t="str">
        <f>IF('Data input'!Q49="","",4*('Data input'!Q49-'Data input'!Q$108)/('Data input'!Q$109-'Data input'!Q$108)+1)</f>
        <v/>
      </c>
      <c r="R49" s="19" t="str">
        <f>IF('Data input'!R49="","",4*('Data input'!R49-'Data input'!R$108)/('Data input'!R$109-'Data input'!R$108)+1)</f>
        <v/>
      </c>
      <c r="S49" s="16" t="str">
        <f>IF('Data input'!S49="","",4*('Data input'!S49-'Data input'!S$108)/('Data input'!S$109-'Data input'!S$108)+1)</f>
        <v/>
      </c>
      <c r="T49" s="19" t="str">
        <f>IF('Data input'!T49="","",4*('Data input'!T49-'Data input'!T$108)/('Data input'!T$109-'Data input'!T$108)+1)</f>
        <v/>
      </c>
      <c r="U49" s="19" t="str">
        <f>IF('Data input'!U49="","",4*('Data input'!U49-'Data input'!U$108)/('Data input'!U$109-'Data input'!U$108)+1)</f>
        <v/>
      </c>
      <c r="V49" s="19" t="str">
        <f>IF('Data input'!V49="","",4*('Data input'!V49-'Data input'!V$108)/('Data input'!V$109-'Data input'!V$108)+1)</f>
        <v/>
      </c>
      <c r="W49" s="16" t="str">
        <f>IF('Data input'!W49="","",4*('Data input'!W49-'Data input'!W$108)/('Data input'!W$109-'Data input'!W$108)+1)</f>
        <v/>
      </c>
      <c r="X49" s="16" t="str">
        <f>IF('Data input'!X49="","",4*('Data input'!X49-'Data input'!X$108)/('Data input'!X$109-'Data input'!X$108)+1)</f>
        <v/>
      </c>
      <c r="Y49" s="16" t="str">
        <f>IF('Data input'!Y49="","",4*('Data input'!Y49-'Data input'!Y$108)/('Data input'!Y$109-'Data input'!Y$108)+1)</f>
        <v/>
      </c>
      <c r="Z49" s="16" t="str">
        <f>IF('Data input'!Z49="","",4*('Data input'!Z49-'Data input'!Z$108)/('Data input'!Z$109-'Data input'!Z$108)+1)</f>
        <v/>
      </c>
      <c r="AA49" s="62" t="str">
        <f>IF('Data input'!AA49="","",4*('Data input'!AA49-'Data input'!AA$108)/('Data input'!AA$109-'Data input'!AA$108)+1)</f>
        <v/>
      </c>
      <c r="AB49" s="78"/>
      <c r="AC49" s="79">
        <v>0</v>
      </c>
      <c r="AD49" s="80" t="e">
        <f t="shared" si="13"/>
        <v>#DIV/0!</v>
      </c>
      <c r="AE49" s="4"/>
      <c r="AF49" s="59">
        <f t="shared" si="14"/>
        <v>47</v>
      </c>
      <c r="AG49" s="60" t="str">
        <f t="shared" si="14"/>
        <v>Washington</v>
      </c>
      <c r="AH49">
        <v>0</v>
      </c>
      <c r="AI49" t="s">
        <v>69</v>
      </c>
      <c r="AJ49" t="s">
        <v>69</v>
      </c>
      <c r="AK49" t="s">
        <v>69</v>
      </c>
      <c r="AL49" t="s">
        <v>69</v>
      </c>
      <c r="AM49">
        <v>0.12048449947135653</v>
      </c>
      <c r="AN49">
        <v>0.19147718784695561</v>
      </c>
      <c r="AO49" t="s">
        <v>69</v>
      </c>
      <c r="AP49" t="s">
        <v>69</v>
      </c>
      <c r="AQ49" t="s">
        <v>69</v>
      </c>
      <c r="AR49">
        <v>0.87468691132293763</v>
      </c>
      <c r="AS49" s="71">
        <f t="shared" si="15"/>
        <v>3.3558042867662161</v>
      </c>
      <c r="AT49" s="71" t="str">
        <f t="shared" si="15"/>
        <v/>
      </c>
      <c r="AU49" s="71" t="str">
        <f t="shared" si="15"/>
        <v/>
      </c>
      <c r="AV49" s="71" t="str">
        <f t="shared" si="15"/>
        <v/>
      </c>
      <c r="AW49" s="71" t="str">
        <f t="shared" si="15"/>
        <v/>
      </c>
      <c r="AX49" s="71">
        <f t="shared" si="16"/>
        <v>1.1728776788832471</v>
      </c>
      <c r="AY49" s="71">
        <f t="shared" si="16"/>
        <v>1.0244815436013948</v>
      </c>
      <c r="AZ49" s="71" t="str">
        <f t="shared" si="16"/>
        <v/>
      </c>
      <c r="BA49" s="71" t="str">
        <f t="shared" si="16"/>
        <v/>
      </c>
      <c r="BB49" s="71" t="str">
        <f t="shared" si="16"/>
        <v/>
      </c>
      <c r="BC49" s="18">
        <f>IF(C49&lt;&gt;"",(('Data input'!C$109-'Data input'!C$108)*(AS49-1)/4)+'Data input'!C$108,"")</f>
        <v>0.93659658946256497</v>
      </c>
      <c r="BD49" s="18" t="str">
        <f>IF(D49&lt;&gt;"",(('Data input'!D$109-'Data input'!D$108)*(AT49-1)/4)+'Data input'!D$108,"")</f>
        <v/>
      </c>
      <c r="BE49" s="18" t="str">
        <f>IF(E49&lt;&gt;"",(('Data input'!E$109-'Data input'!E$108)*(AU49-1)/4)+'Data input'!E$108,"")</f>
        <v/>
      </c>
      <c r="BF49" s="18" t="str">
        <f>IF(F49&lt;&gt;"",(('Data input'!F$109-'Data input'!F$108)*(AV49-1)/4)+'Data input'!F$108,"")</f>
        <v/>
      </c>
      <c r="BG49" s="18" t="str">
        <f>IF(G49&lt;&gt;"",(('Data input'!G$109-'Data input'!G$108)*(AW49-1)/4)+'Data input'!G$108,"")</f>
        <v/>
      </c>
      <c r="BH49" s="19">
        <f>IF(H49&lt;&gt;"",(('Data input'!H$109-'Data input'!H$108)*(AX49-1)/4)+'Data input'!H$108,"")</f>
        <v>4.0606435291515766</v>
      </c>
      <c r="BI49" s="18">
        <f>IF(I49&lt;&gt;"",(('Data input'!I$109-'Data input'!I$108)*(AY49-1)/4)+'Data input'!I$108,"")</f>
        <v>1.0749471834873396E-3</v>
      </c>
      <c r="BJ49" s="19" t="str">
        <f>IF(J49&lt;&gt;"",(('Data input'!J$109-'Data input'!J$108)*(AZ49-1)/4)+'Data input'!J$108,"")</f>
        <v/>
      </c>
      <c r="BK49" s="19" t="str">
        <f>IF(K49&lt;&gt;"",(('Data input'!K$109-'Data input'!K$108)*(BA49-1)/4)+'Data input'!K$108,"")</f>
        <v/>
      </c>
      <c r="BL49" s="19" t="str">
        <f>IF(L49&lt;&gt;"",(('Data input'!L$109-'Data input'!L$108)*(BB49-1)/4)+'Data input'!L$108,"")</f>
        <v/>
      </c>
      <c r="BM49" s="18">
        <f>IF(C49&lt;&gt;"",BC49-'Data input'!C49,"")</f>
        <v>0</v>
      </c>
      <c r="BN49" s="18" t="str">
        <f>IF(D49&lt;&gt;"",BD49-'Data input'!D49,"")</f>
        <v/>
      </c>
      <c r="BO49" s="18" t="str">
        <f>IF(E49&lt;&gt;"",BE49-'Data input'!E49,"")</f>
        <v/>
      </c>
      <c r="BP49" s="18" t="str">
        <f>IF(F49&lt;&gt;"",BF49-'Data input'!F49,"")</f>
        <v/>
      </c>
      <c r="BQ49" s="18" t="str">
        <f>IF(G49&lt;&gt;"",BG49-'Data input'!G49,"")</f>
        <v/>
      </c>
      <c r="BR49" s="19">
        <f>IF(H49&lt;&gt;"",BH49-'Data input'!H49,"")</f>
        <v>-2.6238910457759461</v>
      </c>
      <c r="BS49" s="18">
        <f>IF(I49&lt;&gt;"",BI49-'Data input'!I49,"")</f>
        <v>-8.4074708331068927E-3</v>
      </c>
      <c r="BT49" s="18" t="str">
        <f>IF(J49&lt;&gt;"",BJ49-'Data input'!J49,"")</f>
        <v/>
      </c>
      <c r="BU49" s="18" t="str">
        <f>IF(K49&lt;&gt;"",BK49-'Data input'!K49,"")</f>
        <v/>
      </c>
      <c r="BV49" s="72" t="str">
        <f>IF(L49&lt;&gt;"",BL49-'Data input'!L49,"")</f>
        <v/>
      </c>
      <c r="BW49" s="121" t="str">
        <f t="shared" si="17"/>
        <v xml:space="preserve">Kansas; New York; Texas; </v>
      </c>
      <c r="BX49" s="1">
        <v>0</v>
      </c>
      <c r="BY49" s="1">
        <v>0</v>
      </c>
      <c r="BZ49" s="1">
        <v>0</v>
      </c>
      <c r="CA49" s="1">
        <v>0</v>
      </c>
      <c r="CB49" s="1">
        <v>0</v>
      </c>
      <c r="CC49" s="1">
        <v>0</v>
      </c>
      <c r="CD49" s="1">
        <v>0</v>
      </c>
      <c r="CE49" s="1">
        <v>0</v>
      </c>
      <c r="CF49" s="1">
        <v>0</v>
      </c>
      <c r="CG49" s="1">
        <v>0</v>
      </c>
      <c r="CH49" s="1">
        <v>0</v>
      </c>
      <c r="CI49" s="1">
        <v>0</v>
      </c>
      <c r="CJ49" s="1">
        <v>0</v>
      </c>
      <c r="CK49" s="1">
        <v>0</v>
      </c>
      <c r="CL49" s="1">
        <v>0</v>
      </c>
      <c r="CM49" s="1">
        <v>0</v>
      </c>
      <c r="CN49" s="1">
        <v>0.4375905838614757</v>
      </c>
      <c r="CO49" s="1">
        <v>0</v>
      </c>
      <c r="CP49" s="1">
        <v>0</v>
      </c>
      <c r="CQ49" s="1">
        <v>0</v>
      </c>
      <c r="CR49" s="1">
        <v>0</v>
      </c>
      <c r="CS49" s="1">
        <v>0</v>
      </c>
      <c r="CT49" s="1">
        <v>0</v>
      </c>
      <c r="CU49" s="1">
        <v>0</v>
      </c>
      <c r="CV49" s="1">
        <v>0</v>
      </c>
      <c r="CW49" s="1">
        <v>0</v>
      </c>
      <c r="CX49" s="1">
        <v>0</v>
      </c>
      <c r="CY49" s="1">
        <v>0</v>
      </c>
      <c r="CZ49" s="1">
        <v>0</v>
      </c>
      <c r="DA49" s="1">
        <v>0</v>
      </c>
      <c r="DB49" s="1">
        <v>0</v>
      </c>
      <c r="DC49" s="1">
        <v>0</v>
      </c>
      <c r="DD49" s="1">
        <v>0.45157872066655186</v>
      </c>
      <c r="DE49" s="1">
        <v>0</v>
      </c>
      <c r="DF49" s="1">
        <v>0</v>
      </c>
      <c r="DG49" s="1">
        <v>0</v>
      </c>
      <c r="DH49" s="1">
        <v>0</v>
      </c>
      <c r="DI49" s="1">
        <v>0</v>
      </c>
      <c r="DJ49" s="1">
        <v>0</v>
      </c>
      <c r="DK49" s="1">
        <v>0</v>
      </c>
      <c r="DL49" s="1">
        <v>0</v>
      </c>
      <c r="DM49" s="1">
        <v>0</v>
      </c>
      <c r="DN49" s="1">
        <v>0.11083069547197263</v>
      </c>
      <c r="DO49" s="1">
        <v>0</v>
      </c>
      <c r="DP49" s="1">
        <v>0</v>
      </c>
      <c r="DQ49" s="1">
        <v>0</v>
      </c>
      <c r="DR49" s="1">
        <v>0</v>
      </c>
      <c r="DS49" s="1">
        <v>0</v>
      </c>
      <c r="DT49" s="1">
        <v>0</v>
      </c>
      <c r="DU49" s="1">
        <v>0</v>
      </c>
      <c r="DV49" s="1">
        <v>0</v>
      </c>
      <c r="DW49" s="1">
        <v>0</v>
      </c>
      <c r="DX49" s="1">
        <v>0</v>
      </c>
      <c r="DY49" s="1">
        <v>0</v>
      </c>
      <c r="DZ49" s="1">
        <v>0</v>
      </c>
      <c r="FT49" s="1" t="str">
        <f t="shared" si="25"/>
        <v/>
      </c>
      <c r="FU49" s="1" t="str">
        <f t="shared" si="25"/>
        <v/>
      </c>
      <c r="FV49" s="1" t="str">
        <f t="shared" si="25"/>
        <v/>
      </c>
      <c r="FW49" s="1" t="str">
        <f t="shared" si="25"/>
        <v/>
      </c>
      <c r="FX49" s="1" t="str">
        <f t="shared" si="25"/>
        <v/>
      </c>
      <c r="FY49" s="1" t="str">
        <f t="shared" si="25"/>
        <v/>
      </c>
      <c r="FZ49" s="1" t="str">
        <f t="shared" si="25"/>
        <v/>
      </c>
      <c r="GA49" s="1" t="str">
        <f t="shared" si="25"/>
        <v/>
      </c>
      <c r="GB49" s="1" t="str">
        <f t="shared" si="25"/>
        <v/>
      </c>
      <c r="GC49" s="1" t="str">
        <f t="shared" si="25"/>
        <v/>
      </c>
      <c r="GD49" s="1" t="str">
        <f t="shared" si="25"/>
        <v/>
      </c>
      <c r="GE49" s="1" t="str">
        <f t="shared" si="25"/>
        <v/>
      </c>
      <c r="GF49" s="1" t="str">
        <f t="shared" si="25"/>
        <v/>
      </c>
      <c r="GG49" s="1" t="str">
        <f t="shared" si="25"/>
        <v/>
      </c>
      <c r="GH49" s="1" t="str">
        <f t="shared" si="25"/>
        <v/>
      </c>
      <c r="GI49" s="1" t="str">
        <f t="shared" ref="GI49:GX68" si="32">IF(CM49&gt;0.0001,CONCATENATE(CM$2,"; "),"")</f>
        <v/>
      </c>
      <c r="GJ49" s="1" t="str">
        <f t="shared" si="31"/>
        <v xml:space="preserve">Kansas; </v>
      </c>
      <c r="GK49" s="1" t="str">
        <f t="shared" si="31"/>
        <v/>
      </c>
      <c r="GL49" s="1" t="str">
        <f t="shared" si="31"/>
        <v/>
      </c>
      <c r="GM49" s="1" t="str">
        <f t="shared" si="31"/>
        <v/>
      </c>
      <c r="GN49" s="1" t="str">
        <f t="shared" si="31"/>
        <v/>
      </c>
      <c r="GO49" s="1" t="str">
        <f t="shared" si="31"/>
        <v/>
      </c>
      <c r="GP49" s="1" t="str">
        <f t="shared" si="31"/>
        <v/>
      </c>
      <c r="GQ49" s="1" t="str">
        <f t="shared" si="31"/>
        <v/>
      </c>
      <c r="GR49" s="1" t="str">
        <f t="shared" si="31"/>
        <v/>
      </c>
      <c r="GS49" s="1" t="str">
        <f t="shared" si="31"/>
        <v/>
      </c>
      <c r="GT49" s="1" t="str">
        <f t="shared" si="31"/>
        <v/>
      </c>
      <c r="GU49" s="1" t="str">
        <f t="shared" si="31"/>
        <v/>
      </c>
      <c r="GV49" s="1" t="str">
        <f t="shared" si="31"/>
        <v/>
      </c>
      <c r="GW49" s="1" t="str">
        <f t="shared" si="31"/>
        <v/>
      </c>
      <c r="GX49" s="1" t="str">
        <f t="shared" si="26"/>
        <v/>
      </c>
      <c r="GY49" s="1" t="str">
        <f t="shared" si="26"/>
        <v/>
      </c>
      <c r="GZ49" s="1" t="str">
        <f t="shared" si="26"/>
        <v xml:space="preserve">New York; </v>
      </c>
      <c r="HA49" s="1" t="str">
        <f t="shared" si="26"/>
        <v/>
      </c>
      <c r="HB49" s="1" t="str">
        <f t="shared" si="26"/>
        <v/>
      </c>
      <c r="HC49" s="1" t="str">
        <f t="shared" si="26"/>
        <v/>
      </c>
      <c r="HD49" s="1" t="str">
        <f t="shared" si="26"/>
        <v/>
      </c>
      <c r="HE49" s="1" t="str">
        <f t="shared" si="26"/>
        <v/>
      </c>
      <c r="HF49" s="1" t="str">
        <f t="shared" si="26"/>
        <v/>
      </c>
      <c r="HG49" s="1" t="str">
        <f t="shared" si="26"/>
        <v/>
      </c>
      <c r="HH49" s="1" t="str">
        <f t="shared" si="26"/>
        <v/>
      </c>
      <c r="HI49" s="1" t="str">
        <f t="shared" si="26"/>
        <v/>
      </c>
      <c r="HJ49" s="1" t="str">
        <f t="shared" si="26"/>
        <v xml:space="preserve">Texas; </v>
      </c>
      <c r="HK49" s="1" t="str">
        <f t="shared" si="26"/>
        <v/>
      </c>
      <c r="HL49" s="1" t="str">
        <f t="shared" si="26"/>
        <v/>
      </c>
      <c r="HM49" s="1" t="str">
        <f t="shared" si="26"/>
        <v/>
      </c>
      <c r="HN49" s="1" t="str">
        <f t="shared" si="27"/>
        <v/>
      </c>
      <c r="HO49" s="1" t="str">
        <f t="shared" si="27"/>
        <v/>
      </c>
      <c r="HP49" s="1" t="str">
        <f t="shared" si="27"/>
        <v/>
      </c>
      <c r="HQ49" s="1" t="str">
        <f t="shared" si="27"/>
        <v/>
      </c>
      <c r="HR49" s="1" t="str">
        <f t="shared" si="27"/>
        <v/>
      </c>
      <c r="HS49" s="1" t="str">
        <f t="shared" si="27"/>
        <v/>
      </c>
      <c r="HT49" s="1" t="str">
        <f t="shared" si="27"/>
        <v/>
      </c>
      <c r="HU49" s="1" t="str">
        <f t="shared" si="27"/>
        <v/>
      </c>
      <c r="HV49" s="1" t="str">
        <f t="shared" si="27"/>
        <v/>
      </c>
      <c r="HW49" s="1" t="str">
        <f t="shared" si="27"/>
        <v/>
      </c>
      <c r="HX49" s="1" t="str">
        <f t="shared" si="27"/>
        <v/>
      </c>
      <c r="HY49" s="1" t="str">
        <f t="shared" si="27"/>
        <v/>
      </c>
      <c r="HZ49" s="1" t="str">
        <f t="shared" si="27"/>
        <v/>
      </c>
      <c r="IA49" s="1" t="str">
        <f t="shared" si="27"/>
        <v/>
      </c>
      <c r="IB49" s="1" t="str">
        <f t="shared" si="27"/>
        <v/>
      </c>
      <c r="IC49" s="1" t="str">
        <f t="shared" si="27"/>
        <v/>
      </c>
      <c r="ID49" s="1" t="str">
        <f t="shared" si="28"/>
        <v/>
      </c>
      <c r="IE49" s="1" t="str">
        <f t="shared" si="28"/>
        <v/>
      </c>
      <c r="IF49" s="1" t="str">
        <f t="shared" si="28"/>
        <v/>
      </c>
      <c r="IG49" s="1" t="str">
        <f t="shared" si="28"/>
        <v/>
      </c>
      <c r="IH49" s="1" t="str">
        <f t="shared" si="28"/>
        <v/>
      </c>
      <c r="II49" s="1" t="str">
        <f t="shared" si="28"/>
        <v/>
      </c>
      <c r="IJ49" s="1" t="str">
        <f t="shared" si="28"/>
        <v/>
      </c>
      <c r="IK49" s="1" t="str">
        <f t="shared" si="28"/>
        <v/>
      </c>
      <c r="IL49" s="1" t="str">
        <f t="shared" si="28"/>
        <v/>
      </c>
      <c r="IM49" s="1" t="str">
        <f t="shared" si="28"/>
        <v/>
      </c>
      <c r="IN49" s="1" t="str">
        <f t="shared" si="28"/>
        <v/>
      </c>
      <c r="IO49" s="1" t="str">
        <f t="shared" si="28"/>
        <v/>
      </c>
      <c r="IP49" s="1" t="str">
        <f t="shared" si="28"/>
        <v/>
      </c>
      <c r="IQ49" s="1" t="str">
        <f t="shared" si="28"/>
        <v/>
      </c>
      <c r="IR49" s="1" t="str">
        <f t="shared" si="28"/>
        <v/>
      </c>
      <c r="IS49" s="1" t="str">
        <f t="shared" si="28"/>
        <v/>
      </c>
      <c r="IT49" s="1" t="str">
        <f t="shared" si="29"/>
        <v/>
      </c>
      <c r="IU49" s="1" t="str">
        <f t="shared" si="29"/>
        <v/>
      </c>
      <c r="IV49" s="1" t="str">
        <f t="shared" si="29"/>
        <v/>
      </c>
      <c r="IW49" s="1" t="str">
        <f t="shared" si="29"/>
        <v/>
      </c>
      <c r="IX49" s="1" t="str">
        <f t="shared" si="29"/>
        <v/>
      </c>
      <c r="IY49" s="1" t="str">
        <f t="shared" si="29"/>
        <v/>
      </c>
      <c r="IZ49" s="1" t="str">
        <f t="shared" si="29"/>
        <v/>
      </c>
      <c r="JA49" s="1" t="str">
        <f t="shared" si="29"/>
        <v/>
      </c>
      <c r="JB49" s="1" t="str">
        <f t="shared" si="29"/>
        <v/>
      </c>
      <c r="JC49" s="1" t="str">
        <f t="shared" si="29"/>
        <v/>
      </c>
      <c r="JD49" s="1" t="str">
        <f t="shared" si="29"/>
        <v/>
      </c>
      <c r="JE49" s="1" t="str">
        <f t="shared" si="29"/>
        <v/>
      </c>
      <c r="JF49" s="1" t="str">
        <f t="shared" si="29"/>
        <v/>
      </c>
      <c r="JG49" s="1" t="str">
        <f t="shared" si="29"/>
        <v/>
      </c>
      <c r="JH49" s="1" t="str">
        <f t="shared" si="29"/>
        <v/>
      </c>
      <c r="JI49" s="1" t="str">
        <f t="shared" si="29"/>
        <v/>
      </c>
      <c r="JJ49" s="1" t="str">
        <f t="shared" si="30"/>
        <v/>
      </c>
      <c r="JK49" s="1" t="str">
        <f t="shared" si="30"/>
        <v/>
      </c>
      <c r="JL49" s="1" t="str">
        <f t="shared" si="24"/>
        <v/>
      </c>
      <c r="JM49" s="1" t="str">
        <f t="shared" si="12"/>
        <v/>
      </c>
      <c r="JN49" s="1" t="str">
        <f t="shared" si="12"/>
        <v/>
      </c>
      <c r="JO49" s="1" t="str">
        <f t="shared" si="12"/>
        <v/>
      </c>
    </row>
    <row r="50" spans="1:275" ht="14.5" x14ac:dyDescent="0.35">
      <c r="A50" s="59">
        <f>IF('Data input'!A50&lt;&gt;"",'Data input'!A50,"")</f>
        <v>48</v>
      </c>
      <c r="B50" s="60" t="str">
        <f>IF('Data input'!B50&lt;&gt;"",'Data input'!B50,"")</f>
        <v>West Virginia</v>
      </c>
      <c r="C50" s="19">
        <f>IF('Data input'!C50="","",4*('Data input'!C50-'Data input'!C$108)/('Data input'!C$109-'Data input'!C$108)+1)</f>
        <v>1.1757106401574939</v>
      </c>
      <c r="D50" s="19" t="str">
        <f>IF('Data input'!D50="","",4*('Data input'!D50-'Data input'!D$108)/('Data input'!D$109-'Data input'!D$108)+1)</f>
        <v/>
      </c>
      <c r="E50" s="19" t="str">
        <f>IF('Data input'!E50="","",4*('Data input'!E50-'Data input'!E$108)/('Data input'!E$109-'Data input'!E$108)+1)</f>
        <v/>
      </c>
      <c r="F50" s="19" t="str">
        <f>IF('Data input'!F50="","",4*('Data input'!F50-'Data input'!F$108)/('Data input'!F$109-'Data input'!F$108)+1)</f>
        <v/>
      </c>
      <c r="G50" s="19" t="str">
        <f>IF('Data input'!G50="","",4*('Data input'!G50-'Data input'!G$108)/('Data input'!G$109-'Data input'!G$108)+1)</f>
        <v/>
      </c>
      <c r="H50" s="61">
        <f>IF('Data input'!H50="","",4*('Data input'!H50-'Data input'!H$108)/('Data input'!H$109-'Data input'!H$108)+1)</f>
        <v>2.0742932351327226</v>
      </c>
      <c r="I50" s="19">
        <f>IF('Data input'!I50="","",4*('Data input'!I50-'Data input'!I$108)/('Data input'!I$109-'Data input'!I$108)+1)</f>
        <v>1.114445466770472</v>
      </c>
      <c r="J50" s="19" t="str">
        <f>IF('Data input'!J50="","",4*('Data input'!J50-'Data input'!J$108)/('Data input'!J$109-'Data input'!J$108)+1)</f>
        <v/>
      </c>
      <c r="K50" s="19" t="str">
        <f>IF('Data input'!K50="","",4*('Data input'!K50-'Data input'!K$108)/('Data input'!K$109-'Data input'!K$108)+1)</f>
        <v/>
      </c>
      <c r="L50" s="19" t="str">
        <f>IF('Data input'!L50="","",4*('Data input'!L50-'Data input'!L$108)/('Data input'!L$109-'Data input'!L$108)+1)</f>
        <v/>
      </c>
      <c r="M50" s="19">
        <f>IF('Data input'!M50="","",4*('Data input'!M50-'Data input'!M$108)/('Data input'!M$109-'Data input'!M$108)+1)</f>
        <v>1.2846563959124173</v>
      </c>
      <c r="N50" s="16" t="str">
        <f>IF('Data input'!N50="","",4*('Data input'!N50-'Data input'!N$108)/('Data input'!N$109-'Data input'!N$108)+1)</f>
        <v/>
      </c>
      <c r="O50" s="19" t="str">
        <f>IF('Data input'!O50="","",4*('Data input'!O50-'Data input'!O$108)/('Data input'!O$109-'Data input'!O$108)+1)</f>
        <v/>
      </c>
      <c r="P50" s="19" t="str">
        <f>IF('Data input'!P50="","",4*('Data input'!P50-'Data input'!P$108)/('Data input'!P$109-'Data input'!P$108)+1)</f>
        <v/>
      </c>
      <c r="Q50" s="19" t="str">
        <f>IF('Data input'!Q50="","",4*('Data input'!Q50-'Data input'!Q$108)/('Data input'!Q$109-'Data input'!Q$108)+1)</f>
        <v/>
      </c>
      <c r="R50" s="19" t="str">
        <f>IF('Data input'!R50="","",4*('Data input'!R50-'Data input'!R$108)/('Data input'!R$109-'Data input'!R$108)+1)</f>
        <v/>
      </c>
      <c r="S50" s="16" t="str">
        <f>IF('Data input'!S50="","",4*('Data input'!S50-'Data input'!S$108)/('Data input'!S$109-'Data input'!S$108)+1)</f>
        <v/>
      </c>
      <c r="T50" s="19" t="str">
        <f>IF('Data input'!T50="","",4*('Data input'!T50-'Data input'!T$108)/('Data input'!T$109-'Data input'!T$108)+1)</f>
        <v/>
      </c>
      <c r="U50" s="19" t="str">
        <f>IF('Data input'!U50="","",4*('Data input'!U50-'Data input'!U$108)/('Data input'!U$109-'Data input'!U$108)+1)</f>
        <v/>
      </c>
      <c r="V50" s="19" t="str">
        <f>IF('Data input'!V50="","",4*('Data input'!V50-'Data input'!V$108)/('Data input'!V$109-'Data input'!V$108)+1)</f>
        <v/>
      </c>
      <c r="W50" s="16" t="str">
        <f>IF('Data input'!W50="","",4*('Data input'!W50-'Data input'!W$108)/('Data input'!W$109-'Data input'!W$108)+1)</f>
        <v/>
      </c>
      <c r="X50" s="16" t="str">
        <f>IF('Data input'!X50="","",4*('Data input'!X50-'Data input'!X$108)/('Data input'!X$109-'Data input'!X$108)+1)</f>
        <v/>
      </c>
      <c r="Y50" s="16" t="str">
        <f>IF('Data input'!Y50="","",4*('Data input'!Y50-'Data input'!Y$108)/('Data input'!Y$109-'Data input'!Y$108)+1)</f>
        <v/>
      </c>
      <c r="Z50" s="16" t="str">
        <f>IF('Data input'!Z50="","",4*('Data input'!Z50-'Data input'!Z$108)/('Data input'!Z$109-'Data input'!Z$108)+1)</f>
        <v/>
      </c>
      <c r="AA50" s="62" t="str">
        <f>IF('Data input'!AA50="","",4*('Data input'!AA50-'Data input'!AA$108)/('Data input'!AA$109-'Data input'!AA$108)+1)</f>
        <v/>
      </c>
      <c r="AB50" s="78"/>
      <c r="AC50" s="79">
        <v>0</v>
      </c>
      <c r="AD50" s="80" t="e">
        <f t="shared" si="13"/>
        <v>#DIV/0!</v>
      </c>
      <c r="AE50" s="4"/>
      <c r="AF50" s="59">
        <f t="shared" si="14"/>
        <v>48</v>
      </c>
      <c r="AG50" s="60" t="str">
        <f t="shared" si="14"/>
        <v>West Virginia</v>
      </c>
      <c r="AH50">
        <v>0</v>
      </c>
      <c r="AI50" t="s">
        <v>69</v>
      </c>
      <c r="AJ50" t="s">
        <v>69</v>
      </c>
      <c r="AK50" t="s">
        <v>69</v>
      </c>
      <c r="AL50" t="s">
        <v>69</v>
      </c>
      <c r="AM50">
        <v>0</v>
      </c>
      <c r="AN50">
        <v>0</v>
      </c>
      <c r="AO50" t="s">
        <v>69</v>
      </c>
      <c r="AP50" t="s">
        <v>69</v>
      </c>
      <c r="AQ50" t="s">
        <v>69</v>
      </c>
      <c r="AR50">
        <v>1</v>
      </c>
      <c r="AS50" s="71">
        <f t="shared" si="15"/>
        <v>1.1757106401574939</v>
      </c>
      <c r="AT50" s="71" t="str">
        <f t="shared" si="15"/>
        <v/>
      </c>
      <c r="AU50" s="71" t="str">
        <f t="shared" si="15"/>
        <v/>
      </c>
      <c r="AV50" s="71" t="str">
        <f t="shared" si="15"/>
        <v/>
      </c>
      <c r="AW50" s="71" t="str">
        <f t="shared" si="15"/>
        <v/>
      </c>
      <c r="AX50" s="71">
        <f t="shared" si="16"/>
        <v>2.0742932351327226</v>
      </c>
      <c r="AY50" s="71">
        <f t="shared" si="16"/>
        <v>1.114445466770472</v>
      </c>
      <c r="AZ50" s="71" t="str">
        <f t="shared" si="16"/>
        <v/>
      </c>
      <c r="BA50" s="71" t="str">
        <f t="shared" si="16"/>
        <v/>
      </c>
      <c r="BB50" s="71" t="str">
        <f t="shared" si="16"/>
        <v/>
      </c>
      <c r="BC50" s="18">
        <f>IF(C50&lt;&gt;"",(('Data input'!C$109-'Data input'!C$108)*(AS50-1)/4)+'Data input'!C$108,"")</f>
        <v>0.85744356112792741</v>
      </c>
      <c r="BD50" s="18" t="str">
        <f>IF(D50&lt;&gt;"",(('Data input'!D$109-'Data input'!D$108)*(AT50-1)/4)+'Data input'!D$108,"")</f>
        <v/>
      </c>
      <c r="BE50" s="18" t="str">
        <f>IF(E50&lt;&gt;"",(('Data input'!E$109-'Data input'!E$108)*(AU50-1)/4)+'Data input'!E$108,"")</f>
        <v/>
      </c>
      <c r="BF50" s="18" t="str">
        <f>IF(F50&lt;&gt;"",(('Data input'!F$109-'Data input'!F$108)*(AV50-1)/4)+'Data input'!F$108,"")</f>
        <v/>
      </c>
      <c r="BG50" s="18" t="str">
        <f>IF(G50&lt;&gt;"",(('Data input'!G$109-'Data input'!G$108)*(AW50-1)/4)+'Data input'!G$108,"")</f>
        <v/>
      </c>
      <c r="BH50" s="19">
        <f>IF(H50&lt;&gt;"",(('Data input'!H$109-'Data input'!H$108)*(AX50-1)/4)+'Data input'!H$108,"")</f>
        <v>23.691519010594238</v>
      </c>
      <c r="BI50" s="18">
        <f>IF(I50&lt;&gt;"",(('Data input'!I$109-'Data input'!I$108)*(AY50-1)/4)+'Data input'!I$108,"")</f>
        <v>5.0251256281406984E-3</v>
      </c>
      <c r="BJ50" s="19" t="str">
        <f>IF(J50&lt;&gt;"",(('Data input'!J$109-'Data input'!J$108)*(AZ50-1)/4)+'Data input'!J$108,"")</f>
        <v/>
      </c>
      <c r="BK50" s="19" t="str">
        <f>IF(K50&lt;&gt;"",(('Data input'!K$109-'Data input'!K$108)*(BA50-1)/4)+'Data input'!K$108,"")</f>
        <v/>
      </c>
      <c r="BL50" s="19" t="str">
        <f>IF(L50&lt;&gt;"",(('Data input'!L$109-'Data input'!L$108)*(BB50-1)/4)+'Data input'!L$108,"")</f>
        <v/>
      </c>
      <c r="BM50" s="18">
        <f>IF(C50&lt;&gt;"",BC50-'Data input'!C50,"")</f>
        <v>0</v>
      </c>
      <c r="BN50" s="18" t="str">
        <f>IF(D50&lt;&gt;"",BD50-'Data input'!D50,"")</f>
        <v/>
      </c>
      <c r="BO50" s="18" t="str">
        <f>IF(E50&lt;&gt;"",BE50-'Data input'!E50,"")</f>
        <v/>
      </c>
      <c r="BP50" s="18" t="str">
        <f>IF(F50&lt;&gt;"",BF50-'Data input'!F50,"")</f>
        <v/>
      </c>
      <c r="BQ50" s="18" t="str">
        <f>IF(G50&lt;&gt;"",BG50-'Data input'!G50,"")</f>
        <v/>
      </c>
      <c r="BR50" s="19">
        <f>IF(H50&lt;&gt;"",BH50-'Data input'!H50,"")</f>
        <v>0</v>
      </c>
      <c r="BS50" s="18">
        <f>IF(I50&lt;&gt;"",BI50-'Data input'!I50,"")</f>
        <v>-5.2041704279304213E-18</v>
      </c>
      <c r="BT50" s="18" t="str">
        <f>IF(J50&lt;&gt;"",BJ50-'Data input'!J50,"")</f>
        <v/>
      </c>
      <c r="BU50" s="18" t="str">
        <f>IF(K50&lt;&gt;"",BK50-'Data input'!K50,"")</f>
        <v/>
      </c>
      <c r="BV50" s="72" t="str">
        <f>IF(L50&lt;&gt;"",BL50-'Data input'!L50,"")</f>
        <v/>
      </c>
      <c r="BW50" s="121" t="str">
        <f t="shared" si="17"/>
        <v xml:space="preserve">West Virginia; </v>
      </c>
      <c r="BX50" s="1">
        <v>0</v>
      </c>
      <c r="BY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F50" s="1">
        <v>0</v>
      </c>
      <c r="CG50" s="1">
        <v>0</v>
      </c>
      <c r="CH50" s="1">
        <v>0</v>
      </c>
      <c r="CI50" s="1">
        <v>0</v>
      </c>
      <c r="CJ50" s="1">
        <v>0</v>
      </c>
      <c r="CK50" s="1">
        <v>0</v>
      </c>
      <c r="CL50" s="1">
        <v>0</v>
      </c>
      <c r="CM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T50" s="1">
        <v>0</v>
      </c>
      <c r="CU50" s="1">
        <v>0</v>
      </c>
      <c r="CV50" s="1">
        <v>0</v>
      </c>
      <c r="CW50" s="1">
        <v>0</v>
      </c>
      <c r="CX50" s="1">
        <v>0</v>
      </c>
      <c r="CY50" s="1">
        <v>0</v>
      </c>
      <c r="CZ50" s="1">
        <v>0</v>
      </c>
      <c r="DA50" s="1">
        <v>0</v>
      </c>
      <c r="DB50" s="1">
        <v>0</v>
      </c>
      <c r="DC50" s="1">
        <v>0</v>
      </c>
      <c r="DD50" s="1">
        <v>0</v>
      </c>
      <c r="DE50" s="1">
        <v>0</v>
      </c>
      <c r="DF50" s="1">
        <v>0</v>
      </c>
      <c r="DG50" s="1">
        <v>0</v>
      </c>
      <c r="DH50" s="1">
        <v>0</v>
      </c>
      <c r="DI50" s="1">
        <v>0</v>
      </c>
      <c r="DJ50" s="1">
        <v>0</v>
      </c>
      <c r="DK50" s="1">
        <v>0</v>
      </c>
      <c r="DL50" s="1">
        <v>0</v>
      </c>
      <c r="DM50" s="1">
        <v>0</v>
      </c>
      <c r="DN50" s="1">
        <v>0</v>
      </c>
      <c r="DO50" s="1">
        <v>0</v>
      </c>
      <c r="DP50" s="1">
        <v>0</v>
      </c>
      <c r="DQ50" s="1">
        <v>0</v>
      </c>
      <c r="DR50" s="1">
        <v>0</v>
      </c>
      <c r="DS50" s="1">
        <v>1</v>
      </c>
      <c r="DT50" s="1">
        <v>0</v>
      </c>
      <c r="DU50" s="1">
        <v>0</v>
      </c>
      <c r="DV50" s="1">
        <v>0</v>
      </c>
      <c r="DW50" s="1">
        <v>0</v>
      </c>
      <c r="DX50" s="1">
        <v>0</v>
      </c>
      <c r="DY50" s="1">
        <v>0</v>
      </c>
      <c r="DZ50" s="1">
        <v>0</v>
      </c>
      <c r="FT50" s="1" t="str">
        <f t="shared" ref="FT50:GH66" si="33">IF(BX50&gt;0.0001,CONCATENATE(BX$2,"; "),"")</f>
        <v/>
      </c>
      <c r="FU50" s="1" t="str">
        <f t="shared" si="33"/>
        <v/>
      </c>
      <c r="FV50" s="1" t="str">
        <f t="shared" si="33"/>
        <v/>
      </c>
      <c r="FW50" s="1" t="str">
        <f t="shared" si="33"/>
        <v/>
      </c>
      <c r="FX50" s="1" t="str">
        <f t="shared" si="33"/>
        <v/>
      </c>
      <c r="FY50" s="1" t="str">
        <f t="shared" si="33"/>
        <v/>
      </c>
      <c r="FZ50" s="1" t="str">
        <f t="shared" si="33"/>
        <v/>
      </c>
      <c r="GA50" s="1" t="str">
        <f t="shared" si="33"/>
        <v/>
      </c>
      <c r="GB50" s="1" t="str">
        <f t="shared" si="33"/>
        <v/>
      </c>
      <c r="GC50" s="1" t="str">
        <f t="shared" si="33"/>
        <v/>
      </c>
      <c r="GD50" s="1" t="str">
        <f t="shared" si="33"/>
        <v/>
      </c>
      <c r="GE50" s="1" t="str">
        <f t="shared" si="33"/>
        <v/>
      </c>
      <c r="GF50" s="1" t="str">
        <f t="shared" si="33"/>
        <v/>
      </c>
      <c r="GG50" s="1" t="str">
        <f t="shared" si="33"/>
        <v/>
      </c>
      <c r="GH50" s="1" t="str">
        <f t="shared" si="33"/>
        <v/>
      </c>
      <c r="GI50" s="1" t="str">
        <f t="shared" si="32"/>
        <v/>
      </c>
      <c r="GJ50" s="1" t="str">
        <f t="shared" si="31"/>
        <v/>
      </c>
      <c r="GK50" s="1" t="str">
        <f t="shared" si="31"/>
        <v/>
      </c>
      <c r="GL50" s="1" t="str">
        <f t="shared" si="31"/>
        <v/>
      </c>
      <c r="GM50" s="1" t="str">
        <f t="shared" si="31"/>
        <v/>
      </c>
      <c r="GN50" s="1" t="str">
        <f t="shared" si="31"/>
        <v/>
      </c>
      <c r="GO50" s="1" t="str">
        <f t="shared" si="31"/>
        <v/>
      </c>
      <c r="GP50" s="1" t="str">
        <f t="shared" si="31"/>
        <v/>
      </c>
      <c r="GQ50" s="1" t="str">
        <f t="shared" si="31"/>
        <v/>
      </c>
      <c r="GR50" s="1" t="str">
        <f t="shared" si="31"/>
        <v/>
      </c>
      <c r="GS50" s="1" t="str">
        <f t="shared" si="31"/>
        <v/>
      </c>
      <c r="GT50" s="1" t="str">
        <f t="shared" si="31"/>
        <v/>
      </c>
      <c r="GU50" s="1" t="str">
        <f t="shared" si="31"/>
        <v/>
      </c>
      <c r="GV50" s="1" t="str">
        <f t="shared" si="31"/>
        <v/>
      </c>
      <c r="GW50" s="1" t="str">
        <f t="shared" si="31"/>
        <v/>
      </c>
      <c r="GX50" s="1" t="str">
        <f t="shared" si="26"/>
        <v/>
      </c>
      <c r="GY50" s="1" t="str">
        <f t="shared" si="26"/>
        <v/>
      </c>
      <c r="GZ50" s="1" t="str">
        <f t="shared" si="26"/>
        <v/>
      </c>
      <c r="HA50" s="1" t="str">
        <f t="shared" si="26"/>
        <v/>
      </c>
      <c r="HB50" s="1" t="str">
        <f t="shared" si="26"/>
        <v/>
      </c>
      <c r="HC50" s="1" t="str">
        <f t="shared" si="26"/>
        <v/>
      </c>
      <c r="HD50" s="1" t="str">
        <f t="shared" si="26"/>
        <v/>
      </c>
      <c r="HE50" s="1" t="str">
        <f t="shared" si="26"/>
        <v/>
      </c>
      <c r="HF50" s="1" t="str">
        <f t="shared" si="26"/>
        <v/>
      </c>
      <c r="HG50" s="1" t="str">
        <f t="shared" si="26"/>
        <v/>
      </c>
      <c r="HH50" s="1" t="str">
        <f t="shared" si="26"/>
        <v/>
      </c>
      <c r="HI50" s="1" t="str">
        <f t="shared" si="26"/>
        <v/>
      </c>
      <c r="HJ50" s="1" t="str">
        <f t="shared" si="26"/>
        <v/>
      </c>
      <c r="HK50" s="1" t="str">
        <f t="shared" ref="HK50:HZ66" si="34">IF(DO50&gt;0.0001,CONCATENATE(DO$2,"; "),"")</f>
        <v/>
      </c>
      <c r="HL50" s="1" t="str">
        <f t="shared" si="34"/>
        <v/>
      </c>
      <c r="HM50" s="1" t="str">
        <f t="shared" si="34"/>
        <v/>
      </c>
      <c r="HN50" s="1" t="str">
        <f t="shared" si="27"/>
        <v/>
      </c>
      <c r="HO50" s="1" t="str">
        <f t="shared" si="27"/>
        <v xml:space="preserve">West Virginia; </v>
      </c>
      <c r="HP50" s="1" t="str">
        <f t="shared" si="27"/>
        <v/>
      </c>
      <c r="HQ50" s="1" t="str">
        <f t="shared" si="27"/>
        <v/>
      </c>
      <c r="HR50" s="1" t="str">
        <f t="shared" si="27"/>
        <v/>
      </c>
      <c r="HS50" s="1" t="str">
        <f t="shared" si="27"/>
        <v/>
      </c>
      <c r="HT50" s="1" t="str">
        <f t="shared" si="27"/>
        <v/>
      </c>
      <c r="HU50" s="1" t="str">
        <f t="shared" si="27"/>
        <v/>
      </c>
      <c r="HV50" s="1" t="str">
        <f t="shared" si="27"/>
        <v/>
      </c>
      <c r="HW50" s="1" t="str">
        <f t="shared" si="27"/>
        <v/>
      </c>
      <c r="HX50" s="1" t="str">
        <f t="shared" si="27"/>
        <v/>
      </c>
      <c r="HY50" s="1" t="str">
        <f t="shared" si="27"/>
        <v/>
      </c>
      <c r="HZ50" s="1" t="str">
        <f t="shared" si="27"/>
        <v/>
      </c>
      <c r="IA50" s="1" t="str">
        <f t="shared" ref="IA50:IP66" si="35">IF(EE50&gt;0.0001,CONCATENATE(EE$2,"; "),"")</f>
        <v/>
      </c>
      <c r="IB50" s="1" t="str">
        <f t="shared" si="35"/>
        <v/>
      </c>
      <c r="IC50" s="1" t="str">
        <f t="shared" si="35"/>
        <v/>
      </c>
      <c r="ID50" s="1" t="str">
        <f t="shared" si="28"/>
        <v/>
      </c>
      <c r="IE50" s="1" t="str">
        <f t="shared" si="28"/>
        <v/>
      </c>
      <c r="IF50" s="1" t="str">
        <f t="shared" si="28"/>
        <v/>
      </c>
      <c r="IG50" s="1" t="str">
        <f t="shared" si="28"/>
        <v/>
      </c>
      <c r="IH50" s="1" t="str">
        <f t="shared" si="28"/>
        <v/>
      </c>
      <c r="II50" s="1" t="str">
        <f t="shared" si="28"/>
        <v/>
      </c>
      <c r="IJ50" s="1" t="str">
        <f t="shared" si="28"/>
        <v/>
      </c>
      <c r="IK50" s="1" t="str">
        <f t="shared" si="28"/>
        <v/>
      </c>
      <c r="IL50" s="1" t="str">
        <f t="shared" si="28"/>
        <v/>
      </c>
      <c r="IM50" s="1" t="str">
        <f t="shared" si="28"/>
        <v/>
      </c>
      <c r="IN50" s="1" t="str">
        <f t="shared" si="28"/>
        <v/>
      </c>
      <c r="IO50" s="1" t="str">
        <f t="shared" si="28"/>
        <v/>
      </c>
      <c r="IP50" s="1" t="str">
        <f t="shared" si="28"/>
        <v/>
      </c>
      <c r="IQ50" s="1" t="str">
        <f t="shared" ref="IQ50:JF66" si="36">IF(EU50&gt;0.0001,CONCATENATE(EU$2,"; "),"")</f>
        <v/>
      </c>
      <c r="IR50" s="1" t="str">
        <f t="shared" si="36"/>
        <v/>
      </c>
      <c r="IS50" s="1" t="str">
        <f t="shared" si="36"/>
        <v/>
      </c>
      <c r="IT50" s="1" t="str">
        <f t="shared" si="29"/>
        <v/>
      </c>
      <c r="IU50" s="1" t="str">
        <f t="shared" si="29"/>
        <v/>
      </c>
      <c r="IV50" s="1" t="str">
        <f t="shared" si="29"/>
        <v/>
      </c>
      <c r="IW50" s="1" t="str">
        <f t="shared" si="29"/>
        <v/>
      </c>
      <c r="IX50" s="1" t="str">
        <f t="shared" si="29"/>
        <v/>
      </c>
      <c r="IY50" s="1" t="str">
        <f t="shared" si="29"/>
        <v/>
      </c>
      <c r="IZ50" s="1" t="str">
        <f t="shared" si="29"/>
        <v/>
      </c>
      <c r="JA50" s="1" t="str">
        <f t="shared" si="29"/>
        <v/>
      </c>
      <c r="JB50" s="1" t="str">
        <f t="shared" si="29"/>
        <v/>
      </c>
      <c r="JC50" s="1" t="str">
        <f t="shared" si="29"/>
        <v/>
      </c>
      <c r="JD50" s="1" t="str">
        <f t="shared" si="29"/>
        <v/>
      </c>
      <c r="JE50" s="1" t="str">
        <f t="shared" si="29"/>
        <v/>
      </c>
      <c r="JF50" s="1" t="str">
        <f t="shared" si="29"/>
        <v/>
      </c>
      <c r="JG50" s="1" t="str">
        <f t="shared" ref="JG50:JO102" si="37">IF(FK50&gt;0.0001,CONCATENATE(FK$2,"; "),"")</f>
        <v/>
      </c>
      <c r="JH50" s="1" t="str">
        <f t="shared" si="37"/>
        <v/>
      </c>
      <c r="JI50" s="1" t="str">
        <f t="shared" si="37"/>
        <v/>
      </c>
      <c r="JJ50" s="1" t="str">
        <f t="shared" si="30"/>
        <v/>
      </c>
      <c r="JK50" s="1" t="str">
        <f t="shared" si="30"/>
        <v/>
      </c>
      <c r="JL50" s="1" t="str">
        <f t="shared" si="24"/>
        <v/>
      </c>
      <c r="JM50" s="1" t="str">
        <f t="shared" si="12"/>
        <v/>
      </c>
      <c r="JN50" s="1" t="str">
        <f t="shared" si="12"/>
        <v/>
      </c>
      <c r="JO50" s="1" t="str">
        <f t="shared" si="12"/>
        <v/>
      </c>
    </row>
    <row r="51" spans="1:275" ht="14.5" x14ac:dyDescent="0.35">
      <c r="A51" s="59">
        <f>IF('Data input'!A51&lt;&gt;"",'Data input'!A51,"")</f>
        <v>49</v>
      </c>
      <c r="B51" s="60" t="str">
        <f>IF('Data input'!B51&lt;&gt;"",'Data input'!B51,"")</f>
        <v>Wisconsin</v>
      </c>
      <c r="C51" s="19">
        <f>IF('Data input'!C51="","",4*('Data input'!C51-'Data input'!C$108)/('Data input'!C$109-'Data input'!C$108)+1)</f>
        <v>4.7269757856908008</v>
      </c>
      <c r="D51" s="19" t="str">
        <f>IF('Data input'!D51="","",4*('Data input'!D51-'Data input'!D$108)/('Data input'!D$109-'Data input'!D$108)+1)</f>
        <v/>
      </c>
      <c r="E51" s="19" t="str">
        <f>IF('Data input'!E51="","",4*('Data input'!E51-'Data input'!E$108)/('Data input'!E$109-'Data input'!E$108)+1)</f>
        <v/>
      </c>
      <c r="F51" s="19" t="str">
        <f>IF('Data input'!F51="","",4*('Data input'!F51-'Data input'!F$108)/('Data input'!F$109-'Data input'!F$108)+1)</f>
        <v/>
      </c>
      <c r="G51" s="19" t="str">
        <f>IF('Data input'!G51="","",4*('Data input'!G51-'Data input'!G$108)/('Data input'!G$109-'Data input'!G$108)+1)</f>
        <v/>
      </c>
      <c r="H51" s="61">
        <f>IF('Data input'!H51="","",4*('Data input'!H51-'Data input'!H$108)/('Data input'!H$109-'Data input'!H$108)+1)</f>
        <v>1.0847569708477105</v>
      </c>
      <c r="I51" s="19">
        <f>IF('Data input'!I51="","",4*('Data input'!I51-'Data input'!I$108)/('Data input'!I$109-'Data input'!I$108)+1)</f>
        <v>1.6028771899207126</v>
      </c>
      <c r="J51" s="19" t="str">
        <f>IF('Data input'!J51="","",4*('Data input'!J51-'Data input'!J$108)/('Data input'!J$109-'Data input'!J$108)+1)</f>
        <v/>
      </c>
      <c r="K51" s="19" t="str">
        <f>IF('Data input'!K51="","",4*('Data input'!K51-'Data input'!K$108)/('Data input'!K$109-'Data input'!K$108)+1)</f>
        <v/>
      </c>
      <c r="L51" s="19" t="str">
        <f>IF('Data input'!L51="","",4*('Data input'!L51-'Data input'!L$108)/('Data input'!L$109-'Data input'!L$108)+1)</f>
        <v/>
      </c>
      <c r="M51" s="19">
        <f>IF('Data input'!M51="","",4*('Data input'!M51-'Data input'!M$108)/('Data input'!M$109-'Data input'!M$108)+1)</f>
        <v>2.0599799468703059</v>
      </c>
      <c r="N51" s="16" t="str">
        <f>IF('Data input'!N51="","",4*('Data input'!N51-'Data input'!N$108)/('Data input'!N$109-'Data input'!N$108)+1)</f>
        <v/>
      </c>
      <c r="O51" s="19" t="str">
        <f>IF('Data input'!O51="","",4*('Data input'!O51-'Data input'!O$108)/('Data input'!O$109-'Data input'!O$108)+1)</f>
        <v/>
      </c>
      <c r="P51" s="19" t="str">
        <f>IF('Data input'!P51="","",4*('Data input'!P51-'Data input'!P$108)/('Data input'!P$109-'Data input'!P$108)+1)</f>
        <v/>
      </c>
      <c r="Q51" s="19" t="str">
        <f>IF('Data input'!Q51="","",4*('Data input'!Q51-'Data input'!Q$108)/('Data input'!Q$109-'Data input'!Q$108)+1)</f>
        <v/>
      </c>
      <c r="R51" s="19" t="str">
        <f>IF('Data input'!R51="","",4*('Data input'!R51-'Data input'!R$108)/('Data input'!R$109-'Data input'!R$108)+1)</f>
        <v/>
      </c>
      <c r="S51" s="16" t="str">
        <f>IF('Data input'!S51="","",4*('Data input'!S51-'Data input'!S$108)/('Data input'!S$109-'Data input'!S$108)+1)</f>
        <v/>
      </c>
      <c r="T51" s="19" t="str">
        <f>IF('Data input'!T51="","",4*('Data input'!T51-'Data input'!T$108)/('Data input'!T$109-'Data input'!T$108)+1)</f>
        <v/>
      </c>
      <c r="U51" s="19" t="str">
        <f>IF('Data input'!U51="","",4*('Data input'!U51-'Data input'!U$108)/('Data input'!U$109-'Data input'!U$108)+1)</f>
        <v/>
      </c>
      <c r="V51" s="19" t="str">
        <f>IF('Data input'!V51="","",4*('Data input'!V51-'Data input'!V$108)/('Data input'!V$109-'Data input'!V$108)+1)</f>
        <v/>
      </c>
      <c r="W51" s="16" t="str">
        <f>IF('Data input'!W51="","",4*('Data input'!W51-'Data input'!W$108)/('Data input'!W$109-'Data input'!W$108)+1)</f>
        <v/>
      </c>
      <c r="X51" s="16" t="str">
        <f>IF('Data input'!X51="","",4*('Data input'!X51-'Data input'!X$108)/('Data input'!X$109-'Data input'!X$108)+1)</f>
        <v/>
      </c>
      <c r="Y51" s="16" t="str">
        <f>IF('Data input'!Y51="","",4*('Data input'!Y51-'Data input'!Y$108)/('Data input'!Y$109-'Data input'!Y$108)+1)</f>
        <v/>
      </c>
      <c r="Z51" s="16" t="str">
        <f>IF('Data input'!Z51="","",4*('Data input'!Z51-'Data input'!Z$108)/('Data input'!Z$109-'Data input'!Z$108)+1)</f>
        <v/>
      </c>
      <c r="AA51" s="62" t="str">
        <f>IF('Data input'!AA51="","",4*('Data input'!AA51-'Data input'!AA$108)/('Data input'!AA$109-'Data input'!AA$108)+1)</f>
        <v/>
      </c>
      <c r="AB51" s="78"/>
      <c r="AC51" s="79">
        <v>0</v>
      </c>
      <c r="AD51" s="80" t="e">
        <f t="shared" si="13"/>
        <v>#DIV/0!</v>
      </c>
      <c r="AE51" s="4"/>
      <c r="AF51" s="59">
        <f t="shared" si="14"/>
        <v>49</v>
      </c>
      <c r="AG51" s="60" t="str">
        <f t="shared" si="14"/>
        <v>Wisconsin</v>
      </c>
      <c r="AH51">
        <v>0</v>
      </c>
      <c r="AI51" t="s">
        <v>69</v>
      </c>
      <c r="AJ51" t="s">
        <v>69</v>
      </c>
      <c r="AK51" t="s">
        <v>69</v>
      </c>
      <c r="AL51" t="s">
        <v>69</v>
      </c>
      <c r="AM51">
        <v>7.6403385363649032E-2</v>
      </c>
      <c r="AN51">
        <v>0.5768274981576843</v>
      </c>
      <c r="AO51" t="s">
        <v>69</v>
      </c>
      <c r="AP51" t="s">
        <v>69</v>
      </c>
      <c r="AQ51" t="s">
        <v>69</v>
      </c>
      <c r="AR51">
        <v>0.78484815228974225</v>
      </c>
      <c r="AS51" s="71">
        <f t="shared" si="15"/>
        <v>4.7269757856908008</v>
      </c>
      <c r="AT51" s="71" t="str">
        <f t="shared" si="15"/>
        <v/>
      </c>
      <c r="AU51" s="71" t="str">
        <f t="shared" si="15"/>
        <v/>
      </c>
      <c r="AV51" s="71" t="str">
        <f t="shared" si="15"/>
        <v/>
      </c>
      <c r="AW51" s="71" t="str">
        <f t="shared" si="15"/>
        <v/>
      </c>
      <c r="AX51" s="71">
        <f t="shared" si="16"/>
        <v>1.0083535854840615</v>
      </c>
      <c r="AY51" s="71">
        <f t="shared" si="16"/>
        <v>1.0260496917630282</v>
      </c>
      <c r="AZ51" s="71" t="str">
        <f t="shared" si="16"/>
        <v/>
      </c>
      <c r="BA51" s="71" t="str">
        <f t="shared" si="16"/>
        <v/>
      </c>
      <c r="BB51" s="71" t="str">
        <f t="shared" si="16"/>
        <v/>
      </c>
      <c r="BC51" s="18">
        <f>IF(C51&lt;&gt;"",(('Data input'!C$109-'Data input'!C$108)*(AS51-1)/4)+'Data input'!C$108,"")</f>
        <v>0.98637994472111279</v>
      </c>
      <c r="BD51" s="18" t="str">
        <f>IF(D51&lt;&gt;"",(('Data input'!D$109-'Data input'!D$108)*(AT51-1)/4)+'Data input'!D$108,"")</f>
        <v/>
      </c>
      <c r="BE51" s="18" t="str">
        <f>IF(E51&lt;&gt;"",(('Data input'!E$109-'Data input'!E$108)*(AU51-1)/4)+'Data input'!E$108,"")</f>
        <v/>
      </c>
      <c r="BF51" s="18" t="str">
        <f>IF(F51&lt;&gt;"",(('Data input'!F$109-'Data input'!F$108)*(AV51-1)/4)+'Data input'!F$108,"")</f>
        <v/>
      </c>
      <c r="BG51" s="18" t="str">
        <f>IF(G51&lt;&gt;"",(('Data input'!G$109-'Data input'!G$108)*(AW51-1)/4)+'Data input'!G$108,"")</f>
        <v/>
      </c>
      <c r="BH51" s="19">
        <f>IF(H51&lt;&gt;"",(('Data input'!H$109-'Data input'!H$108)*(AX51-1)/4)+'Data input'!H$108,"")</f>
        <v>0.47766565748636791</v>
      </c>
      <c r="BI51" s="18">
        <f>IF(I51&lt;&gt;"",(('Data input'!I$109-'Data input'!I$108)*(AY51-1)/4)+'Data input'!I$108,"")</f>
        <v>1.1438021738868281E-3</v>
      </c>
      <c r="BJ51" s="19" t="str">
        <f>IF(J51&lt;&gt;"",(('Data input'!J$109-'Data input'!J$108)*(AZ51-1)/4)+'Data input'!J$108,"")</f>
        <v/>
      </c>
      <c r="BK51" s="19" t="str">
        <f>IF(K51&lt;&gt;"",(('Data input'!K$109-'Data input'!K$108)*(BA51-1)/4)+'Data input'!K$108,"")</f>
        <v/>
      </c>
      <c r="BL51" s="19" t="str">
        <f>IF(L51&lt;&gt;"",(('Data input'!L$109-'Data input'!L$108)*(BB51-1)/4)+'Data input'!L$108,"")</f>
        <v/>
      </c>
      <c r="BM51" s="18">
        <f>IF(C51&lt;&gt;"",BC51-'Data input'!C51,"")</f>
        <v>0</v>
      </c>
      <c r="BN51" s="18" t="str">
        <f>IF(D51&lt;&gt;"",BD51-'Data input'!D51,"")</f>
        <v/>
      </c>
      <c r="BO51" s="18" t="str">
        <f>IF(E51&lt;&gt;"",BE51-'Data input'!E51,"")</f>
        <v/>
      </c>
      <c r="BP51" s="18" t="str">
        <f>IF(F51&lt;&gt;"",BF51-'Data input'!F51,"")</f>
        <v/>
      </c>
      <c r="BQ51" s="18" t="str">
        <f>IF(G51&lt;&gt;"",BG51-'Data input'!G51,"")</f>
        <v/>
      </c>
      <c r="BR51" s="19">
        <f>IF(H51&lt;&gt;"",BH51-'Data input'!H51,"")</f>
        <v>-1.6639000004337294</v>
      </c>
      <c r="BS51" s="18">
        <f>IF(I51&lt;&gt;"",BI51-'Data input'!I51,"")</f>
        <v>-2.5327614328506862E-2</v>
      </c>
      <c r="BT51" s="18" t="str">
        <f>IF(J51&lt;&gt;"",BJ51-'Data input'!J51,"")</f>
        <v/>
      </c>
      <c r="BU51" s="18" t="str">
        <f>IF(K51&lt;&gt;"",BK51-'Data input'!K51,"")</f>
        <v/>
      </c>
      <c r="BV51" s="72" t="str">
        <f>IF(L51&lt;&gt;"",BL51-'Data input'!L51,"")</f>
        <v/>
      </c>
      <c r="BW51" s="121" t="str">
        <f t="shared" si="17"/>
        <v xml:space="preserve">New York; Texas; </v>
      </c>
      <c r="BX51" s="1">
        <v>0</v>
      </c>
      <c r="BY51" s="1">
        <v>0</v>
      </c>
      <c r="BZ51" s="1">
        <v>0</v>
      </c>
      <c r="CA51" s="1">
        <v>0</v>
      </c>
      <c r="CB51" s="1">
        <v>0</v>
      </c>
      <c r="CC51" s="1">
        <v>0</v>
      </c>
      <c r="CD51" s="1">
        <v>0</v>
      </c>
      <c r="CE51" s="1">
        <v>0</v>
      </c>
      <c r="CF51" s="1">
        <v>0</v>
      </c>
      <c r="CG51" s="1">
        <v>0</v>
      </c>
      <c r="CH51" s="1">
        <v>0</v>
      </c>
      <c r="CI51" s="1">
        <v>0</v>
      </c>
      <c r="CJ51" s="1">
        <v>0</v>
      </c>
      <c r="CK51" s="1">
        <v>0</v>
      </c>
      <c r="CL51" s="1">
        <v>0</v>
      </c>
      <c r="CM51" s="1">
        <v>0</v>
      </c>
      <c r="CN51" s="1">
        <v>0</v>
      </c>
      <c r="CO51" s="1">
        <v>0</v>
      </c>
      <c r="CP51" s="1">
        <v>0</v>
      </c>
      <c r="CQ51" s="1">
        <v>0</v>
      </c>
      <c r="CR51" s="1">
        <v>0</v>
      </c>
      <c r="CS51" s="1">
        <v>0</v>
      </c>
      <c r="CT51" s="1">
        <v>0</v>
      </c>
      <c r="CU51" s="1">
        <v>0</v>
      </c>
      <c r="CV51" s="1">
        <v>0</v>
      </c>
      <c r="CW51" s="1">
        <v>0</v>
      </c>
      <c r="CX51" s="1">
        <v>0</v>
      </c>
      <c r="CY51" s="1">
        <v>0</v>
      </c>
      <c r="CZ51" s="1">
        <v>0</v>
      </c>
      <c r="DA51" s="1">
        <v>0</v>
      </c>
      <c r="DB51" s="1">
        <v>0</v>
      </c>
      <c r="DC51" s="1">
        <v>0</v>
      </c>
      <c r="DD51" s="1">
        <v>3.1066953835815102E-2</v>
      </c>
      <c r="DE51" s="1">
        <v>0</v>
      </c>
      <c r="DF51" s="1">
        <v>0</v>
      </c>
      <c r="DG51" s="1">
        <v>0</v>
      </c>
      <c r="DH51" s="1">
        <v>0</v>
      </c>
      <c r="DI51" s="1">
        <v>0</v>
      </c>
      <c r="DJ51" s="1">
        <v>0</v>
      </c>
      <c r="DK51" s="1">
        <v>0</v>
      </c>
      <c r="DL51" s="1">
        <v>0</v>
      </c>
      <c r="DM51" s="1">
        <v>0</v>
      </c>
      <c r="DN51" s="1">
        <v>0.96893304616418485</v>
      </c>
      <c r="DO51" s="1">
        <v>0</v>
      </c>
      <c r="DP51" s="1">
        <v>0</v>
      </c>
      <c r="DQ51" s="1">
        <v>0</v>
      </c>
      <c r="DR51" s="1">
        <v>0</v>
      </c>
      <c r="DS51" s="1">
        <v>0</v>
      </c>
      <c r="DT51" s="1">
        <v>0</v>
      </c>
      <c r="DU51" s="1">
        <v>0</v>
      </c>
      <c r="DV51" s="1">
        <v>0</v>
      </c>
      <c r="DW51" s="1">
        <v>0</v>
      </c>
      <c r="DX51" s="1">
        <v>0</v>
      </c>
      <c r="DY51" s="1">
        <v>0</v>
      </c>
      <c r="DZ51" s="1">
        <v>0</v>
      </c>
      <c r="FT51" s="1" t="str">
        <f t="shared" si="33"/>
        <v/>
      </c>
      <c r="FU51" s="1" t="str">
        <f t="shared" si="33"/>
        <v/>
      </c>
      <c r="FV51" s="1" t="str">
        <f t="shared" si="33"/>
        <v/>
      </c>
      <c r="FW51" s="1" t="str">
        <f t="shared" si="33"/>
        <v/>
      </c>
      <c r="FX51" s="1" t="str">
        <f t="shared" si="33"/>
        <v/>
      </c>
      <c r="FY51" s="1" t="str">
        <f t="shared" si="33"/>
        <v/>
      </c>
      <c r="FZ51" s="1" t="str">
        <f t="shared" si="33"/>
        <v/>
      </c>
      <c r="GA51" s="1" t="str">
        <f t="shared" si="33"/>
        <v/>
      </c>
      <c r="GB51" s="1" t="str">
        <f t="shared" si="33"/>
        <v/>
      </c>
      <c r="GC51" s="1" t="str">
        <f t="shared" si="33"/>
        <v/>
      </c>
      <c r="GD51" s="1" t="str">
        <f t="shared" si="33"/>
        <v/>
      </c>
      <c r="GE51" s="1" t="str">
        <f t="shared" si="33"/>
        <v/>
      </c>
      <c r="GF51" s="1" t="str">
        <f t="shared" si="33"/>
        <v/>
      </c>
      <c r="GG51" s="1" t="str">
        <f t="shared" si="33"/>
        <v/>
      </c>
      <c r="GH51" s="1" t="str">
        <f t="shared" si="33"/>
        <v/>
      </c>
      <c r="GI51" s="1" t="str">
        <f t="shared" si="32"/>
        <v/>
      </c>
      <c r="GJ51" s="1" t="str">
        <f t="shared" si="31"/>
        <v/>
      </c>
      <c r="GK51" s="1" t="str">
        <f t="shared" si="31"/>
        <v/>
      </c>
      <c r="GL51" s="1" t="str">
        <f t="shared" si="31"/>
        <v/>
      </c>
      <c r="GM51" s="1" t="str">
        <f t="shared" si="31"/>
        <v/>
      </c>
      <c r="GN51" s="1" t="str">
        <f t="shared" si="31"/>
        <v/>
      </c>
      <c r="GO51" s="1" t="str">
        <f t="shared" si="31"/>
        <v/>
      </c>
      <c r="GP51" s="1" t="str">
        <f t="shared" si="31"/>
        <v/>
      </c>
      <c r="GQ51" s="1" t="str">
        <f t="shared" si="31"/>
        <v/>
      </c>
      <c r="GR51" s="1" t="str">
        <f t="shared" si="31"/>
        <v/>
      </c>
      <c r="GS51" s="1" t="str">
        <f t="shared" si="31"/>
        <v/>
      </c>
      <c r="GT51" s="1" t="str">
        <f t="shared" si="31"/>
        <v/>
      </c>
      <c r="GU51" s="1" t="str">
        <f t="shared" si="31"/>
        <v/>
      </c>
      <c r="GV51" s="1" t="str">
        <f t="shared" si="31"/>
        <v/>
      </c>
      <c r="GW51" s="1" t="str">
        <f t="shared" si="31"/>
        <v/>
      </c>
      <c r="GX51" s="1" t="str">
        <f t="shared" si="31"/>
        <v/>
      </c>
      <c r="GY51" s="1" t="str">
        <f t="shared" si="31"/>
        <v/>
      </c>
      <c r="GZ51" s="1" t="str">
        <f t="shared" ref="GZ51:HO71" si="38">IF(DD51&gt;0.0001,CONCATENATE(DD$2,"; "),"")</f>
        <v xml:space="preserve">New York; </v>
      </c>
      <c r="HA51" s="1" t="str">
        <f t="shared" si="38"/>
        <v/>
      </c>
      <c r="HB51" s="1" t="str">
        <f t="shared" si="38"/>
        <v/>
      </c>
      <c r="HC51" s="1" t="str">
        <f t="shared" si="38"/>
        <v/>
      </c>
      <c r="HD51" s="1" t="str">
        <f t="shared" si="38"/>
        <v/>
      </c>
      <c r="HE51" s="1" t="str">
        <f t="shared" si="38"/>
        <v/>
      </c>
      <c r="HF51" s="1" t="str">
        <f t="shared" si="38"/>
        <v/>
      </c>
      <c r="HG51" s="1" t="str">
        <f t="shared" si="38"/>
        <v/>
      </c>
      <c r="HH51" s="1" t="str">
        <f t="shared" si="38"/>
        <v/>
      </c>
      <c r="HI51" s="1" t="str">
        <f t="shared" si="38"/>
        <v/>
      </c>
      <c r="HJ51" s="1" t="str">
        <f t="shared" si="38"/>
        <v xml:space="preserve">Texas; </v>
      </c>
      <c r="HK51" s="1" t="str">
        <f t="shared" si="34"/>
        <v/>
      </c>
      <c r="HL51" s="1" t="str">
        <f t="shared" si="34"/>
        <v/>
      </c>
      <c r="HM51" s="1" t="str">
        <f t="shared" si="34"/>
        <v/>
      </c>
      <c r="HN51" s="1" t="str">
        <f t="shared" si="34"/>
        <v/>
      </c>
      <c r="HO51" s="1" t="str">
        <f t="shared" si="34"/>
        <v/>
      </c>
      <c r="HP51" s="1" t="str">
        <f t="shared" si="34"/>
        <v/>
      </c>
      <c r="HQ51" s="1" t="str">
        <f t="shared" si="34"/>
        <v/>
      </c>
      <c r="HR51" s="1" t="str">
        <f t="shared" si="34"/>
        <v/>
      </c>
      <c r="HS51" s="1" t="str">
        <f t="shared" si="34"/>
        <v/>
      </c>
      <c r="HT51" s="1" t="str">
        <f t="shared" si="34"/>
        <v/>
      </c>
      <c r="HU51" s="1" t="str">
        <f t="shared" si="34"/>
        <v/>
      </c>
      <c r="HV51" s="1" t="str">
        <f t="shared" si="34"/>
        <v/>
      </c>
      <c r="HW51" s="1" t="str">
        <f t="shared" si="34"/>
        <v/>
      </c>
      <c r="HX51" s="1" t="str">
        <f t="shared" si="34"/>
        <v/>
      </c>
      <c r="HY51" s="1" t="str">
        <f t="shared" si="34"/>
        <v/>
      </c>
      <c r="HZ51" s="1" t="str">
        <f t="shared" si="34"/>
        <v/>
      </c>
      <c r="IA51" s="1" t="str">
        <f t="shared" si="35"/>
        <v/>
      </c>
      <c r="IB51" s="1" t="str">
        <f t="shared" si="35"/>
        <v/>
      </c>
      <c r="IC51" s="1" t="str">
        <f t="shared" si="35"/>
        <v/>
      </c>
      <c r="ID51" s="1" t="str">
        <f t="shared" si="35"/>
        <v/>
      </c>
      <c r="IE51" s="1" t="str">
        <f t="shared" si="35"/>
        <v/>
      </c>
      <c r="IF51" s="1" t="str">
        <f t="shared" si="35"/>
        <v/>
      </c>
      <c r="IG51" s="1" t="str">
        <f t="shared" si="35"/>
        <v/>
      </c>
      <c r="IH51" s="1" t="str">
        <f t="shared" si="35"/>
        <v/>
      </c>
      <c r="II51" s="1" t="str">
        <f t="shared" si="35"/>
        <v/>
      </c>
      <c r="IJ51" s="1" t="str">
        <f t="shared" si="35"/>
        <v/>
      </c>
      <c r="IK51" s="1" t="str">
        <f t="shared" si="35"/>
        <v/>
      </c>
      <c r="IL51" s="1" t="str">
        <f t="shared" si="35"/>
        <v/>
      </c>
      <c r="IM51" s="1" t="str">
        <f t="shared" si="35"/>
        <v/>
      </c>
      <c r="IN51" s="1" t="str">
        <f t="shared" si="35"/>
        <v/>
      </c>
      <c r="IO51" s="1" t="str">
        <f t="shared" si="35"/>
        <v/>
      </c>
      <c r="IP51" s="1" t="str">
        <f t="shared" si="35"/>
        <v/>
      </c>
      <c r="IQ51" s="1" t="str">
        <f t="shared" si="36"/>
        <v/>
      </c>
      <c r="IR51" s="1" t="str">
        <f t="shared" si="36"/>
        <v/>
      </c>
      <c r="IS51" s="1" t="str">
        <f t="shared" si="36"/>
        <v/>
      </c>
      <c r="IT51" s="1" t="str">
        <f t="shared" si="36"/>
        <v/>
      </c>
      <c r="IU51" s="1" t="str">
        <f t="shared" si="36"/>
        <v/>
      </c>
      <c r="IV51" s="1" t="str">
        <f t="shared" si="36"/>
        <v/>
      </c>
      <c r="IW51" s="1" t="str">
        <f t="shared" si="36"/>
        <v/>
      </c>
      <c r="IX51" s="1" t="str">
        <f t="shared" si="36"/>
        <v/>
      </c>
      <c r="IY51" s="1" t="str">
        <f t="shared" si="36"/>
        <v/>
      </c>
      <c r="IZ51" s="1" t="str">
        <f t="shared" si="36"/>
        <v/>
      </c>
      <c r="JA51" s="1" t="str">
        <f t="shared" si="36"/>
        <v/>
      </c>
      <c r="JB51" s="1" t="str">
        <f t="shared" si="36"/>
        <v/>
      </c>
      <c r="JC51" s="1" t="str">
        <f t="shared" si="36"/>
        <v/>
      </c>
      <c r="JD51" s="1" t="str">
        <f t="shared" si="36"/>
        <v/>
      </c>
      <c r="JE51" s="1" t="str">
        <f t="shared" si="36"/>
        <v/>
      </c>
      <c r="JF51" s="1" t="str">
        <f t="shared" si="36"/>
        <v/>
      </c>
      <c r="JG51" s="1" t="str">
        <f t="shared" si="37"/>
        <v/>
      </c>
      <c r="JH51" s="1" t="str">
        <f t="shared" si="37"/>
        <v/>
      </c>
      <c r="JI51" s="1" t="str">
        <f t="shared" si="37"/>
        <v/>
      </c>
      <c r="JJ51" s="1" t="str">
        <f t="shared" si="30"/>
        <v/>
      </c>
      <c r="JK51" s="1" t="str">
        <f t="shared" si="30"/>
        <v/>
      </c>
      <c r="JL51" s="1" t="str">
        <f t="shared" si="24"/>
        <v/>
      </c>
      <c r="JM51" s="1" t="str">
        <f t="shared" si="12"/>
        <v/>
      </c>
      <c r="JN51" s="1" t="str">
        <f t="shared" si="12"/>
        <v/>
      </c>
      <c r="JO51" s="1" t="str">
        <f t="shared" si="12"/>
        <v/>
      </c>
    </row>
    <row r="52" spans="1:275" ht="14.5" x14ac:dyDescent="0.35">
      <c r="A52" s="59">
        <f>IF('Data input'!A52&lt;&gt;"",'Data input'!A52,"")</f>
        <v>50</v>
      </c>
      <c r="B52" s="60" t="str">
        <f>IF('Data input'!B52&lt;&gt;"",'Data input'!B52,"")</f>
        <v>Wyoming</v>
      </c>
      <c r="C52" s="19">
        <f>IF('Data input'!C52="","",4*('Data input'!C52-'Data input'!C$108)/('Data input'!C$109-'Data input'!C$108)+1)</f>
        <v>3.1225648601169125</v>
      </c>
      <c r="D52" s="19" t="str">
        <f>IF('Data input'!D52="","",4*('Data input'!D52-'Data input'!D$108)/('Data input'!D$109-'Data input'!D$108)+1)</f>
        <v/>
      </c>
      <c r="E52" s="19" t="str">
        <f>IF('Data input'!E52="","",4*('Data input'!E52-'Data input'!E$108)/('Data input'!E$109-'Data input'!E$108)+1)</f>
        <v/>
      </c>
      <c r="F52" s="19" t="str">
        <f>IF('Data input'!F52="","",4*('Data input'!F52-'Data input'!F$108)/('Data input'!F$109-'Data input'!F$108)+1)</f>
        <v/>
      </c>
      <c r="G52" s="19" t="str">
        <f>IF('Data input'!G52="","",4*('Data input'!G52-'Data input'!G$108)/('Data input'!G$109-'Data input'!G$108)+1)</f>
        <v/>
      </c>
      <c r="H52" s="61">
        <f>IF('Data input'!H52="","",4*('Data input'!H52-'Data input'!H$108)/('Data input'!H$109-'Data input'!H$108)+1)</f>
        <v>3.3063678655658033</v>
      </c>
      <c r="I52" s="19">
        <f>IF('Data input'!I52="","",4*('Data input'!I52-'Data input'!I$108)/('Data input'!I$109-'Data input'!I$108)+1)</f>
        <v>2.2605265098444067</v>
      </c>
      <c r="J52" s="19" t="str">
        <f>IF('Data input'!J52="","",4*('Data input'!J52-'Data input'!J$108)/('Data input'!J$109-'Data input'!J$108)+1)</f>
        <v/>
      </c>
      <c r="K52" s="19" t="str">
        <f>IF('Data input'!K52="","",4*('Data input'!K52-'Data input'!K$108)/('Data input'!K$109-'Data input'!K$108)+1)</f>
        <v/>
      </c>
      <c r="L52" s="19" t="str">
        <f>IF('Data input'!L52="","",4*('Data input'!L52-'Data input'!L$108)/('Data input'!L$109-'Data input'!L$108)+1)</f>
        <v/>
      </c>
      <c r="M52" s="19">
        <f>IF('Data input'!M52="","",4*('Data input'!M52-'Data input'!M$108)/('Data input'!M$109-'Data input'!M$108)+1)</f>
        <v>1.3506957548042415</v>
      </c>
      <c r="N52" s="16" t="str">
        <f>IF('Data input'!N52="","",4*('Data input'!N52-'Data input'!N$108)/('Data input'!N$109-'Data input'!N$108)+1)</f>
        <v/>
      </c>
      <c r="O52" s="19" t="str">
        <f>IF('Data input'!O52="","",4*('Data input'!O52-'Data input'!O$108)/('Data input'!O$109-'Data input'!O$108)+1)</f>
        <v/>
      </c>
      <c r="P52" s="19" t="str">
        <f>IF('Data input'!P52="","",4*('Data input'!P52-'Data input'!P$108)/('Data input'!P$109-'Data input'!P$108)+1)</f>
        <v/>
      </c>
      <c r="Q52" s="19" t="str">
        <f>IF('Data input'!Q52="","",4*('Data input'!Q52-'Data input'!Q$108)/('Data input'!Q$109-'Data input'!Q$108)+1)</f>
        <v/>
      </c>
      <c r="R52" s="19" t="str">
        <f>IF('Data input'!R52="","",4*('Data input'!R52-'Data input'!R$108)/('Data input'!R$109-'Data input'!R$108)+1)</f>
        <v/>
      </c>
      <c r="S52" s="16" t="str">
        <f>IF('Data input'!S52="","",4*('Data input'!S52-'Data input'!S$108)/('Data input'!S$109-'Data input'!S$108)+1)</f>
        <v/>
      </c>
      <c r="T52" s="19" t="str">
        <f>IF('Data input'!T52="","",4*('Data input'!T52-'Data input'!T$108)/('Data input'!T$109-'Data input'!T$108)+1)</f>
        <v/>
      </c>
      <c r="U52" s="19" t="str">
        <f>IF('Data input'!U52="","",4*('Data input'!U52-'Data input'!U$108)/('Data input'!U$109-'Data input'!U$108)+1)</f>
        <v/>
      </c>
      <c r="V52" s="19" t="str">
        <f>IF('Data input'!V52="","",4*('Data input'!V52-'Data input'!V$108)/('Data input'!V$109-'Data input'!V$108)+1)</f>
        <v/>
      </c>
      <c r="W52" s="16" t="str">
        <f>IF('Data input'!W52="","",4*('Data input'!W52-'Data input'!W$108)/('Data input'!W$109-'Data input'!W$108)+1)</f>
        <v/>
      </c>
      <c r="X52" s="16" t="str">
        <f>IF('Data input'!X52="","",4*('Data input'!X52-'Data input'!X$108)/('Data input'!X$109-'Data input'!X$108)+1)</f>
        <v/>
      </c>
      <c r="Y52" s="16" t="str">
        <f>IF('Data input'!Y52="","",4*('Data input'!Y52-'Data input'!Y$108)/('Data input'!Y$109-'Data input'!Y$108)+1)</f>
        <v/>
      </c>
      <c r="Z52" s="16" t="str">
        <f>IF('Data input'!Z52="","",4*('Data input'!Z52-'Data input'!Z$108)/('Data input'!Z$109-'Data input'!Z$108)+1)</f>
        <v/>
      </c>
      <c r="AA52" s="62" t="str">
        <f>IF('Data input'!AA52="","",4*('Data input'!AA52-'Data input'!AA$108)/('Data input'!AA$109-'Data input'!AA$108)+1)</f>
        <v/>
      </c>
      <c r="AB52" s="78"/>
      <c r="AC52" s="79">
        <v>0</v>
      </c>
      <c r="AD52" s="80" t="e">
        <f t="shared" si="13"/>
        <v>#DIV/0!</v>
      </c>
      <c r="AE52" s="4"/>
      <c r="AF52" s="59">
        <f t="shared" si="14"/>
        <v>50</v>
      </c>
      <c r="AG52" s="60" t="str">
        <f t="shared" si="14"/>
        <v>Wyoming</v>
      </c>
      <c r="AH52">
        <v>0</v>
      </c>
      <c r="AI52" t="s">
        <v>69</v>
      </c>
      <c r="AJ52" t="s">
        <v>69</v>
      </c>
      <c r="AK52" t="s">
        <v>69</v>
      </c>
      <c r="AL52" t="s">
        <v>69</v>
      </c>
      <c r="AM52">
        <v>1.8545882033535284</v>
      </c>
      <c r="AN52">
        <v>1.2053516659998138</v>
      </c>
      <c r="AO52" t="s">
        <v>69</v>
      </c>
      <c r="AP52" t="s">
        <v>69</v>
      </c>
      <c r="AQ52" t="s">
        <v>69</v>
      </c>
      <c r="AR52">
        <v>0.45293436198451076</v>
      </c>
      <c r="AS52" s="71">
        <f t="shared" si="15"/>
        <v>3.1225648601169125</v>
      </c>
      <c r="AT52" s="71" t="str">
        <f t="shared" si="15"/>
        <v/>
      </c>
      <c r="AU52" s="71" t="str">
        <f t="shared" si="15"/>
        <v/>
      </c>
      <c r="AV52" s="71" t="str">
        <f t="shared" si="15"/>
        <v/>
      </c>
      <c r="AW52" s="71" t="str">
        <f t="shared" si="15"/>
        <v/>
      </c>
      <c r="AX52" s="71">
        <f t="shared" si="16"/>
        <v>1.4517796622122749</v>
      </c>
      <c r="AY52" s="71">
        <f t="shared" si="16"/>
        <v>1.0551748438445929</v>
      </c>
      <c r="AZ52" s="71" t="str">
        <f t="shared" si="16"/>
        <v/>
      </c>
      <c r="BA52" s="71" t="str">
        <f t="shared" si="16"/>
        <v/>
      </c>
      <c r="BB52" s="71" t="str">
        <f t="shared" si="16"/>
        <v/>
      </c>
      <c r="BC52" s="18">
        <f>IF(C52&lt;&gt;"",(('Data input'!C$109-'Data input'!C$108)*(AS52-1)/4)+'Data input'!C$108,"")</f>
        <v>0.92812832619550523</v>
      </c>
      <c r="BD52" s="18" t="str">
        <f>IF(D52&lt;&gt;"",(('Data input'!D$109-'Data input'!D$108)*(AT52-1)/4)+'Data input'!D$108,"")</f>
        <v/>
      </c>
      <c r="BE52" s="18" t="str">
        <f>IF(E52&lt;&gt;"",(('Data input'!E$109-'Data input'!E$108)*(AU52-1)/4)+'Data input'!E$108,"")</f>
        <v/>
      </c>
      <c r="BF52" s="18" t="str">
        <f>IF(F52&lt;&gt;"",(('Data input'!F$109-'Data input'!F$108)*(AV52-1)/4)+'Data input'!F$108,"")</f>
        <v/>
      </c>
      <c r="BG52" s="18" t="str">
        <f>IF(G52&lt;&gt;"",(('Data input'!G$109-'Data input'!G$108)*(AW52-1)/4)+'Data input'!G$108,"")</f>
        <v/>
      </c>
      <c r="BH52" s="19">
        <f>IF(H52&lt;&gt;"",(('Data input'!H$109-'Data input'!H$108)*(AX52-1)/4)+'Data input'!H$108,"")</f>
        <v>10.134523737121118</v>
      </c>
      <c r="BI52" s="18">
        <f>IF(I52&lt;&gt;"",(('Data input'!I$109-'Data input'!I$108)*(AY52-1)/4)+'Data input'!I$108,"")</f>
        <v>2.4226431125331464E-3</v>
      </c>
      <c r="BJ52" s="19" t="str">
        <f>IF(J52&lt;&gt;"",(('Data input'!J$109-'Data input'!J$108)*(AZ52-1)/4)+'Data input'!J$108,"")</f>
        <v/>
      </c>
      <c r="BK52" s="19" t="str">
        <f>IF(K52&lt;&gt;"",(('Data input'!K$109-'Data input'!K$108)*(BA52-1)/4)+'Data input'!K$108,"")</f>
        <v/>
      </c>
      <c r="BL52" s="19" t="str">
        <f>IF(L52&lt;&gt;"",(('Data input'!L$109-'Data input'!L$108)*(BB52-1)/4)+'Data input'!L$108,"")</f>
        <v/>
      </c>
      <c r="BM52" s="18">
        <f>IF(C52&lt;&gt;"",BC52-'Data input'!C52,"")</f>
        <v>0</v>
      </c>
      <c r="BN52" s="18" t="str">
        <f>IF(D52&lt;&gt;"",BD52-'Data input'!D52,"")</f>
        <v/>
      </c>
      <c r="BO52" s="18" t="str">
        <f>IF(E52&lt;&gt;"",BE52-'Data input'!E52,"")</f>
        <v/>
      </c>
      <c r="BP52" s="18" t="str">
        <f>IF(F52&lt;&gt;"",BF52-'Data input'!F52,"")</f>
        <v/>
      </c>
      <c r="BQ52" s="18" t="str">
        <f>IF(G52&lt;&gt;"",BG52-'Data input'!G52,"")</f>
        <v/>
      </c>
      <c r="BR52" s="19">
        <f>IF(H52&lt;&gt;"",BH52-'Data input'!H52,"")</f>
        <v>-40.388908131189979</v>
      </c>
      <c r="BS52" s="18">
        <f>IF(I52&lt;&gt;"",BI52-'Data input'!I52,"")</f>
        <v>-5.2925150455155709E-2</v>
      </c>
      <c r="BT52" s="18" t="str">
        <f>IF(J52&lt;&gt;"",BJ52-'Data input'!J52,"")</f>
        <v/>
      </c>
      <c r="BU52" s="18" t="str">
        <f>IF(K52&lt;&gt;"",BK52-'Data input'!K52,"")</f>
        <v/>
      </c>
      <c r="BV52" s="72" t="str">
        <f>IF(L52&lt;&gt;"",BL52-'Data input'!L52,"")</f>
        <v/>
      </c>
      <c r="BW52" s="121" t="str">
        <f t="shared" si="17"/>
        <v xml:space="preserve">Kansas; New York; West Virginia; </v>
      </c>
      <c r="BX52" s="1">
        <v>0</v>
      </c>
      <c r="BY52" s="1">
        <v>0</v>
      </c>
      <c r="BZ52" s="1">
        <v>0</v>
      </c>
      <c r="CA52" s="1">
        <v>0</v>
      </c>
      <c r="CB52" s="1">
        <v>0</v>
      </c>
      <c r="CC52" s="1">
        <v>0</v>
      </c>
      <c r="CD52" s="1">
        <v>0</v>
      </c>
      <c r="CE52" s="1">
        <v>0</v>
      </c>
      <c r="CF52" s="1">
        <v>0</v>
      </c>
      <c r="CG52" s="1">
        <v>0</v>
      </c>
      <c r="CH52" s="1">
        <v>0</v>
      </c>
      <c r="CI52" s="1">
        <v>0</v>
      </c>
      <c r="CJ52" s="1">
        <v>0</v>
      </c>
      <c r="CK52" s="1">
        <v>0</v>
      </c>
      <c r="CL52" s="1">
        <v>0</v>
      </c>
      <c r="CM52" s="1">
        <v>0</v>
      </c>
      <c r="CN52" s="1">
        <v>0.56854034338084825</v>
      </c>
      <c r="CO52" s="1">
        <v>0</v>
      </c>
      <c r="CP52" s="1">
        <v>0</v>
      </c>
      <c r="CQ52" s="1">
        <v>0</v>
      </c>
      <c r="CR52" s="1">
        <v>0</v>
      </c>
      <c r="CS52" s="1">
        <v>0</v>
      </c>
      <c r="CT52" s="1">
        <v>0</v>
      </c>
      <c r="CU52" s="1">
        <v>0</v>
      </c>
      <c r="CV52" s="1">
        <v>0</v>
      </c>
      <c r="CW52" s="1">
        <v>0</v>
      </c>
      <c r="CX52" s="1">
        <v>0</v>
      </c>
      <c r="CY52" s="1">
        <v>0</v>
      </c>
      <c r="CZ52" s="1">
        <v>0</v>
      </c>
      <c r="DA52" s="1">
        <v>0</v>
      </c>
      <c r="DB52" s="1">
        <v>0</v>
      </c>
      <c r="DC52" s="1">
        <v>0</v>
      </c>
      <c r="DD52" s="1">
        <v>9.7571785197051342E-2</v>
      </c>
      <c r="DE52" s="1">
        <v>0</v>
      </c>
      <c r="DF52" s="1">
        <v>0</v>
      </c>
      <c r="DG52" s="1">
        <v>0</v>
      </c>
      <c r="DH52" s="1">
        <v>0</v>
      </c>
      <c r="DI52" s="1">
        <v>0</v>
      </c>
      <c r="DJ52" s="1">
        <v>0</v>
      </c>
      <c r="DK52" s="1">
        <v>0</v>
      </c>
      <c r="DL52" s="1">
        <v>0</v>
      </c>
      <c r="DM52" s="1">
        <v>0</v>
      </c>
      <c r="DN52" s="1">
        <v>0</v>
      </c>
      <c r="DO52" s="1">
        <v>0</v>
      </c>
      <c r="DP52" s="1">
        <v>0</v>
      </c>
      <c r="DQ52" s="1">
        <v>0</v>
      </c>
      <c r="DR52" s="1">
        <v>0</v>
      </c>
      <c r="DS52" s="1">
        <v>0.33388787142210274</v>
      </c>
      <c r="DT52" s="1">
        <v>0</v>
      </c>
      <c r="DU52" s="1">
        <v>0</v>
      </c>
      <c r="DV52" s="1">
        <v>0</v>
      </c>
      <c r="DW52" s="1">
        <v>0</v>
      </c>
      <c r="DX52" s="1">
        <v>0</v>
      </c>
      <c r="DY52" s="1">
        <v>0</v>
      </c>
      <c r="DZ52" s="1">
        <v>0</v>
      </c>
      <c r="FT52" s="1" t="str">
        <f t="shared" si="33"/>
        <v/>
      </c>
      <c r="FU52" s="1" t="str">
        <f t="shared" si="33"/>
        <v/>
      </c>
      <c r="FV52" s="1" t="str">
        <f t="shared" si="33"/>
        <v/>
      </c>
      <c r="FW52" s="1" t="str">
        <f t="shared" si="33"/>
        <v/>
      </c>
      <c r="FX52" s="1" t="str">
        <f t="shared" si="33"/>
        <v/>
      </c>
      <c r="FY52" s="1" t="str">
        <f t="shared" si="33"/>
        <v/>
      </c>
      <c r="FZ52" s="1" t="str">
        <f t="shared" si="33"/>
        <v/>
      </c>
      <c r="GA52" s="1" t="str">
        <f t="shared" si="33"/>
        <v/>
      </c>
      <c r="GB52" s="1" t="str">
        <f t="shared" si="33"/>
        <v/>
      </c>
      <c r="GC52" s="1" t="str">
        <f t="shared" si="33"/>
        <v/>
      </c>
      <c r="GD52" s="1" t="str">
        <f t="shared" si="33"/>
        <v/>
      </c>
      <c r="GE52" s="1" t="str">
        <f t="shared" si="33"/>
        <v/>
      </c>
      <c r="GF52" s="1" t="str">
        <f t="shared" si="33"/>
        <v/>
      </c>
      <c r="GG52" s="1" t="str">
        <f t="shared" si="33"/>
        <v/>
      </c>
      <c r="GH52" s="1" t="str">
        <f t="shared" si="33"/>
        <v/>
      </c>
      <c r="GI52" s="1" t="str">
        <f t="shared" si="32"/>
        <v/>
      </c>
      <c r="GJ52" s="1" t="str">
        <f t="shared" si="31"/>
        <v xml:space="preserve">Kansas; </v>
      </c>
      <c r="GK52" s="1" t="str">
        <f t="shared" si="31"/>
        <v/>
      </c>
      <c r="GL52" s="1" t="str">
        <f t="shared" si="31"/>
        <v/>
      </c>
      <c r="GM52" s="1" t="str">
        <f t="shared" si="31"/>
        <v/>
      </c>
      <c r="GN52" s="1" t="str">
        <f t="shared" si="31"/>
        <v/>
      </c>
      <c r="GO52" s="1" t="str">
        <f t="shared" si="31"/>
        <v/>
      </c>
      <c r="GP52" s="1" t="str">
        <f t="shared" si="31"/>
        <v/>
      </c>
      <c r="GQ52" s="1" t="str">
        <f t="shared" si="31"/>
        <v/>
      </c>
      <c r="GR52" s="1" t="str">
        <f t="shared" si="31"/>
        <v/>
      </c>
      <c r="GS52" s="1" t="str">
        <f t="shared" si="31"/>
        <v/>
      </c>
      <c r="GT52" s="1" t="str">
        <f t="shared" si="31"/>
        <v/>
      </c>
      <c r="GU52" s="1" t="str">
        <f t="shared" si="31"/>
        <v/>
      </c>
      <c r="GV52" s="1" t="str">
        <f t="shared" si="31"/>
        <v/>
      </c>
      <c r="GW52" s="1" t="str">
        <f t="shared" si="31"/>
        <v/>
      </c>
      <c r="GX52" s="1" t="str">
        <f t="shared" si="31"/>
        <v/>
      </c>
      <c r="GY52" s="1" t="str">
        <f t="shared" ref="GY52:HN86" si="39">IF(DC52&gt;0.0001,CONCATENATE(DC$2,"; "),"")</f>
        <v/>
      </c>
      <c r="GZ52" s="1" t="str">
        <f t="shared" si="38"/>
        <v xml:space="preserve">New York; </v>
      </c>
      <c r="HA52" s="1" t="str">
        <f t="shared" si="38"/>
        <v/>
      </c>
      <c r="HB52" s="1" t="str">
        <f t="shared" si="38"/>
        <v/>
      </c>
      <c r="HC52" s="1" t="str">
        <f t="shared" si="38"/>
        <v/>
      </c>
      <c r="HD52" s="1" t="str">
        <f t="shared" si="38"/>
        <v/>
      </c>
      <c r="HE52" s="1" t="str">
        <f t="shared" si="38"/>
        <v/>
      </c>
      <c r="HF52" s="1" t="str">
        <f t="shared" si="38"/>
        <v/>
      </c>
      <c r="HG52" s="1" t="str">
        <f t="shared" si="38"/>
        <v/>
      </c>
      <c r="HH52" s="1" t="str">
        <f t="shared" si="38"/>
        <v/>
      </c>
      <c r="HI52" s="1" t="str">
        <f t="shared" si="38"/>
        <v/>
      </c>
      <c r="HJ52" s="1" t="str">
        <f t="shared" si="38"/>
        <v/>
      </c>
      <c r="HK52" s="1" t="str">
        <f t="shared" si="34"/>
        <v/>
      </c>
      <c r="HL52" s="1" t="str">
        <f t="shared" si="34"/>
        <v/>
      </c>
      <c r="HM52" s="1" t="str">
        <f t="shared" si="34"/>
        <v/>
      </c>
      <c r="HN52" s="1" t="str">
        <f t="shared" si="34"/>
        <v/>
      </c>
      <c r="HO52" s="1" t="str">
        <f t="shared" si="34"/>
        <v xml:space="preserve">West Virginia; </v>
      </c>
      <c r="HP52" s="1" t="str">
        <f t="shared" si="34"/>
        <v/>
      </c>
      <c r="HQ52" s="1" t="str">
        <f t="shared" si="34"/>
        <v/>
      </c>
      <c r="HR52" s="1" t="str">
        <f t="shared" si="34"/>
        <v/>
      </c>
      <c r="HS52" s="1" t="str">
        <f t="shared" si="34"/>
        <v/>
      </c>
      <c r="HT52" s="1" t="str">
        <f t="shared" si="34"/>
        <v/>
      </c>
      <c r="HU52" s="1" t="str">
        <f t="shared" si="34"/>
        <v/>
      </c>
      <c r="HV52" s="1" t="str">
        <f t="shared" si="34"/>
        <v/>
      </c>
      <c r="HW52" s="1" t="str">
        <f t="shared" si="34"/>
        <v/>
      </c>
      <c r="HX52" s="1" t="str">
        <f t="shared" si="34"/>
        <v/>
      </c>
      <c r="HY52" s="1" t="str">
        <f t="shared" si="34"/>
        <v/>
      </c>
      <c r="HZ52" s="1" t="str">
        <f t="shared" si="34"/>
        <v/>
      </c>
      <c r="IA52" s="1" t="str">
        <f t="shared" si="35"/>
        <v/>
      </c>
      <c r="IB52" s="1" t="str">
        <f t="shared" si="35"/>
        <v/>
      </c>
      <c r="IC52" s="1" t="str">
        <f t="shared" si="35"/>
        <v/>
      </c>
      <c r="ID52" s="1" t="str">
        <f t="shared" si="35"/>
        <v/>
      </c>
      <c r="IE52" s="1" t="str">
        <f t="shared" si="35"/>
        <v/>
      </c>
      <c r="IF52" s="1" t="str">
        <f t="shared" si="35"/>
        <v/>
      </c>
      <c r="IG52" s="1" t="str">
        <f t="shared" si="35"/>
        <v/>
      </c>
      <c r="IH52" s="1" t="str">
        <f t="shared" si="35"/>
        <v/>
      </c>
      <c r="II52" s="1" t="str">
        <f t="shared" si="35"/>
        <v/>
      </c>
      <c r="IJ52" s="1" t="str">
        <f t="shared" si="35"/>
        <v/>
      </c>
      <c r="IK52" s="1" t="str">
        <f t="shared" si="35"/>
        <v/>
      </c>
      <c r="IL52" s="1" t="str">
        <f t="shared" si="35"/>
        <v/>
      </c>
      <c r="IM52" s="1" t="str">
        <f t="shared" si="35"/>
        <v/>
      </c>
      <c r="IN52" s="1" t="str">
        <f t="shared" si="35"/>
        <v/>
      </c>
      <c r="IO52" s="1" t="str">
        <f t="shared" si="35"/>
        <v/>
      </c>
      <c r="IP52" s="1" t="str">
        <f t="shared" si="35"/>
        <v/>
      </c>
      <c r="IQ52" s="1" t="str">
        <f t="shared" si="36"/>
        <v/>
      </c>
      <c r="IR52" s="1" t="str">
        <f t="shared" si="36"/>
        <v/>
      </c>
      <c r="IS52" s="1" t="str">
        <f t="shared" si="36"/>
        <v/>
      </c>
      <c r="IT52" s="1" t="str">
        <f t="shared" si="36"/>
        <v/>
      </c>
      <c r="IU52" s="1" t="str">
        <f t="shared" si="36"/>
        <v/>
      </c>
      <c r="IV52" s="1" t="str">
        <f t="shared" si="36"/>
        <v/>
      </c>
      <c r="IW52" s="1" t="str">
        <f t="shared" si="36"/>
        <v/>
      </c>
      <c r="IX52" s="1" t="str">
        <f t="shared" si="36"/>
        <v/>
      </c>
      <c r="IY52" s="1" t="str">
        <f t="shared" si="36"/>
        <v/>
      </c>
      <c r="IZ52" s="1" t="str">
        <f t="shared" si="36"/>
        <v/>
      </c>
      <c r="JA52" s="1" t="str">
        <f t="shared" si="36"/>
        <v/>
      </c>
      <c r="JB52" s="1" t="str">
        <f t="shared" si="36"/>
        <v/>
      </c>
      <c r="JC52" s="1" t="str">
        <f t="shared" si="36"/>
        <v/>
      </c>
      <c r="JD52" s="1" t="str">
        <f t="shared" si="36"/>
        <v/>
      </c>
      <c r="JE52" s="1" t="str">
        <f t="shared" si="36"/>
        <v/>
      </c>
      <c r="JF52" s="1" t="str">
        <f t="shared" si="36"/>
        <v/>
      </c>
      <c r="JG52" s="1" t="str">
        <f t="shared" si="37"/>
        <v/>
      </c>
      <c r="JH52" s="1" t="str">
        <f t="shared" si="37"/>
        <v/>
      </c>
      <c r="JI52" s="1" t="str">
        <f t="shared" si="37"/>
        <v/>
      </c>
      <c r="JJ52" s="1" t="str">
        <f t="shared" si="30"/>
        <v/>
      </c>
      <c r="JK52" s="1" t="str">
        <f t="shared" si="30"/>
        <v/>
      </c>
      <c r="JL52" s="1" t="str">
        <f t="shared" si="24"/>
        <v/>
      </c>
      <c r="JM52" s="1" t="str">
        <f t="shared" si="12"/>
        <v/>
      </c>
      <c r="JN52" s="1" t="str">
        <f t="shared" si="12"/>
        <v/>
      </c>
      <c r="JO52" s="1" t="str">
        <f t="shared" si="12"/>
        <v/>
      </c>
    </row>
    <row r="53" spans="1:275" ht="14.5" x14ac:dyDescent="0.35">
      <c r="A53" s="59" t="str">
        <f>IF('Data input'!A53&lt;&gt;"",'Data input'!A53,"")</f>
        <v/>
      </c>
      <c r="B53" s="60" t="str">
        <f>IF('Data input'!B53&lt;&gt;"",'Data input'!B53,"")</f>
        <v/>
      </c>
      <c r="C53" s="19" t="str">
        <f>IF('Data input'!C53="","",4*('Data input'!C53-'Data input'!C$108)/('Data input'!C$109-'Data input'!C$108)+1)</f>
        <v/>
      </c>
      <c r="D53" s="19" t="str">
        <f>IF('Data input'!D53="","",4*('Data input'!D53-'Data input'!D$108)/('Data input'!D$109-'Data input'!D$108)+1)</f>
        <v/>
      </c>
      <c r="E53" s="19" t="str">
        <f>IF('Data input'!E53="","",4*('Data input'!E53-'Data input'!E$108)/('Data input'!E$109-'Data input'!E$108)+1)</f>
        <v/>
      </c>
      <c r="F53" s="19" t="str">
        <f>IF('Data input'!F53="","",4*('Data input'!F53-'Data input'!F$108)/('Data input'!F$109-'Data input'!F$108)+1)</f>
        <v/>
      </c>
      <c r="G53" s="19" t="str">
        <f>IF('Data input'!G53="","",4*('Data input'!G53-'Data input'!G$108)/('Data input'!G$109-'Data input'!G$108)+1)</f>
        <v/>
      </c>
      <c r="H53" s="61" t="str">
        <f>IF('Data input'!H53="","",4*('Data input'!H53-'Data input'!H$108)/('Data input'!H$109-'Data input'!H$108)+1)</f>
        <v/>
      </c>
      <c r="I53" s="19" t="str">
        <f>IF('Data input'!I53="","",4*('Data input'!I53-'Data input'!I$108)/('Data input'!I$109-'Data input'!I$108)+1)</f>
        <v/>
      </c>
      <c r="J53" s="19" t="str">
        <f>IF('Data input'!J53="","",4*('Data input'!J53-'Data input'!J$108)/('Data input'!J$109-'Data input'!J$108)+1)</f>
        <v/>
      </c>
      <c r="K53" s="19" t="str">
        <f>IF('Data input'!K53="","",4*('Data input'!K53-'Data input'!K$108)/('Data input'!K$109-'Data input'!K$108)+1)</f>
        <v/>
      </c>
      <c r="L53" s="19" t="str">
        <f>IF('Data input'!L53="","",4*('Data input'!L53-'Data input'!L$108)/('Data input'!L$109-'Data input'!L$108)+1)</f>
        <v/>
      </c>
      <c r="M53" s="19" t="str">
        <f>IF('Data input'!M53="","",4*('Data input'!M53-'Data input'!M$108)/('Data input'!M$109-'Data input'!M$108)+1)</f>
        <v/>
      </c>
      <c r="N53" s="16" t="str">
        <f>IF('Data input'!N53="","",4*('Data input'!N53-'Data input'!N$108)/('Data input'!N$109-'Data input'!N$108)+1)</f>
        <v/>
      </c>
      <c r="O53" s="19" t="str">
        <f>IF('Data input'!O53="","",4*('Data input'!O53-'Data input'!O$108)/('Data input'!O$109-'Data input'!O$108)+1)</f>
        <v/>
      </c>
      <c r="P53" s="19" t="str">
        <f>IF('Data input'!P53="","",4*('Data input'!P53-'Data input'!P$108)/('Data input'!P$109-'Data input'!P$108)+1)</f>
        <v/>
      </c>
      <c r="Q53" s="19" t="str">
        <f>IF('Data input'!Q53="","",4*('Data input'!Q53-'Data input'!Q$108)/('Data input'!Q$109-'Data input'!Q$108)+1)</f>
        <v/>
      </c>
      <c r="R53" s="19" t="str">
        <f>IF('Data input'!R53="","",4*('Data input'!R53-'Data input'!R$108)/('Data input'!R$109-'Data input'!R$108)+1)</f>
        <v/>
      </c>
      <c r="S53" s="16" t="str">
        <f>IF('Data input'!S53="","",4*('Data input'!S53-'Data input'!S$108)/('Data input'!S$109-'Data input'!S$108)+1)</f>
        <v/>
      </c>
      <c r="T53" s="19" t="str">
        <f>IF('Data input'!T53="","",4*('Data input'!T53-'Data input'!T$108)/('Data input'!T$109-'Data input'!T$108)+1)</f>
        <v/>
      </c>
      <c r="U53" s="19" t="str">
        <f>IF('Data input'!U53="","",4*('Data input'!U53-'Data input'!U$108)/('Data input'!U$109-'Data input'!U$108)+1)</f>
        <v/>
      </c>
      <c r="V53" s="19" t="str">
        <f>IF('Data input'!V53="","",4*('Data input'!V53-'Data input'!V$108)/('Data input'!V$109-'Data input'!V$108)+1)</f>
        <v/>
      </c>
      <c r="W53" s="16" t="str">
        <f>IF('Data input'!W53="","",4*('Data input'!W53-'Data input'!W$108)/('Data input'!W$109-'Data input'!W$108)+1)</f>
        <v/>
      </c>
      <c r="X53" s="16" t="str">
        <f>IF('Data input'!X53="","",4*('Data input'!X53-'Data input'!X$108)/('Data input'!X$109-'Data input'!X$108)+1)</f>
        <v/>
      </c>
      <c r="Y53" s="16" t="str">
        <f>IF('Data input'!Y53="","",4*('Data input'!Y53-'Data input'!Y$108)/('Data input'!Y$109-'Data input'!Y$108)+1)</f>
        <v/>
      </c>
      <c r="Z53" s="16" t="str">
        <f>IF('Data input'!Z53="","",4*('Data input'!Z53-'Data input'!Z$108)/('Data input'!Z$109-'Data input'!Z$108)+1)</f>
        <v/>
      </c>
      <c r="AA53" s="62" t="str">
        <f>IF('Data input'!AA53="","",4*('Data input'!AA53-'Data input'!AA$108)/('Data input'!AA$109-'Data input'!AA$108)+1)</f>
        <v/>
      </c>
      <c r="AB53" s="78"/>
      <c r="AC53" s="79">
        <v>0</v>
      </c>
      <c r="AD53" s="80" t="e">
        <f t="shared" si="13"/>
        <v>#DIV/0!</v>
      </c>
      <c r="AE53" s="4"/>
      <c r="AF53" s="59" t="str">
        <f t="shared" si="14"/>
        <v/>
      </c>
      <c r="AG53" s="60" t="str">
        <f t="shared" si="14"/>
        <v/>
      </c>
      <c r="AH53"/>
      <c r="AI53"/>
      <c r="AJ53"/>
      <c r="AK53"/>
      <c r="AL53"/>
      <c r="AM53"/>
      <c r="AN53"/>
      <c r="AO53"/>
      <c r="AP53"/>
      <c r="AQ53"/>
      <c r="AR53"/>
      <c r="AS53" s="71" t="str">
        <f t="shared" si="15"/>
        <v/>
      </c>
      <c r="AT53" s="71" t="str">
        <f t="shared" si="15"/>
        <v/>
      </c>
      <c r="AU53" s="71" t="str">
        <f t="shared" si="15"/>
        <v/>
      </c>
      <c r="AV53" s="71" t="str">
        <f t="shared" si="15"/>
        <v/>
      </c>
      <c r="AW53" s="71" t="str">
        <f t="shared" si="15"/>
        <v/>
      </c>
      <c r="AX53" s="71" t="str">
        <f t="shared" si="16"/>
        <v/>
      </c>
      <c r="AY53" s="71" t="str">
        <f t="shared" si="16"/>
        <v/>
      </c>
      <c r="AZ53" s="71" t="str">
        <f t="shared" si="16"/>
        <v/>
      </c>
      <c r="BA53" s="71" t="str">
        <f t="shared" si="16"/>
        <v/>
      </c>
      <c r="BB53" s="71" t="str">
        <f t="shared" si="16"/>
        <v/>
      </c>
      <c r="BC53" s="18" t="str">
        <f>IF(C53&lt;&gt;"",(('Data input'!C$109-'Data input'!C$108)*(AS53-1)/4)+'Data input'!C$108,"")</f>
        <v/>
      </c>
      <c r="BD53" s="18" t="str">
        <f>IF(D53&lt;&gt;"",(('Data input'!D$109-'Data input'!D$108)*(AT53-1)/4)+'Data input'!D$108,"")</f>
        <v/>
      </c>
      <c r="BE53" s="18" t="str">
        <f>IF(E53&lt;&gt;"",(('Data input'!E$109-'Data input'!E$108)*(AU53-1)/4)+'Data input'!E$108,"")</f>
        <v/>
      </c>
      <c r="BF53" s="18" t="str">
        <f>IF(F53&lt;&gt;"",(('Data input'!F$109-'Data input'!F$108)*(AV53-1)/4)+'Data input'!F$108,"")</f>
        <v/>
      </c>
      <c r="BG53" s="18" t="str">
        <f>IF(G53&lt;&gt;"",(('Data input'!G$109-'Data input'!G$108)*(AW53-1)/4)+'Data input'!G$108,"")</f>
        <v/>
      </c>
      <c r="BH53" s="19" t="str">
        <f>IF(H53&lt;&gt;"",(('Data input'!H$109-'Data input'!H$108)*(AX53-1)/4)+'Data input'!H$108,"")</f>
        <v/>
      </c>
      <c r="BI53" s="18" t="str">
        <f>IF(I53&lt;&gt;"",(('Data input'!I$109-'Data input'!I$108)*(AY53-1)/4)+'Data input'!I$108,"")</f>
        <v/>
      </c>
      <c r="BJ53" s="19" t="str">
        <f>IF(J53&lt;&gt;"",(('Data input'!J$109-'Data input'!J$108)*(AZ53-1)/4)+'Data input'!J$108,"")</f>
        <v/>
      </c>
      <c r="BK53" s="19" t="str">
        <f>IF(K53&lt;&gt;"",(('Data input'!K$109-'Data input'!K$108)*(BA53-1)/4)+'Data input'!K$108,"")</f>
        <v/>
      </c>
      <c r="BL53" s="19" t="str">
        <f>IF(L53&lt;&gt;"",(('Data input'!L$109-'Data input'!L$108)*(BB53-1)/4)+'Data input'!L$108,"")</f>
        <v/>
      </c>
      <c r="BM53" s="18" t="str">
        <f>IF(C53&lt;&gt;"",BC53-'Data input'!C53,"")</f>
        <v/>
      </c>
      <c r="BN53" s="18" t="str">
        <f>IF(D53&lt;&gt;"",BD53-'Data input'!D53,"")</f>
        <v/>
      </c>
      <c r="BO53" s="18" t="str">
        <f>IF(E53&lt;&gt;"",BE53-'Data input'!E53,"")</f>
        <v/>
      </c>
      <c r="BP53" s="18" t="str">
        <f>IF(F53&lt;&gt;"",BF53-'Data input'!F53,"")</f>
        <v/>
      </c>
      <c r="BQ53" s="18" t="str">
        <f>IF(G53&lt;&gt;"",BG53-'Data input'!G53,"")</f>
        <v/>
      </c>
      <c r="BR53" s="19" t="str">
        <f>IF(H53&lt;&gt;"",BH53-'Data input'!H53,"")</f>
        <v/>
      </c>
      <c r="BS53" s="18" t="str">
        <f>IF(I53&lt;&gt;"",BI53-'Data input'!I53,"")</f>
        <v/>
      </c>
      <c r="BT53" s="18" t="str">
        <f>IF(J53&lt;&gt;"",BJ53-'Data input'!J53,"")</f>
        <v/>
      </c>
      <c r="BU53" s="18" t="str">
        <f>IF(K53&lt;&gt;"",BK53-'Data input'!K53,"")</f>
        <v/>
      </c>
      <c r="BV53" s="72" t="str">
        <f>IF(L53&lt;&gt;"",BL53-'Data input'!L53,"")</f>
        <v/>
      </c>
      <c r="BW53" s="121" t="str">
        <f t="shared" si="17"/>
        <v xml:space="preserve">California; Illinois; </v>
      </c>
      <c r="BX53" s="1">
        <v>0</v>
      </c>
      <c r="BY53" s="1">
        <v>0</v>
      </c>
      <c r="BZ53" s="1">
        <v>0</v>
      </c>
      <c r="CA53" s="1">
        <v>0</v>
      </c>
      <c r="CB53" s="1">
        <v>0.75835723381855391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0.24164276618144609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0</v>
      </c>
      <c r="CX53" s="1">
        <v>0</v>
      </c>
      <c r="CY53" s="1">
        <v>0</v>
      </c>
      <c r="CZ53" s="1">
        <v>0</v>
      </c>
      <c r="DA53" s="1">
        <v>0</v>
      </c>
      <c r="DB53" s="1">
        <v>0</v>
      </c>
      <c r="DC53" s="1">
        <v>0</v>
      </c>
      <c r="DD53" s="1">
        <v>0</v>
      </c>
      <c r="DE53" s="1">
        <v>0</v>
      </c>
      <c r="DF53" s="1">
        <v>0</v>
      </c>
      <c r="DG53" s="1">
        <v>0</v>
      </c>
      <c r="DH53" s="1">
        <v>0</v>
      </c>
      <c r="DI53" s="1">
        <v>0</v>
      </c>
      <c r="DJ53" s="1">
        <v>0</v>
      </c>
      <c r="DK53" s="1">
        <v>0</v>
      </c>
      <c r="DL53" s="1">
        <v>0</v>
      </c>
      <c r="DM53" s="1">
        <v>0</v>
      </c>
      <c r="DN53" s="1">
        <v>0</v>
      </c>
      <c r="DO53" s="1">
        <v>0</v>
      </c>
      <c r="DP53" s="1">
        <v>0</v>
      </c>
      <c r="DQ53" s="1">
        <v>0</v>
      </c>
      <c r="DR53" s="1">
        <v>0</v>
      </c>
      <c r="DS53" s="1">
        <v>0</v>
      </c>
      <c r="DT53" s="1">
        <v>0</v>
      </c>
      <c r="DU53" s="1">
        <v>0</v>
      </c>
      <c r="DV53" s="1">
        <v>0</v>
      </c>
      <c r="DW53" s="1">
        <v>0</v>
      </c>
      <c r="DX53" s="1">
        <v>0</v>
      </c>
      <c r="DY53" s="1">
        <v>0</v>
      </c>
      <c r="DZ53" s="1">
        <v>0</v>
      </c>
      <c r="FT53" s="1" t="str">
        <f t="shared" si="33"/>
        <v/>
      </c>
      <c r="FU53" s="1" t="str">
        <f t="shared" si="33"/>
        <v/>
      </c>
      <c r="FV53" s="1" t="str">
        <f t="shared" si="33"/>
        <v/>
      </c>
      <c r="FW53" s="1" t="str">
        <f t="shared" si="33"/>
        <v/>
      </c>
      <c r="FX53" s="1" t="str">
        <f t="shared" si="33"/>
        <v xml:space="preserve">California; </v>
      </c>
      <c r="FY53" s="1" t="str">
        <f t="shared" si="33"/>
        <v/>
      </c>
      <c r="FZ53" s="1" t="str">
        <f t="shared" si="33"/>
        <v/>
      </c>
      <c r="GA53" s="1" t="str">
        <f t="shared" si="33"/>
        <v/>
      </c>
      <c r="GB53" s="1" t="str">
        <f t="shared" si="33"/>
        <v/>
      </c>
      <c r="GC53" s="1" t="str">
        <f t="shared" si="33"/>
        <v/>
      </c>
      <c r="GD53" s="1" t="str">
        <f t="shared" si="33"/>
        <v/>
      </c>
      <c r="GE53" s="1" t="str">
        <f t="shared" si="33"/>
        <v/>
      </c>
      <c r="GF53" s="1" t="str">
        <f t="shared" si="33"/>
        <v/>
      </c>
      <c r="GG53" s="1" t="str">
        <f t="shared" si="33"/>
        <v xml:space="preserve">Illinois; </v>
      </c>
      <c r="GH53" s="1" t="str">
        <f t="shared" si="33"/>
        <v/>
      </c>
      <c r="GI53" s="1" t="str">
        <f t="shared" si="32"/>
        <v/>
      </c>
      <c r="GJ53" s="1" t="str">
        <f t="shared" si="32"/>
        <v/>
      </c>
      <c r="GK53" s="1" t="str">
        <f t="shared" si="32"/>
        <v/>
      </c>
      <c r="GL53" s="1" t="str">
        <f t="shared" si="32"/>
        <v/>
      </c>
      <c r="GM53" s="1" t="str">
        <f t="shared" si="32"/>
        <v/>
      </c>
      <c r="GN53" s="1" t="str">
        <f t="shared" si="32"/>
        <v/>
      </c>
      <c r="GO53" s="1" t="str">
        <f t="shared" si="32"/>
        <v/>
      </c>
      <c r="GP53" s="1" t="str">
        <f t="shared" si="32"/>
        <v/>
      </c>
      <c r="GQ53" s="1" t="str">
        <f t="shared" si="32"/>
        <v/>
      </c>
      <c r="GR53" s="1" t="str">
        <f t="shared" si="32"/>
        <v/>
      </c>
      <c r="GS53" s="1" t="str">
        <f t="shared" si="32"/>
        <v/>
      </c>
      <c r="GT53" s="1" t="str">
        <f t="shared" si="32"/>
        <v/>
      </c>
      <c r="GU53" s="1" t="str">
        <f t="shared" si="32"/>
        <v/>
      </c>
      <c r="GV53" s="1" t="str">
        <f t="shared" si="32"/>
        <v/>
      </c>
      <c r="GW53" s="1" t="str">
        <f t="shared" si="32"/>
        <v/>
      </c>
      <c r="GX53" s="1" t="str">
        <f t="shared" si="32"/>
        <v/>
      </c>
      <c r="GY53" s="1" t="str">
        <f t="shared" si="39"/>
        <v/>
      </c>
      <c r="GZ53" s="1" t="str">
        <f t="shared" si="38"/>
        <v/>
      </c>
      <c r="HA53" s="1" t="str">
        <f t="shared" si="38"/>
        <v/>
      </c>
      <c r="HB53" s="1" t="str">
        <f t="shared" si="38"/>
        <v/>
      </c>
      <c r="HC53" s="1" t="str">
        <f t="shared" si="38"/>
        <v/>
      </c>
      <c r="HD53" s="1" t="str">
        <f t="shared" si="38"/>
        <v/>
      </c>
      <c r="HE53" s="1" t="str">
        <f t="shared" si="38"/>
        <v/>
      </c>
      <c r="HF53" s="1" t="str">
        <f t="shared" si="38"/>
        <v/>
      </c>
      <c r="HG53" s="1" t="str">
        <f t="shared" si="38"/>
        <v/>
      </c>
      <c r="HH53" s="1" t="str">
        <f t="shared" si="38"/>
        <v/>
      </c>
      <c r="HI53" s="1" t="str">
        <f t="shared" si="38"/>
        <v/>
      </c>
      <c r="HJ53" s="1" t="str">
        <f t="shared" si="38"/>
        <v/>
      </c>
      <c r="HK53" s="1" t="str">
        <f t="shared" si="34"/>
        <v/>
      </c>
      <c r="HL53" s="1" t="str">
        <f t="shared" si="34"/>
        <v/>
      </c>
      <c r="HM53" s="1" t="str">
        <f t="shared" si="34"/>
        <v/>
      </c>
      <c r="HN53" s="1" t="str">
        <f t="shared" si="34"/>
        <v/>
      </c>
      <c r="HO53" s="1" t="str">
        <f t="shared" si="34"/>
        <v/>
      </c>
      <c r="HP53" s="1" t="str">
        <f t="shared" si="34"/>
        <v/>
      </c>
      <c r="HQ53" s="1" t="str">
        <f t="shared" si="34"/>
        <v/>
      </c>
      <c r="HR53" s="1" t="str">
        <f t="shared" si="34"/>
        <v/>
      </c>
      <c r="HS53" s="1" t="str">
        <f t="shared" si="34"/>
        <v/>
      </c>
      <c r="HT53" s="1" t="str">
        <f t="shared" si="34"/>
        <v/>
      </c>
      <c r="HU53" s="1" t="str">
        <f t="shared" si="34"/>
        <v/>
      </c>
      <c r="HV53" s="1" t="str">
        <f t="shared" si="34"/>
        <v/>
      </c>
      <c r="HW53" s="1" t="str">
        <f t="shared" si="34"/>
        <v/>
      </c>
      <c r="HX53" s="1" t="str">
        <f t="shared" si="34"/>
        <v/>
      </c>
      <c r="HY53" s="1" t="str">
        <f t="shared" si="34"/>
        <v/>
      </c>
      <c r="HZ53" s="1" t="str">
        <f t="shared" si="34"/>
        <v/>
      </c>
      <c r="IA53" s="1" t="str">
        <f t="shared" si="35"/>
        <v/>
      </c>
      <c r="IB53" s="1" t="str">
        <f t="shared" si="35"/>
        <v/>
      </c>
      <c r="IC53" s="1" t="str">
        <f t="shared" si="35"/>
        <v/>
      </c>
      <c r="ID53" s="1" t="str">
        <f t="shared" si="35"/>
        <v/>
      </c>
      <c r="IE53" s="1" t="str">
        <f t="shared" si="35"/>
        <v/>
      </c>
      <c r="IF53" s="1" t="str">
        <f t="shared" si="35"/>
        <v/>
      </c>
      <c r="IG53" s="1" t="str">
        <f t="shared" si="35"/>
        <v/>
      </c>
      <c r="IH53" s="1" t="str">
        <f t="shared" si="35"/>
        <v/>
      </c>
      <c r="II53" s="1" t="str">
        <f t="shared" si="35"/>
        <v/>
      </c>
      <c r="IJ53" s="1" t="str">
        <f t="shared" si="35"/>
        <v/>
      </c>
      <c r="IK53" s="1" t="str">
        <f t="shared" si="35"/>
        <v/>
      </c>
      <c r="IL53" s="1" t="str">
        <f t="shared" si="35"/>
        <v/>
      </c>
      <c r="IM53" s="1" t="str">
        <f t="shared" si="35"/>
        <v/>
      </c>
      <c r="IN53" s="1" t="str">
        <f t="shared" si="35"/>
        <v/>
      </c>
      <c r="IO53" s="1" t="str">
        <f t="shared" si="35"/>
        <v/>
      </c>
      <c r="IP53" s="1" t="str">
        <f t="shared" si="35"/>
        <v/>
      </c>
      <c r="IQ53" s="1" t="str">
        <f t="shared" si="36"/>
        <v/>
      </c>
      <c r="IR53" s="1" t="str">
        <f t="shared" si="36"/>
        <v/>
      </c>
      <c r="IS53" s="1" t="str">
        <f t="shared" si="36"/>
        <v/>
      </c>
      <c r="IT53" s="1" t="str">
        <f t="shared" si="36"/>
        <v/>
      </c>
      <c r="IU53" s="1" t="str">
        <f t="shared" si="36"/>
        <v/>
      </c>
      <c r="IV53" s="1" t="str">
        <f t="shared" si="36"/>
        <v/>
      </c>
      <c r="IW53" s="1" t="str">
        <f t="shared" si="36"/>
        <v/>
      </c>
      <c r="IX53" s="1" t="str">
        <f t="shared" si="36"/>
        <v/>
      </c>
      <c r="IY53" s="1" t="str">
        <f t="shared" si="36"/>
        <v/>
      </c>
      <c r="IZ53" s="1" t="str">
        <f t="shared" si="36"/>
        <v/>
      </c>
      <c r="JA53" s="1" t="str">
        <f t="shared" si="36"/>
        <v/>
      </c>
      <c r="JB53" s="1" t="str">
        <f t="shared" si="36"/>
        <v/>
      </c>
      <c r="JC53" s="1" t="str">
        <f t="shared" si="36"/>
        <v/>
      </c>
      <c r="JD53" s="1" t="str">
        <f t="shared" si="36"/>
        <v/>
      </c>
      <c r="JE53" s="1" t="str">
        <f t="shared" si="36"/>
        <v/>
      </c>
      <c r="JF53" s="1" t="str">
        <f t="shared" si="36"/>
        <v/>
      </c>
      <c r="JG53" s="1" t="str">
        <f t="shared" si="37"/>
        <v/>
      </c>
      <c r="JH53" s="1" t="str">
        <f t="shared" si="37"/>
        <v/>
      </c>
      <c r="JI53" s="1" t="str">
        <f t="shared" si="37"/>
        <v/>
      </c>
      <c r="JJ53" s="1" t="str">
        <f t="shared" si="30"/>
        <v/>
      </c>
      <c r="JK53" s="1" t="str">
        <f t="shared" si="30"/>
        <v/>
      </c>
      <c r="JL53" s="1" t="str">
        <f t="shared" si="24"/>
        <v/>
      </c>
      <c r="JM53" s="1" t="str">
        <f t="shared" si="12"/>
        <v/>
      </c>
      <c r="JN53" s="1" t="str">
        <f t="shared" si="12"/>
        <v/>
      </c>
      <c r="JO53" s="1" t="str">
        <f t="shared" si="12"/>
        <v/>
      </c>
    </row>
    <row r="54" spans="1:275" ht="14.5" x14ac:dyDescent="0.35">
      <c r="A54" s="59" t="str">
        <f>IF('Data input'!A54&lt;&gt;"",'Data input'!A54,"")</f>
        <v/>
      </c>
      <c r="B54" s="60" t="str">
        <f>IF('Data input'!B54&lt;&gt;"",'Data input'!B54,"")</f>
        <v/>
      </c>
      <c r="C54" s="19" t="str">
        <f>IF('Data input'!C54="","",4*('Data input'!C54-'Data input'!C$108)/('Data input'!C$109-'Data input'!C$108)+1)</f>
        <v/>
      </c>
      <c r="D54" s="19" t="str">
        <f>IF('Data input'!D54="","",4*('Data input'!D54-'Data input'!D$108)/('Data input'!D$109-'Data input'!D$108)+1)</f>
        <v/>
      </c>
      <c r="E54" s="19" t="str">
        <f>IF('Data input'!E54="","",4*('Data input'!E54-'Data input'!E$108)/('Data input'!E$109-'Data input'!E$108)+1)</f>
        <v/>
      </c>
      <c r="F54" s="19" t="str">
        <f>IF('Data input'!F54="","",4*('Data input'!F54-'Data input'!F$108)/('Data input'!F$109-'Data input'!F$108)+1)</f>
        <v/>
      </c>
      <c r="G54" s="19" t="str">
        <f>IF('Data input'!G54="","",4*('Data input'!G54-'Data input'!G$108)/('Data input'!G$109-'Data input'!G$108)+1)</f>
        <v/>
      </c>
      <c r="H54" s="61" t="str">
        <f>IF('Data input'!H54="","",4*('Data input'!H54-'Data input'!H$108)/('Data input'!H$109-'Data input'!H$108)+1)</f>
        <v/>
      </c>
      <c r="I54" s="19" t="str">
        <f>IF('Data input'!I54="","",4*('Data input'!I54-'Data input'!I$108)/('Data input'!I$109-'Data input'!I$108)+1)</f>
        <v/>
      </c>
      <c r="J54" s="19" t="str">
        <f>IF('Data input'!J54="","",4*('Data input'!J54-'Data input'!J$108)/('Data input'!J$109-'Data input'!J$108)+1)</f>
        <v/>
      </c>
      <c r="K54" s="19" t="str">
        <f>IF('Data input'!K54="","",4*('Data input'!K54-'Data input'!K$108)/('Data input'!K$109-'Data input'!K$108)+1)</f>
        <v/>
      </c>
      <c r="L54" s="19" t="str">
        <f>IF('Data input'!L54="","",4*('Data input'!L54-'Data input'!L$108)/('Data input'!L$109-'Data input'!L$108)+1)</f>
        <v/>
      </c>
      <c r="M54" s="19" t="str">
        <f>IF('Data input'!M54="","",4*('Data input'!M54-'Data input'!M$108)/('Data input'!M$109-'Data input'!M$108)+1)</f>
        <v/>
      </c>
      <c r="N54" s="16" t="str">
        <f>IF('Data input'!N54="","",4*('Data input'!N54-'Data input'!N$108)/('Data input'!N$109-'Data input'!N$108)+1)</f>
        <v/>
      </c>
      <c r="O54" s="19" t="str">
        <f>IF('Data input'!O54="","",4*('Data input'!O54-'Data input'!O$108)/('Data input'!O$109-'Data input'!O$108)+1)</f>
        <v/>
      </c>
      <c r="P54" s="19" t="str">
        <f>IF('Data input'!P54="","",4*('Data input'!P54-'Data input'!P$108)/('Data input'!P$109-'Data input'!P$108)+1)</f>
        <v/>
      </c>
      <c r="Q54" s="19" t="str">
        <f>IF('Data input'!Q54="","",4*('Data input'!Q54-'Data input'!Q$108)/('Data input'!Q$109-'Data input'!Q$108)+1)</f>
        <v/>
      </c>
      <c r="R54" s="19" t="str">
        <f>IF('Data input'!R54="","",4*('Data input'!R54-'Data input'!R$108)/('Data input'!R$109-'Data input'!R$108)+1)</f>
        <v/>
      </c>
      <c r="S54" s="16" t="str">
        <f>IF('Data input'!S54="","",4*('Data input'!S54-'Data input'!S$108)/('Data input'!S$109-'Data input'!S$108)+1)</f>
        <v/>
      </c>
      <c r="T54" s="19" t="str">
        <f>IF('Data input'!T54="","",4*('Data input'!T54-'Data input'!T$108)/('Data input'!T$109-'Data input'!T$108)+1)</f>
        <v/>
      </c>
      <c r="U54" s="19" t="str">
        <f>IF('Data input'!U54="","",4*('Data input'!U54-'Data input'!U$108)/('Data input'!U$109-'Data input'!U$108)+1)</f>
        <v/>
      </c>
      <c r="V54" s="19" t="str">
        <f>IF('Data input'!V54="","",4*('Data input'!V54-'Data input'!V$108)/('Data input'!V$109-'Data input'!V$108)+1)</f>
        <v/>
      </c>
      <c r="W54" s="16" t="str">
        <f>IF('Data input'!W54="","",4*('Data input'!W54-'Data input'!W$108)/('Data input'!W$109-'Data input'!W$108)+1)</f>
        <v/>
      </c>
      <c r="X54" s="16" t="str">
        <f>IF('Data input'!X54="","",4*('Data input'!X54-'Data input'!X$108)/('Data input'!X$109-'Data input'!X$108)+1)</f>
        <v/>
      </c>
      <c r="Y54" s="16" t="str">
        <f>IF('Data input'!Y54="","",4*('Data input'!Y54-'Data input'!Y$108)/('Data input'!Y$109-'Data input'!Y$108)+1)</f>
        <v/>
      </c>
      <c r="Z54" s="16" t="str">
        <f>IF('Data input'!Z54="","",4*('Data input'!Z54-'Data input'!Z$108)/('Data input'!Z$109-'Data input'!Z$108)+1)</f>
        <v/>
      </c>
      <c r="AA54" s="62" t="str">
        <f>IF('Data input'!AA54="","",4*('Data input'!AA54-'Data input'!AA$108)/('Data input'!AA$109-'Data input'!AA$108)+1)</f>
        <v/>
      </c>
      <c r="AB54" s="78"/>
      <c r="AC54" s="79">
        <v>0</v>
      </c>
      <c r="AD54" s="80" t="e">
        <f t="shared" si="13"/>
        <v>#DIV/0!</v>
      </c>
      <c r="AE54" s="4"/>
      <c r="AF54" s="59" t="str">
        <f t="shared" si="14"/>
        <v/>
      </c>
      <c r="AG54" s="60" t="str">
        <f t="shared" si="14"/>
        <v/>
      </c>
      <c r="AH54"/>
      <c r="AI54"/>
      <c r="AJ54"/>
      <c r="AK54"/>
      <c r="AL54"/>
      <c r="AM54"/>
      <c r="AN54"/>
      <c r="AO54"/>
      <c r="AP54"/>
      <c r="AQ54"/>
      <c r="AR54"/>
      <c r="AS54" s="71" t="str">
        <f t="shared" si="15"/>
        <v/>
      </c>
      <c r="AT54" s="71" t="str">
        <f t="shared" si="15"/>
        <v/>
      </c>
      <c r="AU54" s="71" t="str">
        <f t="shared" si="15"/>
        <v/>
      </c>
      <c r="AV54" s="71" t="str">
        <f t="shared" si="15"/>
        <v/>
      </c>
      <c r="AW54" s="71" t="str">
        <f t="shared" si="15"/>
        <v/>
      </c>
      <c r="AX54" s="71" t="str">
        <f t="shared" si="16"/>
        <v/>
      </c>
      <c r="AY54" s="71" t="str">
        <f t="shared" si="16"/>
        <v/>
      </c>
      <c r="AZ54" s="71" t="str">
        <f t="shared" si="16"/>
        <v/>
      </c>
      <c r="BA54" s="71" t="str">
        <f t="shared" si="16"/>
        <v/>
      </c>
      <c r="BB54" s="71" t="str">
        <f t="shared" si="16"/>
        <v/>
      </c>
      <c r="BC54" s="18" t="str">
        <f>IF(C54&lt;&gt;"",(('Data input'!C$109-'Data input'!C$108)*(AS54-1)/4)+'Data input'!C$108,"")</f>
        <v/>
      </c>
      <c r="BD54" s="18" t="str">
        <f>IF(D54&lt;&gt;"",(('Data input'!D$109-'Data input'!D$108)*(AT54-1)/4)+'Data input'!D$108,"")</f>
        <v/>
      </c>
      <c r="BE54" s="18" t="str">
        <f>IF(E54&lt;&gt;"",(('Data input'!E$109-'Data input'!E$108)*(AU54-1)/4)+'Data input'!E$108,"")</f>
        <v/>
      </c>
      <c r="BF54" s="18" t="str">
        <f>IF(F54&lt;&gt;"",(('Data input'!F$109-'Data input'!F$108)*(AV54-1)/4)+'Data input'!F$108,"")</f>
        <v/>
      </c>
      <c r="BG54" s="18" t="str">
        <f>IF(G54&lt;&gt;"",(('Data input'!G$109-'Data input'!G$108)*(AW54-1)/4)+'Data input'!G$108,"")</f>
        <v/>
      </c>
      <c r="BH54" s="19" t="str">
        <f>IF(H54&lt;&gt;"",(('Data input'!H$109-'Data input'!H$108)*(AX54-1)/4)+'Data input'!H$108,"")</f>
        <v/>
      </c>
      <c r="BI54" s="18" t="str">
        <f>IF(I54&lt;&gt;"",(('Data input'!I$109-'Data input'!I$108)*(AY54-1)/4)+'Data input'!I$108,"")</f>
        <v/>
      </c>
      <c r="BJ54" s="19" t="str">
        <f>IF(J54&lt;&gt;"",(('Data input'!J$109-'Data input'!J$108)*(AZ54-1)/4)+'Data input'!J$108,"")</f>
        <v/>
      </c>
      <c r="BK54" s="19" t="str">
        <f>IF(K54&lt;&gt;"",(('Data input'!K$109-'Data input'!K$108)*(BA54-1)/4)+'Data input'!K$108,"")</f>
        <v/>
      </c>
      <c r="BL54" s="19" t="str">
        <f>IF(L54&lt;&gt;"",(('Data input'!L$109-'Data input'!L$108)*(BB54-1)/4)+'Data input'!L$108,"")</f>
        <v/>
      </c>
      <c r="BM54" s="18" t="str">
        <f>IF(C54&lt;&gt;"",BC54-'Data input'!C54,"")</f>
        <v/>
      </c>
      <c r="BN54" s="18" t="str">
        <f>IF(D54&lt;&gt;"",BD54-'Data input'!D54,"")</f>
        <v/>
      </c>
      <c r="BO54" s="18" t="str">
        <f>IF(E54&lt;&gt;"",BE54-'Data input'!E54,"")</f>
        <v/>
      </c>
      <c r="BP54" s="18" t="str">
        <f>IF(F54&lt;&gt;"",BF54-'Data input'!F54,"")</f>
        <v/>
      </c>
      <c r="BQ54" s="18" t="str">
        <f>IF(G54&lt;&gt;"",BG54-'Data input'!G54,"")</f>
        <v/>
      </c>
      <c r="BR54" s="19" t="str">
        <f>IF(H54&lt;&gt;"",BH54-'Data input'!H54,"")</f>
        <v/>
      </c>
      <c r="BS54" s="18" t="str">
        <f>IF(I54&lt;&gt;"",BI54-'Data input'!I54,"")</f>
        <v/>
      </c>
      <c r="BT54" s="18" t="str">
        <f>IF(J54&lt;&gt;"",BJ54-'Data input'!J54,"")</f>
        <v/>
      </c>
      <c r="BU54" s="18" t="str">
        <f>IF(K54&lt;&gt;"",BK54-'Data input'!K54,"")</f>
        <v/>
      </c>
      <c r="BV54" s="72" t="str">
        <f>IF(L54&lt;&gt;"",BL54-'Data input'!L54,"")</f>
        <v/>
      </c>
      <c r="BW54" s="121" t="str">
        <f t="shared" si="17"/>
        <v/>
      </c>
      <c r="FT54" s="1" t="str">
        <f t="shared" si="33"/>
        <v/>
      </c>
      <c r="FU54" s="1" t="str">
        <f t="shared" si="33"/>
        <v/>
      </c>
      <c r="FV54" s="1" t="str">
        <f t="shared" si="33"/>
        <v/>
      </c>
      <c r="FW54" s="1" t="str">
        <f t="shared" si="33"/>
        <v/>
      </c>
      <c r="FX54" s="1" t="str">
        <f t="shared" si="33"/>
        <v/>
      </c>
      <c r="FY54" s="1" t="str">
        <f t="shared" si="33"/>
        <v/>
      </c>
      <c r="FZ54" s="1" t="str">
        <f t="shared" si="33"/>
        <v/>
      </c>
      <c r="GA54" s="1" t="str">
        <f t="shared" si="33"/>
        <v/>
      </c>
      <c r="GB54" s="1" t="str">
        <f t="shared" si="33"/>
        <v/>
      </c>
      <c r="GC54" s="1" t="str">
        <f t="shared" si="33"/>
        <v/>
      </c>
      <c r="GD54" s="1" t="str">
        <f t="shared" si="33"/>
        <v/>
      </c>
      <c r="GE54" s="1" t="str">
        <f t="shared" si="33"/>
        <v/>
      </c>
      <c r="GF54" s="1" t="str">
        <f t="shared" si="33"/>
        <v/>
      </c>
      <c r="GG54" s="1" t="str">
        <f t="shared" si="33"/>
        <v/>
      </c>
      <c r="GH54" s="1" t="str">
        <f t="shared" si="33"/>
        <v/>
      </c>
      <c r="GI54" s="1" t="str">
        <f t="shared" si="32"/>
        <v/>
      </c>
      <c r="GJ54" s="1" t="str">
        <f t="shared" si="32"/>
        <v/>
      </c>
      <c r="GK54" s="1" t="str">
        <f t="shared" si="32"/>
        <v/>
      </c>
      <c r="GL54" s="1" t="str">
        <f t="shared" si="32"/>
        <v/>
      </c>
      <c r="GM54" s="1" t="str">
        <f t="shared" si="32"/>
        <v/>
      </c>
      <c r="GN54" s="1" t="str">
        <f t="shared" si="32"/>
        <v/>
      </c>
      <c r="GO54" s="1" t="str">
        <f t="shared" si="32"/>
        <v/>
      </c>
      <c r="GP54" s="1" t="str">
        <f t="shared" si="32"/>
        <v/>
      </c>
      <c r="GQ54" s="1" t="str">
        <f t="shared" si="32"/>
        <v/>
      </c>
      <c r="GR54" s="1" t="str">
        <f t="shared" si="32"/>
        <v/>
      </c>
      <c r="GS54" s="1" t="str">
        <f t="shared" si="32"/>
        <v/>
      </c>
      <c r="GT54" s="1" t="str">
        <f t="shared" si="32"/>
        <v/>
      </c>
      <c r="GU54" s="1" t="str">
        <f t="shared" si="32"/>
        <v/>
      </c>
      <c r="GV54" s="1" t="str">
        <f t="shared" si="32"/>
        <v/>
      </c>
      <c r="GW54" s="1" t="str">
        <f t="shared" si="32"/>
        <v/>
      </c>
      <c r="GX54" s="1" t="str">
        <f t="shared" si="32"/>
        <v/>
      </c>
      <c r="GY54" s="1" t="str">
        <f t="shared" si="39"/>
        <v/>
      </c>
      <c r="GZ54" s="1" t="str">
        <f t="shared" si="38"/>
        <v/>
      </c>
      <c r="HA54" s="1" t="str">
        <f t="shared" si="38"/>
        <v/>
      </c>
      <c r="HB54" s="1" t="str">
        <f t="shared" si="38"/>
        <v/>
      </c>
      <c r="HC54" s="1" t="str">
        <f t="shared" si="38"/>
        <v/>
      </c>
      <c r="HD54" s="1" t="str">
        <f t="shared" si="38"/>
        <v/>
      </c>
      <c r="HE54" s="1" t="str">
        <f t="shared" si="38"/>
        <v/>
      </c>
      <c r="HF54" s="1" t="str">
        <f t="shared" si="38"/>
        <v/>
      </c>
      <c r="HG54" s="1" t="str">
        <f t="shared" si="38"/>
        <v/>
      </c>
      <c r="HH54" s="1" t="str">
        <f t="shared" si="38"/>
        <v/>
      </c>
      <c r="HI54" s="1" t="str">
        <f t="shared" si="38"/>
        <v/>
      </c>
      <c r="HJ54" s="1" t="str">
        <f t="shared" si="38"/>
        <v/>
      </c>
      <c r="HK54" s="1" t="str">
        <f t="shared" si="34"/>
        <v/>
      </c>
      <c r="HL54" s="1" t="str">
        <f t="shared" si="34"/>
        <v/>
      </c>
      <c r="HM54" s="1" t="str">
        <f t="shared" si="34"/>
        <v/>
      </c>
      <c r="HN54" s="1" t="str">
        <f t="shared" si="34"/>
        <v/>
      </c>
      <c r="HO54" s="1" t="str">
        <f t="shared" si="34"/>
        <v/>
      </c>
      <c r="HP54" s="1" t="str">
        <f t="shared" si="34"/>
        <v/>
      </c>
      <c r="HQ54" s="1" t="str">
        <f t="shared" si="34"/>
        <v/>
      </c>
      <c r="HR54" s="1" t="str">
        <f t="shared" si="34"/>
        <v/>
      </c>
      <c r="HS54" s="1" t="str">
        <f t="shared" si="34"/>
        <v/>
      </c>
      <c r="HT54" s="1" t="str">
        <f t="shared" si="34"/>
        <v/>
      </c>
      <c r="HU54" s="1" t="str">
        <f t="shared" si="34"/>
        <v/>
      </c>
      <c r="HV54" s="1" t="str">
        <f t="shared" si="34"/>
        <v/>
      </c>
      <c r="HW54" s="1" t="str">
        <f t="shared" si="34"/>
        <v/>
      </c>
      <c r="HX54" s="1" t="str">
        <f t="shared" si="34"/>
        <v/>
      </c>
      <c r="HY54" s="1" t="str">
        <f t="shared" si="34"/>
        <v/>
      </c>
      <c r="HZ54" s="1" t="str">
        <f t="shared" si="34"/>
        <v/>
      </c>
      <c r="IA54" s="1" t="str">
        <f t="shared" si="35"/>
        <v/>
      </c>
      <c r="IB54" s="1" t="str">
        <f t="shared" si="35"/>
        <v/>
      </c>
      <c r="IC54" s="1" t="str">
        <f t="shared" si="35"/>
        <v/>
      </c>
      <c r="ID54" s="1" t="str">
        <f t="shared" si="35"/>
        <v/>
      </c>
      <c r="IE54" s="1" t="str">
        <f t="shared" si="35"/>
        <v/>
      </c>
      <c r="IF54" s="1" t="str">
        <f t="shared" si="35"/>
        <v/>
      </c>
      <c r="IG54" s="1" t="str">
        <f t="shared" si="35"/>
        <v/>
      </c>
      <c r="IH54" s="1" t="str">
        <f t="shared" si="35"/>
        <v/>
      </c>
      <c r="II54" s="1" t="str">
        <f t="shared" si="35"/>
        <v/>
      </c>
      <c r="IJ54" s="1" t="str">
        <f t="shared" si="35"/>
        <v/>
      </c>
      <c r="IK54" s="1" t="str">
        <f t="shared" si="35"/>
        <v/>
      </c>
      <c r="IL54" s="1" t="str">
        <f t="shared" si="35"/>
        <v/>
      </c>
      <c r="IM54" s="1" t="str">
        <f t="shared" si="35"/>
        <v/>
      </c>
      <c r="IN54" s="1" t="str">
        <f t="shared" si="35"/>
        <v/>
      </c>
      <c r="IO54" s="1" t="str">
        <f t="shared" si="35"/>
        <v/>
      </c>
      <c r="IP54" s="1" t="str">
        <f t="shared" si="35"/>
        <v/>
      </c>
      <c r="IQ54" s="1" t="str">
        <f t="shared" si="36"/>
        <v/>
      </c>
      <c r="IR54" s="1" t="str">
        <f t="shared" si="36"/>
        <v/>
      </c>
      <c r="IS54" s="1" t="str">
        <f t="shared" si="36"/>
        <v/>
      </c>
      <c r="IT54" s="1" t="str">
        <f t="shared" si="36"/>
        <v/>
      </c>
      <c r="IU54" s="1" t="str">
        <f t="shared" si="36"/>
        <v/>
      </c>
      <c r="IV54" s="1" t="str">
        <f t="shared" si="36"/>
        <v/>
      </c>
      <c r="IW54" s="1" t="str">
        <f t="shared" si="36"/>
        <v/>
      </c>
      <c r="IX54" s="1" t="str">
        <f t="shared" si="36"/>
        <v/>
      </c>
      <c r="IY54" s="1" t="str">
        <f t="shared" si="36"/>
        <v/>
      </c>
      <c r="IZ54" s="1" t="str">
        <f t="shared" si="36"/>
        <v/>
      </c>
      <c r="JA54" s="1" t="str">
        <f t="shared" si="36"/>
        <v/>
      </c>
      <c r="JB54" s="1" t="str">
        <f t="shared" si="36"/>
        <v/>
      </c>
      <c r="JC54" s="1" t="str">
        <f t="shared" si="36"/>
        <v/>
      </c>
      <c r="JD54" s="1" t="str">
        <f t="shared" si="36"/>
        <v/>
      </c>
      <c r="JE54" s="1" t="str">
        <f t="shared" si="36"/>
        <v/>
      </c>
      <c r="JF54" s="1" t="str">
        <f t="shared" si="36"/>
        <v/>
      </c>
      <c r="JG54" s="1" t="str">
        <f t="shared" si="37"/>
        <v/>
      </c>
      <c r="JH54" s="1" t="str">
        <f t="shared" si="37"/>
        <v/>
      </c>
      <c r="JI54" s="1" t="str">
        <f t="shared" si="37"/>
        <v/>
      </c>
      <c r="JJ54" s="1" t="str">
        <f t="shared" si="30"/>
        <v/>
      </c>
      <c r="JK54" s="1" t="str">
        <f t="shared" si="30"/>
        <v/>
      </c>
      <c r="JL54" s="1" t="str">
        <f t="shared" si="24"/>
        <v/>
      </c>
      <c r="JM54" s="1" t="str">
        <f t="shared" si="12"/>
        <v/>
      </c>
      <c r="JN54" s="1" t="str">
        <f t="shared" si="12"/>
        <v/>
      </c>
      <c r="JO54" s="1" t="str">
        <f t="shared" si="12"/>
        <v/>
      </c>
    </row>
    <row r="55" spans="1:275" ht="14.5" x14ac:dyDescent="0.35">
      <c r="A55" s="59" t="str">
        <f>IF('Data input'!A55&lt;&gt;"",'Data input'!A55,"")</f>
        <v/>
      </c>
      <c r="B55" s="15" t="str">
        <f>IF('Data input'!B55&lt;&gt;"",'Data input'!B55,"")</f>
        <v/>
      </c>
      <c r="C55" s="16" t="str">
        <f>IF('Data input'!C55="","",4*('Data input'!C55-'Data input'!C$108)/('Data input'!C$109-'Data input'!C$108)+1)</f>
        <v/>
      </c>
      <c r="D55" s="16" t="str">
        <f>IF('Data input'!D55="","",4*('Data input'!D55-'Data input'!D$108)/('Data input'!D$109-'Data input'!D$108)+1)</f>
        <v/>
      </c>
      <c r="E55" s="16" t="str">
        <f>IF('Data input'!E55="","",4*('Data input'!E55-'Data input'!E$108)/('Data input'!E$109-'Data input'!E$108)+1)</f>
        <v/>
      </c>
      <c r="F55" s="16" t="str">
        <f>IF('Data input'!F55="","",4*('Data input'!F55-'Data input'!F$108)/('Data input'!F$109-'Data input'!F$108)+1)</f>
        <v/>
      </c>
      <c r="G55" s="16" t="str">
        <f>IF('Data input'!G55="","",4*('Data input'!G55-'Data input'!G$108)/('Data input'!G$109-'Data input'!G$108)+1)</f>
        <v/>
      </c>
      <c r="H55" s="16" t="str">
        <f>IF('Data input'!H55="","",4*('Data input'!H55-'Data input'!H$108)/('Data input'!H$109-'Data input'!H$108)+1)</f>
        <v/>
      </c>
      <c r="I55" s="19" t="str">
        <f>IF('Data input'!I55="","",4*('Data input'!I55-'Data input'!I$108)/('Data input'!I$109-'Data input'!I$108)+1)</f>
        <v/>
      </c>
      <c r="J55" s="19" t="str">
        <f>IF('Data input'!J55="","",4*('Data input'!J55-'Data input'!J$108)/('Data input'!J$109-'Data input'!J$108)+1)</f>
        <v/>
      </c>
      <c r="K55" s="19" t="str">
        <f>IF('Data input'!K55="","",4*('Data input'!K55-'Data input'!K$108)/('Data input'!K$109-'Data input'!K$108)+1)</f>
        <v/>
      </c>
      <c r="L55" s="19" t="str">
        <f>IF('Data input'!L55="","",4*('Data input'!L55-'Data input'!L$108)/('Data input'!L$109-'Data input'!L$108)+1)</f>
        <v/>
      </c>
      <c r="M55" s="16" t="str">
        <f>IF('Data input'!M55="","",4*('Data input'!M55-'Data input'!M$108)/('Data input'!M$109-'Data input'!M$108)+1)</f>
        <v/>
      </c>
      <c r="N55" s="16" t="str">
        <f>IF('Data input'!N55="","",4*('Data input'!N55-'Data input'!N$108)/('Data input'!N$109-'Data input'!N$108)+1)</f>
        <v/>
      </c>
      <c r="O55" s="16" t="str">
        <f>IF('Data input'!O55="","",4*('Data input'!O55-'Data input'!O$108)/('Data input'!O$109-'Data input'!O$108)+1)</f>
        <v/>
      </c>
      <c r="P55" s="16" t="str">
        <f>IF('Data input'!P55="","",4*('Data input'!P55-'Data input'!P$108)/('Data input'!P$109-'Data input'!P$108)+1)</f>
        <v/>
      </c>
      <c r="Q55" s="16" t="str">
        <f>IF('Data input'!Q55="","",4*('Data input'!Q55-'Data input'!Q$108)/('Data input'!Q$109-'Data input'!Q$108)+1)</f>
        <v/>
      </c>
      <c r="R55" s="16" t="str">
        <f>IF('Data input'!R55="","",4*('Data input'!R55-'Data input'!R$108)/('Data input'!R$109-'Data input'!R$108)+1)</f>
        <v/>
      </c>
      <c r="S55" s="16" t="str">
        <f>IF('Data input'!S55="","",4*('Data input'!S55-'Data input'!S$108)/('Data input'!S$109-'Data input'!S$108)+1)</f>
        <v/>
      </c>
      <c r="T55" s="16" t="str">
        <f>IF('Data input'!T55="","",4*('Data input'!T55-'Data input'!T$108)/('Data input'!T$109-'Data input'!T$108)+1)</f>
        <v/>
      </c>
      <c r="U55" s="16" t="str">
        <f>IF('Data input'!U55="","",4*('Data input'!U55-'Data input'!U$108)/('Data input'!U$109-'Data input'!U$108)+1)</f>
        <v/>
      </c>
      <c r="V55" s="16" t="str">
        <f>IF('Data input'!V55="","",4*('Data input'!V55-'Data input'!V$108)/('Data input'!V$109-'Data input'!V$108)+1)</f>
        <v/>
      </c>
      <c r="W55" s="16" t="str">
        <f>IF('Data input'!W55="","",4*('Data input'!W55-'Data input'!W$108)/('Data input'!W$109-'Data input'!W$108)+1)</f>
        <v/>
      </c>
      <c r="X55" s="16" t="str">
        <f>IF('Data input'!X55="","",4*('Data input'!X55-'Data input'!X$108)/('Data input'!X$109-'Data input'!X$108)+1)</f>
        <v/>
      </c>
      <c r="Y55" s="16" t="str">
        <f>IF('Data input'!Y55="","",4*('Data input'!Y55-'Data input'!Y$108)/('Data input'!Y$109-'Data input'!Y$108)+1)</f>
        <v/>
      </c>
      <c r="Z55" s="16" t="str">
        <f>IF('Data input'!Z55="","",4*('Data input'!Z55-'Data input'!Z$108)/('Data input'!Z$109-'Data input'!Z$108)+1)</f>
        <v/>
      </c>
      <c r="AA55" s="62" t="str">
        <f>IF('Data input'!AA55="","",4*('Data input'!AA55-'Data input'!AA$108)/('Data input'!AA$109-'Data input'!AA$108)+1)</f>
        <v/>
      </c>
      <c r="AB55" s="78"/>
      <c r="AC55" s="79">
        <v>0</v>
      </c>
      <c r="AD55" s="80" t="e">
        <f t="shared" si="13"/>
        <v>#DIV/0!</v>
      </c>
      <c r="AE55" s="4"/>
      <c r="AF55" s="59" t="str">
        <f t="shared" si="14"/>
        <v/>
      </c>
      <c r="AG55" s="60" t="str">
        <f t="shared" si="14"/>
        <v/>
      </c>
      <c r="AH55"/>
      <c r="AI55"/>
      <c r="AJ55"/>
      <c r="AK55"/>
      <c r="AL55"/>
      <c r="AM55"/>
      <c r="AN55"/>
      <c r="AO55"/>
      <c r="AP55"/>
      <c r="AQ55"/>
      <c r="AR55"/>
      <c r="AS55" s="71" t="str">
        <f t="shared" si="15"/>
        <v/>
      </c>
      <c r="AT55" s="71" t="str">
        <f t="shared" si="15"/>
        <v/>
      </c>
      <c r="AU55" s="71" t="str">
        <f t="shared" si="15"/>
        <v/>
      </c>
      <c r="AV55" s="71" t="str">
        <f t="shared" si="15"/>
        <v/>
      </c>
      <c r="AW55" s="71" t="str">
        <f t="shared" si="15"/>
        <v/>
      </c>
      <c r="AX55" s="71" t="str">
        <f t="shared" si="16"/>
        <v/>
      </c>
      <c r="AY55" s="71" t="str">
        <f t="shared" si="16"/>
        <v/>
      </c>
      <c r="AZ55" s="71" t="str">
        <f t="shared" si="16"/>
        <v/>
      </c>
      <c r="BA55" s="71" t="str">
        <f t="shared" si="16"/>
        <v/>
      </c>
      <c r="BB55" s="71" t="str">
        <f t="shared" si="16"/>
        <v/>
      </c>
      <c r="BC55" s="18" t="str">
        <f>IF(C55&lt;&gt;"",(('Data input'!C$109-'Data input'!C$108)*(AS55-1)/4)+'Data input'!C$108,"")</f>
        <v/>
      </c>
      <c r="BD55" s="18" t="str">
        <f>IF(D55&lt;&gt;"",(('Data input'!D$109-'Data input'!D$108)*(AT55-1)/4)+'Data input'!D$108,"")</f>
        <v/>
      </c>
      <c r="BE55" s="18" t="str">
        <f>IF(E55&lt;&gt;"",(('Data input'!E$109-'Data input'!E$108)*(AU55-1)/4)+'Data input'!E$108,"")</f>
        <v/>
      </c>
      <c r="BF55" s="18" t="str">
        <f>IF(F55&lt;&gt;"",(('Data input'!F$109-'Data input'!F$108)*(AV55-1)/4)+'Data input'!F$108,"")</f>
        <v/>
      </c>
      <c r="BG55" s="18" t="str">
        <f>IF(G55&lt;&gt;"",(('Data input'!G$109-'Data input'!G$108)*(AW55-1)/4)+'Data input'!G$108,"")</f>
        <v/>
      </c>
      <c r="BH55" s="19" t="str">
        <f>IF(H55&lt;&gt;"",(('Data input'!H$109-'Data input'!H$108)*(AX55-1)/4)+'Data input'!H$108,"")</f>
        <v/>
      </c>
      <c r="BI55" s="18" t="str">
        <f>IF(I55&lt;&gt;"",(('Data input'!I$109-'Data input'!I$108)*(AY55-1)/4)+'Data input'!I$108,"")</f>
        <v/>
      </c>
      <c r="BJ55" s="19" t="str">
        <f>IF(J55&lt;&gt;"",(('Data input'!J$109-'Data input'!J$108)*(AZ55-1)/4)+'Data input'!J$108,"")</f>
        <v/>
      </c>
      <c r="BK55" s="19" t="str">
        <f>IF(K55&lt;&gt;"",(('Data input'!K$109-'Data input'!K$108)*(BA55-1)/4)+'Data input'!K$108,"")</f>
        <v/>
      </c>
      <c r="BL55" s="19" t="str">
        <f>IF(L55&lt;&gt;"",(('Data input'!L$109-'Data input'!L$108)*(BB55-1)/4)+'Data input'!L$108,"")</f>
        <v/>
      </c>
      <c r="BM55" s="18" t="str">
        <f>IF(C55&lt;&gt;"",BC55-'Data input'!C55,"")</f>
        <v/>
      </c>
      <c r="BN55" s="18" t="str">
        <f>IF(D55&lt;&gt;"",BD55-'Data input'!D55,"")</f>
        <v/>
      </c>
      <c r="BO55" s="18" t="str">
        <f>IF(E55&lt;&gt;"",BE55-'Data input'!E55,"")</f>
        <v/>
      </c>
      <c r="BP55" s="18" t="str">
        <f>IF(F55&lt;&gt;"",BF55-'Data input'!F55,"")</f>
        <v/>
      </c>
      <c r="BQ55" s="18" t="str">
        <f>IF(G55&lt;&gt;"",BG55-'Data input'!G55,"")</f>
        <v/>
      </c>
      <c r="BR55" s="19" t="str">
        <f>IF(H55&lt;&gt;"",BH55-'Data input'!H55,"")</f>
        <v/>
      </c>
      <c r="BS55" s="18" t="str">
        <f>IF(I55&lt;&gt;"",BI55-'Data input'!I55,"")</f>
        <v/>
      </c>
      <c r="BT55" s="18" t="str">
        <f>IF(J55&lt;&gt;"",BJ55-'Data input'!J55,"")</f>
        <v/>
      </c>
      <c r="BU55" s="18" t="str">
        <f>IF(K55&lt;&gt;"",BK55-'Data input'!K55,"")</f>
        <v/>
      </c>
      <c r="BV55" s="72" t="str">
        <f>IF(L55&lt;&gt;"",BL55-'Data input'!L55,"")</f>
        <v/>
      </c>
      <c r="BW55" s="121" t="str">
        <f t="shared" si="17"/>
        <v/>
      </c>
      <c r="FT55" s="1" t="str">
        <f t="shared" si="33"/>
        <v/>
      </c>
      <c r="FU55" s="1" t="str">
        <f t="shared" si="33"/>
        <v/>
      </c>
      <c r="FV55" s="1" t="str">
        <f t="shared" si="33"/>
        <v/>
      </c>
      <c r="FW55" s="1" t="str">
        <f t="shared" si="33"/>
        <v/>
      </c>
      <c r="FX55" s="1" t="str">
        <f t="shared" si="33"/>
        <v/>
      </c>
      <c r="FY55" s="1" t="str">
        <f t="shared" si="33"/>
        <v/>
      </c>
      <c r="FZ55" s="1" t="str">
        <f t="shared" si="33"/>
        <v/>
      </c>
      <c r="GA55" s="1" t="str">
        <f t="shared" si="33"/>
        <v/>
      </c>
      <c r="GB55" s="1" t="str">
        <f t="shared" si="33"/>
        <v/>
      </c>
      <c r="GC55" s="1" t="str">
        <f t="shared" si="33"/>
        <v/>
      </c>
      <c r="GD55" s="1" t="str">
        <f t="shared" si="33"/>
        <v/>
      </c>
      <c r="GE55" s="1" t="str">
        <f t="shared" si="33"/>
        <v/>
      </c>
      <c r="GF55" s="1" t="str">
        <f t="shared" si="33"/>
        <v/>
      </c>
      <c r="GG55" s="1" t="str">
        <f t="shared" si="33"/>
        <v/>
      </c>
      <c r="GH55" s="1" t="str">
        <f t="shared" si="33"/>
        <v/>
      </c>
      <c r="GI55" s="1" t="str">
        <f t="shared" si="32"/>
        <v/>
      </c>
      <c r="GJ55" s="1" t="str">
        <f t="shared" si="32"/>
        <v/>
      </c>
      <c r="GK55" s="1" t="str">
        <f t="shared" si="32"/>
        <v/>
      </c>
      <c r="GL55" s="1" t="str">
        <f t="shared" si="32"/>
        <v/>
      </c>
      <c r="GM55" s="1" t="str">
        <f t="shared" si="32"/>
        <v/>
      </c>
      <c r="GN55" s="1" t="str">
        <f t="shared" si="32"/>
        <v/>
      </c>
      <c r="GO55" s="1" t="str">
        <f t="shared" si="32"/>
        <v/>
      </c>
      <c r="GP55" s="1" t="str">
        <f t="shared" si="32"/>
        <v/>
      </c>
      <c r="GQ55" s="1" t="str">
        <f t="shared" si="32"/>
        <v/>
      </c>
      <c r="GR55" s="1" t="str">
        <f t="shared" si="32"/>
        <v/>
      </c>
      <c r="GS55" s="1" t="str">
        <f t="shared" si="32"/>
        <v/>
      </c>
      <c r="GT55" s="1" t="str">
        <f t="shared" si="32"/>
        <v/>
      </c>
      <c r="GU55" s="1" t="str">
        <f t="shared" si="32"/>
        <v/>
      </c>
      <c r="GV55" s="1" t="str">
        <f t="shared" si="32"/>
        <v/>
      </c>
      <c r="GW55" s="1" t="str">
        <f t="shared" si="32"/>
        <v/>
      </c>
      <c r="GX55" s="1" t="str">
        <f t="shared" si="32"/>
        <v/>
      </c>
      <c r="GY55" s="1" t="str">
        <f t="shared" si="39"/>
        <v/>
      </c>
      <c r="GZ55" s="1" t="str">
        <f t="shared" si="38"/>
        <v/>
      </c>
      <c r="HA55" s="1" t="str">
        <f t="shared" si="38"/>
        <v/>
      </c>
      <c r="HB55" s="1" t="str">
        <f t="shared" si="38"/>
        <v/>
      </c>
      <c r="HC55" s="1" t="str">
        <f t="shared" si="38"/>
        <v/>
      </c>
      <c r="HD55" s="1" t="str">
        <f t="shared" si="38"/>
        <v/>
      </c>
      <c r="HE55" s="1" t="str">
        <f t="shared" si="38"/>
        <v/>
      </c>
      <c r="HF55" s="1" t="str">
        <f t="shared" si="38"/>
        <v/>
      </c>
      <c r="HG55" s="1" t="str">
        <f t="shared" si="38"/>
        <v/>
      </c>
      <c r="HH55" s="1" t="str">
        <f t="shared" si="38"/>
        <v/>
      </c>
      <c r="HI55" s="1" t="str">
        <f t="shared" si="38"/>
        <v/>
      </c>
      <c r="HJ55" s="1" t="str">
        <f t="shared" si="38"/>
        <v/>
      </c>
      <c r="HK55" s="1" t="str">
        <f t="shared" si="34"/>
        <v/>
      </c>
      <c r="HL55" s="1" t="str">
        <f t="shared" si="34"/>
        <v/>
      </c>
      <c r="HM55" s="1" t="str">
        <f t="shared" si="34"/>
        <v/>
      </c>
      <c r="HN55" s="1" t="str">
        <f t="shared" si="34"/>
        <v/>
      </c>
      <c r="HO55" s="1" t="str">
        <f t="shared" si="34"/>
        <v/>
      </c>
      <c r="HP55" s="1" t="str">
        <f t="shared" si="34"/>
        <v/>
      </c>
      <c r="HQ55" s="1" t="str">
        <f t="shared" si="34"/>
        <v/>
      </c>
      <c r="HR55" s="1" t="str">
        <f t="shared" si="34"/>
        <v/>
      </c>
      <c r="HS55" s="1" t="str">
        <f t="shared" si="34"/>
        <v/>
      </c>
      <c r="HT55" s="1" t="str">
        <f t="shared" si="34"/>
        <v/>
      </c>
      <c r="HU55" s="1" t="str">
        <f t="shared" si="34"/>
        <v/>
      </c>
      <c r="HV55" s="1" t="str">
        <f t="shared" si="34"/>
        <v/>
      </c>
      <c r="HW55" s="1" t="str">
        <f t="shared" si="34"/>
        <v/>
      </c>
      <c r="HX55" s="1" t="str">
        <f t="shared" si="34"/>
        <v/>
      </c>
      <c r="HY55" s="1" t="str">
        <f t="shared" si="34"/>
        <v/>
      </c>
      <c r="HZ55" s="1" t="str">
        <f t="shared" si="34"/>
        <v/>
      </c>
      <c r="IA55" s="1" t="str">
        <f t="shared" si="35"/>
        <v/>
      </c>
      <c r="IB55" s="1" t="str">
        <f t="shared" si="35"/>
        <v/>
      </c>
      <c r="IC55" s="1" t="str">
        <f t="shared" si="35"/>
        <v/>
      </c>
      <c r="ID55" s="1" t="str">
        <f t="shared" si="35"/>
        <v/>
      </c>
      <c r="IE55" s="1" t="str">
        <f t="shared" si="35"/>
        <v/>
      </c>
      <c r="IF55" s="1" t="str">
        <f t="shared" si="35"/>
        <v/>
      </c>
      <c r="IG55" s="1" t="str">
        <f t="shared" si="35"/>
        <v/>
      </c>
      <c r="IH55" s="1" t="str">
        <f t="shared" si="35"/>
        <v/>
      </c>
      <c r="II55" s="1" t="str">
        <f t="shared" si="35"/>
        <v/>
      </c>
      <c r="IJ55" s="1" t="str">
        <f t="shared" si="35"/>
        <v/>
      </c>
      <c r="IK55" s="1" t="str">
        <f t="shared" si="35"/>
        <v/>
      </c>
      <c r="IL55" s="1" t="str">
        <f t="shared" si="35"/>
        <v/>
      </c>
      <c r="IM55" s="1" t="str">
        <f t="shared" si="35"/>
        <v/>
      </c>
      <c r="IN55" s="1" t="str">
        <f t="shared" si="35"/>
        <v/>
      </c>
      <c r="IO55" s="1" t="str">
        <f t="shared" si="35"/>
        <v/>
      </c>
      <c r="IP55" s="1" t="str">
        <f t="shared" si="35"/>
        <v/>
      </c>
      <c r="IQ55" s="1" t="str">
        <f t="shared" si="36"/>
        <v/>
      </c>
      <c r="IR55" s="1" t="str">
        <f t="shared" si="36"/>
        <v/>
      </c>
      <c r="IS55" s="1" t="str">
        <f t="shared" si="36"/>
        <v/>
      </c>
      <c r="IT55" s="1" t="str">
        <f t="shared" si="36"/>
        <v/>
      </c>
      <c r="IU55" s="1" t="str">
        <f t="shared" si="36"/>
        <v/>
      </c>
      <c r="IV55" s="1" t="str">
        <f t="shared" si="36"/>
        <v/>
      </c>
      <c r="IW55" s="1" t="str">
        <f t="shared" si="36"/>
        <v/>
      </c>
      <c r="IX55" s="1" t="str">
        <f t="shared" si="36"/>
        <v/>
      </c>
      <c r="IY55" s="1" t="str">
        <f t="shared" si="36"/>
        <v/>
      </c>
      <c r="IZ55" s="1" t="str">
        <f t="shared" si="36"/>
        <v/>
      </c>
      <c r="JA55" s="1" t="str">
        <f t="shared" si="36"/>
        <v/>
      </c>
      <c r="JB55" s="1" t="str">
        <f t="shared" si="36"/>
        <v/>
      </c>
      <c r="JC55" s="1" t="str">
        <f t="shared" si="36"/>
        <v/>
      </c>
      <c r="JD55" s="1" t="str">
        <f t="shared" si="36"/>
        <v/>
      </c>
      <c r="JE55" s="1" t="str">
        <f t="shared" si="36"/>
        <v/>
      </c>
      <c r="JF55" s="1" t="str">
        <f t="shared" si="36"/>
        <v/>
      </c>
      <c r="JG55" s="1" t="str">
        <f t="shared" si="37"/>
        <v/>
      </c>
      <c r="JH55" s="1" t="str">
        <f t="shared" si="37"/>
        <v/>
      </c>
      <c r="JI55" s="1" t="str">
        <f t="shared" si="37"/>
        <v/>
      </c>
      <c r="JJ55" s="1" t="str">
        <f t="shared" si="30"/>
        <v/>
      </c>
      <c r="JK55" s="1" t="str">
        <f t="shared" si="30"/>
        <v/>
      </c>
      <c r="JL55" s="1" t="str">
        <f t="shared" si="24"/>
        <v/>
      </c>
      <c r="JM55" s="1" t="str">
        <f t="shared" si="12"/>
        <v/>
      </c>
      <c r="JN55" s="1" t="str">
        <f t="shared" si="12"/>
        <v/>
      </c>
      <c r="JO55" s="1" t="str">
        <f t="shared" si="12"/>
        <v/>
      </c>
    </row>
    <row r="56" spans="1:275" ht="14.5" x14ac:dyDescent="0.35">
      <c r="A56" s="59" t="str">
        <f>IF('Data input'!A56&lt;&gt;"",'Data input'!A56,"")</f>
        <v/>
      </c>
      <c r="B56" s="15" t="str">
        <f>IF('Data input'!B56&lt;&gt;"",'Data input'!B56,"")</f>
        <v/>
      </c>
      <c r="C56" s="16" t="str">
        <f>IF('Data input'!C56="","",4*('Data input'!C56-'Data input'!C$108)/('Data input'!C$109-'Data input'!C$108)+1)</f>
        <v/>
      </c>
      <c r="D56" s="16" t="str">
        <f>IF('Data input'!D56="","",4*('Data input'!D56-'Data input'!D$108)/('Data input'!D$109-'Data input'!D$108)+1)</f>
        <v/>
      </c>
      <c r="E56" s="16" t="str">
        <f>IF('Data input'!E56="","",4*('Data input'!E56-'Data input'!E$108)/('Data input'!E$109-'Data input'!E$108)+1)</f>
        <v/>
      </c>
      <c r="F56" s="16" t="str">
        <f>IF('Data input'!F56="","",4*('Data input'!F56-'Data input'!F$108)/('Data input'!F$109-'Data input'!F$108)+1)</f>
        <v/>
      </c>
      <c r="G56" s="16" t="str">
        <f>IF('Data input'!G56="","",4*('Data input'!G56-'Data input'!G$108)/('Data input'!G$109-'Data input'!G$108)+1)</f>
        <v/>
      </c>
      <c r="H56" s="16" t="str">
        <f>IF('Data input'!H56="","",4*('Data input'!H56-'Data input'!H$108)/('Data input'!H$109-'Data input'!H$108)+1)</f>
        <v/>
      </c>
      <c r="I56" s="19" t="str">
        <f>IF('Data input'!I56="","",4*('Data input'!I56-'Data input'!I$108)/('Data input'!I$109-'Data input'!I$108)+1)</f>
        <v/>
      </c>
      <c r="J56" s="19" t="str">
        <f>IF('Data input'!J56="","",4*('Data input'!J56-'Data input'!J$108)/('Data input'!J$109-'Data input'!J$108)+1)</f>
        <v/>
      </c>
      <c r="K56" s="19" t="str">
        <f>IF('Data input'!K56="","",4*('Data input'!K56-'Data input'!K$108)/('Data input'!K$109-'Data input'!K$108)+1)</f>
        <v/>
      </c>
      <c r="L56" s="19" t="str">
        <f>IF('Data input'!L56="","",4*('Data input'!L56-'Data input'!L$108)/('Data input'!L$109-'Data input'!L$108)+1)</f>
        <v/>
      </c>
      <c r="M56" s="16" t="str">
        <f>IF('Data input'!M56="","",4*('Data input'!M56-'Data input'!M$108)/('Data input'!M$109-'Data input'!M$108)+1)</f>
        <v/>
      </c>
      <c r="N56" s="16" t="str">
        <f>IF('Data input'!N56="","",4*('Data input'!N56-'Data input'!N$108)/('Data input'!N$109-'Data input'!N$108)+1)</f>
        <v/>
      </c>
      <c r="O56" s="16" t="str">
        <f>IF('Data input'!O56="","",4*('Data input'!O56-'Data input'!O$108)/('Data input'!O$109-'Data input'!O$108)+1)</f>
        <v/>
      </c>
      <c r="P56" s="16" t="str">
        <f>IF('Data input'!P56="","",4*('Data input'!P56-'Data input'!P$108)/('Data input'!P$109-'Data input'!P$108)+1)</f>
        <v/>
      </c>
      <c r="Q56" s="16" t="str">
        <f>IF('Data input'!Q56="","",4*('Data input'!Q56-'Data input'!Q$108)/('Data input'!Q$109-'Data input'!Q$108)+1)</f>
        <v/>
      </c>
      <c r="R56" s="16" t="str">
        <f>IF('Data input'!R56="","",4*('Data input'!R56-'Data input'!R$108)/('Data input'!R$109-'Data input'!R$108)+1)</f>
        <v/>
      </c>
      <c r="S56" s="16" t="str">
        <f>IF('Data input'!S56="","",4*('Data input'!S56-'Data input'!S$108)/('Data input'!S$109-'Data input'!S$108)+1)</f>
        <v/>
      </c>
      <c r="T56" s="16" t="str">
        <f>IF('Data input'!T56="","",4*('Data input'!T56-'Data input'!T$108)/('Data input'!T$109-'Data input'!T$108)+1)</f>
        <v/>
      </c>
      <c r="U56" s="16" t="str">
        <f>IF('Data input'!U56="","",4*('Data input'!U56-'Data input'!U$108)/('Data input'!U$109-'Data input'!U$108)+1)</f>
        <v/>
      </c>
      <c r="V56" s="16" t="str">
        <f>IF('Data input'!V56="","",4*('Data input'!V56-'Data input'!V$108)/('Data input'!V$109-'Data input'!V$108)+1)</f>
        <v/>
      </c>
      <c r="W56" s="16" t="str">
        <f>IF('Data input'!W56="","",4*('Data input'!W56-'Data input'!W$108)/('Data input'!W$109-'Data input'!W$108)+1)</f>
        <v/>
      </c>
      <c r="X56" s="16" t="str">
        <f>IF('Data input'!X56="","",4*('Data input'!X56-'Data input'!X$108)/('Data input'!X$109-'Data input'!X$108)+1)</f>
        <v/>
      </c>
      <c r="Y56" s="16" t="str">
        <f>IF('Data input'!Y56="","",4*('Data input'!Y56-'Data input'!Y$108)/('Data input'!Y$109-'Data input'!Y$108)+1)</f>
        <v/>
      </c>
      <c r="Z56" s="16" t="str">
        <f>IF('Data input'!Z56="","",4*('Data input'!Z56-'Data input'!Z$108)/('Data input'!Z$109-'Data input'!Z$108)+1)</f>
        <v/>
      </c>
      <c r="AA56" s="62" t="str">
        <f>IF('Data input'!AA56="","",4*('Data input'!AA56-'Data input'!AA$108)/('Data input'!AA$109-'Data input'!AA$108)+1)</f>
        <v/>
      </c>
      <c r="AB56" s="78"/>
      <c r="AC56" s="79">
        <v>0</v>
      </c>
      <c r="AD56" s="80" t="e">
        <f t="shared" si="13"/>
        <v>#DIV/0!</v>
      </c>
      <c r="AE56" s="4"/>
      <c r="AF56" s="59" t="str">
        <f t="shared" ref="AF56:AG102" si="40">A56</f>
        <v/>
      </c>
      <c r="AG56" s="60" t="str">
        <f t="shared" si="40"/>
        <v/>
      </c>
      <c r="AH56"/>
      <c r="AI56"/>
      <c r="AJ56"/>
      <c r="AK56"/>
      <c r="AL56"/>
      <c r="AM56"/>
      <c r="AN56"/>
      <c r="AO56"/>
      <c r="AP56"/>
      <c r="AQ56"/>
      <c r="AR56"/>
      <c r="AS56" s="71" t="str">
        <f t="shared" si="15"/>
        <v/>
      </c>
      <c r="AT56" s="71" t="str">
        <f t="shared" si="15"/>
        <v/>
      </c>
      <c r="AU56" s="71" t="str">
        <f t="shared" si="15"/>
        <v/>
      </c>
      <c r="AV56" s="71" t="str">
        <f t="shared" si="15"/>
        <v/>
      </c>
      <c r="AW56" s="71" t="str">
        <f t="shared" si="15"/>
        <v/>
      </c>
      <c r="AX56" s="71" t="str">
        <f t="shared" si="16"/>
        <v/>
      </c>
      <c r="AY56" s="71" t="str">
        <f t="shared" si="16"/>
        <v/>
      </c>
      <c r="AZ56" s="71" t="str">
        <f t="shared" si="16"/>
        <v/>
      </c>
      <c r="BA56" s="71" t="str">
        <f t="shared" si="16"/>
        <v/>
      </c>
      <c r="BB56" s="71" t="str">
        <f t="shared" si="16"/>
        <v/>
      </c>
      <c r="BC56" s="18" t="str">
        <f>IF(C56&lt;&gt;"",(('Data input'!C$109-'Data input'!C$108)*(AS56-1)/4)+'Data input'!C$108,"")</f>
        <v/>
      </c>
      <c r="BD56" s="18" t="str">
        <f>IF(D56&lt;&gt;"",(('Data input'!D$109-'Data input'!D$108)*(AT56-1)/4)+'Data input'!D$108,"")</f>
        <v/>
      </c>
      <c r="BE56" s="18" t="str">
        <f>IF(E56&lt;&gt;"",(('Data input'!E$109-'Data input'!E$108)*(AU56-1)/4)+'Data input'!E$108,"")</f>
        <v/>
      </c>
      <c r="BF56" s="18" t="str">
        <f>IF(F56&lt;&gt;"",(('Data input'!F$109-'Data input'!F$108)*(AV56-1)/4)+'Data input'!F$108,"")</f>
        <v/>
      </c>
      <c r="BG56" s="18" t="str">
        <f>IF(G56&lt;&gt;"",(('Data input'!G$109-'Data input'!G$108)*(AW56-1)/4)+'Data input'!G$108,"")</f>
        <v/>
      </c>
      <c r="BH56" s="19" t="str">
        <f>IF(H56&lt;&gt;"",(('Data input'!H$109-'Data input'!H$108)*(AX56-1)/4)+'Data input'!H$108,"")</f>
        <v/>
      </c>
      <c r="BI56" s="18" t="str">
        <f>IF(I56&lt;&gt;"",(('Data input'!I$109-'Data input'!I$108)*(AY56-1)/4)+'Data input'!I$108,"")</f>
        <v/>
      </c>
      <c r="BJ56" s="19" t="str">
        <f>IF(J56&lt;&gt;"",(('Data input'!J$109-'Data input'!J$108)*(AZ56-1)/4)+'Data input'!J$108,"")</f>
        <v/>
      </c>
      <c r="BK56" s="19" t="str">
        <f>IF(K56&lt;&gt;"",(('Data input'!K$109-'Data input'!K$108)*(BA56-1)/4)+'Data input'!K$108,"")</f>
        <v/>
      </c>
      <c r="BL56" s="19" t="str">
        <f>IF(L56&lt;&gt;"",(('Data input'!L$109-'Data input'!L$108)*(BB56-1)/4)+'Data input'!L$108,"")</f>
        <v/>
      </c>
      <c r="BM56" s="18" t="str">
        <f>IF(C56&lt;&gt;"",BC56-'Data input'!C56,"")</f>
        <v/>
      </c>
      <c r="BN56" s="18" t="str">
        <f>IF(D56&lt;&gt;"",BD56-'Data input'!D56,"")</f>
        <v/>
      </c>
      <c r="BO56" s="18" t="str">
        <f>IF(E56&lt;&gt;"",BE56-'Data input'!E56,"")</f>
        <v/>
      </c>
      <c r="BP56" s="18" t="str">
        <f>IF(F56&lt;&gt;"",BF56-'Data input'!F56,"")</f>
        <v/>
      </c>
      <c r="BQ56" s="18" t="str">
        <f>IF(G56&lt;&gt;"",BG56-'Data input'!G56,"")</f>
        <v/>
      </c>
      <c r="BR56" s="19" t="str">
        <f>IF(H56&lt;&gt;"",BH56-'Data input'!H56,"")</f>
        <v/>
      </c>
      <c r="BS56" s="18" t="str">
        <f>IF(I56&lt;&gt;"",BI56-'Data input'!I56,"")</f>
        <v/>
      </c>
      <c r="BT56" s="18" t="str">
        <f>IF(J56&lt;&gt;"",BJ56-'Data input'!J56,"")</f>
        <v/>
      </c>
      <c r="BU56" s="18" t="str">
        <f>IF(K56&lt;&gt;"",BK56-'Data input'!K56,"")</f>
        <v/>
      </c>
      <c r="BV56" s="72" t="str">
        <f>IF(L56&lt;&gt;"",BL56-'Data input'!L56,"")</f>
        <v/>
      </c>
      <c r="BW56" s="121" t="str">
        <f t="shared" si="17"/>
        <v/>
      </c>
      <c r="FT56" s="1" t="str">
        <f t="shared" si="33"/>
        <v/>
      </c>
      <c r="FU56" s="1" t="str">
        <f t="shared" si="33"/>
        <v/>
      </c>
      <c r="FV56" s="1" t="str">
        <f t="shared" si="33"/>
        <v/>
      </c>
      <c r="FW56" s="1" t="str">
        <f t="shared" si="33"/>
        <v/>
      </c>
      <c r="FX56" s="1" t="str">
        <f t="shared" si="33"/>
        <v/>
      </c>
      <c r="FY56" s="1" t="str">
        <f t="shared" si="33"/>
        <v/>
      </c>
      <c r="FZ56" s="1" t="str">
        <f t="shared" si="33"/>
        <v/>
      </c>
      <c r="GA56" s="1" t="str">
        <f t="shared" si="33"/>
        <v/>
      </c>
      <c r="GB56" s="1" t="str">
        <f t="shared" si="33"/>
        <v/>
      </c>
      <c r="GC56" s="1" t="str">
        <f t="shared" si="33"/>
        <v/>
      </c>
      <c r="GD56" s="1" t="str">
        <f t="shared" si="33"/>
        <v/>
      </c>
      <c r="GE56" s="1" t="str">
        <f t="shared" si="33"/>
        <v/>
      </c>
      <c r="GF56" s="1" t="str">
        <f t="shared" si="33"/>
        <v/>
      </c>
      <c r="GG56" s="1" t="str">
        <f t="shared" si="33"/>
        <v/>
      </c>
      <c r="GH56" s="1" t="str">
        <f t="shared" si="33"/>
        <v/>
      </c>
      <c r="GI56" s="1" t="str">
        <f t="shared" si="32"/>
        <v/>
      </c>
      <c r="GJ56" s="1" t="str">
        <f t="shared" si="32"/>
        <v/>
      </c>
      <c r="GK56" s="1" t="str">
        <f t="shared" si="32"/>
        <v/>
      </c>
      <c r="GL56" s="1" t="str">
        <f t="shared" si="32"/>
        <v/>
      </c>
      <c r="GM56" s="1" t="str">
        <f t="shared" si="32"/>
        <v/>
      </c>
      <c r="GN56" s="1" t="str">
        <f t="shared" si="32"/>
        <v/>
      </c>
      <c r="GO56" s="1" t="str">
        <f t="shared" si="32"/>
        <v/>
      </c>
      <c r="GP56" s="1" t="str">
        <f t="shared" si="32"/>
        <v/>
      </c>
      <c r="GQ56" s="1" t="str">
        <f t="shared" si="32"/>
        <v/>
      </c>
      <c r="GR56" s="1" t="str">
        <f t="shared" si="32"/>
        <v/>
      </c>
      <c r="GS56" s="1" t="str">
        <f t="shared" si="32"/>
        <v/>
      </c>
      <c r="GT56" s="1" t="str">
        <f t="shared" si="32"/>
        <v/>
      </c>
      <c r="GU56" s="1" t="str">
        <f t="shared" si="32"/>
        <v/>
      </c>
      <c r="GV56" s="1" t="str">
        <f t="shared" si="32"/>
        <v/>
      </c>
      <c r="GW56" s="1" t="str">
        <f t="shared" si="32"/>
        <v/>
      </c>
      <c r="GX56" s="1" t="str">
        <f t="shared" si="32"/>
        <v/>
      </c>
      <c r="GY56" s="1" t="str">
        <f t="shared" si="39"/>
        <v/>
      </c>
      <c r="GZ56" s="1" t="str">
        <f t="shared" si="38"/>
        <v/>
      </c>
      <c r="HA56" s="1" t="str">
        <f t="shared" si="38"/>
        <v/>
      </c>
      <c r="HB56" s="1" t="str">
        <f t="shared" si="38"/>
        <v/>
      </c>
      <c r="HC56" s="1" t="str">
        <f t="shared" si="38"/>
        <v/>
      </c>
      <c r="HD56" s="1" t="str">
        <f t="shared" si="38"/>
        <v/>
      </c>
      <c r="HE56" s="1" t="str">
        <f t="shared" si="38"/>
        <v/>
      </c>
      <c r="HF56" s="1" t="str">
        <f t="shared" si="38"/>
        <v/>
      </c>
      <c r="HG56" s="1" t="str">
        <f t="shared" si="38"/>
        <v/>
      </c>
      <c r="HH56" s="1" t="str">
        <f t="shared" si="38"/>
        <v/>
      </c>
      <c r="HI56" s="1" t="str">
        <f t="shared" si="38"/>
        <v/>
      </c>
      <c r="HJ56" s="1" t="str">
        <f t="shared" si="38"/>
        <v/>
      </c>
      <c r="HK56" s="1" t="str">
        <f t="shared" si="34"/>
        <v/>
      </c>
      <c r="HL56" s="1" t="str">
        <f t="shared" si="34"/>
        <v/>
      </c>
      <c r="HM56" s="1" t="str">
        <f t="shared" si="34"/>
        <v/>
      </c>
      <c r="HN56" s="1" t="str">
        <f t="shared" si="34"/>
        <v/>
      </c>
      <c r="HO56" s="1" t="str">
        <f t="shared" si="34"/>
        <v/>
      </c>
      <c r="HP56" s="1" t="str">
        <f t="shared" si="34"/>
        <v/>
      </c>
      <c r="HQ56" s="1" t="str">
        <f t="shared" si="34"/>
        <v/>
      </c>
      <c r="HR56" s="1" t="str">
        <f t="shared" si="34"/>
        <v/>
      </c>
      <c r="HS56" s="1" t="str">
        <f t="shared" si="34"/>
        <v/>
      </c>
      <c r="HT56" s="1" t="str">
        <f t="shared" si="34"/>
        <v/>
      </c>
      <c r="HU56" s="1" t="str">
        <f t="shared" si="34"/>
        <v/>
      </c>
      <c r="HV56" s="1" t="str">
        <f t="shared" si="34"/>
        <v/>
      </c>
      <c r="HW56" s="1" t="str">
        <f t="shared" si="34"/>
        <v/>
      </c>
      <c r="HX56" s="1" t="str">
        <f t="shared" si="34"/>
        <v/>
      </c>
      <c r="HY56" s="1" t="str">
        <f t="shared" si="34"/>
        <v/>
      </c>
      <c r="HZ56" s="1" t="str">
        <f t="shared" si="34"/>
        <v/>
      </c>
      <c r="IA56" s="1" t="str">
        <f t="shared" si="35"/>
        <v/>
      </c>
      <c r="IB56" s="1" t="str">
        <f t="shared" si="35"/>
        <v/>
      </c>
      <c r="IC56" s="1" t="str">
        <f t="shared" si="35"/>
        <v/>
      </c>
      <c r="ID56" s="1" t="str">
        <f t="shared" si="35"/>
        <v/>
      </c>
      <c r="IE56" s="1" t="str">
        <f t="shared" si="35"/>
        <v/>
      </c>
      <c r="IF56" s="1" t="str">
        <f t="shared" si="35"/>
        <v/>
      </c>
      <c r="IG56" s="1" t="str">
        <f t="shared" si="35"/>
        <v/>
      </c>
      <c r="IH56" s="1" t="str">
        <f t="shared" si="35"/>
        <v/>
      </c>
      <c r="II56" s="1" t="str">
        <f t="shared" si="35"/>
        <v/>
      </c>
      <c r="IJ56" s="1" t="str">
        <f t="shared" si="35"/>
        <v/>
      </c>
      <c r="IK56" s="1" t="str">
        <f t="shared" si="35"/>
        <v/>
      </c>
      <c r="IL56" s="1" t="str">
        <f t="shared" si="35"/>
        <v/>
      </c>
      <c r="IM56" s="1" t="str">
        <f t="shared" si="35"/>
        <v/>
      </c>
      <c r="IN56" s="1" t="str">
        <f t="shared" si="35"/>
        <v/>
      </c>
      <c r="IO56" s="1" t="str">
        <f t="shared" si="35"/>
        <v/>
      </c>
      <c r="IP56" s="1" t="str">
        <f t="shared" si="35"/>
        <v/>
      </c>
      <c r="IQ56" s="1" t="str">
        <f t="shared" si="36"/>
        <v/>
      </c>
      <c r="IR56" s="1" t="str">
        <f t="shared" si="36"/>
        <v/>
      </c>
      <c r="IS56" s="1" t="str">
        <f t="shared" si="36"/>
        <v/>
      </c>
      <c r="IT56" s="1" t="str">
        <f t="shared" si="36"/>
        <v/>
      </c>
      <c r="IU56" s="1" t="str">
        <f t="shared" si="36"/>
        <v/>
      </c>
      <c r="IV56" s="1" t="str">
        <f t="shared" si="36"/>
        <v/>
      </c>
      <c r="IW56" s="1" t="str">
        <f t="shared" si="36"/>
        <v/>
      </c>
      <c r="IX56" s="1" t="str">
        <f t="shared" si="36"/>
        <v/>
      </c>
      <c r="IY56" s="1" t="str">
        <f t="shared" si="36"/>
        <v/>
      </c>
      <c r="IZ56" s="1" t="str">
        <f t="shared" si="36"/>
        <v/>
      </c>
      <c r="JA56" s="1" t="str">
        <f t="shared" si="36"/>
        <v/>
      </c>
      <c r="JB56" s="1" t="str">
        <f t="shared" si="36"/>
        <v/>
      </c>
      <c r="JC56" s="1" t="str">
        <f t="shared" si="36"/>
        <v/>
      </c>
      <c r="JD56" s="1" t="str">
        <f t="shared" si="36"/>
        <v/>
      </c>
      <c r="JE56" s="1" t="str">
        <f t="shared" si="36"/>
        <v/>
      </c>
      <c r="JF56" s="1" t="str">
        <f t="shared" si="36"/>
        <v/>
      </c>
      <c r="JG56" s="1" t="str">
        <f t="shared" si="37"/>
        <v/>
      </c>
      <c r="JH56" s="1" t="str">
        <f t="shared" si="37"/>
        <v/>
      </c>
      <c r="JI56" s="1" t="str">
        <f t="shared" si="37"/>
        <v/>
      </c>
      <c r="JJ56" s="1" t="str">
        <f t="shared" si="30"/>
        <v/>
      </c>
      <c r="JK56" s="1" t="str">
        <f t="shared" si="30"/>
        <v/>
      </c>
      <c r="JL56" s="1" t="str">
        <f t="shared" si="24"/>
        <v/>
      </c>
      <c r="JM56" s="1" t="str">
        <f t="shared" si="12"/>
        <v/>
      </c>
      <c r="JN56" s="1" t="str">
        <f t="shared" si="12"/>
        <v/>
      </c>
      <c r="JO56" s="1" t="str">
        <f t="shared" si="12"/>
        <v/>
      </c>
    </row>
    <row r="57" spans="1:275" ht="14.5" x14ac:dyDescent="0.35">
      <c r="A57" s="59" t="str">
        <f>IF('Data input'!A57&lt;&gt;"",'Data input'!A57,"")</f>
        <v/>
      </c>
      <c r="B57" s="15" t="str">
        <f>IF('Data input'!B57&lt;&gt;"",'Data input'!B57,"")</f>
        <v/>
      </c>
      <c r="C57" s="16" t="str">
        <f>IF('Data input'!C57="","",4*('Data input'!C57-'Data input'!C$108)/('Data input'!C$109-'Data input'!C$108)+1)</f>
        <v/>
      </c>
      <c r="D57" s="16" t="str">
        <f>IF('Data input'!D57="","",4*('Data input'!D57-'Data input'!D$108)/('Data input'!D$109-'Data input'!D$108)+1)</f>
        <v/>
      </c>
      <c r="E57" s="16" t="str">
        <f>IF('Data input'!E57="","",4*('Data input'!E57-'Data input'!E$108)/('Data input'!E$109-'Data input'!E$108)+1)</f>
        <v/>
      </c>
      <c r="F57" s="16" t="str">
        <f>IF('Data input'!F57="","",4*('Data input'!F57-'Data input'!F$108)/('Data input'!F$109-'Data input'!F$108)+1)</f>
        <v/>
      </c>
      <c r="G57" s="16" t="str">
        <f>IF('Data input'!G57="","",4*('Data input'!G57-'Data input'!G$108)/('Data input'!G$109-'Data input'!G$108)+1)</f>
        <v/>
      </c>
      <c r="H57" s="16" t="str">
        <f>IF('Data input'!H57="","",4*('Data input'!H57-'Data input'!H$108)/('Data input'!H$109-'Data input'!H$108)+1)</f>
        <v/>
      </c>
      <c r="I57" s="19" t="str">
        <f>IF('Data input'!I57="","",4*('Data input'!I57-'Data input'!I$108)/('Data input'!I$109-'Data input'!I$108)+1)</f>
        <v/>
      </c>
      <c r="J57" s="19" t="str">
        <f>IF('Data input'!J57="","",4*('Data input'!J57-'Data input'!J$108)/('Data input'!J$109-'Data input'!J$108)+1)</f>
        <v/>
      </c>
      <c r="K57" s="19" t="str">
        <f>IF('Data input'!K57="","",4*('Data input'!K57-'Data input'!K$108)/('Data input'!K$109-'Data input'!K$108)+1)</f>
        <v/>
      </c>
      <c r="L57" s="19" t="str">
        <f>IF('Data input'!L57="","",4*('Data input'!L57-'Data input'!L$108)/('Data input'!L$109-'Data input'!L$108)+1)</f>
        <v/>
      </c>
      <c r="M57" s="16" t="str">
        <f>IF('Data input'!M57="","",4*('Data input'!M57-'Data input'!M$108)/('Data input'!M$109-'Data input'!M$108)+1)</f>
        <v/>
      </c>
      <c r="N57" s="16" t="str">
        <f>IF('Data input'!N57="","",4*('Data input'!N57-'Data input'!N$108)/('Data input'!N$109-'Data input'!N$108)+1)</f>
        <v/>
      </c>
      <c r="O57" s="16" t="str">
        <f>IF('Data input'!O57="","",4*('Data input'!O57-'Data input'!O$108)/('Data input'!O$109-'Data input'!O$108)+1)</f>
        <v/>
      </c>
      <c r="P57" s="16" t="str">
        <f>IF('Data input'!P57="","",4*('Data input'!P57-'Data input'!P$108)/('Data input'!P$109-'Data input'!P$108)+1)</f>
        <v/>
      </c>
      <c r="Q57" s="16" t="str">
        <f>IF('Data input'!Q57="","",4*('Data input'!Q57-'Data input'!Q$108)/('Data input'!Q$109-'Data input'!Q$108)+1)</f>
        <v/>
      </c>
      <c r="R57" s="16" t="str">
        <f>IF('Data input'!R57="","",4*('Data input'!R57-'Data input'!R$108)/('Data input'!R$109-'Data input'!R$108)+1)</f>
        <v/>
      </c>
      <c r="S57" s="16" t="str">
        <f>IF('Data input'!S57="","",4*('Data input'!S57-'Data input'!S$108)/('Data input'!S$109-'Data input'!S$108)+1)</f>
        <v/>
      </c>
      <c r="T57" s="16" t="str">
        <f>IF('Data input'!T57="","",4*('Data input'!T57-'Data input'!T$108)/('Data input'!T$109-'Data input'!T$108)+1)</f>
        <v/>
      </c>
      <c r="U57" s="16" t="str">
        <f>IF('Data input'!U57="","",4*('Data input'!U57-'Data input'!U$108)/('Data input'!U$109-'Data input'!U$108)+1)</f>
        <v/>
      </c>
      <c r="V57" s="16" t="str">
        <f>IF('Data input'!V57="","",4*('Data input'!V57-'Data input'!V$108)/('Data input'!V$109-'Data input'!V$108)+1)</f>
        <v/>
      </c>
      <c r="W57" s="16" t="str">
        <f>IF('Data input'!W57="","",4*('Data input'!W57-'Data input'!W$108)/('Data input'!W$109-'Data input'!W$108)+1)</f>
        <v/>
      </c>
      <c r="X57" s="16" t="str">
        <f>IF('Data input'!X57="","",4*('Data input'!X57-'Data input'!X$108)/('Data input'!X$109-'Data input'!X$108)+1)</f>
        <v/>
      </c>
      <c r="Y57" s="16" t="str">
        <f>IF('Data input'!Y57="","",4*('Data input'!Y57-'Data input'!Y$108)/('Data input'!Y$109-'Data input'!Y$108)+1)</f>
        <v/>
      </c>
      <c r="Z57" s="16" t="str">
        <f>IF('Data input'!Z57="","",4*('Data input'!Z57-'Data input'!Z$108)/('Data input'!Z$109-'Data input'!Z$108)+1)</f>
        <v/>
      </c>
      <c r="AA57" s="62" t="str">
        <f>IF('Data input'!AA57="","",4*('Data input'!AA57-'Data input'!AA$108)/('Data input'!AA$109-'Data input'!AA$108)+1)</f>
        <v/>
      </c>
      <c r="AB57" s="78"/>
      <c r="AC57" s="79">
        <v>0</v>
      </c>
      <c r="AD57" s="80" t="e">
        <f t="shared" si="13"/>
        <v>#DIV/0!</v>
      </c>
      <c r="AE57" s="4"/>
      <c r="AF57" s="59" t="str">
        <f t="shared" si="40"/>
        <v/>
      </c>
      <c r="AG57" s="60" t="str">
        <f t="shared" si="40"/>
        <v/>
      </c>
      <c r="AH57"/>
      <c r="AI57"/>
      <c r="AJ57"/>
      <c r="AK57"/>
      <c r="AL57"/>
      <c r="AM57"/>
      <c r="AN57"/>
      <c r="AO57"/>
      <c r="AP57"/>
      <c r="AQ57"/>
      <c r="AR57"/>
      <c r="AS57" s="71" t="str">
        <f t="shared" si="15"/>
        <v/>
      </c>
      <c r="AT57" s="71" t="str">
        <f t="shared" si="15"/>
        <v/>
      </c>
      <c r="AU57" s="71" t="str">
        <f t="shared" si="15"/>
        <v/>
      </c>
      <c r="AV57" s="71" t="str">
        <f t="shared" si="15"/>
        <v/>
      </c>
      <c r="AW57" s="71" t="str">
        <f t="shared" si="15"/>
        <v/>
      </c>
      <c r="AX57" s="71" t="str">
        <f t="shared" si="16"/>
        <v/>
      </c>
      <c r="AY57" s="71" t="str">
        <f t="shared" si="16"/>
        <v/>
      </c>
      <c r="AZ57" s="71" t="str">
        <f t="shared" si="16"/>
        <v/>
      </c>
      <c r="BA57" s="71" t="str">
        <f t="shared" si="16"/>
        <v/>
      </c>
      <c r="BB57" s="71" t="str">
        <f t="shared" si="16"/>
        <v/>
      </c>
      <c r="BC57" s="18" t="str">
        <f>IF(C57&lt;&gt;"",(('Data input'!C$109-'Data input'!C$108)*(AS57-1)/4)+'Data input'!C$108,"")</f>
        <v/>
      </c>
      <c r="BD57" s="18" t="str">
        <f>IF(D57&lt;&gt;"",(('Data input'!D$109-'Data input'!D$108)*(AT57-1)/4)+'Data input'!D$108,"")</f>
        <v/>
      </c>
      <c r="BE57" s="18" t="str">
        <f>IF(E57&lt;&gt;"",(('Data input'!E$109-'Data input'!E$108)*(AU57-1)/4)+'Data input'!E$108,"")</f>
        <v/>
      </c>
      <c r="BF57" s="18" t="str">
        <f>IF(F57&lt;&gt;"",(('Data input'!F$109-'Data input'!F$108)*(AV57-1)/4)+'Data input'!F$108,"")</f>
        <v/>
      </c>
      <c r="BG57" s="18" t="str">
        <f>IF(G57&lt;&gt;"",(('Data input'!G$109-'Data input'!G$108)*(AW57-1)/4)+'Data input'!G$108,"")</f>
        <v/>
      </c>
      <c r="BH57" s="19" t="str">
        <f>IF(H57&lt;&gt;"",(('Data input'!H$109-'Data input'!H$108)*(AX57-1)/4)+'Data input'!H$108,"")</f>
        <v/>
      </c>
      <c r="BI57" s="18" t="str">
        <f>IF(I57&lt;&gt;"",(('Data input'!I$109-'Data input'!I$108)*(AY57-1)/4)+'Data input'!I$108,"")</f>
        <v/>
      </c>
      <c r="BJ57" s="19" t="str">
        <f>IF(J57&lt;&gt;"",(('Data input'!J$109-'Data input'!J$108)*(AZ57-1)/4)+'Data input'!J$108,"")</f>
        <v/>
      </c>
      <c r="BK57" s="19" t="str">
        <f>IF(K57&lt;&gt;"",(('Data input'!K$109-'Data input'!K$108)*(BA57-1)/4)+'Data input'!K$108,"")</f>
        <v/>
      </c>
      <c r="BL57" s="19" t="str">
        <f>IF(L57&lt;&gt;"",(('Data input'!L$109-'Data input'!L$108)*(BB57-1)/4)+'Data input'!L$108,"")</f>
        <v/>
      </c>
      <c r="BM57" s="18" t="str">
        <f>IF(C57&lt;&gt;"",BC57-'Data input'!C57,"")</f>
        <v/>
      </c>
      <c r="BN57" s="18" t="str">
        <f>IF(D57&lt;&gt;"",BD57-'Data input'!D57,"")</f>
        <v/>
      </c>
      <c r="BO57" s="18" t="str">
        <f>IF(E57&lt;&gt;"",BE57-'Data input'!E57,"")</f>
        <v/>
      </c>
      <c r="BP57" s="18" t="str">
        <f>IF(F57&lt;&gt;"",BF57-'Data input'!F57,"")</f>
        <v/>
      </c>
      <c r="BQ57" s="18" t="str">
        <f>IF(G57&lt;&gt;"",BG57-'Data input'!G57,"")</f>
        <v/>
      </c>
      <c r="BR57" s="19" t="str">
        <f>IF(H57&lt;&gt;"",BH57-'Data input'!H57,"")</f>
        <v/>
      </c>
      <c r="BS57" s="18" t="str">
        <f>IF(I57&lt;&gt;"",BI57-'Data input'!I57,"")</f>
        <v/>
      </c>
      <c r="BT57" s="18" t="str">
        <f>IF(J57&lt;&gt;"",BJ57-'Data input'!J57,"")</f>
        <v/>
      </c>
      <c r="BU57" s="18" t="str">
        <f>IF(K57&lt;&gt;"",BK57-'Data input'!K57,"")</f>
        <v/>
      </c>
      <c r="BV57" s="72" t="str">
        <f>IF(L57&lt;&gt;"",BL57-'Data input'!L57,"")</f>
        <v/>
      </c>
      <c r="BW57" s="121" t="str">
        <f t="shared" si="17"/>
        <v/>
      </c>
      <c r="FT57" s="1" t="str">
        <f t="shared" si="33"/>
        <v/>
      </c>
      <c r="FU57" s="1" t="str">
        <f t="shared" si="33"/>
        <v/>
      </c>
      <c r="FV57" s="1" t="str">
        <f t="shared" si="33"/>
        <v/>
      </c>
      <c r="FW57" s="1" t="str">
        <f t="shared" si="33"/>
        <v/>
      </c>
      <c r="FX57" s="1" t="str">
        <f t="shared" si="33"/>
        <v/>
      </c>
      <c r="FY57" s="1" t="str">
        <f t="shared" si="33"/>
        <v/>
      </c>
      <c r="FZ57" s="1" t="str">
        <f t="shared" si="33"/>
        <v/>
      </c>
      <c r="GA57" s="1" t="str">
        <f t="shared" si="33"/>
        <v/>
      </c>
      <c r="GB57" s="1" t="str">
        <f t="shared" si="33"/>
        <v/>
      </c>
      <c r="GC57" s="1" t="str">
        <f t="shared" si="33"/>
        <v/>
      </c>
      <c r="GD57" s="1" t="str">
        <f t="shared" si="33"/>
        <v/>
      </c>
      <c r="GE57" s="1" t="str">
        <f t="shared" si="33"/>
        <v/>
      </c>
      <c r="GF57" s="1" t="str">
        <f t="shared" si="33"/>
        <v/>
      </c>
      <c r="GG57" s="1" t="str">
        <f t="shared" si="33"/>
        <v/>
      </c>
      <c r="GH57" s="1" t="str">
        <f t="shared" si="33"/>
        <v/>
      </c>
      <c r="GI57" s="1" t="str">
        <f t="shared" si="32"/>
        <v/>
      </c>
      <c r="GJ57" s="1" t="str">
        <f t="shared" si="32"/>
        <v/>
      </c>
      <c r="GK57" s="1" t="str">
        <f t="shared" si="32"/>
        <v/>
      </c>
      <c r="GL57" s="1" t="str">
        <f t="shared" si="32"/>
        <v/>
      </c>
      <c r="GM57" s="1" t="str">
        <f t="shared" si="32"/>
        <v/>
      </c>
      <c r="GN57" s="1" t="str">
        <f t="shared" si="32"/>
        <v/>
      </c>
      <c r="GO57" s="1" t="str">
        <f t="shared" si="32"/>
        <v/>
      </c>
      <c r="GP57" s="1" t="str">
        <f t="shared" si="32"/>
        <v/>
      </c>
      <c r="GQ57" s="1" t="str">
        <f t="shared" si="32"/>
        <v/>
      </c>
      <c r="GR57" s="1" t="str">
        <f t="shared" si="32"/>
        <v/>
      </c>
      <c r="GS57" s="1" t="str">
        <f t="shared" si="32"/>
        <v/>
      </c>
      <c r="GT57" s="1" t="str">
        <f t="shared" si="32"/>
        <v/>
      </c>
      <c r="GU57" s="1" t="str">
        <f t="shared" si="32"/>
        <v/>
      </c>
      <c r="GV57" s="1" t="str">
        <f t="shared" si="32"/>
        <v/>
      </c>
      <c r="GW57" s="1" t="str">
        <f t="shared" si="32"/>
        <v/>
      </c>
      <c r="GX57" s="1" t="str">
        <f t="shared" si="32"/>
        <v/>
      </c>
      <c r="GY57" s="1" t="str">
        <f t="shared" si="39"/>
        <v/>
      </c>
      <c r="GZ57" s="1" t="str">
        <f t="shared" si="38"/>
        <v/>
      </c>
      <c r="HA57" s="1" t="str">
        <f t="shared" si="38"/>
        <v/>
      </c>
      <c r="HB57" s="1" t="str">
        <f t="shared" si="38"/>
        <v/>
      </c>
      <c r="HC57" s="1" t="str">
        <f t="shared" si="38"/>
        <v/>
      </c>
      <c r="HD57" s="1" t="str">
        <f t="shared" si="38"/>
        <v/>
      </c>
      <c r="HE57" s="1" t="str">
        <f t="shared" si="38"/>
        <v/>
      </c>
      <c r="HF57" s="1" t="str">
        <f t="shared" si="38"/>
        <v/>
      </c>
      <c r="HG57" s="1" t="str">
        <f t="shared" si="38"/>
        <v/>
      </c>
      <c r="HH57" s="1" t="str">
        <f t="shared" si="38"/>
        <v/>
      </c>
      <c r="HI57" s="1" t="str">
        <f t="shared" si="38"/>
        <v/>
      </c>
      <c r="HJ57" s="1" t="str">
        <f t="shared" si="38"/>
        <v/>
      </c>
      <c r="HK57" s="1" t="str">
        <f t="shared" si="34"/>
        <v/>
      </c>
      <c r="HL57" s="1" t="str">
        <f t="shared" si="34"/>
        <v/>
      </c>
      <c r="HM57" s="1" t="str">
        <f t="shared" si="34"/>
        <v/>
      </c>
      <c r="HN57" s="1" t="str">
        <f t="shared" si="34"/>
        <v/>
      </c>
      <c r="HO57" s="1" t="str">
        <f t="shared" si="34"/>
        <v/>
      </c>
      <c r="HP57" s="1" t="str">
        <f t="shared" si="34"/>
        <v/>
      </c>
      <c r="HQ57" s="1" t="str">
        <f t="shared" si="34"/>
        <v/>
      </c>
      <c r="HR57" s="1" t="str">
        <f t="shared" si="34"/>
        <v/>
      </c>
      <c r="HS57" s="1" t="str">
        <f t="shared" si="34"/>
        <v/>
      </c>
      <c r="HT57" s="1" t="str">
        <f t="shared" si="34"/>
        <v/>
      </c>
      <c r="HU57" s="1" t="str">
        <f t="shared" si="34"/>
        <v/>
      </c>
      <c r="HV57" s="1" t="str">
        <f t="shared" si="34"/>
        <v/>
      </c>
      <c r="HW57" s="1" t="str">
        <f t="shared" si="34"/>
        <v/>
      </c>
      <c r="HX57" s="1" t="str">
        <f t="shared" si="34"/>
        <v/>
      </c>
      <c r="HY57" s="1" t="str">
        <f t="shared" si="34"/>
        <v/>
      </c>
      <c r="HZ57" s="1" t="str">
        <f t="shared" si="34"/>
        <v/>
      </c>
      <c r="IA57" s="1" t="str">
        <f t="shared" si="35"/>
        <v/>
      </c>
      <c r="IB57" s="1" t="str">
        <f t="shared" si="35"/>
        <v/>
      </c>
      <c r="IC57" s="1" t="str">
        <f t="shared" si="35"/>
        <v/>
      </c>
      <c r="ID57" s="1" t="str">
        <f t="shared" si="35"/>
        <v/>
      </c>
      <c r="IE57" s="1" t="str">
        <f t="shared" si="35"/>
        <v/>
      </c>
      <c r="IF57" s="1" t="str">
        <f t="shared" si="35"/>
        <v/>
      </c>
      <c r="IG57" s="1" t="str">
        <f t="shared" si="35"/>
        <v/>
      </c>
      <c r="IH57" s="1" t="str">
        <f t="shared" si="35"/>
        <v/>
      </c>
      <c r="II57" s="1" t="str">
        <f t="shared" si="35"/>
        <v/>
      </c>
      <c r="IJ57" s="1" t="str">
        <f t="shared" si="35"/>
        <v/>
      </c>
      <c r="IK57" s="1" t="str">
        <f t="shared" si="35"/>
        <v/>
      </c>
      <c r="IL57" s="1" t="str">
        <f t="shared" si="35"/>
        <v/>
      </c>
      <c r="IM57" s="1" t="str">
        <f t="shared" si="35"/>
        <v/>
      </c>
      <c r="IN57" s="1" t="str">
        <f t="shared" si="35"/>
        <v/>
      </c>
      <c r="IO57" s="1" t="str">
        <f t="shared" si="35"/>
        <v/>
      </c>
      <c r="IP57" s="1" t="str">
        <f t="shared" si="35"/>
        <v/>
      </c>
      <c r="IQ57" s="1" t="str">
        <f t="shared" si="36"/>
        <v/>
      </c>
      <c r="IR57" s="1" t="str">
        <f t="shared" si="36"/>
        <v/>
      </c>
      <c r="IS57" s="1" t="str">
        <f t="shared" si="36"/>
        <v/>
      </c>
      <c r="IT57" s="1" t="str">
        <f t="shared" si="36"/>
        <v/>
      </c>
      <c r="IU57" s="1" t="str">
        <f t="shared" si="36"/>
        <v/>
      </c>
      <c r="IV57" s="1" t="str">
        <f t="shared" si="36"/>
        <v/>
      </c>
      <c r="IW57" s="1" t="str">
        <f t="shared" si="36"/>
        <v/>
      </c>
      <c r="IX57" s="1" t="str">
        <f t="shared" si="36"/>
        <v/>
      </c>
      <c r="IY57" s="1" t="str">
        <f t="shared" si="36"/>
        <v/>
      </c>
      <c r="IZ57" s="1" t="str">
        <f t="shared" si="36"/>
        <v/>
      </c>
      <c r="JA57" s="1" t="str">
        <f t="shared" si="36"/>
        <v/>
      </c>
      <c r="JB57" s="1" t="str">
        <f t="shared" si="36"/>
        <v/>
      </c>
      <c r="JC57" s="1" t="str">
        <f t="shared" si="36"/>
        <v/>
      </c>
      <c r="JD57" s="1" t="str">
        <f t="shared" si="36"/>
        <v/>
      </c>
      <c r="JE57" s="1" t="str">
        <f t="shared" si="36"/>
        <v/>
      </c>
      <c r="JF57" s="1" t="str">
        <f t="shared" si="36"/>
        <v/>
      </c>
      <c r="JG57" s="1" t="str">
        <f t="shared" si="37"/>
        <v/>
      </c>
      <c r="JH57" s="1" t="str">
        <f t="shared" si="37"/>
        <v/>
      </c>
      <c r="JI57" s="1" t="str">
        <f t="shared" si="37"/>
        <v/>
      </c>
      <c r="JJ57" s="1" t="str">
        <f t="shared" si="30"/>
        <v/>
      </c>
      <c r="JK57" s="1" t="str">
        <f t="shared" si="30"/>
        <v/>
      </c>
      <c r="JL57" s="1" t="str">
        <f t="shared" si="24"/>
        <v/>
      </c>
      <c r="JM57" s="1" t="str">
        <f t="shared" si="12"/>
        <v/>
      </c>
      <c r="JN57" s="1" t="str">
        <f t="shared" si="12"/>
        <v/>
      </c>
      <c r="JO57" s="1" t="str">
        <f t="shared" si="12"/>
        <v/>
      </c>
    </row>
    <row r="58" spans="1:275" ht="14.5" x14ac:dyDescent="0.35">
      <c r="A58" s="59" t="str">
        <f>IF('Data input'!A58&lt;&gt;"",'Data input'!A58,"")</f>
        <v/>
      </c>
      <c r="B58" s="15" t="str">
        <f>IF('Data input'!B58&lt;&gt;"",'Data input'!B58,"")</f>
        <v/>
      </c>
      <c r="C58" s="16" t="str">
        <f>IF('Data input'!C58="","",4*('Data input'!C58-'Data input'!C$108)/('Data input'!C$109-'Data input'!C$108)+1)</f>
        <v/>
      </c>
      <c r="D58" s="16" t="str">
        <f>IF('Data input'!D58="","",4*('Data input'!D58-'Data input'!D$108)/('Data input'!D$109-'Data input'!D$108)+1)</f>
        <v/>
      </c>
      <c r="E58" s="16" t="str">
        <f>IF('Data input'!E58="","",4*('Data input'!E58-'Data input'!E$108)/('Data input'!E$109-'Data input'!E$108)+1)</f>
        <v/>
      </c>
      <c r="F58" s="16" t="str">
        <f>IF('Data input'!F58="","",4*('Data input'!F58-'Data input'!F$108)/('Data input'!F$109-'Data input'!F$108)+1)</f>
        <v/>
      </c>
      <c r="G58" s="16" t="str">
        <f>IF('Data input'!G58="","",4*('Data input'!G58-'Data input'!G$108)/('Data input'!G$109-'Data input'!G$108)+1)</f>
        <v/>
      </c>
      <c r="H58" s="16" t="str">
        <f>IF('Data input'!H58="","",4*('Data input'!H58-'Data input'!H$108)/('Data input'!H$109-'Data input'!H$108)+1)</f>
        <v/>
      </c>
      <c r="I58" s="19" t="str">
        <f>IF('Data input'!I58="","",4*('Data input'!I58-'Data input'!I$108)/('Data input'!I$109-'Data input'!I$108)+1)</f>
        <v/>
      </c>
      <c r="J58" s="19" t="str">
        <f>IF('Data input'!J58="","",4*('Data input'!J58-'Data input'!J$108)/('Data input'!J$109-'Data input'!J$108)+1)</f>
        <v/>
      </c>
      <c r="K58" s="19" t="str">
        <f>IF('Data input'!K58="","",4*('Data input'!K58-'Data input'!K$108)/('Data input'!K$109-'Data input'!K$108)+1)</f>
        <v/>
      </c>
      <c r="L58" s="19" t="str">
        <f>IF('Data input'!L58="","",4*('Data input'!L58-'Data input'!L$108)/('Data input'!L$109-'Data input'!L$108)+1)</f>
        <v/>
      </c>
      <c r="M58" s="16" t="str">
        <f>IF('Data input'!M58="","",4*('Data input'!M58-'Data input'!M$108)/('Data input'!M$109-'Data input'!M$108)+1)</f>
        <v/>
      </c>
      <c r="N58" s="16" t="str">
        <f>IF('Data input'!N58="","",4*('Data input'!N58-'Data input'!N$108)/('Data input'!N$109-'Data input'!N$108)+1)</f>
        <v/>
      </c>
      <c r="O58" s="16" t="str">
        <f>IF('Data input'!O58="","",4*('Data input'!O58-'Data input'!O$108)/('Data input'!O$109-'Data input'!O$108)+1)</f>
        <v/>
      </c>
      <c r="P58" s="16" t="str">
        <f>IF('Data input'!P58="","",4*('Data input'!P58-'Data input'!P$108)/('Data input'!P$109-'Data input'!P$108)+1)</f>
        <v/>
      </c>
      <c r="Q58" s="16" t="str">
        <f>IF('Data input'!Q58="","",4*('Data input'!Q58-'Data input'!Q$108)/('Data input'!Q$109-'Data input'!Q$108)+1)</f>
        <v/>
      </c>
      <c r="R58" s="16" t="str">
        <f>IF('Data input'!R58="","",4*('Data input'!R58-'Data input'!R$108)/('Data input'!R$109-'Data input'!R$108)+1)</f>
        <v/>
      </c>
      <c r="S58" s="16" t="str">
        <f>IF('Data input'!S58="","",4*('Data input'!S58-'Data input'!S$108)/('Data input'!S$109-'Data input'!S$108)+1)</f>
        <v/>
      </c>
      <c r="T58" s="16" t="str">
        <f>IF('Data input'!T58="","",4*('Data input'!T58-'Data input'!T$108)/('Data input'!T$109-'Data input'!T$108)+1)</f>
        <v/>
      </c>
      <c r="U58" s="16" t="str">
        <f>IF('Data input'!U58="","",4*('Data input'!U58-'Data input'!U$108)/('Data input'!U$109-'Data input'!U$108)+1)</f>
        <v/>
      </c>
      <c r="V58" s="16" t="str">
        <f>IF('Data input'!V58="","",4*('Data input'!V58-'Data input'!V$108)/('Data input'!V$109-'Data input'!V$108)+1)</f>
        <v/>
      </c>
      <c r="W58" s="16" t="str">
        <f>IF('Data input'!W58="","",4*('Data input'!W58-'Data input'!W$108)/('Data input'!W$109-'Data input'!W$108)+1)</f>
        <v/>
      </c>
      <c r="X58" s="16" t="str">
        <f>IF('Data input'!X58="","",4*('Data input'!X58-'Data input'!X$108)/('Data input'!X$109-'Data input'!X$108)+1)</f>
        <v/>
      </c>
      <c r="Y58" s="16" t="str">
        <f>IF('Data input'!Y58="","",4*('Data input'!Y58-'Data input'!Y$108)/('Data input'!Y$109-'Data input'!Y$108)+1)</f>
        <v/>
      </c>
      <c r="Z58" s="16" t="str">
        <f>IF('Data input'!Z58="","",4*('Data input'!Z58-'Data input'!Z$108)/('Data input'!Z$109-'Data input'!Z$108)+1)</f>
        <v/>
      </c>
      <c r="AA58" s="62" t="str">
        <f>IF('Data input'!AA58="","",4*('Data input'!AA58-'Data input'!AA$108)/('Data input'!AA$109-'Data input'!AA$108)+1)</f>
        <v/>
      </c>
      <c r="AB58" s="78"/>
      <c r="AC58" s="79">
        <v>0</v>
      </c>
      <c r="AD58" s="80" t="e">
        <f t="shared" si="13"/>
        <v>#DIV/0!</v>
      </c>
      <c r="AE58" s="4"/>
      <c r="AF58" s="59" t="str">
        <f t="shared" si="40"/>
        <v/>
      </c>
      <c r="AG58" s="60" t="str">
        <f t="shared" si="40"/>
        <v/>
      </c>
      <c r="AH58"/>
      <c r="AI58"/>
      <c r="AJ58"/>
      <c r="AK58"/>
      <c r="AL58"/>
      <c r="AM58"/>
      <c r="AN58"/>
      <c r="AO58"/>
      <c r="AP58"/>
      <c r="AQ58"/>
      <c r="AR58"/>
      <c r="AS58" s="71" t="str">
        <f t="shared" si="15"/>
        <v/>
      </c>
      <c r="AT58" s="71" t="str">
        <f t="shared" si="15"/>
        <v/>
      </c>
      <c r="AU58" s="71" t="str">
        <f t="shared" si="15"/>
        <v/>
      </c>
      <c r="AV58" s="71" t="str">
        <f t="shared" si="15"/>
        <v/>
      </c>
      <c r="AW58" s="71" t="str">
        <f t="shared" si="15"/>
        <v/>
      </c>
      <c r="AX58" s="71" t="str">
        <f t="shared" si="16"/>
        <v/>
      </c>
      <c r="AY58" s="71" t="str">
        <f t="shared" si="16"/>
        <v/>
      </c>
      <c r="AZ58" s="71" t="str">
        <f t="shared" si="16"/>
        <v/>
      </c>
      <c r="BA58" s="71" t="str">
        <f t="shared" si="16"/>
        <v/>
      </c>
      <c r="BB58" s="71" t="str">
        <f t="shared" si="16"/>
        <v/>
      </c>
      <c r="BC58" s="18" t="str">
        <f>IF(C58&lt;&gt;"",(('Data input'!C$109-'Data input'!C$108)*(AS58-1)/4)+'Data input'!C$108,"")</f>
        <v/>
      </c>
      <c r="BD58" s="18" t="str">
        <f>IF(D58&lt;&gt;"",(('Data input'!D$109-'Data input'!D$108)*(AT58-1)/4)+'Data input'!D$108,"")</f>
        <v/>
      </c>
      <c r="BE58" s="18" t="str">
        <f>IF(E58&lt;&gt;"",(('Data input'!E$109-'Data input'!E$108)*(AU58-1)/4)+'Data input'!E$108,"")</f>
        <v/>
      </c>
      <c r="BF58" s="18" t="str">
        <f>IF(F58&lt;&gt;"",(('Data input'!F$109-'Data input'!F$108)*(AV58-1)/4)+'Data input'!F$108,"")</f>
        <v/>
      </c>
      <c r="BG58" s="18" t="str">
        <f>IF(G58&lt;&gt;"",(('Data input'!G$109-'Data input'!G$108)*(AW58-1)/4)+'Data input'!G$108,"")</f>
        <v/>
      </c>
      <c r="BH58" s="19" t="str">
        <f>IF(H58&lt;&gt;"",(('Data input'!H$109-'Data input'!H$108)*(AX58-1)/4)+'Data input'!H$108,"")</f>
        <v/>
      </c>
      <c r="BI58" s="18" t="str">
        <f>IF(I58&lt;&gt;"",(('Data input'!I$109-'Data input'!I$108)*(AY58-1)/4)+'Data input'!I$108,"")</f>
        <v/>
      </c>
      <c r="BJ58" s="19" t="str">
        <f>IF(J58&lt;&gt;"",(('Data input'!J$109-'Data input'!J$108)*(AZ58-1)/4)+'Data input'!J$108,"")</f>
        <v/>
      </c>
      <c r="BK58" s="19" t="str">
        <f>IF(K58&lt;&gt;"",(('Data input'!K$109-'Data input'!K$108)*(BA58-1)/4)+'Data input'!K$108,"")</f>
        <v/>
      </c>
      <c r="BL58" s="19" t="str">
        <f>IF(L58&lt;&gt;"",(('Data input'!L$109-'Data input'!L$108)*(BB58-1)/4)+'Data input'!L$108,"")</f>
        <v/>
      </c>
      <c r="BM58" s="18" t="str">
        <f>IF(C58&lt;&gt;"",BC58-'Data input'!C58,"")</f>
        <v/>
      </c>
      <c r="BN58" s="18" t="str">
        <f>IF(D58&lt;&gt;"",BD58-'Data input'!D58,"")</f>
        <v/>
      </c>
      <c r="BO58" s="18" t="str">
        <f>IF(E58&lt;&gt;"",BE58-'Data input'!E58,"")</f>
        <v/>
      </c>
      <c r="BP58" s="18" t="str">
        <f>IF(F58&lt;&gt;"",BF58-'Data input'!F58,"")</f>
        <v/>
      </c>
      <c r="BQ58" s="18" t="str">
        <f>IF(G58&lt;&gt;"",BG58-'Data input'!G58,"")</f>
        <v/>
      </c>
      <c r="BR58" s="19" t="str">
        <f>IF(H58&lt;&gt;"",BH58-'Data input'!H58,"")</f>
        <v/>
      </c>
      <c r="BS58" s="18" t="str">
        <f>IF(I58&lt;&gt;"",BI58-'Data input'!I58,"")</f>
        <v/>
      </c>
      <c r="BT58" s="18" t="str">
        <f>IF(J58&lt;&gt;"",BJ58-'Data input'!J58,"")</f>
        <v/>
      </c>
      <c r="BU58" s="18" t="str">
        <f>IF(K58&lt;&gt;"",BK58-'Data input'!K58,"")</f>
        <v/>
      </c>
      <c r="BV58" s="72" t="str">
        <f>IF(L58&lt;&gt;"",BL58-'Data input'!L58,"")</f>
        <v/>
      </c>
      <c r="BW58" s="121" t="str">
        <f t="shared" si="17"/>
        <v/>
      </c>
      <c r="FT58" s="1" t="str">
        <f t="shared" si="33"/>
        <v/>
      </c>
      <c r="FU58" s="1" t="str">
        <f t="shared" si="33"/>
        <v/>
      </c>
      <c r="FV58" s="1" t="str">
        <f t="shared" si="33"/>
        <v/>
      </c>
      <c r="FW58" s="1" t="str">
        <f t="shared" si="33"/>
        <v/>
      </c>
      <c r="FX58" s="1" t="str">
        <f t="shared" si="33"/>
        <v/>
      </c>
      <c r="FY58" s="1" t="str">
        <f t="shared" si="33"/>
        <v/>
      </c>
      <c r="FZ58" s="1" t="str">
        <f t="shared" si="33"/>
        <v/>
      </c>
      <c r="GA58" s="1" t="str">
        <f t="shared" si="33"/>
        <v/>
      </c>
      <c r="GB58" s="1" t="str">
        <f t="shared" si="33"/>
        <v/>
      </c>
      <c r="GC58" s="1" t="str">
        <f t="shared" si="33"/>
        <v/>
      </c>
      <c r="GD58" s="1" t="str">
        <f t="shared" si="33"/>
        <v/>
      </c>
      <c r="GE58" s="1" t="str">
        <f t="shared" si="33"/>
        <v/>
      </c>
      <c r="GF58" s="1" t="str">
        <f t="shared" si="33"/>
        <v/>
      </c>
      <c r="GG58" s="1" t="str">
        <f t="shared" si="33"/>
        <v/>
      </c>
      <c r="GH58" s="1" t="str">
        <f t="shared" si="33"/>
        <v/>
      </c>
      <c r="GI58" s="1" t="str">
        <f t="shared" si="32"/>
        <v/>
      </c>
      <c r="GJ58" s="1" t="str">
        <f t="shared" si="32"/>
        <v/>
      </c>
      <c r="GK58" s="1" t="str">
        <f t="shared" si="32"/>
        <v/>
      </c>
      <c r="GL58" s="1" t="str">
        <f t="shared" si="32"/>
        <v/>
      </c>
      <c r="GM58" s="1" t="str">
        <f t="shared" si="32"/>
        <v/>
      </c>
      <c r="GN58" s="1" t="str">
        <f t="shared" si="32"/>
        <v/>
      </c>
      <c r="GO58" s="1" t="str">
        <f t="shared" si="32"/>
        <v/>
      </c>
      <c r="GP58" s="1" t="str">
        <f t="shared" si="32"/>
        <v/>
      </c>
      <c r="GQ58" s="1" t="str">
        <f t="shared" si="32"/>
        <v/>
      </c>
      <c r="GR58" s="1" t="str">
        <f t="shared" si="32"/>
        <v/>
      </c>
      <c r="GS58" s="1" t="str">
        <f t="shared" si="32"/>
        <v/>
      </c>
      <c r="GT58" s="1" t="str">
        <f t="shared" si="32"/>
        <v/>
      </c>
      <c r="GU58" s="1" t="str">
        <f t="shared" si="32"/>
        <v/>
      </c>
      <c r="GV58" s="1" t="str">
        <f t="shared" si="32"/>
        <v/>
      </c>
      <c r="GW58" s="1" t="str">
        <f t="shared" si="32"/>
        <v/>
      </c>
      <c r="GX58" s="1" t="str">
        <f t="shared" si="32"/>
        <v/>
      </c>
      <c r="GY58" s="1" t="str">
        <f t="shared" si="39"/>
        <v/>
      </c>
      <c r="GZ58" s="1" t="str">
        <f t="shared" si="38"/>
        <v/>
      </c>
      <c r="HA58" s="1" t="str">
        <f t="shared" si="38"/>
        <v/>
      </c>
      <c r="HB58" s="1" t="str">
        <f t="shared" si="38"/>
        <v/>
      </c>
      <c r="HC58" s="1" t="str">
        <f t="shared" si="38"/>
        <v/>
      </c>
      <c r="HD58" s="1" t="str">
        <f t="shared" si="38"/>
        <v/>
      </c>
      <c r="HE58" s="1" t="str">
        <f t="shared" si="38"/>
        <v/>
      </c>
      <c r="HF58" s="1" t="str">
        <f t="shared" si="38"/>
        <v/>
      </c>
      <c r="HG58" s="1" t="str">
        <f t="shared" si="38"/>
        <v/>
      </c>
      <c r="HH58" s="1" t="str">
        <f t="shared" si="38"/>
        <v/>
      </c>
      <c r="HI58" s="1" t="str">
        <f t="shared" si="38"/>
        <v/>
      </c>
      <c r="HJ58" s="1" t="str">
        <f t="shared" si="38"/>
        <v/>
      </c>
      <c r="HK58" s="1" t="str">
        <f t="shared" si="34"/>
        <v/>
      </c>
      <c r="HL58" s="1" t="str">
        <f t="shared" si="34"/>
        <v/>
      </c>
      <c r="HM58" s="1" t="str">
        <f t="shared" si="34"/>
        <v/>
      </c>
      <c r="HN58" s="1" t="str">
        <f t="shared" si="34"/>
        <v/>
      </c>
      <c r="HO58" s="1" t="str">
        <f t="shared" si="34"/>
        <v/>
      </c>
      <c r="HP58" s="1" t="str">
        <f t="shared" si="34"/>
        <v/>
      </c>
      <c r="HQ58" s="1" t="str">
        <f t="shared" si="34"/>
        <v/>
      </c>
      <c r="HR58" s="1" t="str">
        <f t="shared" si="34"/>
        <v/>
      </c>
      <c r="HS58" s="1" t="str">
        <f t="shared" si="34"/>
        <v/>
      </c>
      <c r="HT58" s="1" t="str">
        <f t="shared" si="34"/>
        <v/>
      </c>
      <c r="HU58" s="1" t="str">
        <f t="shared" si="34"/>
        <v/>
      </c>
      <c r="HV58" s="1" t="str">
        <f t="shared" si="34"/>
        <v/>
      </c>
      <c r="HW58" s="1" t="str">
        <f t="shared" si="34"/>
        <v/>
      </c>
      <c r="HX58" s="1" t="str">
        <f t="shared" si="34"/>
        <v/>
      </c>
      <c r="HY58" s="1" t="str">
        <f t="shared" si="34"/>
        <v/>
      </c>
      <c r="HZ58" s="1" t="str">
        <f t="shared" si="34"/>
        <v/>
      </c>
      <c r="IA58" s="1" t="str">
        <f t="shared" si="35"/>
        <v/>
      </c>
      <c r="IB58" s="1" t="str">
        <f t="shared" si="35"/>
        <v/>
      </c>
      <c r="IC58" s="1" t="str">
        <f t="shared" si="35"/>
        <v/>
      </c>
      <c r="ID58" s="1" t="str">
        <f t="shared" si="35"/>
        <v/>
      </c>
      <c r="IE58" s="1" t="str">
        <f t="shared" si="35"/>
        <v/>
      </c>
      <c r="IF58" s="1" t="str">
        <f t="shared" si="35"/>
        <v/>
      </c>
      <c r="IG58" s="1" t="str">
        <f t="shared" si="35"/>
        <v/>
      </c>
      <c r="IH58" s="1" t="str">
        <f t="shared" si="35"/>
        <v/>
      </c>
      <c r="II58" s="1" t="str">
        <f t="shared" si="35"/>
        <v/>
      </c>
      <c r="IJ58" s="1" t="str">
        <f t="shared" si="35"/>
        <v/>
      </c>
      <c r="IK58" s="1" t="str">
        <f t="shared" si="35"/>
        <v/>
      </c>
      <c r="IL58" s="1" t="str">
        <f t="shared" si="35"/>
        <v/>
      </c>
      <c r="IM58" s="1" t="str">
        <f t="shared" si="35"/>
        <v/>
      </c>
      <c r="IN58" s="1" t="str">
        <f t="shared" si="35"/>
        <v/>
      </c>
      <c r="IO58" s="1" t="str">
        <f t="shared" si="35"/>
        <v/>
      </c>
      <c r="IP58" s="1" t="str">
        <f t="shared" si="35"/>
        <v/>
      </c>
      <c r="IQ58" s="1" t="str">
        <f t="shared" si="36"/>
        <v/>
      </c>
      <c r="IR58" s="1" t="str">
        <f t="shared" si="36"/>
        <v/>
      </c>
      <c r="IS58" s="1" t="str">
        <f t="shared" si="36"/>
        <v/>
      </c>
      <c r="IT58" s="1" t="str">
        <f t="shared" si="36"/>
        <v/>
      </c>
      <c r="IU58" s="1" t="str">
        <f t="shared" si="36"/>
        <v/>
      </c>
      <c r="IV58" s="1" t="str">
        <f t="shared" si="36"/>
        <v/>
      </c>
      <c r="IW58" s="1" t="str">
        <f t="shared" si="36"/>
        <v/>
      </c>
      <c r="IX58" s="1" t="str">
        <f t="shared" si="36"/>
        <v/>
      </c>
      <c r="IY58" s="1" t="str">
        <f t="shared" si="36"/>
        <v/>
      </c>
      <c r="IZ58" s="1" t="str">
        <f t="shared" si="36"/>
        <v/>
      </c>
      <c r="JA58" s="1" t="str">
        <f t="shared" si="36"/>
        <v/>
      </c>
      <c r="JB58" s="1" t="str">
        <f t="shared" si="36"/>
        <v/>
      </c>
      <c r="JC58" s="1" t="str">
        <f t="shared" si="36"/>
        <v/>
      </c>
      <c r="JD58" s="1" t="str">
        <f t="shared" si="36"/>
        <v/>
      </c>
      <c r="JE58" s="1" t="str">
        <f t="shared" si="36"/>
        <v/>
      </c>
      <c r="JF58" s="1" t="str">
        <f t="shared" si="36"/>
        <v/>
      </c>
      <c r="JG58" s="1" t="str">
        <f t="shared" si="37"/>
        <v/>
      </c>
      <c r="JH58" s="1" t="str">
        <f t="shared" si="37"/>
        <v/>
      </c>
      <c r="JI58" s="1" t="str">
        <f t="shared" si="37"/>
        <v/>
      </c>
      <c r="JJ58" s="1" t="str">
        <f t="shared" si="30"/>
        <v/>
      </c>
      <c r="JK58" s="1" t="str">
        <f t="shared" si="30"/>
        <v/>
      </c>
      <c r="JL58" s="1" t="str">
        <f t="shared" si="24"/>
        <v/>
      </c>
      <c r="JM58" s="1" t="str">
        <f t="shared" si="12"/>
        <v/>
      </c>
      <c r="JN58" s="1" t="str">
        <f t="shared" si="12"/>
        <v/>
      </c>
      <c r="JO58" s="1" t="str">
        <f t="shared" si="12"/>
        <v/>
      </c>
    </row>
    <row r="59" spans="1:275" ht="14.5" x14ac:dyDescent="0.35">
      <c r="A59" s="59" t="str">
        <f>IF('Data input'!A59&lt;&gt;"",'Data input'!A59,"")</f>
        <v/>
      </c>
      <c r="B59" s="15" t="str">
        <f>IF('Data input'!B59&lt;&gt;"",'Data input'!B59,"")</f>
        <v/>
      </c>
      <c r="C59" s="16" t="str">
        <f>IF('Data input'!C59="","",4*('Data input'!C59-'Data input'!C$108)/('Data input'!C$109-'Data input'!C$108)+1)</f>
        <v/>
      </c>
      <c r="D59" s="16" t="str">
        <f>IF('Data input'!D59="","",4*('Data input'!D59-'Data input'!D$108)/('Data input'!D$109-'Data input'!D$108)+1)</f>
        <v/>
      </c>
      <c r="E59" s="16" t="str">
        <f>IF('Data input'!E59="","",4*('Data input'!E59-'Data input'!E$108)/('Data input'!E$109-'Data input'!E$108)+1)</f>
        <v/>
      </c>
      <c r="F59" s="16" t="str">
        <f>IF('Data input'!F59="","",4*('Data input'!F59-'Data input'!F$108)/('Data input'!F$109-'Data input'!F$108)+1)</f>
        <v/>
      </c>
      <c r="G59" s="16" t="str">
        <f>IF('Data input'!G59="","",4*('Data input'!G59-'Data input'!G$108)/('Data input'!G$109-'Data input'!G$108)+1)</f>
        <v/>
      </c>
      <c r="H59" s="16" t="str">
        <f>IF('Data input'!H59="","",4*('Data input'!H59-'Data input'!H$108)/('Data input'!H$109-'Data input'!H$108)+1)</f>
        <v/>
      </c>
      <c r="I59" s="19" t="str">
        <f>IF('Data input'!I59="","",4*('Data input'!I59-'Data input'!I$108)/('Data input'!I$109-'Data input'!I$108)+1)</f>
        <v/>
      </c>
      <c r="J59" s="19" t="str">
        <f>IF('Data input'!J59="","",4*('Data input'!J59-'Data input'!J$108)/('Data input'!J$109-'Data input'!J$108)+1)</f>
        <v/>
      </c>
      <c r="K59" s="19" t="str">
        <f>IF('Data input'!K59="","",4*('Data input'!K59-'Data input'!K$108)/('Data input'!K$109-'Data input'!K$108)+1)</f>
        <v/>
      </c>
      <c r="L59" s="19" t="str">
        <f>IF('Data input'!L59="","",4*('Data input'!L59-'Data input'!L$108)/('Data input'!L$109-'Data input'!L$108)+1)</f>
        <v/>
      </c>
      <c r="M59" s="16" t="str">
        <f>IF('Data input'!M59="","",4*('Data input'!M59-'Data input'!M$108)/('Data input'!M$109-'Data input'!M$108)+1)</f>
        <v/>
      </c>
      <c r="N59" s="16" t="str">
        <f>IF('Data input'!N59="","",4*('Data input'!N59-'Data input'!N$108)/('Data input'!N$109-'Data input'!N$108)+1)</f>
        <v/>
      </c>
      <c r="O59" s="16" t="str">
        <f>IF('Data input'!O59="","",4*('Data input'!O59-'Data input'!O$108)/('Data input'!O$109-'Data input'!O$108)+1)</f>
        <v/>
      </c>
      <c r="P59" s="16" t="str">
        <f>IF('Data input'!P59="","",4*('Data input'!P59-'Data input'!P$108)/('Data input'!P$109-'Data input'!P$108)+1)</f>
        <v/>
      </c>
      <c r="Q59" s="16" t="str">
        <f>IF('Data input'!Q59="","",4*('Data input'!Q59-'Data input'!Q$108)/('Data input'!Q$109-'Data input'!Q$108)+1)</f>
        <v/>
      </c>
      <c r="R59" s="16" t="str">
        <f>IF('Data input'!R59="","",4*('Data input'!R59-'Data input'!R$108)/('Data input'!R$109-'Data input'!R$108)+1)</f>
        <v/>
      </c>
      <c r="S59" s="16" t="str">
        <f>IF('Data input'!S59="","",4*('Data input'!S59-'Data input'!S$108)/('Data input'!S$109-'Data input'!S$108)+1)</f>
        <v/>
      </c>
      <c r="T59" s="16" t="str">
        <f>IF('Data input'!T59="","",4*('Data input'!T59-'Data input'!T$108)/('Data input'!T$109-'Data input'!T$108)+1)</f>
        <v/>
      </c>
      <c r="U59" s="16" t="str">
        <f>IF('Data input'!U59="","",4*('Data input'!U59-'Data input'!U$108)/('Data input'!U$109-'Data input'!U$108)+1)</f>
        <v/>
      </c>
      <c r="V59" s="16" t="str">
        <f>IF('Data input'!V59="","",4*('Data input'!V59-'Data input'!V$108)/('Data input'!V$109-'Data input'!V$108)+1)</f>
        <v/>
      </c>
      <c r="W59" s="16" t="str">
        <f>IF('Data input'!W59="","",4*('Data input'!W59-'Data input'!W$108)/('Data input'!W$109-'Data input'!W$108)+1)</f>
        <v/>
      </c>
      <c r="X59" s="16" t="str">
        <f>IF('Data input'!X59="","",4*('Data input'!X59-'Data input'!X$108)/('Data input'!X$109-'Data input'!X$108)+1)</f>
        <v/>
      </c>
      <c r="Y59" s="16" t="str">
        <f>IF('Data input'!Y59="","",4*('Data input'!Y59-'Data input'!Y$108)/('Data input'!Y$109-'Data input'!Y$108)+1)</f>
        <v/>
      </c>
      <c r="Z59" s="16" t="str">
        <f>IF('Data input'!Z59="","",4*('Data input'!Z59-'Data input'!Z$108)/('Data input'!Z$109-'Data input'!Z$108)+1)</f>
        <v/>
      </c>
      <c r="AA59" s="62" t="str">
        <f>IF('Data input'!AA59="","",4*('Data input'!AA59-'Data input'!AA$108)/('Data input'!AA$109-'Data input'!AA$108)+1)</f>
        <v/>
      </c>
      <c r="AB59" s="78"/>
      <c r="AC59" s="79">
        <v>0</v>
      </c>
      <c r="AD59" s="80" t="e">
        <f t="shared" si="13"/>
        <v>#DIV/0!</v>
      </c>
      <c r="AE59" s="4"/>
      <c r="AF59" s="59" t="str">
        <f t="shared" si="40"/>
        <v/>
      </c>
      <c r="AG59" s="60" t="str">
        <f t="shared" si="40"/>
        <v/>
      </c>
      <c r="AH59"/>
      <c r="AI59"/>
      <c r="AJ59"/>
      <c r="AK59"/>
      <c r="AL59"/>
      <c r="AM59"/>
      <c r="AN59"/>
      <c r="AO59"/>
      <c r="AP59"/>
      <c r="AQ59"/>
      <c r="AR59"/>
      <c r="AS59" s="71" t="str">
        <f t="shared" si="15"/>
        <v/>
      </c>
      <c r="AT59" s="71" t="str">
        <f t="shared" si="15"/>
        <v/>
      </c>
      <c r="AU59" s="71" t="str">
        <f t="shared" si="15"/>
        <v/>
      </c>
      <c r="AV59" s="71" t="str">
        <f t="shared" si="15"/>
        <v/>
      </c>
      <c r="AW59" s="71" t="str">
        <f t="shared" si="15"/>
        <v/>
      </c>
      <c r="AX59" s="71" t="str">
        <f t="shared" si="16"/>
        <v/>
      </c>
      <c r="AY59" s="71" t="str">
        <f t="shared" si="16"/>
        <v/>
      </c>
      <c r="AZ59" s="71" t="str">
        <f t="shared" si="16"/>
        <v/>
      </c>
      <c r="BA59" s="71" t="str">
        <f t="shared" si="16"/>
        <v/>
      </c>
      <c r="BB59" s="71" t="str">
        <f t="shared" si="16"/>
        <v/>
      </c>
      <c r="BC59" s="18" t="str">
        <f>IF(C59&lt;&gt;"",(('Data input'!C$109-'Data input'!C$108)*(AS59-1)/4)+'Data input'!C$108,"")</f>
        <v/>
      </c>
      <c r="BD59" s="18" t="str">
        <f>IF(D59&lt;&gt;"",(('Data input'!D$109-'Data input'!D$108)*(AT59-1)/4)+'Data input'!D$108,"")</f>
        <v/>
      </c>
      <c r="BE59" s="18" t="str">
        <f>IF(E59&lt;&gt;"",(('Data input'!E$109-'Data input'!E$108)*(AU59-1)/4)+'Data input'!E$108,"")</f>
        <v/>
      </c>
      <c r="BF59" s="18" t="str">
        <f>IF(F59&lt;&gt;"",(('Data input'!F$109-'Data input'!F$108)*(AV59-1)/4)+'Data input'!F$108,"")</f>
        <v/>
      </c>
      <c r="BG59" s="18" t="str">
        <f>IF(G59&lt;&gt;"",(('Data input'!G$109-'Data input'!G$108)*(AW59-1)/4)+'Data input'!G$108,"")</f>
        <v/>
      </c>
      <c r="BH59" s="19" t="str">
        <f>IF(H59&lt;&gt;"",(('Data input'!H$109-'Data input'!H$108)*(AX59-1)/4)+'Data input'!H$108,"")</f>
        <v/>
      </c>
      <c r="BI59" s="18" t="str">
        <f>IF(I59&lt;&gt;"",(('Data input'!I$109-'Data input'!I$108)*(AY59-1)/4)+'Data input'!I$108,"")</f>
        <v/>
      </c>
      <c r="BJ59" s="19" t="str">
        <f>IF(J59&lt;&gt;"",(('Data input'!J$109-'Data input'!J$108)*(AZ59-1)/4)+'Data input'!J$108,"")</f>
        <v/>
      </c>
      <c r="BK59" s="19" t="str">
        <f>IF(K59&lt;&gt;"",(('Data input'!K$109-'Data input'!K$108)*(BA59-1)/4)+'Data input'!K$108,"")</f>
        <v/>
      </c>
      <c r="BL59" s="19" t="str">
        <f>IF(L59&lt;&gt;"",(('Data input'!L$109-'Data input'!L$108)*(BB59-1)/4)+'Data input'!L$108,"")</f>
        <v/>
      </c>
      <c r="BM59" s="18" t="str">
        <f>IF(C59&lt;&gt;"",BC59-'Data input'!C59,"")</f>
        <v/>
      </c>
      <c r="BN59" s="18" t="str">
        <f>IF(D59&lt;&gt;"",BD59-'Data input'!D59,"")</f>
        <v/>
      </c>
      <c r="BO59" s="18" t="str">
        <f>IF(E59&lt;&gt;"",BE59-'Data input'!E59,"")</f>
        <v/>
      </c>
      <c r="BP59" s="18" t="str">
        <f>IF(F59&lt;&gt;"",BF59-'Data input'!F59,"")</f>
        <v/>
      </c>
      <c r="BQ59" s="18" t="str">
        <f>IF(G59&lt;&gt;"",BG59-'Data input'!G59,"")</f>
        <v/>
      </c>
      <c r="BR59" s="19" t="str">
        <f>IF(H59&lt;&gt;"",BH59-'Data input'!H59,"")</f>
        <v/>
      </c>
      <c r="BS59" s="18" t="str">
        <f>IF(I59&lt;&gt;"",BI59-'Data input'!I59,"")</f>
        <v/>
      </c>
      <c r="BT59" s="18" t="str">
        <f>IF(J59&lt;&gt;"",BJ59-'Data input'!J59,"")</f>
        <v/>
      </c>
      <c r="BU59" s="18" t="str">
        <f>IF(K59&lt;&gt;"",BK59-'Data input'!K59,"")</f>
        <v/>
      </c>
      <c r="BV59" s="72" t="str">
        <f>IF(L59&lt;&gt;"",BL59-'Data input'!L59,"")</f>
        <v/>
      </c>
      <c r="BW59" s="121" t="str">
        <f t="shared" si="17"/>
        <v/>
      </c>
      <c r="FT59" s="1" t="str">
        <f t="shared" si="33"/>
        <v/>
      </c>
      <c r="FU59" s="1" t="str">
        <f t="shared" si="33"/>
        <v/>
      </c>
      <c r="FV59" s="1" t="str">
        <f t="shared" si="33"/>
        <v/>
      </c>
      <c r="FW59" s="1" t="str">
        <f t="shared" si="33"/>
        <v/>
      </c>
      <c r="FX59" s="1" t="str">
        <f t="shared" si="33"/>
        <v/>
      </c>
      <c r="FY59" s="1" t="str">
        <f t="shared" si="33"/>
        <v/>
      </c>
      <c r="FZ59" s="1" t="str">
        <f t="shared" si="33"/>
        <v/>
      </c>
      <c r="GA59" s="1" t="str">
        <f t="shared" si="33"/>
        <v/>
      </c>
      <c r="GB59" s="1" t="str">
        <f t="shared" si="33"/>
        <v/>
      </c>
      <c r="GC59" s="1" t="str">
        <f t="shared" si="33"/>
        <v/>
      </c>
      <c r="GD59" s="1" t="str">
        <f t="shared" si="33"/>
        <v/>
      </c>
      <c r="GE59" s="1" t="str">
        <f t="shared" si="33"/>
        <v/>
      </c>
      <c r="GF59" s="1" t="str">
        <f t="shared" si="33"/>
        <v/>
      </c>
      <c r="GG59" s="1" t="str">
        <f t="shared" si="33"/>
        <v/>
      </c>
      <c r="GH59" s="1" t="str">
        <f t="shared" si="33"/>
        <v/>
      </c>
      <c r="GI59" s="1" t="str">
        <f t="shared" si="32"/>
        <v/>
      </c>
      <c r="GJ59" s="1" t="str">
        <f t="shared" si="32"/>
        <v/>
      </c>
      <c r="GK59" s="1" t="str">
        <f t="shared" si="32"/>
        <v/>
      </c>
      <c r="GL59" s="1" t="str">
        <f t="shared" si="32"/>
        <v/>
      </c>
      <c r="GM59" s="1" t="str">
        <f t="shared" si="32"/>
        <v/>
      </c>
      <c r="GN59" s="1" t="str">
        <f t="shared" si="32"/>
        <v/>
      </c>
      <c r="GO59" s="1" t="str">
        <f t="shared" si="32"/>
        <v/>
      </c>
      <c r="GP59" s="1" t="str">
        <f t="shared" si="32"/>
        <v/>
      </c>
      <c r="GQ59" s="1" t="str">
        <f t="shared" si="32"/>
        <v/>
      </c>
      <c r="GR59" s="1" t="str">
        <f t="shared" si="32"/>
        <v/>
      </c>
      <c r="GS59" s="1" t="str">
        <f t="shared" si="32"/>
        <v/>
      </c>
      <c r="GT59" s="1" t="str">
        <f t="shared" si="32"/>
        <v/>
      </c>
      <c r="GU59" s="1" t="str">
        <f t="shared" si="32"/>
        <v/>
      </c>
      <c r="GV59" s="1" t="str">
        <f t="shared" si="32"/>
        <v/>
      </c>
      <c r="GW59" s="1" t="str">
        <f t="shared" si="32"/>
        <v/>
      </c>
      <c r="GX59" s="1" t="str">
        <f t="shared" si="32"/>
        <v/>
      </c>
      <c r="GY59" s="1" t="str">
        <f t="shared" si="39"/>
        <v/>
      </c>
      <c r="GZ59" s="1" t="str">
        <f t="shared" si="38"/>
        <v/>
      </c>
      <c r="HA59" s="1" t="str">
        <f t="shared" si="38"/>
        <v/>
      </c>
      <c r="HB59" s="1" t="str">
        <f t="shared" si="38"/>
        <v/>
      </c>
      <c r="HC59" s="1" t="str">
        <f t="shared" si="38"/>
        <v/>
      </c>
      <c r="HD59" s="1" t="str">
        <f t="shared" si="38"/>
        <v/>
      </c>
      <c r="HE59" s="1" t="str">
        <f t="shared" si="38"/>
        <v/>
      </c>
      <c r="HF59" s="1" t="str">
        <f t="shared" si="38"/>
        <v/>
      </c>
      <c r="HG59" s="1" t="str">
        <f t="shared" si="38"/>
        <v/>
      </c>
      <c r="HH59" s="1" t="str">
        <f t="shared" si="38"/>
        <v/>
      </c>
      <c r="HI59" s="1" t="str">
        <f t="shared" si="38"/>
        <v/>
      </c>
      <c r="HJ59" s="1" t="str">
        <f t="shared" si="38"/>
        <v/>
      </c>
      <c r="HK59" s="1" t="str">
        <f t="shared" si="34"/>
        <v/>
      </c>
      <c r="HL59" s="1" t="str">
        <f t="shared" si="34"/>
        <v/>
      </c>
      <c r="HM59" s="1" t="str">
        <f t="shared" si="34"/>
        <v/>
      </c>
      <c r="HN59" s="1" t="str">
        <f t="shared" si="34"/>
        <v/>
      </c>
      <c r="HO59" s="1" t="str">
        <f t="shared" si="34"/>
        <v/>
      </c>
      <c r="HP59" s="1" t="str">
        <f t="shared" si="34"/>
        <v/>
      </c>
      <c r="HQ59" s="1" t="str">
        <f t="shared" si="34"/>
        <v/>
      </c>
      <c r="HR59" s="1" t="str">
        <f t="shared" si="34"/>
        <v/>
      </c>
      <c r="HS59" s="1" t="str">
        <f t="shared" si="34"/>
        <v/>
      </c>
      <c r="HT59" s="1" t="str">
        <f t="shared" si="34"/>
        <v/>
      </c>
      <c r="HU59" s="1" t="str">
        <f t="shared" si="34"/>
        <v/>
      </c>
      <c r="HV59" s="1" t="str">
        <f t="shared" si="34"/>
        <v/>
      </c>
      <c r="HW59" s="1" t="str">
        <f t="shared" si="34"/>
        <v/>
      </c>
      <c r="HX59" s="1" t="str">
        <f t="shared" si="34"/>
        <v/>
      </c>
      <c r="HY59" s="1" t="str">
        <f t="shared" si="34"/>
        <v/>
      </c>
      <c r="HZ59" s="1" t="str">
        <f t="shared" si="34"/>
        <v/>
      </c>
      <c r="IA59" s="1" t="str">
        <f t="shared" si="35"/>
        <v/>
      </c>
      <c r="IB59" s="1" t="str">
        <f t="shared" si="35"/>
        <v/>
      </c>
      <c r="IC59" s="1" t="str">
        <f t="shared" si="35"/>
        <v/>
      </c>
      <c r="ID59" s="1" t="str">
        <f t="shared" si="35"/>
        <v/>
      </c>
      <c r="IE59" s="1" t="str">
        <f t="shared" si="35"/>
        <v/>
      </c>
      <c r="IF59" s="1" t="str">
        <f t="shared" si="35"/>
        <v/>
      </c>
      <c r="IG59" s="1" t="str">
        <f t="shared" si="35"/>
        <v/>
      </c>
      <c r="IH59" s="1" t="str">
        <f t="shared" si="35"/>
        <v/>
      </c>
      <c r="II59" s="1" t="str">
        <f t="shared" si="35"/>
        <v/>
      </c>
      <c r="IJ59" s="1" t="str">
        <f t="shared" si="35"/>
        <v/>
      </c>
      <c r="IK59" s="1" t="str">
        <f t="shared" si="35"/>
        <v/>
      </c>
      <c r="IL59" s="1" t="str">
        <f t="shared" si="35"/>
        <v/>
      </c>
      <c r="IM59" s="1" t="str">
        <f t="shared" si="35"/>
        <v/>
      </c>
      <c r="IN59" s="1" t="str">
        <f t="shared" si="35"/>
        <v/>
      </c>
      <c r="IO59" s="1" t="str">
        <f t="shared" si="35"/>
        <v/>
      </c>
      <c r="IP59" s="1" t="str">
        <f t="shared" si="35"/>
        <v/>
      </c>
      <c r="IQ59" s="1" t="str">
        <f t="shared" si="36"/>
        <v/>
      </c>
      <c r="IR59" s="1" t="str">
        <f t="shared" si="36"/>
        <v/>
      </c>
      <c r="IS59" s="1" t="str">
        <f t="shared" si="36"/>
        <v/>
      </c>
      <c r="IT59" s="1" t="str">
        <f t="shared" si="36"/>
        <v/>
      </c>
      <c r="IU59" s="1" t="str">
        <f t="shared" si="36"/>
        <v/>
      </c>
      <c r="IV59" s="1" t="str">
        <f t="shared" si="36"/>
        <v/>
      </c>
      <c r="IW59" s="1" t="str">
        <f t="shared" si="36"/>
        <v/>
      </c>
      <c r="IX59" s="1" t="str">
        <f t="shared" si="36"/>
        <v/>
      </c>
      <c r="IY59" s="1" t="str">
        <f t="shared" si="36"/>
        <v/>
      </c>
      <c r="IZ59" s="1" t="str">
        <f t="shared" si="36"/>
        <v/>
      </c>
      <c r="JA59" s="1" t="str">
        <f t="shared" si="36"/>
        <v/>
      </c>
      <c r="JB59" s="1" t="str">
        <f t="shared" si="36"/>
        <v/>
      </c>
      <c r="JC59" s="1" t="str">
        <f t="shared" si="36"/>
        <v/>
      </c>
      <c r="JD59" s="1" t="str">
        <f t="shared" si="36"/>
        <v/>
      </c>
      <c r="JE59" s="1" t="str">
        <f t="shared" si="36"/>
        <v/>
      </c>
      <c r="JF59" s="1" t="str">
        <f t="shared" si="36"/>
        <v/>
      </c>
      <c r="JG59" s="1" t="str">
        <f t="shared" si="37"/>
        <v/>
      </c>
      <c r="JH59" s="1" t="str">
        <f t="shared" si="37"/>
        <v/>
      </c>
      <c r="JI59" s="1" t="str">
        <f t="shared" si="37"/>
        <v/>
      </c>
      <c r="JJ59" s="1" t="str">
        <f t="shared" si="30"/>
        <v/>
      </c>
      <c r="JK59" s="1" t="str">
        <f t="shared" si="30"/>
        <v/>
      </c>
      <c r="JL59" s="1" t="str">
        <f t="shared" si="24"/>
        <v/>
      </c>
      <c r="JM59" s="1" t="str">
        <f t="shared" si="12"/>
        <v/>
      </c>
      <c r="JN59" s="1" t="str">
        <f t="shared" si="12"/>
        <v/>
      </c>
      <c r="JO59" s="1" t="str">
        <f t="shared" si="12"/>
        <v/>
      </c>
    </row>
    <row r="60" spans="1:275" ht="14.5" x14ac:dyDescent="0.35">
      <c r="A60" s="59" t="str">
        <f>IF('Data input'!A60&lt;&gt;"",'Data input'!A60,"")</f>
        <v/>
      </c>
      <c r="B60" s="15" t="str">
        <f>IF('Data input'!B60&lt;&gt;"",'Data input'!B60,"")</f>
        <v/>
      </c>
      <c r="C60" s="16" t="str">
        <f>IF('Data input'!C60="","",4*('Data input'!C60-'Data input'!C$108)/('Data input'!C$109-'Data input'!C$108)+1)</f>
        <v/>
      </c>
      <c r="D60" s="16" t="str">
        <f>IF('Data input'!D60="","",4*('Data input'!D60-'Data input'!D$108)/('Data input'!D$109-'Data input'!D$108)+1)</f>
        <v/>
      </c>
      <c r="E60" s="16" t="str">
        <f>IF('Data input'!E60="","",4*('Data input'!E60-'Data input'!E$108)/('Data input'!E$109-'Data input'!E$108)+1)</f>
        <v/>
      </c>
      <c r="F60" s="16" t="str">
        <f>IF('Data input'!F60="","",4*('Data input'!F60-'Data input'!F$108)/('Data input'!F$109-'Data input'!F$108)+1)</f>
        <v/>
      </c>
      <c r="G60" s="16" t="str">
        <f>IF('Data input'!G60="","",4*('Data input'!G60-'Data input'!G$108)/('Data input'!G$109-'Data input'!G$108)+1)</f>
        <v/>
      </c>
      <c r="H60" s="16" t="str">
        <f>IF('Data input'!H60="","",4*('Data input'!H60-'Data input'!H$108)/('Data input'!H$109-'Data input'!H$108)+1)</f>
        <v/>
      </c>
      <c r="I60" s="19" t="str">
        <f>IF('Data input'!I60="","",4*('Data input'!I60-'Data input'!I$108)/('Data input'!I$109-'Data input'!I$108)+1)</f>
        <v/>
      </c>
      <c r="J60" s="19" t="str">
        <f>IF('Data input'!J60="","",4*('Data input'!J60-'Data input'!J$108)/('Data input'!J$109-'Data input'!J$108)+1)</f>
        <v/>
      </c>
      <c r="K60" s="19" t="str">
        <f>IF('Data input'!K60="","",4*('Data input'!K60-'Data input'!K$108)/('Data input'!K$109-'Data input'!K$108)+1)</f>
        <v/>
      </c>
      <c r="L60" s="19" t="str">
        <f>IF('Data input'!L60="","",4*('Data input'!L60-'Data input'!L$108)/('Data input'!L$109-'Data input'!L$108)+1)</f>
        <v/>
      </c>
      <c r="M60" s="16" t="str">
        <f>IF('Data input'!M60="","",4*('Data input'!M60-'Data input'!M$108)/('Data input'!M$109-'Data input'!M$108)+1)</f>
        <v/>
      </c>
      <c r="N60" s="16" t="str">
        <f>IF('Data input'!N60="","",4*('Data input'!N60-'Data input'!N$108)/('Data input'!N$109-'Data input'!N$108)+1)</f>
        <v/>
      </c>
      <c r="O60" s="16" t="str">
        <f>IF('Data input'!O60="","",4*('Data input'!O60-'Data input'!O$108)/('Data input'!O$109-'Data input'!O$108)+1)</f>
        <v/>
      </c>
      <c r="P60" s="16" t="str">
        <f>IF('Data input'!P60="","",4*('Data input'!P60-'Data input'!P$108)/('Data input'!P$109-'Data input'!P$108)+1)</f>
        <v/>
      </c>
      <c r="Q60" s="16" t="str">
        <f>IF('Data input'!Q60="","",4*('Data input'!Q60-'Data input'!Q$108)/('Data input'!Q$109-'Data input'!Q$108)+1)</f>
        <v/>
      </c>
      <c r="R60" s="16" t="str">
        <f>IF('Data input'!R60="","",4*('Data input'!R60-'Data input'!R$108)/('Data input'!R$109-'Data input'!R$108)+1)</f>
        <v/>
      </c>
      <c r="S60" s="16" t="str">
        <f>IF('Data input'!S60="","",4*('Data input'!S60-'Data input'!S$108)/('Data input'!S$109-'Data input'!S$108)+1)</f>
        <v/>
      </c>
      <c r="T60" s="16" t="str">
        <f>IF('Data input'!T60="","",4*('Data input'!T60-'Data input'!T$108)/('Data input'!T$109-'Data input'!T$108)+1)</f>
        <v/>
      </c>
      <c r="U60" s="16" t="str">
        <f>IF('Data input'!U60="","",4*('Data input'!U60-'Data input'!U$108)/('Data input'!U$109-'Data input'!U$108)+1)</f>
        <v/>
      </c>
      <c r="V60" s="16" t="str">
        <f>IF('Data input'!V60="","",4*('Data input'!V60-'Data input'!V$108)/('Data input'!V$109-'Data input'!V$108)+1)</f>
        <v/>
      </c>
      <c r="W60" s="16" t="str">
        <f>IF('Data input'!W60="","",4*('Data input'!W60-'Data input'!W$108)/('Data input'!W$109-'Data input'!W$108)+1)</f>
        <v/>
      </c>
      <c r="X60" s="16" t="str">
        <f>IF('Data input'!X60="","",4*('Data input'!X60-'Data input'!X$108)/('Data input'!X$109-'Data input'!X$108)+1)</f>
        <v/>
      </c>
      <c r="Y60" s="16" t="str">
        <f>IF('Data input'!Y60="","",4*('Data input'!Y60-'Data input'!Y$108)/('Data input'!Y$109-'Data input'!Y$108)+1)</f>
        <v/>
      </c>
      <c r="Z60" s="16" t="str">
        <f>IF('Data input'!Z60="","",4*('Data input'!Z60-'Data input'!Z$108)/('Data input'!Z$109-'Data input'!Z$108)+1)</f>
        <v/>
      </c>
      <c r="AA60" s="62" t="str">
        <f>IF('Data input'!AA60="","",4*('Data input'!AA60-'Data input'!AA$108)/('Data input'!AA$109-'Data input'!AA$108)+1)</f>
        <v/>
      </c>
      <c r="AB60" s="78"/>
      <c r="AC60" s="79">
        <v>0</v>
      </c>
      <c r="AD60" s="80" t="e">
        <f t="shared" si="13"/>
        <v>#DIV/0!</v>
      </c>
      <c r="AE60" s="4"/>
      <c r="AF60" s="59" t="str">
        <f t="shared" si="40"/>
        <v/>
      </c>
      <c r="AG60" s="60" t="str">
        <f t="shared" si="40"/>
        <v/>
      </c>
      <c r="AH60"/>
      <c r="AI60"/>
      <c r="AJ60"/>
      <c r="AK60"/>
      <c r="AL60"/>
      <c r="AM60"/>
      <c r="AN60"/>
      <c r="AO60"/>
      <c r="AP60"/>
      <c r="AQ60"/>
      <c r="AR60"/>
      <c r="AS60" s="71" t="str">
        <f t="shared" si="15"/>
        <v/>
      </c>
      <c r="AT60" s="71" t="str">
        <f t="shared" si="15"/>
        <v/>
      </c>
      <c r="AU60" s="71" t="str">
        <f t="shared" si="15"/>
        <v/>
      </c>
      <c r="AV60" s="71" t="str">
        <f t="shared" si="15"/>
        <v/>
      </c>
      <c r="AW60" s="71" t="str">
        <f t="shared" si="15"/>
        <v/>
      </c>
      <c r="AX60" s="71" t="str">
        <f t="shared" si="16"/>
        <v/>
      </c>
      <c r="AY60" s="71" t="str">
        <f t="shared" si="16"/>
        <v/>
      </c>
      <c r="AZ60" s="71" t="str">
        <f t="shared" si="16"/>
        <v/>
      </c>
      <c r="BA60" s="71" t="str">
        <f t="shared" si="16"/>
        <v/>
      </c>
      <c r="BB60" s="71" t="str">
        <f t="shared" si="16"/>
        <v/>
      </c>
      <c r="BC60" s="18" t="str">
        <f>IF(C60&lt;&gt;"",(('Data input'!C$109-'Data input'!C$108)*(AS60-1)/4)+'Data input'!C$108,"")</f>
        <v/>
      </c>
      <c r="BD60" s="18" t="str">
        <f>IF(D60&lt;&gt;"",(('Data input'!D$109-'Data input'!D$108)*(AT60-1)/4)+'Data input'!D$108,"")</f>
        <v/>
      </c>
      <c r="BE60" s="18" t="str">
        <f>IF(E60&lt;&gt;"",(('Data input'!E$109-'Data input'!E$108)*(AU60-1)/4)+'Data input'!E$108,"")</f>
        <v/>
      </c>
      <c r="BF60" s="18" t="str">
        <f>IF(F60&lt;&gt;"",(('Data input'!F$109-'Data input'!F$108)*(AV60-1)/4)+'Data input'!F$108,"")</f>
        <v/>
      </c>
      <c r="BG60" s="18" t="str">
        <f>IF(G60&lt;&gt;"",(('Data input'!G$109-'Data input'!G$108)*(AW60-1)/4)+'Data input'!G$108,"")</f>
        <v/>
      </c>
      <c r="BH60" s="19" t="str">
        <f>IF(H60&lt;&gt;"",(('Data input'!H$109-'Data input'!H$108)*(AX60-1)/4)+'Data input'!H$108,"")</f>
        <v/>
      </c>
      <c r="BI60" s="18" t="str">
        <f>IF(I60&lt;&gt;"",(('Data input'!I$109-'Data input'!I$108)*(AY60-1)/4)+'Data input'!I$108,"")</f>
        <v/>
      </c>
      <c r="BJ60" s="19" t="str">
        <f>IF(J60&lt;&gt;"",(('Data input'!J$109-'Data input'!J$108)*(AZ60-1)/4)+'Data input'!J$108,"")</f>
        <v/>
      </c>
      <c r="BK60" s="19" t="str">
        <f>IF(K60&lt;&gt;"",(('Data input'!K$109-'Data input'!K$108)*(BA60-1)/4)+'Data input'!K$108,"")</f>
        <v/>
      </c>
      <c r="BL60" s="19" t="str">
        <f>IF(L60&lt;&gt;"",(('Data input'!L$109-'Data input'!L$108)*(BB60-1)/4)+'Data input'!L$108,"")</f>
        <v/>
      </c>
      <c r="BM60" s="18" t="str">
        <f>IF(C60&lt;&gt;"",BC60-'Data input'!C60,"")</f>
        <v/>
      </c>
      <c r="BN60" s="18" t="str">
        <f>IF(D60&lt;&gt;"",BD60-'Data input'!D60,"")</f>
        <v/>
      </c>
      <c r="BO60" s="18" t="str">
        <f>IF(E60&lt;&gt;"",BE60-'Data input'!E60,"")</f>
        <v/>
      </c>
      <c r="BP60" s="18" t="str">
        <f>IF(F60&lt;&gt;"",BF60-'Data input'!F60,"")</f>
        <v/>
      </c>
      <c r="BQ60" s="18" t="str">
        <f>IF(G60&lt;&gt;"",BG60-'Data input'!G60,"")</f>
        <v/>
      </c>
      <c r="BR60" s="19" t="str">
        <f>IF(H60&lt;&gt;"",BH60-'Data input'!H60,"")</f>
        <v/>
      </c>
      <c r="BS60" s="18" t="str">
        <f>IF(I60&lt;&gt;"",BI60-'Data input'!I60,"")</f>
        <v/>
      </c>
      <c r="BT60" s="18" t="str">
        <f>IF(J60&lt;&gt;"",BJ60-'Data input'!J60,"")</f>
        <v/>
      </c>
      <c r="BU60" s="18" t="str">
        <f>IF(K60&lt;&gt;"",BK60-'Data input'!K60,"")</f>
        <v/>
      </c>
      <c r="BV60" s="72" t="str">
        <f>IF(L60&lt;&gt;"",BL60-'Data input'!L60,"")</f>
        <v/>
      </c>
      <c r="BW60" s="121" t="str">
        <f t="shared" si="17"/>
        <v/>
      </c>
      <c r="FT60" s="1" t="str">
        <f t="shared" si="33"/>
        <v/>
      </c>
      <c r="FU60" s="1" t="str">
        <f t="shared" si="33"/>
        <v/>
      </c>
      <c r="FV60" s="1" t="str">
        <f t="shared" si="33"/>
        <v/>
      </c>
      <c r="FW60" s="1" t="str">
        <f t="shared" si="33"/>
        <v/>
      </c>
      <c r="FX60" s="1" t="str">
        <f t="shared" si="33"/>
        <v/>
      </c>
      <c r="FY60" s="1" t="str">
        <f t="shared" si="33"/>
        <v/>
      </c>
      <c r="FZ60" s="1" t="str">
        <f t="shared" si="33"/>
        <v/>
      </c>
      <c r="GA60" s="1" t="str">
        <f t="shared" si="33"/>
        <v/>
      </c>
      <c r="GB60" s="1" t="str">
        <f t="shared" si="33"/>
        <v/>
      </c>
      <c r="GC60" s="1" t="str">
        <f t="shared" si="33"/>
        <v/>
      </c>
      <c r="GD60" s="1" t="str">
        <f t="shared" si="33"/>
        <v/>
      </c>
      <c r="GE60" s="1" t="str">
        <f t="shared" si="33"/>
        <v/>
      </c>
      <c r="GF60" s="1" t="str">
        <f t="shared" si="33"/>
        <v/>
      </c>
      <c r="GG60" s="1" t="str">
        <f t="shared" si="33"/>
        <v/>
      </c>
      <c r="GH60" s="1" t="str">
        <f t="shared" si="33"/>
        <v/>
      </c>
      <c r="GI60" s="1" t="str">
        <f t="shared" si="32"/>
        <v/>
      </c>
      <c r="GJ60" s="1" t="str">
        <f t="shared" si="32"/>
        <v/>
      </c>
      <c r="GK60" s="1" t="str">
        <f t="shared" si="32"/>
        <v/>
      </c>
      <c r="GL60" s="1" t="str">
        <f t="shared" si="32"/>
        <v/>
      </c>
      <c r="GM60" s="1" t="str">
        <f t="shared" si="32"/>
        <v/>
      </c>
      <c r="GN60" s="1" t="str">
        <f t="shared" si="32"/>
        <v/>
      </c>
      <c r="GO60" s="1" t="str">
        <f t="shared" si="32"/>
        <v/>
      </c>
      <c r="GP60" s="1" t="str">
        <f t="shared" si="32"/>
        <v/>
      </c>
      <c r="GQ60" s="1" t="str">
        <f t="shared" si="32"/>
        <v/>
      </c>
      <c r="GR60" s="1" t="str">
        <f t="shared" si="32"/>
        <v/>
      </c>
      <c r="GS60" s="1" t="str">
        <f t="shared" si="32"/>
        <v/>
      </c>
      <c r="GT60" s="1" t="str">
        <f t="shared" si="32"/>
        <v/>
      </c>
      <c r="GU60" s="1" t="str">
        <f t="shared" si="32"/>
        <v/>
      </c>
      <c r="GV60" s="1" t="str">
        <f t="shared" si="32"/>
        <v/>
      </c>
      <c r="GW60" s="1" t="str">
        <f t="shared" si="32"/>
        <v/>
      </c>
      <c r="GX60" s="1" t="str">
        <f t="shared" si="32"/>
        <v/>
      </c>
      <c r="GY60" s="1" t="str">
        <f t="shared" si="39"/>
        <v/>
      </c>
      <c r="GZ60" s="1" t="str">
        <f t="shared" si="38"/>
        <v/>
      </c>
      <c r="HA60" s="1" t="str">
        <f t="shared" si="38"/>
        <v/>
      </c>
      <c r="HB60" s="1" t="str">
        <f t="shared" si="38"/>
        <v/>
      </c>
      <c r="HC60" s="1" t="str">
        <f t="shared" si="38"/>
        <v/>
      </c>
      <c r="HD60" s="1" t="str">
        <f t="shared" si="38"/>
        <v/>
      </c>
      <c r="HE60" s="1" t="str">
        <f t="shared" si="38"/>
        <v/>
      </c>
      <c r="HF60" s="1" t="str">
        <f t="shared" si="38"/>
        <v/>
      </c>
      <c r="HG60" s="1" t="str">
        <f t="shared" si="38"/>
        <v/>
      </c>
      <c r="HH60" s="1" t="str">
        <f t="shared" si="38"/>
        <v/>
      </c>
      <c r="HI60" s="1" t="str">
        <f t="shared" si="38"/>
        <v/>
      </c>
      <c r="HJ60" s="1" t="str">
        <f t="shared" si="38"/>
        <v/>
      </c>
      <c r="HK60" s="1" t="str">
        <f t="shared" si="34"/>
        <v/>
      </c>
      <c r="HL60" s="1" t="str">
        <f t="shared" si="34"/>
        <v/>
      </c>
      <c r="HM60" s="1" t="str">
        <f t="shared" si="34"/>
        <v/>
      </c>
      <c r="HN60" s="1" t="str">
        <f t="shared" si="34"/>
        <v/>
      </c>
      <c r="HO60" s="1" t="str">
        <f t="shared" si="34"/>
        <v/>
      </c>
      <c r="HP60" s="1" t="str">
        <f t="shared" si="34"/>
        <v/>
      </c>
      <c r="HQ60" s="1" t="str">
        <f t="shared" si="34"/>
        <v/>
      </c>
      <c r="HR60" s="1" t="str">
        <f t="shared" si="34"/>
        <v/>
      </c>
      <c r="HS60" s="1" t="str">
        <f t="shared" si="34"/>
        <v/>
      </c>
      <c r="HT60" s="1" t="str">
        <f t="shared" si="34"/>
        <v/>
      </c>
      <c r="HU60" s="1" t="str">
        <f t="shared" si="34"/>
        <v/>
      </c>
      <c r="HV60" s="1" t="str">
        <f t="shared" si="34"/>
        <v/>
      </c>
      <c r="HW60" s="1" t="str">
        <f t="shared" si="34"/>
        <v/>
      </c>
      <c r="HX60" s="1" t="str">
        <f t="shared" si="34"/>
        <v/>
      </c>
      <c r="HY60" s="1" t="str">
        <f t="shared" si="34"/>
        <v/>
      </c>
      <c r="HZ60" s="1" t="str">
        <f t="shared" si="34"/>
        <v/>
      </c>
      <c r="IA60" s="1" t="str">
        <f t="shared" si="35"/>
        <v/>
      </c>
      <c r="IB60" s="1" t="str">
        <f t="shared" si="35"/>
        <v/>
      </c>
      <c r="IC60" s="1" t="str">
        <f t="shared" si="35"/>
        <v/>
      </c>
      <c r="ID60" s="1" t="str">
        <f t="shared" si="35"/>
        <v/>
      </c>
      <c r="IE60" s="1" t="str">
        <f t="shared" si="35"/>
        <v/>
      </c>
      <c r="IF60" s="1" t="str">
        <f t="shared" si="35"/>
        <v/>
      </c>
      <c r="IG60" s="1" t="str">
        <f t="shared" si="35"/>
        <v/>
      </c>
      <c r="IH60" s="1" t="str">
        <f t="shared" si="35"/>
        <v/>
      </c>
      <c r="II60" s="1" t="str">
        <f t="shared" si="35"/>
        <v/>
      </c>
      <c r="IJ60" s="1" t="str">
        <f t="shared" si="35"/>
        <v/>
      </c>
      <c r="IK60" s="1" t="str">
        <f t="shared" si="35"/>
        <v/>
      </c>
      <c r="IL60" s="1" t="str">
        <f t="shared" si="35"/>
        <v/>
      </c>
      <c r="IM60" s="1" t="str">
        <f t="shared" si="35"/>
        <v/>
      </c>
      <c r="IN60" s="1" t="str">
        <f t="shared" si="35"/>
        <v/>
      </c>
      <c r="IO60" s="1" t="str">
        <f t="shared" si="35"/>
        <v/>
      </c>
      <c r="IP60" s="1" t="str">
        <f t="shared" si="35"/>
        <v/>
      </c>
      <c r="IQ60" s="1" t="str">
        <f t="shared" si="36"/>
        <v/>
      </c>
      <c r="IR60" s="1" t="str">
        <f t="shared" si="36"/>
        <v/>
      </c>
      <c r="IS60" s="1" t="str">
        <f t="shared" si="36"/>
        <v/>
      </c>
      <c r="IT60" s="1" t="str">
        <f t="shared" si="36"/>
        <v/>
      </c>
      <c r="IU60" s="1" t="str">
        <f t="shared" si="36"/>
        <v/>
      </c>
      <c r="IV60" s="1" t="str">
        <f t="shared" si="36"/>
        <v/>
      </c>
      <c r="IW60" s="1" t="str">
        <f t="shared" si="36"/>
        <v/>
      </c>
      <c r="IX60" s="1" t="str">
        <f t="shared" si="36"/>
        <v/>
      </c>
      <c r="IY60" s="1" t="str">
        <f t="shared" si="36"/>
        <v/>
      </c>
      <c r="IZ60" s="1" t="str">
        <f t="shared" si="36"/>
        <v/>
      </c>
      <c r="JA60" s="1" t="str">
        <f t="shared" si="36"/>
        <v/>
      </c>
      <c r="JB60" s="1" t="str">
        <f t="shared" si="36"/>
        <v/>
      </c>
      <c r="JC60" s="1" t="str">
        <f t="shared" si="36"/>
        <v/>
      </c>
      <c r="JD60" s="1" t="str">
        <f t="shared" si="36"/>
        <v/>
      </c>
      <c r="JE60" s="1" t="str">
        <f t="shared" si="36"/>
        <v/>
      </c>
      <c r="JF60" s="1" t="str">
        <f t="shared" si="36"/>
        <v/>
      </c>
      <c r="JG60" s="1" t="str">
        <f t="shared" si="37"/>
        <v/>
      </c>
      <c r="JH60" s="1" t="str">
        <f t="shared" si="37"/>
        <v/>
      </c>
      <c r="JI60" s="1" t="str">
        <f t="shared" si="37"/>
        <v/>
      </c>
      <c r="JJ60" s="1" t="str">
        <f t="shared" si="30"/>
        <v/>
      </c>
      <c r="JK60" s="1" t="str">
        <f t="shared" si="30"/>
        <v/>
      </c>
      <c r="JL60" s="1" t="str">
        <f t="shared" si="24"/>
        <v/>
      </c>
      <c r="JM60" s="1" t="str">
        <f t="shared" si="12"/>
        <v/>
      </c>
      <c r="JN60" s="1" t="str">
        <f t="shared" si="12"/>
        <v/>
      </c>
      <c r="JO60" s="1" t="str">
        <f t="shared" si="12"/>
        <v/>
      </c>
    </row>
    <row r="61" spans="1:275" ht="14.5" x14ac:dyDescent="0.35">
      <c r="A61" s="59" t="str">
        <f>IF('Data input'!A61&lt;&gt;"",'Data input'!A61,"")</f>
        <v/>
      </c>
      <c r="B61" s="15" t="str">
        <f>IF('Data input'!B61&lt;&gt;"",'Data input'!B61,"")</f>
        <v/>
      </c>
      <c r="C61" s="16" t="str">
        <f>IF('Data input'!C61="","",4*('Data input'!C61-'Data input'!C$108)/('Data input'!C$109-'Data input'!C$108)+1)</f>
        <v/>
      </c>
      <c r="D61" s="16" t="str">
        <f>IF('Data input'!D61="","",4*('Data input'!D61-'Data input'!D$108)/('Data input'!D$109-'Data input'!D$108)+1)</f>
        <v/>
      </c>
      <c r="E61" s="16" t="str">
        <f>IF('Data input'!E61="","",4*('Data input'!E61-'Data input'!E$108)/('Data input'!E$109-'Data input'!E$108)+1)</f>
        <v/>
      </c>
      <c r="F61" s="16" t="str">
        <f>IF('Data input'!F61="","",4*('Data input'!F61-'Data input'!F$108)/('Data input'!F$109-'Data input'!F$108)+1)</f>
        <v/>
      </c>
      <c r="G61" s="16" t="str">
        <f>IF('Data input'!G61="","",4*('Data input'!G61-'Data input'!G$108)/('Data input'!G$109-'Data input'!G$108)+1)</f>
        <v/>
      </c>
      <c r="H61" s="16" t="str">
        <f>IF('Data input'!H61="","",4*('Data input'!H61-'Data input'!H$108)/('Data input'!H$109-'Data input'!H$108)+1)</f>
        <v/>
      </c>
      <c r="I61" s="19" t="str">
        <f>IF('Data input'!I61="","",4*('Data input'!I61-'Data input'!I$108)/('Data input'!I$109-'Data input'!I$108)+1)</f>
        <v/>
      </c>
      <c r="J61" s="19" t="str">
        <f>IF('Data input'!J61="","",4*('Data input'!J61-'Data input'!J$108)/('Data input'!J$109-'Data input'!J$108)+1)</f>
        <v/>
      </c>
      <c r="K61" s="19" t="str">
        <f>IF('Data input'!K61="","",4*('Data input'!K61-'Data input'!K$108)/('Data input'!K$109-'Data input'!K$108)+1)</f>
        <v/>
      </c>
      <c r="L61" s="19" t="str">
        <f>IF('Data input'!L61="","",4*('Data input'!L61-'Data input'!L$108)/('Data input'!L$109-'Data input'!L$108)+1)</f>
        <v/>
      </c>
      <c r="M61" s="16" t="str">
        <f>IF('Data input'!M61="","",4*('Data input'!M61-'Data input'!M$108)/('Data input'!M$109-'Data input'!M$108)+1)</f>
        <v/>
      </c>
      <c r="N61" s="16" t="str">
        <f>IF('Data input'!N61="","",4*('Data input'!N61-'Data input'!N$108)/('Data input'!N$109-'Data input'!N$108)+1)</f>
        <v/>
      </c>
      <c r="O61" s="16" t="str">
        <f>IF('Data input'!O61="","",4*('Data input'!O61-'Data input'!O$108)/('Data input'!O$109-'Data input'!O$108)+1)</f>
        <v/>
      </c>
      <c r="P61" s="16" t="str">
        <f>IF('Data input'!P61="","",4*('Data input'!P61-'Data input'!P$108)/('Data input'!P$109-'Data input'!P$108)+1)</f>
        <v/>
      </c>
      <c r="Q61" s="16" t="str">
        <f>IF('Data input'!Q61="","",4*('Data input'!Q61-'Data input'!Q$108)/('Data input'!Q$109-'Data input'!Q$108)+1)</f>
        <v/>
      </c>
      <c r="R61" s="16" t="str">
        <f>IF('Data input'!R61="","",4*('Data input'!R61-'Data input'!R$108)/('Data input'!R$109-'Data input'!R$108)+1)</f>
        <v/>
      </c>
      <c r="S61" s="16" t="str">
        <f>IF('Data input'!S61="","",4*('Data input'!S61-'Data input'!S$108)/('Data input'!S$109-'Data input'!S$108)+1)</f>
        <v/>
      </c>
      <c r="T61" s="16" t="str">
        <f>IF('Data input'!T61="","",4*('Data input'!T61-'Data input'!T$108)/('Data input'!T$109-'Data input'!T$108)+1)</f>
        <v/>
      </c>
      <c r="U61" s="16" t="str">
        <f>IF('Data input'!U61="","",4*('Data input'!U61-'Data input'!U$108)/('Data input'!U$109-'Data input'!U$108)+1)</f>
        <v/>
      </c>
      <c r="V61" s="16" t="str">
        <f>IF('Data input'!V61="","",4*('Data input'!V61-'Data input'!V$108)/('Data input'!V$109-'Data input'!V$108)+1)</f>
        <v/>
      </c>
      <c r="W61" s="16" t="str">
        <f>IF('Data input'!W61="","",4*('Data input'!W61-'Data input'!W$108)/('Data input'!W$109-'Data input'!W$108)+1)</f>
        <v/>
      </c>
      <c r="X61" s="16" t="str">
        <f>IF('Data input'!X61="","",4*('Data input'!X61-'Data input'!X$108)/('Data input'!X$109-'Data input'!X$108)+1)</f>
        <v/>
      </c>
      <c r="Y61" s="16" t="str">
        <f>IF('Data input'!Y61="","",4*('Data input'!Y61-'Data input'!Y$108)/('Data input'!Y$109-'Data input'!Y$108)+1)</f>
        <v/>
      </c>
      <c r="Z61" s="16" t="str">
        <f>IF('Data input'!Z61="","",4*('Data input'!Z61-'Data input'!Z$108)/('Data input'!Z$109-'Data input'!Z$108)+1)</f>
        <v/>
      </c>
      <c r="AA61" s="62" t="str">
        <f>IF('Data input'!AA61="","",4*('Data input'!AA61-'Data input'!AA$108)/('Data input'!AA$109-'Data input'!AA$108)+1)</f>
        <v/>
      </c>
      <c r="AB61" s="78"/>
      <c r="AC61" s="79">
        <v>0</v>
      </c>
      <c r="AD61" s="80" t="e">
        <f t="shared" si="13"/>
        <v>#DIV/0!</v>
      </c>
      <c r="AE61" s="4"/>
      <c r="AF61" s="59" t="str">
        <f t="shared" si="40"/>
        <v/>
      </c>
      <c r="AG61" s="60" t="str">
        <f t="shared" si="40"/>
        <v/>
      </c>
      <c r="AH61"/>
      <c r="AI61"/>
      <c r="AJ61"/>
      <c r="AK61"/>
      <c r="AL61"/>
      <c r="AM61"/>
      <c r="AN61"/>
      <c r="AO61"/>
      <c r="AP61"/>
      <c r="AQ61"/>
      <c r="AR61"/>
      <c r="AS61" s="71" t="str">
        <f t="shared" si="15"/>
        <v/>
      </c>
      <c r="AT61" s="71" t="str">
        <f t="shared" si="15"/>
        <v/>
      </c>
      <c r="AU61" s="71" t="str">
        <f t="shared" si="15"/>
        <v/>
      </c>
      <c r="AV61" s="71" t="str">
        <f t="shared" si="15"/>
        <v/>
      </c>
      <c r="AW61" s="71" t="str">
        <f t="shared" si="15"/>
        <v/>
      </c>
      <c r="AX61" s="71" t="str">
        <f t="shared" si="16"/>
        <v/>
      </c>
      <c r="AY61" s="71" t="str">
        <f t="shared" si="16"/>
        <v/>
      </c>
      <c r="AZ61" s="71" t="str">
        <f t="shared" si="16"/>
        <v/>
      </c>
      <c r="BA61" s="71" t="str">
        <f t="shared" si="16"/>
        <v/>
      </c>
      <c r="BB61" s="71" t="str">
        <f t="shared" si="16"/>
        <v/>
      </c>
      <c r="BC61" s="18" t="str">
        <f>IF(C61&lt;&gt;"",(('Data input'!C$109-'Data input'!C$108)*(AS61-1)/4)+'Data input'!C$108,"")</f>
        <v/>
      </c>
      <c r="BD61" s="18" t="str">
        <f>IF(D61&lt;&gt;"",(('Data input'!D$109-'Data input'!D$108)*(AT61-1)/4)+'Data input'!D$108,"")</f>
        <v/>
      </c>
      <c r="BE61" s="18" t="str">
        <f>IF(E61&lt;&gt;"",(('Data input'!E$109-'Data input'!E$108)*(AU61-1)/4)+'Data input'!E$108,"")</f>
        <v/>
      </c>
      <c r="BF61" s="18" t="str">
        <f>IF(F61&lt;&gt;"",(('Data input'!F$109-'Data input'!F$108)*(AV61-1)/4)+'Data input'!F$108,"")</f>
        <v/>
      </c>
      <c r="BG61" s="18" t="str">
        <f>IF(G61&lt;&gt;"",(('Data input'!G$109-'Data input'!G$108)*(AW61-1)/4)+'Data input'!G$108,"")</f>
        <v/>
      </c>
      <c r="BH61" s="19" t="str">
        <f>IF(H61&lt;&gt;"",(('Data input'!H$109-'Data input'!H$108)*(AX61-1)/4)+'Data input'!H$108,"")</f>
        <v/>
      </c>
      <c r="BI61" s="18" t="str">
        <f>IF(I61&lt;&gt;"",(('Data input'!I$109-'Data input'!I$108)*(AY61-1)/4)+'Data input'!I$108,"")</f>
        <v/>
      </c>
      <c r="BJ61" s="19" t="str">
        <f>IF(J61&lt;&gt;"",(('Data input'!J$109-'Data input'!J$108)*(AZ61-1)/4)+'Data input'!J$108,"")</f>
        <v/>
      </c>
      <c r="BK61" s="19" t="str">
        <f>IF(K61&lt;&gt;"",(('Data input'!K$109-'Data input'!K$108)*(BA61-1)/4)+'Data input'!K$108,"")</f>
        <v/>
      </c>
      <c r="BL61" s="19" t="str">
        <f>IF(L61&lt;&gt;"",(('Data input'!L$109-'Data input'!L$108)*(BB61-1)/4)+'Data input'!L$108,"")</f>
        <v/>
      </c>
      <c r="BM61" s="18" t="str">
        <f>IF(C61&lt;&gt;"",BC61-'Data input'!C61,"")</f>
        <v/>
      </c>
      <c r="BN61" s="18" t="str">
        <f>IF(D61&lt;&gt;"",BD61-'Data input'!D61,"")</f>
        <v/>
      </c>
      <c r="BO61" s="18" t="str">
        <f>IF(E61&lt;&gt;"",BE61-'Data input'!E61,"")</f>
        <v/>
      </c>
      <c r="BP61" s="18" t="str">
        <f>IF(F61&lt;&gt;"",BF61-'Data input'!F61,"")</f>
        <v/>
      </c>
      <c r="BQ61" s="18" t="str">
        <f>IF(G61&lt;&gt;"",BG61-'Data input'!G61,"")</f>
        <v/>
      </c>
      <c r="BR61" s="19" t="str">
        <f>IF(H61&lt;&gt;"",BH61-'Data input'!H61,"")</f>
        <v/>
      </c>
      <c r="BS61" s="18" t="str">
        <f>IF(I61&lt;&gt;"",BI61-'Data input'!I61,"")</f>
        <v/>
      </c>
      <c r="BT61" s="18" t="str">
        <f>IF(J61&lt;&gt;"",BJ61-'Data input'!J61,"")</f>
        <v/>
      </c>
      <c r="BU61" s="18" t="str">
        <f>IF(K61&lt;&gt;"",BK61-'Data input'!K61,"")</f>
        <v/>
      </c>
      <c r="BV61" s="72" t="str">
        <f>IF(L61&lt;&gt;"",BL61-'Data input'!L61,"")</f>
        <v/>
      </c>
      <c r="BW61" s="121" t="str">
        <f t="shared" si="17"/>
        <v/>
      </c>
      <c r="FT61" s="1" t="str">
        <f t="shared" si="33"/>
        <v/>
      </c>
      <c r="FU61" s="1" t="str">
        <f t="shared" si="33"/>
        <v/>
      </c>
      <c r="FV61" s="1" t="str">
        <f t="shared" si="33"/>
        <v/>
      </c>
      <c r="FW61" s="1" t="str">
        <f t="shared" si="33"/>
        <v/>
      </c>
      <c r="FX61" s="1" t="str">
        <f t="shared" si="33"/>
        <v/>
      </c>
      <c r="FY61" s="1" t="str">
        <f t="shared" si="33"/>
        <v/>
      </c>
      <c r="FZ61" s="1" t="str">
        <f t="shared" si="33"/>
        <v/>
      </c>
      <c r="GA61" s="1" t="str">
        <f t="shared" si="33"/>
        <v/>
      </c>
      <c r="GB61" s="1" t="str">
        <f t="shared" si="33"/>
        <v/>
      </c>
      <c r="GC61" s="1" t="str">
        <f t="shared" si="33"/>
        <v/>
      </c>
      <c r="GD61" s="1" t="str">
        <f t="shared" si="33"/>
        <v/>
      </c>
      <c r="GE61" s="1" t="str">
        <f t="shared" si="33"/>
        <v/>
      </c>
      <c r="GF61" s="1" t="str">
        <f t="shared" si="33"/>
        <v/>
      </c>
      <c r="GG61" s="1" t="str">
        <f t="shared" si="33"/>
        <v/>
      </c>
      <c r="GH61" s="1" t="str">
        <f t="shared" si="33"/>
        <v/>
      </c>
      <c r="GI61" s="1" t="str">
        <f t="shared" si="32"/>
        <v/>
      </c>
      <c r="GJ61" s="1" t="str">
        <f t="shared" si="32"/>
        <v/>
      </c>
      <c r="GK61" s="1" t="str">
        <f t="shared" si="32"/>
        <v/>
      </c>
      <c r="GL61" s="1" t="str">
        <f t="shared" si="32"/>
        <v/>
      </c>
      <c r="GM61" s="1" t="str">
        <f t="shared" si="32"/>
        <v/>
      </c>
      <c r="GN61" s="1" t="str">
        <f t="shared" si="32"/>
        <v/>
      </c>
      <c r="GO61" s="1" t="str">
        <f t="shared" si="32"/>
        <v/>
      </c>
      <c r="GP61" s="1" t="str">
        <f t="shared" si="32"/>
        <v/>
      </c>
      <c r="GQ61" s="1" t="str">
        <f t="shared" si="32"/>
        <v/>
      </c>
      <c r="GR61" s="1" t="str">
        <f t="shared" si="32"/>
        <v/>
      </c>
      <c r="GS61" s="1" t="str">
        <f t="shared" si="32"/>
        <v/>
      </c>
      <c r="GT61" s="1" t="str">
        <f t="shared" si="32"/>
        <v/>
      </c>
      <c r="GU61" s="1" t="str">
        <f t="shared" si="32"/>
        <v/>
      </c>
      <c r="GV61" s="1" t="str">
        <f t="shared" si="32"/>
        <v/>
      </c>
      <c r="GW61" s="1" t="str">
        <f t="shared" si="32"/>
        <v/>
      </c>
      <c r="GX61" s="1" t="str">
        <f t="shared" si="32"/>
        <v/>
      </c>
      <c r="GY61" s="1" t="str">
        <f t="shared" si="39"/>
        <v/>
      </c>
      <c r="GZ61" s="1" t="str">
        <f t="shared" si="38"/>
        <v/>
      </c>
      <c r="HA61" s="1" t="str">
        <f t="shared" si="38"/>
        <v/>
      </c>
      <c r="HB61" s="1" t="str">
        <f t="shared" si="38"/>
        <v/>
      </c>
      <c r="HC61" s="1" t="str">
        <f t="shared" si="38"/>
        <v/>
      </c>
      <c r="HD61" s="1" t="str">
        <f t="shared" si="38"/>
        <v/>
      </c>
      <c r="HE61" s="1" t="str">
        <f t="shared" si="38"/>
        <v/>
      </c>
      <c r="HF61" s="1" t="str">
        <f t="shared" si="38"/>
        <v/>
      </c>
      <c r="HG61" s="1" t="str">
        <f t="shared" si="38"/>
        <v/>
      </c>
      <c r="HH61" s="1" t="str">
        <f t="shared" si="38"/>
        <v/>
      </c>
      <c r="HI61" s="1" t="str">
        <f t="shared" si="38"/>
        <v/>
      </c>
      <c r="HJ61" s="1" t="str">
        <f t="shared" si="38"/>
        <v/>
      </c>
      <c r="HK61" s="1" t="str">
        <f t="shared" si="34"/>
        <v/>
      </c>
      <c r="HL61" s="1" t="str">
        <f t="shared" si="34"/>
        <v/>
      </c>
      <c r="HM61" s="1" t="str">
        <f t="shared" si="34"/>
        <v/>
      </c>
      <c r="HN61" s="1" t="str">
        <f t="shared" si="34"/>
        <v/>
      </c>
      <c r="HO61" s="1" t="str">
        <f t="shared" si="34"/>
        <v/>
      </c>
      <c r="HP61" s="1" t="str">
        <f t="shared" si="34"/>
        <v/>
      </c>
      <c r="HQ61" s="1" t="str">
        <f t="shared" si="34"/>
        <v/>
      </c>
      <c r="HR61" s="1" t="str">
        <f t="shared" si="34"/>
        <v/>
      </c>
      <c r="HS61" s="1" t="str">
        <f t="shared" si="34"/>
        <v/>
      </c>
      <c r="HT61" s="1" t="str">
        <f t="shared" si="34"/>
        <v/>
      </c>
      <c r="HU61" s="1" t="str">
        <f t="shared" si="34"/>
        <v/>
      </c>
      <c r="HV61" s="1" t="str">
        <f t="shared" si="34"/>
        <v/>
      </c>
      <c r="HW61" s="1" t="str">
        <f t="shared" si="34"/>
        <v/>
      </c>
      <c r="HX61" s="1" t="str">
        <f t="shared" si="34"/>
        <v/>
      </c>
      <c r="HY61" s="1" t="str">
        <f t="shared" si="34"/>
        <v/>
      </c>
      <c r="HZ61" s="1" t="str">
        <f t="shared" si="34"/>
        <v/>
      </c>
      <c r="IA61" s="1" t="str">
        <f t="shared" si="35"/>
        <v/>
      </c>
      <c r="IB61" s="1" t="str">
        <f t="shared" si="35"/>
        <v/>
      </c>
      <c r="IC61" s="1" t="str">
        <f t="shared" si="35"/>
        <v/>
      </c>
      <c r="ID61" s="1" t="str">
        <f t="shared" si="35"/>
        <v/>
      </c>
      <c r="IE61" s="1" t="str">
        <f t="shared" si="35"/>
        <v/>
      </c>
      <c r="IF61" s="1" t="str">
        <f t="shared" si="35"/>
        <v/>
      </c>
      <c r="IG61" s="1" t="str">
        <f t="shared" si="35"/>
        <v/>
      </c>
      <c r="IH61" s="1" t="str">
        <f t="shared" si="35"/>
        <v/>
      </c>
      <c r="II61" s="1" t="str">
        <f t="shared" si="35"/>
        <v/>
      </c>
      <c r="IJ61" s="1" t="str">
        <f t="shared" si="35"/>
        <v/>
      </c>
      <c r="IK61" s="1" t="str">
        <f t="shared" si="35"/>
        <v/>
      </c>
      <c r="IL61" s="1" t="str">
        <f t="shared" si="35"/>
        <v/>
      </c>
      <c r="IM61" s="1" t="str">
        <f t="shared" si="35"/>
        <v/>
      </c>
      <c r="IN61" s="1" t="str">
        <f t="shared" si="35"/>
        <v/>
      </c>
      <c r="IO61" s="1" t="str">
        <f t="shared" si="35"/>
        <v/>
      </c>
      <c r="IP61" s="1" t="str">
        <f t="shared" si="35"/>
        <v/>
      </c>
      <c r="IQ61" s="1" t="str">
        <f t="shared" si="36"/>
        <v/>
      </c>
      <c r="IR61" s="1" t="str">
        <f t="shared" si="36"/>
        <v/>
      </c>
      <c r="IS61" s="1" t="str">
        <f t="shared" si="36"/>
        <v/>
      </c>
      <c r="IT61" s="1" t="str">
        <f t="shared" si="36"/>
        <v/>
      </c>
      <c r="IU61" s="1" t="str">
        <f t="shared" si="36"/>
        <v/>
      </c>
      <c r="IV61" s="1" t="str">
        <f t="shared" si="36"/>
        <v/>
      </c>
      <c r="IW61" s="1" t="str">
        <f t="shared" si="36"/>
        <v/>
      </c>
      <c r="IX61" s="1" t="str">
        <f t="shared" si="36"/>
        <v/>
      </c>
      <c r="IY61" s="1" t="str">
        <f t="shared" si="36"/>
        <v/>
      </c>
      <c r="IZ61" s="1" t="str">
        <f t="shared" si="36"/>
        <v/>
      </c>
      <c r="JA61" s="1" t="str">
        <f t="shared" si="36"/>
        <v/>
      </c>
      <c r="JB61" s="1" t="str">
        <f t="shared" si="36"/>
        <v/>
      </c>
      <c r="JC61" s="1" t="str">
        <f t="shared" si="36"/>
        <v/>
      </c>
      <c r="JD61" s="1" t="str">
        <f t="shared" si="36"/>
        <v/>
      </c>
      <c r="JE61" s="1" t="str">
        <f t="shared" si="36"/>
        <v/>
      </c>
      <c r="JF61" s="1" t="str">
        <f t="shared" si="36"/>
        <v/>
      </c>
      <c r="JG61" s="1" t="str">
        <f t="shared" si="37"/>
        <v/>
      </c>
      <c r="JH61" s="1" t="str">
        <f t="shared" si="37"/>
        <v/>
      </c>
      <c r="JI61" s="1" t="str">
        <f t="shared" si="37"/>
        <v/>
      </c>
      <c r="JJ61" s="1" t="str">
        <f t="shared" si="30"/>
        <v/>
      </c>
      <c r="JK61" s="1" t="str">
        <f t="shared" si="30"/>
        <v/>
      </c>
      <c r="JL61" s="1" t="str">
        <f t="shared" si="24"/>
        <v/>
      </c>
      <c r="JM61" s="1" t="str">
        <f t="shared" si="12"/>
        <v/>
      </c>
      <c r="JN61" s="1" t="str">
        <f t="shared" si="12"/>
        <v/>
      </c>
      <c r="JO61" s="1" t="str">
        <f t="shared" si="12"/>
        <v/>
      </c>
    </row>
    <row r="62" spans="1:275" ht="14.5" x14ac:dyDescent="0.35">
      <c r="A62" s="59" t="str">
        <f>IF('Data input'!A62&lt;&gt;"",'Data input'!A62,"")</f>
        <v/>
      </c>
      <c r="B62" s="15" t="str">
        <f>IF('Data input'!B62&lt;&gt;"",'Data input'!B62,"")</f>
        <v/>
      </c>
      <c r="C62" s="16" t="str">
        <f>IF('Data input'!C62="","",4*('Data input'!C62-'Data input'!C$108)/('Data input'!C$109-'Data input'!C$108)+1)</f>
        <v/>
      </c>
      <c r="D62" s="16" t="str">
        <f>IF('Data input'!D62="","",4*('Data input'!D62-'Data input'!D$108)/('Data input'!D$109-'Data input'!D$108)+1)</f>
        <v/>
      </c>
      <c r="E62" s="16" t="str">
        <f>IF('Data input'!E62="","",4*('Data input'!E62-'Data input'!E$108)/('Data input'!E$109-'Data input'!E$108)+1)</f>
        <v/>
      </c>
      <c r="F62" s="16" t="str">
        <f>IF('Data input'!F62="","",4*('Data input'!F62-'Data input'!F$108)/('Data input'!F$109-'Data input'!F$108)+1)</f>
        <v/>
      </c>
      <c r="G62" s="16" t="str">
        <f>IF('Data input'!G62="","",4*('Data input'!G62-'Data input'!G$108)/('Data input'!G$109-'Data input'!G$108)+1)</f>
        <v/>
      </c>
      <c r="H62" s="16" t="str">
        <f>IF('Data input'!H62="","",4*('Data input'!H62-'Data input'!H$108)/('Data input'!H$109-'Data input'!H$108)+1)</f>
        <v/>
      </c>
      <c r="I62" s="19" t="str">
        <f>IF('Data input'!I62="","",4*('Data input'!I62-'Data input'!I$108)/('Data input'!I$109-'Data input'!I$108)+1)</f>
        <v/>
      </c>
      <c r="J62" s="19" t="str">
        <f>IF('Data input'!J62="","",4*('Data input'!J62-'Data input'!J$108)/('Data input'!J$109-'Data input'!J$108)+1)</f>
        <v/>
      </c>
      <c r="K62" s="19" t="str">
        <f>IF('Data input'!K62="","",4*('Data input'!K62-'Data input'!K$108)/('Data input'!K$109-'Data input'!K$108)+1)</f>
        <v/>
      </c>
      <c r="L62" s="19" t="str">
        <f>IF('Data input'!L62="","",4*('Data input'!L62-'Data input'!L$108)/('Data input'!L$109-'Data input'!L$108)+1)</f>
        <v/>
      </c>
      <c r="M62" s="16" t="str">
        <f>IF('Data input'!M62="","",4*('Data input'!M62-'Data input'!M$108)/('Data input'!M$109-'Data input'!M$108)+1)</f>
        <v/>
      </c>
      <c r="N62" s="16" t="str">
        <f>IF('Data input'!N62="","",4*('Data input'!N62-'Data input'!N$108)/('Data input'!N$109-'Data input'!N$108)+1)</f>
        <v/>
      </c>
      <c r="O62" s="16" t="str">
        <f>IF('Data input'!O62="","",4*('Data input'!O62-'Data input'!O$108)/('Data input'!O$109-'Data input'!O$108)+1)</f>
        <v/>
      </c>
      <c r="P62" s="16" t="str">
        <f>IF('Data input'!P62="","",4*('Data input'!P62-'Data input'!P$108)/('Data input'!P$109-'Data input'!P$108)+1)</f>
        <v/>
      </c>
      <c r="Q62" s="16" t="str">
        <f>IF('Data input'!Q62="","",4*('Data input'!Q62-'Data input'!Q$108)/('Data input'!Q$109-'Data input'!Q$108)+1)</f>
        <v/>
      </c>
      <c r="R62" s="16" t="str">
        <f>IF('Data input'!R62="","",4*('Data input'!R62-'Data input'!R$108)/('Data input'!R$109-'Data input'!R$108)+1)</f>
        <v/>
      </c>
      <c r="S62" s="16" t="str">
        <f>IF('Data input'!S62="","",4*('Data input'!S62-'Data input'!S$108)/('Data input'!S$109-'Data input'!S$108)+1)</f>
        <v/>
      </c>
      <c r="T62" s="16" t="str">
        <f>IF('Data input'!T62="","",4*('Data input'!T62-'Data input'!T$108)/('Data input'!T$109-'Data input'!T$108)+1)</f>
        <v/>
      </c>
      <c r="U62" s="16" t="str">
        <f>IF('Data input'!U62="","",4*('Data input'!U62-'Data input'!U$108)/('Data input'!U$109-'Data input'!U$108)+1)</f>
        <v/>
      </c>
      <c r="V62" s="16" t="str">
        <f>IF('Data input'!V62="","",4*('Data input'!V62-'Data input'!V$108)/('Data input'!V$109-'Data input'!V$108)+1)</f>
        <v/>
      </c>
      <c r="W62" s="16" t="str">
        <f>IF('Data input'!W62="","",4*('Data input'!W62-'Data input'!W$108)/('Data input'!W$109-'Data input'!W$108)+1)</f>
        <v/>
      </c>
      <c r="X62" s="16" t="str">
        <f>IF('Data input'!X62="","",4*('Data input'!X62-'Data input'!X$108)/('Data input'!X$109-'Data input'!X$108)+1)</f>
        <v/>
      </c>
      <c r="Y62" s="16" t="str">
        <f>IF('Data input'!Y62="","",4*('Data input'!Y62-'Data input'!Y$108)/('Data input'!Y$109-'Data input'!Y$108)+1)</f>
        <v/>
      </c>
      <c r="Z62" s="16" t="str">
        <f>IF('Data input'!Z62="","",4*('Data input'!Z62-'Data input'!Z$108)/('Data input'!Z$109-'Data input'!Z$108)+1)</f>
        <v/>
      </c>
      <c r="AA62" s="62" t="str">
        <f>IF('Data input'!AA62="","",4*('Data input'!AA62-'Data input'!AA$108)/('Data input'!AA$109-'Data input'!AA$108)+1)</f>
        <v/>
      </c>
      <c r="AB62" s="78"/>
      <c r="AC62" s="79">
        <v>0</v>
      </c>
      <c r="AD62" s="80" t="e">
        <f t="shared" si="13"/>
        <v>#DIV/0!</v>
      </c>
      <c r="AE62" s="4"/>
      <c r="AF62" s="59" t="str">
        <f t="shared" si="40"/>
        <v/>
      </c>
      <c r="AG62" s="60" t="str">
        <f t="shared" si="40"/>
        <v/>
      </c>
      <c r="AH62"/>
      <c r="AI62"/>
      <c r="AJ62"/>
      <c r="AK62"/>
      <c r="AL62"/>
      <c r="AM62"/>
      <c r="AN62"/>
      <c r="AO62"/>
      <c r="AP62"/>
      <c r="AQ62"/>
      <c r="AR62"/>
      <c r="AS62" s="71" t="str">
        <f t="shared" si="15"/>
        <v/>
      </c>
      <c r="AT62" s="71" t="str">
        <f t="shared" si="15"/>
        <v/>
      </c>
      <c r="AU62" s="71" t="str">
        <f t="shared" si="15"/>
        <v/>
      </c>
      <c r="AV62" s="71" t="str">
        <f t="shared" si="15"/>
        <v/>
      </c>
      <c r="AW62" s="71" t="str">
        <f t="shared" si="15"/>
        <v/>
      </c>
      <c r="AX62" s="71" t="str">
        <f t="shared" si="16"/>
        <v/>
      </c>
      <c r="AY62" s="71" t="str">
        <f t="shared" si="16"/>
        <v/>
      </c>
      <c r="AZ62" s="71" t="str">
        <f t="shared" si="16"/>
        <v/>
      </c>
      <c r="BA62" s="71" t="str">
        <f t="shared" si="16"/>
        <v/>
      </c>
      <c r="BB62" s="71" t="str">
        <f t="shared" si="16"/>
        <v/>
      </c>
      <c r="BC62" s="18" t="str">
        <f>IF(C62&lt;&gt;"",(('Data input'!C$109-'Data input'!C$108)*(AS62-1)/4)+'Data input'!C$108,"")</f>
        <v/>
      </c>
      <c r="BD62" s="18" t="str">
        <f>IF(D62&lt;&gt;"",(('Data input'!D$109-'Data input'!D$108)*(AT62-1)/4)+'Data input'!D$108,"")</f>
        <v/>
      </c>
      <c r="BE62" s="18" t="str">
        <f>IF(E62&lt;&gt;"",(('Data input'!E$109-'Data input'!E$108)*(AU62-1)/4)+'Data input'!E$108,"")</f>
        <v/>
      </c>
      <c r="BF62" s="18" t="str">
        <f>IF(F62&lt;&gt;"",(('Data input'!F$109-'Data input'!F$108)*(AV62-1)/4)+'Data input'!F$108,"")</f>
        <v/>
      </c>
      <c r="BG62" s="18" t="str">
        <f>IF(G62&lt;&gt;"",(('Data input'!G$109-'Data input'!G$108)*(AW62-1)/4)+'Data input'!G$108,"")</f>
        <v/>
      </c>
      <c r="BH62" s="19" t="str">
        <f>IF(H62&lt;&gt;"",(('Data input'!H$109-'Data input'!H$108)*(AX62-1)/4)+'Data input'!H$108,"")</f>
        <v/>
      </c>
      <c r="BI62" s="18" t="str">
        <f>IF(I62&lt;&gt;"",(('Data input'!I$109-'Data input'!I$108)*(AY62-1)/4)+'Data input'!I$108,"")</f>
        <v/>
      </c>
      <c r="BJ62" s="19" t="str">
        <f>IF(J62&lt;&gt;"",(('Data input'!J$109-'Data input'!J$108)*(AZ62-1)/4)+'Data input'!J$108,"")</f>
        <v/>
      </c>
      <c r="BK62" s="19" t="str">
        <f>IF(K62&lt;&gt;"",(('Data input'!K$109-'Data input'!K$108)*(BA62-1)/4)+'Data input'!K$108,"")</f>
        <v/>
      </c>
      <c r="BL62" s="19" t="str">
        <f>IF(L62&lt;&gt;"",(('Data input'!L$109-'Data input'!L$108)*(BB62-1)/4)+'Data input'!L$108,"")</f>
        <v/>
      </c>
      <c r="BM62" s="18" t="str">
        <f>IF(C62&lt;&gt;"",BC62-'Data input'!C62,"")</f>
        <v/>
      </c>
      <c r="BN62" s="18" t="str">
        <f>IF(D62&lt;&gt;"",BD62-'Data input'!D62,"")</f>
        <v/>
      </c>
      <c r="BO62" s="18" t="str">
        <f>IF(E62&lt;&gt;"",BE62-'Data input'!E62,"")</f>
        <v/>
      </c>
      <c r="BP62" s="18" t="str">
        <f>IF(F62&lt;&gt;"",BF62-'Data input'!F62,"")</f>
        <v/>
      </c>
      <c r="BQ62" s="18" t="str">
        <f>IF(G62&lt;&gt;"",BG62-'Data input'!G62,"")</f>
        <v/>
      </c>
      <c r="BR62" s="19" t="str">
        <f>IF(H62&lt;&gt;"",BH62-'Data input'!H62,"")</f>
        <v/>
      </c>
      <c r="BS62" s="18" t="str">
        <f>IF(I62&lt;&gt;"",BI62-'Data input'!I62,"")</f>
        <v/>
      </c>
      <c r="BT62" s="18" t="str">
        <f>IF(J62&lt;&gt;"",BJ62-'Data input'!J62,"")</f>
        <v/>
      </c>
      <c r="BU62" s="18" t="str">
        <f>IF(K62&lt;&gt;"",BK62-'Data input'!K62,"")</f>
        <v/>
      </c>
      <c r="BV62" s="72" t="str">
        <f>IF(L62&lt;&gt;"",BL62-'Data input'!L62,"")</f>
        <v/>
      </c>
      <c r="BW62" s="121" t="str">
        <f t="shared" si="17"/>
        <v/>
      </c>
      <c r="FT62" s="1" t="str">
        <f t="shared" si="33"/>
        <v/>
      </c>
      <c r="FU62" s="1" t="str">
        <f t="shared" si="33"/>
        <v/>
      </c>
      <c r="FV62" s="1" t="str">
        <f t="shared" si="33"/>
        <v/>
      </c>
      <c r="FW62" s="1" t="str">
        <f t="shared" si="33"/>
        <v/>
      </c>
      <c r="FX62" s="1" t="str">
        <f t="shared" si="33"/>
        <v/>
      </c>
      <c r="FY62" s="1" t="str">
        <f t="shared" si="33"/>
        <v/>
      </c>
      <c r="FZ62" s="1" t="str">
        <f t="shared" si="33"/>
        <v/>
      </c>
      <c r="GA62" s="1" t="str">
        <f t="shared" si="33"/>
        <v/>
      </c>
      <c r="GB62" s="1" t="str">
        <f t="shared" si="33"/>
        <v/>
      </c>
      <c r="GC62" s="1" t="str">
        <f t="shared" si="33"/>
        <v/>
      </c>
      <c r="GD62" s="1" t="str">
        <f t="shared" si="33"/>
        <v/>
      </c>
      <c r="GE62" s="1" t="str">
        <f t="shared" si="33"/>
        <v/>
      </c>
      <c r="GF62" s="1" t="str">
        <f t="shared" si="33"/>
        <v/>
      </c>
      <c r="GG62" s="1" t="str">
        <f t="shared" si="33"/>
        <v/>
      </c>
      <c r="GH62" s="1" t="str">
        <f t="shared" si="33"/>
        <v/>
      </c>
      <c r="GI62" s="1" t="str">
        <f t="shared" si="32"/>
        <v/>
      </c>
      <c r="GJ62" s="1" t="str">
        <f t="shared" si="32"/>
        <v/>
      </c>
      <c r="GK62" s="1" t="str">
        <f t="shared" si="32"/>
        <v/>
      </c>
      <c r="GL62" s="1" t="str">
        <f t="shared" si="32"/>
        <v/>
      </c>
      <c r="GM62" s="1" t="str">
        <f t="shared" si="32"/>
        <v/>
      </c>
      <c r="GN62" s="1" t="str">
        <f t="shared" si="32"/>
        <v/>
      </c>
      <c r="GO62" s="1" t="str">
        <f t="shared" si="32"/>
        <v/>
      </c>
      <c r="GP62" s="1" t="str">
        <f t="shared" si="32"/>
        <v/>
      </c>
      <c r="GQ62" s="1" t="str">
        <f t="shared" si="32"/>
        <v/>
      </c>
      <c r="GR62" s="1" t="str">
        <f t="shared" si="32"/>
        <v/>
      </c>
      <c r="GS62" s="1" t="str">
        <f t="shared" si="32"/>
        <v/>
      </c>
      <c r="GT62" s="1" t="str">
        <f t="shared" si="32"/>
        <v/>
      </c>
      <c r="GU62" s="1" t="str">
        <f t="shared" si="32"/>
        <v/>
      </c>
      <c r="GV62" s="1" t="str">
        <f t="shared" si="32"/>
        <v/>
      </c>
      <c r="GW62" s="1" t="str">
        <f t="shared" si="32"/>
        <v/>
      </c>
      <c r="GX62" s="1" t="str">
        <f t="shared" si="32"/>
        <v/>
      </c>
      <c r="GY62" s="1" t="str">
        <f t="shared" si="39"/>
        <v/>
      </c>
      <c r="GZ62" s="1" t="str">
        <f t="shared" si="38"/>
        <v/>
      </c>
      <c r="HA62" s="1" t="str">
        <f t="shared" si="38"/>
        <v/>
      </c>
      <c r="HB62" s="1" t="str">
        <f t="shared" si="38"/>
        <v/>
      </c>
      <c r="HC62" s="1" t="str">
        <f t="shared" si="38"/>
        <v/>
      </c>
      <c r="HD62" s="1" t="str">
        <f t="shared" si="38"/>
        <v/>
      </c>
      <c r="HE62" s="1" t="str">
        <f t="shared" si="38"/>
        <v/>
      </c>
      <c r="HF62" s="1" t="str">
        <f t="shared" si="38"/>
        <v/>
      </c>
      <c r="HG62" s="1" t="str">
        <f t="shared" si="38"/>
        <v/>
      </c>
      <c r="HH62" s="1" t="str">
        <f t="shared" si="38"/>
        <v/>
      </c>
      <c r="HI62" s="1" t="str">
        <f t="shared" si="38"/>
        <v/>
      </c>
      <c r="HJ62" s="1" t="str">
        <f t="shared" si="38"/>
        <v/>
      </c>
      <c r="HK62" s="1" t="str">
        <f t="shared" si="34"/>
        <v/>
      </c>
      <c r="HL62" s="1" t="str">
        <f t="shared" si="34"/>
        <v/>
      </c>
      <c r="HM62" s="1" t="str">
        <f t="shared" si="34"/>
        <v/>
      </c>
      <c r="HN62" s="1" t="str">
        <f t="shared" si="34"/>
        <v/>
      </c>
      <c r="HO62" s="1" t="str">
        <f t="shared" si="34"/>
        <v/>
      </c>
      <c r="HP62" s="1" t="str">
        <f t="shared" si="34"/>
        <v/>
      </c>
      <c r="HQ62" s="1" t="str">
        <f t="shared" si="34"/>
        <v/>
      </c>
      <c r="HR62" s="1" t="str">
        <f t="shared" si="34"/>
        <v/>
      </c>
      <c r="HS62" s="1" t="str">
        <f t="shared" si="34"/>
        <v/>
      </c>
      <c r="HT62" s="1" t="str">
        <f t="shared" si="34"/>
        <v/>
      </c>
      <c r="HU62" s="1" t="str">
        <f t="shared" si="34"/>
        <v/>
      </c>
      <c r="HV62" s="1" t="str">
        <f t="shared" si="34"/>
        <v/>
      </c>
      <c r="HW62" s="1" t="str">
        <f t="shared" si="34"/>
        <v/>
      </c>
      <c r="HX62" s="1" t="str">
        <f t="shared" si="34"/>
        <v/>
      </c>
      <c r="HY62" s="1" t="str">
        <f t="shared" si="34"/>
        <v/>
      </c>
      <c r="HZ62" s="1" t="str">
        <f t="shared" si="34"/>
        <v/>
      </c>
      <c r="IA62" s="1" t="str">
        <f t="shared" si="35"/>
        <v/>
      </c>
      <c r="IB62" s="1" t="str">
        <f t="shared" si="35"/>
        <v/>
      </c>
      <c r="IC62" s="1" t="str">
        <f t="shared" si="35"/>
        <v/>
      </c>
      <c r="ID62" s="1" t="str">
        <f t="shared" si="35"/>
        <v/>
      </c>
      <c r="IE62" s="1" t="str">
        <f t="shared" si="35"/>
        <v/>
      </c>
      <c r="IF62" s="1" t="str">
        <f t="shared" si="35"/>
        <v/>
      </c>
      <c r="IG62" s="1" t="str">
        <f t="shared" si="35"/>
        <v/>
      </c>
      <c r="IH62" s="1" t="str">
        <f t="shared" si="35"/>
        <v/>
      </c>
      <c r="II62" s="1" t="str">
        <f t="shared" si="35"/>
        <v/>
      </c>
      <c r="IJ62" s="1" t="str">
        <f t="shared" si="35"/>
        <v/>
      </c>
      <c r="IK62" s="1" t="str">
        <f t="shared" si="35"/>
        <v/>
      </c>
      <c r="IL62" s="1" t="str">
        <f t="shared" si="35"/>
        <v/>
      </c>
      <c r="IM62" s="1" t="str">
        <f t="shared" si="35"/>
        <v/>
      </c>
      <c r="IN62" s="1" t="str">
        <f t="shared" si="35"/>
        <v/>
      </c>
      <c r="IO62" s="1" t="str">
        <f t="shared" si="35"/>
        <v/>
      </c>
      <c r="IP62" s="1" t="str">
        <f t="shared" si="35"/>
        <v/>
      </c>
      <c r="IQ62" s="1" t="str">
        <f t="shared" si="36"/>
        <v/>
      </c>
      <c r="IR62" s="1" t="str">
        <f t="shared" si="36"/>
        <v/>
      </c>
      <c r="IS62" s="1" t="str">
        <f t="shared" si="36"/>
        <v/>
      </c>
      <c r="IT62" s="1" t="str">
        <f t="shared" si="36"/>
        <v/>
      </c>
      <c r="IU62" s="1" t="str">
        <f t="shared" si="36"/>
        <v/>
      </c>
      <c r="IV62" s="1" t="str">
        <f t="shared" si="36"/>
        <v/>
      </c>
      <c r="IW62" s="1" t="str">
        <f t="shared" si="36"/>
        <v/>
      </c>
      <c r="IX62" s="1" t="str">
        <f t="shared" si="36"/>
        <v/>
      </c>
      <c r="IY62" s="1" t="str">
        <f t="shared" si="36"/>
        <v/>
      </c>
      <c r="IZ62" s="1" t="str">
        <f t="shared" si="36"/>
        <v/>
      </c>
      <c r="JA62" s="1" t="str">
        <f t="shared" si="36"/>
        <v/>
      </c>
      <c r="JB62" s="1" t="str">
        <f t="shared" si="36"/>
        <v/>
      </c>
      <c r="JC62" s="1" t="str">
        <f t="shared" si="36"/>
        <v/>
      </c>
      <c r="JD62" s="1" t="str">
        <f t="shared" si="36"/>
        <v/>
      </c>
      <c r="JE62" s="1" t="str">
        <f t="shared" si="36"/>
        <v/>
      </c>
      <c r="JF62" s="1" t="str">
        <f t="shared" si="36"/>
        <v/>
      </c>
      <c r="JG62" s="1" t="str">
        <f t="shared" si="37"/>
        <v/>
      </c>
      <c r="JH62" s="1" t="str">
        <f t="shared" si="37"/>
        <v/>
      </c>
      <c r="JI62" s="1" t="str">
        <f t="shared" si="37"/>
        <v/>
      </c>
      <c r="JJ62" s="1" t="str">
        <f t="shared" si="30"/>
        <v/>
      </c>
      <c r="JK62" s="1" t="str">
        <f t="shared" si="30"/>
        <v/>
      </c>
      <c r="JL62" s="1" t="str">
        <f t="shared" si="24"/>
        <v/>
      </c>
      <c r="JM62" s="1" t="str">
        <f t="shared" si="12"/>
        <v/>
      </c>
      <c r="JN62" s="1" t="str">
        <f t="shared" si="12"/>
        <v/>
      </c>
      <c r="JO62" s="1" t="str">
        <f t="shared" si="12"/>
        <v/>
      </c>
    </row>
    <row r="63" spans="1:275" ht="14.5" x14ac:dyDescent="0.35">
      <c r="A63" s="59" t="str">
        <f>IF('Data input'!A63&lt;&gt;"",'Data input'!A63,"")</f>
        <v/>
      </c>
      <c r="B63" s="15" t="str">
        <f>IF('Data input'!B63&lt;&gt;"",'Data input'!B63,"")</f>
        <v/>
      </c>
      <c r="C63" s="16" t="str">
        <f>IF('Data input'!C63="","",4*('Data input'!C63-'Data input'!C$108)/('Data input'!C$109-'Data input'!C$108)+1)</f>
        <v/>
      </c>
      <c r="D63" s="16" t="str">
        <f>IF('Data input'!D63="","",4*('Data input'!D63-'Data input'!D$108)/('Data input'!D$109-'Data input'!D$108)+1)</f>
        <v/>
      </c>
      <c r="E63" s="16" t="str">
        <f>IF('Data input'!E63="","",4*('Data input'!E63-'Data input'!E$108)/('Data input'!E$109-'Data input'!E$108)+1)</f>
        <v/>
      </c>
      <c r="F63" s="16" t="str">
        <f>IF('Data input'!F63="","",4*('Data input'!F63-'Data input'!F$108)/('Data input'!F$109-'Data input'!F$108)+1)</f>
        <v/>
      </c>
      <c r="G63" s="16" t="str">
        <f>IF('Data input'!G63="","",4*('Data input'!G63-'Data input'!G$108)/('Data input'!G$109-'Data input'!G$108)+1)</f>
        <v/>
      </c>
      <c r="H63" s="16" t="str">
        <f>IF('Data input'!H63="","",4*('Data input'!H63-'Data input'!H$108)/('Data input'!H$109-'Data input'!H$108)+1)</f>
        <v/>
      </c>
      <c r="I63" s="19" t="str">
        <f>IF('Data input'!I63="","",4*('Data input'!I63-'Data input'!I$108)/('Data input'!I$109-'Data input'!I$108)+1)</f>
        <v/>
      </c>
      <c r="J63" s="19" t="str">
        <f>IF('Data input'!J63="","",4*('Data input'!J63-'Data input'!J$108)/('Data input'!J$109-'Data input'!J$108)+1)</f>
        <v/>
      </c>
      <c r="K63" s="19" t="str">
        <f>IF('Data input'!K63="","",4*('Data input'!K63-'Data input'!K$108)/('Data input'!K$109-'Data input'!K$108)+1)</f>
        <v/>
      </c>
      <c r="L63" s="19" t="str">
        <f>IF('Data input'!L63="","",4*('Data input'!L63-'Data input'!L$108)/('Data input'!L$109-'Data input'!L$108)+1)</f>
        <v/>
      </c>
      <c r="M63" s="16" t="str">
        <f>IF('Data input'!M63="","",4*('Data input'!M63-'Data input'!M$108)/('Data input'!M$109-'Data input'!M$108)+1)</f>
        <v/>
      </c>
      <c r="N63" s="16" t="str">
        <f>IF('Data input'!N63="","",4*('Data input'!N63-'Data input'!N$108)/('Data input'!N$109-'Data input'!N$108)+1)</f>
        <v/>
      </c>
      <c r="O63" s="16" t="str">
        <f>IF('Data input'!O63="","",4*('Data input'!O63-'Data input'!O$108)/('Data input'!O$109-'Data input'!O$108)+1)</f>
        <v/>
      </c>
      <c r="P63" s="16" t="str">
        <f>IF('Data input'!P63="","",4*('Data input'!P63-'Data input'!P$108)/('Data input'!P$109-'Data input'!P$108)+1)</f>
        <v/>
      </c>
      <c r="Q63" s="16" t="str">
        <f>IF('Data input'!Q63="","",4*('Data input'!Q63-'Data input'!Q$108)/('Data input'!Q$109-'Data input'!Q$108)+1)</f>
        <v/>
      </c>
      <c r="R63" s="16" t="str">
        <f>IF('Data input'!R63="","",4*('Data input'!R63-'Data input'!R$108)/('Data input'!R$109-'Data input'!R$108)+1)</f>
        <v/>
      </c>
      <c r="S63" s="16" t="str">
        <f>IF('Data input'!S63="","",4*('Data input'!S63-'Data input'!S$108)/('Data input'!S$109-'Data input'!S$108)+1)</f>
        <v/>
      </c>
      <c r="T63" s="16" t="str">
        <f>IF('Data input'!T63="","",4*('Data input'!T63-'Data input'!T$108)/('Data input'!T$109-'Data input'!T$108)+1)</f>
        <v/>
      </c>
      <c r="U63" s="16" t="str">
        <f>IF('Data input'!U63="","",4*('Data input'!U63-'Data input'!U$108)/('Data input'!U$109-'Data input'!U$108)+1)</f>
        <v/>
      </c>
      <c r="V63" s="16" t="str">
        <f>IF('Data input'!V63="","",4*('Data input'!V63-'Data input'!V$108)/('Data input'!V$109-'Data input'!V$108)+1)</f>
        <v/>
      </c>
      <c r="W63" s="16" t="str">
        <f>IF('Data input'!W63="","",4*('Data input'!W63-'Data input'!W$108)/('Data input'!W$109-'Data input'!W$108)+1)</f>
        <v/>
      </c>
      <c r="X63" s="16" t="str">
        <f>IF('Data input'!X63="","",4*('Data input'!X63-'Data input'!X$108)/('Data input'!X$109-'Data input'!X$108)+1)</f>
        <v/>
      </c>
      <c r="Y63" s="16" t="str">
        <f>IF('Data input'!Y63="","",4*('Data input'!Y63-'Data input'!Y$108)/('Data input'!Y$109-'Data input'!Y$108)+1)</f>
        <v/>
      </c>
      <c r="Z63" s="16" t="str">
        <f>IF('Data input'!Z63="","",4*('Data input'!Z63-'Data input'!Z$108)/('Data input'!Z$109-'Data input'!Z$108)+1)</f>
        <v/>
      </c>
      <c r="AA63" s="62" t="str">
        <f>IF('Data input'!AA63="","",4*('Data input'!AA63-'Data input'!AA$108)/('Data input'!AA$109-'Data input'!AA$108)+1)</f>
        <v/>
      </c>
      <c r="AB63" s="78"/>
      <c r="AC63" s="79">
        <v>0</v>
      </c>
      <c r="AD63" s="80" t="e">
        <f t="shared" si="13"/>
        <v>#DIV/0!</v>
      </c>
      <c r="AE63" s="4"/>
      <c r="AF63" s="59" t="str">
        <f t="shared" si="40"/>
        <v/>
      </c>
      <c r="AG63" s="60" t="str">
        <f t="shared" si="40"/>
        <v/>
      </c>
      <c r="AH63"/>
      <c r="AI63"/>
      <c r="AJ63"/>
      <c r="AK63"/>
      <c r="AL63"/>
      <c r="AM63"/>
      <c r="AN63"/>
      <c r="AO63"/>
      <c r="AP63"/>
      <c r="AQ63"/>
      <c r="AR63"/>
      <c r="AS63" s="71" t="str">
        <f t="shared" si="15"/>
        <v/>
      </c>
      <c r="AT63" s="71" t="str">
        <f t="shared" si="15"/>
        <v/>
      </c>
      <c r="AU63" s="71" t="str">
        <f t="shared" si="15"/>
        <v/>
      </c>
      <c r="AV63" s="71" t="str">
        <f t="shared" si="15"/>
        <v/>
      </c>
      <c r="AW63" s="71" t="str">
        <f t="shared" si="15"/>
        <v/>
      </c>
      <c r="AX63" s="71" t="str">
        <f t="shared" si="16"/>
        <v/>
      </c>
      <c r="AY63" s="71" t="str">
        <f t="shared" si="16"/>
        <v/>
      </c>
      <c r="AZ63" s="71" t="str">
        <f t="shared" si="16"/>
        <v/>
      </c>
      <c r="BA63" s="71" t="str">
        <f t="shared" si="16"/>
        <v/>
      </c>
      <c r="BB63" s="71" t="str">
        <f t="shared" si="16"/>
        <v/>
      </c>
      <c r="BC63" s="18" t="str">
        <f>IF(C63&lt;&gt;"",(('Data input'!C$109-'Data input'!C$108)*(AS63-1)/4)+'Data input'!C$108,"")</f>
        <v/>
      </c>
      <c r="BD63" s="18" t="str">
        <f>IF(D63&lt;&gt;"",(('Data input'!D$109-'Data input'!D$108)*(AT63-1)/4)+'Data input'!D$108,"")</f>
        <v/>
      </c>
      <c r="BE63" s="18" t="str">
        <f>IF(E63&lt;&gt;"",(('Data input'!E$109-'Data input'!E$108)*(AU63-1)/4)+'Data input'!E$108,"")</f>
        <v/>
      </c>
      <c r="BF63" s="18" t="str">
        <f>IF(F63&lt;&gt;"",(('Data input'!F$109-'Data input'!F$108)*(AV63-1)/4)+'Data input'!F$108,"")</f>
        <v/>
      </c>
      <c r="BG63" s="18" t="str">
        <f>IF(G63&lt;&gt;"",(('Data input'!G$109-'Data input'!G$108)*(AW63-1)/4)+'Data input'!G$108,"")</f>
        <v/>
      </c>
      <c r="BH63" s="19" t="str">
        <f>IF(H63&lt;&gt;"",(('Data input'!H$109-'Data input'!H$108)*(AX63-1)/4)+'Data input'!H$108,"")</f>
        <v/>
      </c>
      <c r="BI63" s="18" t="str">
        <f>IF(I63&lt;&gt;"",(('Data input'!I$109-'Data input'!I$108)*(AY63-1)/4)+'Data input'!I$108,"")</f>
        <v/>
      </c>
      <c r="BJ63" s="19" t="str">
        <f>IF(J63&lt;&gt;"",(('Data input'!J$109-'Data input'!J$108)*(AZ63-1)/4)+'Data input'!J$108,"")</f>
        <v/>
      </c>
      <c r="BK63" s="19" t="str">
        <f>IF(K63&lt;&gt;"",(('Data input'!K$109-'Data input'!K$108)*(BA63-1)/4)+'Data input'!K$108,"")</f>
        <v/>
      </c>
      <c r="BL63" s="19" t="str">
        <f>IF(L63&lt;&gt;"",(('Data input'!L$109-'Data input'!L$108)*(BB63-1)/4)+'Data input'!L$108,"")</f>
        <v/>
      </c>
      <c r="BM63" s="18" t="str">
        <f>IF(C63&lt;&gt;"",BC63-'Data input'!C63,"")</f>
        <v/>
      </c>
      <c r="BN63" s="18" t="str">
        <f>IF(D63&lt;&gt;"",BD63-'Data input'!D63,"")</f>
        <v/>
      </c>
      <c r="BO63" s="18" t="str">
        <f>IF(E63&lt;&gt;"",BE63-'Data input'!E63,"")</f>
        <v/>
      </c>
      <c r="BP63" s="18" t="str">
        <f>IF(F63&lt;&gt;"",BF63-'Data input'!F63,"")</f>
        <v/>
      </c>
      <c r="BQ63" s="18" t="str">
        <f>IF(G63&lt;&gt;"",BG63-'Data input'!G63,"")</f>
        <v/>
      </c>
      <c r="BR63" s="19" t="str">
        <f>IF(H63&lt;&gt;"",BH63-'Data input'!H63,"")</f>
        <v/>
      </c>
      <c r="BS63" s="18" t="str">
        <f>IF(I63&lt;&gt;"",BI63-'Data input'!I63,"")</f>
        <v/>
      </c>
      <c r="BT63" s="18" t="str">
        <f>IF(J63&lt;&gt;"",BJ63-'Data input'!J63,"")</f>
        <v/>
      </c>
      <c r="BU63" s="18" t="str">
        <f>IF(K63&lt;&gt;"",BK63-'Data input'!K63,"")</f>
        <v/>
      </c>
      <c r="BV63" s="72" t="str">
        <f>IF(L63&lt;&gt;"",BL63-'Data input'!L63,"")</f>
        <v/>
      </c>
      <c r="BW63" s="121" t="str">
        <f t="shared" si="17"/>
        <v/>
      </c>
      <c r="FT63" s="1" t="str">
        <f t="shared" si="33"/>
        <v/>
      </c>
      <c r="FU63" s="1" t="str">
        <f t="shared" si="33"/>
        <v/>
      </c>
      <c r="FV63" s="1" t="str">
        <f t="shared" si="33"/>
        <v/>
      </c>
      <c r="FW63" s="1" t="str">
        <f t="shared" si="33"/>
        <v/>
      </c>
      <c r="FX63" s="1" t="str">
        <f t="shared" si="33"/>
        <v/>
      </c>
      <c r="FY63" s="1" t="str">
        <f t="shared" si="33"/>
        <v/>
      </c>
      <c r="FZ63" s="1" t="str">
        <f t="shared" si="33"/>
        <v/>
      </c>
      <c r="GA63" s="1" t="str">
        <f t="shared" si="33"/>
        <v/>
      </c>
      <c r="GB63" s="1" t="str">
        <f t="shared" si="33"/>
        <v/>
      </c>
      <c r="GC63" s="1" t="str">
        <f t="shared" si="33"/>
        <v/>
      </c>
      <c r="GD63" s="1" t="str">
        <f t="shared" si="33"/>
        <v/>
      </c>
      <c r="GE63" s="1" t="str">
        <f t="shared" si="33"/>
        <v/>
      </c>
      <c r="GF63" s="1" t="str">
        <f t="shared" si="33"/>
        <v/>
      </c>
      <c r="GG63" s="1" t="str">
        <f t="shared" si="33"/>
        <v/>
      </c>
      <c r="GH63" s="1" t="str">
        <f t="shared" si="33"/>
        <v/>
      </c>
      <c r="GI63" s="1" t="str">
        <f t="shared" si="32"/>
        <v/>
      </c>
      <c r="GJ63" s="1" t="str">
        <f t="shared" si="32"/>
        <v/>
      </c>
      <c r="GK63" s="1" t="str">
        <f t="shared" si="32"/>
        <v/>
      </c>
      <c r="GL63" s="1" t="str">
        <f t="shared" si="32"/>
        <v/>
      </c>
      <c r="GM63" s="1" t="str">
        <f t="shared" si="32"/>
        <v/>
      </c>
      <c r="GN63" s="1" t="str">
        <f t="shared" si="32"/>
        <v/>
      </c>
      <c r="GO63" s="1" t="str">
        <f t="shared" si="32"/>
        <v/>
      </c>
      <c r="GP63" s="1" t="str">
        <f t="shared" si="32"/>
        <v/>
      </c>
      <c r="GQ63" s="1" t="str">
        <f t="shared" si="32"/>
        <v/>
      </c>
      <c r="GR63" s="1" t="str">
        <f t="shared" si="32"/>
        <v/>
      </c>
      <c r="GS63" s="1" t="str">
        <f t="shared" si="32"/>
        <v/>
      </c>
      <c r="GT63" s="1" t="str">
        <f t="shared" si="32"/>
        <v/>
      </c>
      <c r="GU63" s="1" t="str">
        <f t="shared" si="32"/>
        <v/>
      </c>
      <c r="GV63" s="1" t="str">
        <f t="shared" si="32"/>
        <v/>
      </c>
      <c r="GW63" s="1" t="str">
        <f t="shared" si="32"/>
        <v/>
      </c>
      <c r="GX63" s="1" t="str">
        <f t="shared" si="32"/>
        <v/>
      </c>
      <c r="GY63" s="1" t="str">
        <f t="shared" si="39"/>
        <v/>
      </c>
      <c r="GZ63" s="1" t="str">
        <f t="shared" si="38"/>
        <v/>
      </c>
      <c r="HA63" s="1" t="str">
        <f t="shared" si="38"/>
        <v/>
      </c>
      <c r="HB63" s="1" t="str">
        <f t="shared" si="38"/>
        <v/>
      </c>
      <c r="HC63" s="1" t="str">
        <f t="shared" si="38"/>
        <v/>
      </c>
      <c r="HD63" s="1" t="str">
        <f t="shared" si="38"/>
        <v/>
      </c>
      <c r="HE63" s="1" t="str">
        <f t="shared" si="38"/>
        <v/>
      </c>
      <c r="HF63" s="1" t="str">
        <f t="shared" si="38"/>
        <v/>
      </c>
      <c r="HG63" s="1" t="str">
        <f t="shared" si="38"/>
        <v/>
      </c>
      <c r="HH63" s="1" t="str">
        <f t="shared" si="38"/>
        <v/>
      </c>
      <c r="HI63" s="1" t="str">
        <f t="shared" si="38"/>
        <v/>
      </c>
      <c r="HJ63" s="1" t="str">
        <f t="shared" si="38"/>
        <v/>
      </c>
      <c r="HK63" s="1" t="str">
        <f t="shared" si="34"/>
        <v/>
      </c>
      <c r="HL63" s="1" t="str">
        <f t="shared" si="34"/>
        <v/>
      </c>
      <c r="HM63" s="1" t="str">
        <f t="shared" si="34"/>
        <v/>
      </c>
      <c r="HN63" s="1" t="str">
        <f t="shared" si="34"/>
        <v/>
      </c>
      <c r="HO63" s="1" t="str">
        <f t="shared" si="34"/>
        <v/>
      </c>
      <c r="HP63" s="1" t="str">
        <f t="shared" si="34"/>
        <v/>
      </c>
      <c r="HQ63" s="1" t="str">
        <f t="shared" si="34"/>
        <v/>
      </c>
      <c r="HR63" s="1" t="str">
        <f t="shared" si="34"/>
        <v/>
      </c>
      <c r="HS63" s="1" t="str">
        <f t="shared" si="34"/>
        <v/>
      </c>
      <c r="HT63" s="1" t="str">
        <f t="shared" si="34"/>
        <v/>
      </c>
      <c r="HU63" s="1" t="str">
        <f t="shared" si="34"/>
        <v/>
      </c>
      <c r="HV63" s="1" t="str">
        <f t="shared" si="34"/>
        <v/>
      </c>
      <c r="HW63" s="1" t="str">
        <f t="shared" si="34"/>
        <v/>
      </c>
      <c r="HX63" s="1" t="str">
        <f t="shared" si="34"/>
        <v/>
      </c>
      <c r="HY63" s="1" t="str">
        <f t="shared" si="34"/>
        <v/>
      </c>
      <c r="HZ63" s="1" t="str">
        <f t="shared" si="34"/>
        <v/>
      </c>
      <c r="IA63" s="1" t="str">
        <f t="shared" si="35"/>
        <v/>
      </c>
      <c r="IB63" s="1" t="str">
        <f t="shared" si="35"/>
        <v/>
      </c>
      <c r="IC63" s="1" t="str">
        <f t="shared" si="35"/>
        <v/>
      </c>
      <c r="ID63" s="1" t="str">
        <f t="shared" si="35"/>
        <v/>
      </c>
      <c r="IE63" s="1" t="str">
        <f t="shared" si="35"/>
        <v/>
      </c>
      <c r="IF63" s="1" t="str">
        <f t="shared" si="35"/>
        <v/>
      </c>
      <c r="IG63" s="1" t="str">
        <f t="shared" si="35"/>
        <v/>
      </c>
      <c r="IH63" s="1" t="str">
        <f t="shared" si="35"/>
        <v/>
      </c>
      <c r="II63" s="1" t="str">
        <f t="shared" si="35"/>
        <v/>
      </c>
      <c r="IJ63" s="1" t="str">
        <f t="shared" si="35"/>
        <v/>
      </c>
      <c r="IK63" s="1" t="str">
        <f t="shared" si="35"/>
        <v/>
      </c>
      <c r="IL63" s="1" t="str">
        <f t="shared" si="35"/>
        <v/>
      </c>
      <c r="IM63" s="1" t="str">
        <f t="shared" si="35"/>
        <v/>
      </c>
      <c r="IN63" s="1" t="str">
        <f t="shared" si="35"/>
        <v/>
      </c>
      <c r="IO63" s="1" t="str">
        <f t="shared" si="35"/>
        <v/>
      </c>
      <c r="IP63" s="1" t="str">
        <f t="shared" si="35"/>
        <v/>
      </c>
      <c r="IQ63" s="1" t="str">
        <f t="shared" si="36"/>
        <v/>
      </c>
      <c r="IR63" s="1" t="str">
        <f t="shared" si="36"/>
        <v/>
      </c>
      <c r="IS63" s="1" t="str">
        <f t="shared" si="36"/>
        <v/>
      </c>
      <c r="IT63" s="1" t="str">
        <f t="shared" si="36"/>
        <v/>
      </c>
      <c r="IU63" s="1" t="str">
        <f t="shared" si="36"/>
        <v/>
      </c>
      <c r="IV63" s="1" t="str">
        <f t="shared" si="36"/>
        <v/>
      </c>
      <c r="IW63" s="1" t="str">
        <f t="shared" si="36"/>
        <v/>
      </c>
      <c r="IX63" s="1" t="str">
        <f t="shared" si="36"/>
        <v/>
      </c>
      <c r="IY63" s="1" t="str">
        <f t="shared" si="36"/>
        <v/>
      </c>
      <c r="IZ63" s="1" t="str">
        <f t="shared" si="36"/>
        <v/>
      </c>
      <c r="JA63" s="1" t="str">
        <f t="shared" si="36"/>
        <v/>
      </c>
      <c r="JB63" s="1" t="str">
        <f t="shared" si="36"/>
        <v/>
      </c>
      <c r="JC63" s="1" t="str">
        <f t="shared" si="36"/>
        <v/>
      </c>
      <c r="JD63" s="1" t="str">
        <f t="shared" si="36"/>
        <v/>
      </c>
      <c r="JE63" s="1" t="str">
        <f t="shared" si="36"/>
        <v/>
      </c>
      <c r="JF63" s="1" t="str">
        <f t="shared" si="36"/>
        <v/>
      </c>
      <c r="JG63" s="1" t="str">
        <f t="shared" si="37"/>
        <v/>
      </c>
      <c r="JH63" s="1" t="str">
        <f t="shared" si="37"/>
        <v/>
      </c>
      <c r="JI63" s="1" t="str">
        <f t="shared" si="37"/>
        <v/>
      </c>
      <c r="JJ63" s="1" t="str">
        <f t="shared" si="30"/>
        <v/>
      </c>
      <c r="JK63" s="1" t="str">
        <f t="shared" si="30"/>
        <v/>
      </c>
      <c r="JL63" s="1" t="str">
        <f t="shared" si="24"/>
        <v/>
      </c>
      <c r="JM63" s="1" t="str">
        <f t="shared" si="12"/>
        <v/>
      </c>
      <c r="JN63" s="1" t="str">
        <f t="shared" si="12"/>
        <v/>
      </c>
      <c r="JO63" s="1" t="str">
        <f t="shared" si="12"/>
        <v/>
      </c>
    </row>
    <row r="64" spans="1:275" ht="14.5" x14ac:dyDescent="0.35">
      <c r="A64" s="59" t="str">
        <f>IF('Data input'!A64&lt;&gt;"",'Data input'!A64,"")</f>
        <v/>
      </c>
      <c r="B64" s="15" t="str">
        <f>IF('Data input'!B64&lt;&gt;"",'Data input'!B64,"")</f>
        <v/>
      </c>
      <c r="C64" s="16" t="str">
        <f>IF('Data input'!C64="","",4*('Data input'!C64-'Data input'!C$108)/('Data input'!C$109-'Data input'!C$108)+1)</f>
        <v/>
      </c>
      <c r="D64" s="16" t="str">
        <f>IF('Data input'!D64="","",4*('Data input'!D64-'Data input'!D$108)/('Data input'!D$109-'Data input'!D$108)+1)</f>
        <v/>
      </c>
      <c r="E64" s="16" t="str">
        <f>IF('Data input'!E64="","",4*('Data input'!E64-'Data input'!E$108)/('Data input'!E$109-'Data input'!E$108)+1)</f>
        <v/>
      </c>
      <c r="F64" s="16" t="str">
        <f>IF('Data input'!F64="","",4*('Data input'!F64-'Data input'!F$108)/('Data input'!F$109-'Data input'!F$108)+1)</f>
        <v/>
      </c>
      <c r="G64" s="16" t="str">
        <f>IF('Data input'!G64="","",4*('Data input'!G64-'Data input'!G$108)/('Data input'!G$109-'Data input'!G$108)+1)</f>
        <v/>
      </c>
      <c r="H64" s="16" t="str">
        <f>IF('Data input'!H64="","",4*('Data input'!H64-'Data input'!H$108)/('Data input'!H$109-'Data input'!H$108)+1)</f>
        <v/>
      </c>
      <c r="I64" s="19" t="str">
        <f>IF('Data input'!I64="","",4*('Data input'!I64-'Data input'!I$108)/('Data input'!I$109-'Data input'!I$108)+1)</f>
        <v/>
      </c>
      <c r="J64" s="19" t="str">
        <f>IF('Data input'!J64="","",4*('Data input'!J64-'Data input'!J$108)/('Data input'!J$109-'Data input'!J$108)+1)</f>
        <v/>
      </c>
      <c r="K64" s="19" t="str">
        <f>IF('Data input'!K64="","",4*('Data input'!K64-'Data input'!K$108)/('Data input'!K$109-'Data input'!K$108)+1)</f>
        <v/>
      </c>
      <c r="L64" s="19" t="str">
        <f>IF('Data input'!L64="","",4*('Data input'!L64-'Data input'!L$108)/('Data input'!L$109-'Data input'!L$108)+1)</f>
        <v/>
      </c>
      <c r="M64" s="16" t="str">
        <f>IF('Data input'!M64="","",4*('Data input'!M64-'Data input'!M$108)/('Data input'!M$109-'Data input'!M$108)+1)</f>
        <v/>
      </c>
      <c r="N64" s="16" t="str">
        <f>IF('Data input'!N64="","",4*('Data input'!N64-'Data input'!N$108)/('Data input'!N$109-'Data input'!N$108)+1)</f>
        <v/>
      </c>
      <c r="O64" s="16" t="str">
        <f>IF('Data input'!O64="","",4*('Data input'!O64-'Data input'!O$108)/('Data input'!O$109-'Data input'!O$108)+1)</f>
        <v/>
      </c>
      <c r="P64" s="16" t="str">
        <f>IF('Data input'!P64="","",4*('Data input'!P64-'Data input'!P$108)/('Data input'!P$109-'Data input'!P$108)+1)</f>
        <v/>
      </c>
      <c r="Q64" s="16" t="str">
        <f>IF('Data input'!Q64="","",4*('Data input'!Q64-'Data input'!Q$108)/('Data input'!Q$109-'Data input'!Q$108)+1)</f>
        <v/>
      </c>
      <c r="R64" s="16" t="str">
        <f>IF('Data input'!R64="","",4*('Data input'!R64-'Data input'!R$108)/('Data input'!R$109-'Data input'!R$108)+1)</f>
        <v/>
      </c>
      <c r="S64" s="16" t="str">
        <f>IF('Data input'!S64="","",4*('Data input'!S64-'Data input'!S$108)/('Data input'!S$109-'Data input'!S$108)+1)</f>
        <v/>
      </c>
      <c r="T64" s="16" t="str">
        <f>IF('Data input'!T64="","",4*('Data input'!T64-'Data input'!T$108)/('Data input'!T$109-'Data input'!T$108)+1)</f>
        <v/>
      </c>
      <c r="U64" s="16" t="str">
        <f>IF('Data input'!U64="","",4*('Data input'!U64-'Data input'!U$108)/('Data input'!U$109-'Data input'!U$108)+1)</f>
        <v/>
      </c>
      <c r="V64" s="16" t="str">
        <f>IF('Data input'!V64="","",4*('Data input'!V64-'Data input'!V$108)/('Data input'!V$109-'Data input'!V$108)+1)</f>
        <v/>
      </c>
      <c r="W64" s="16" t="str">
        <f>IF('Data input'!W64="","",4*('Data input'!W64-'Data input'!W$108)/('Data input'!W$109-'Data input'!W$108)+1)</f>
        <v/>
      </c>
      <c r="X64" s="16" t="str">
        <f>IF('Data input'!X64="","",4*('Data input'!X64-'Data input'!X$108)/('Data input'!X$109-'Data input'!X$108)+1)</f>
        <v/>
      </c>
      <c r="Y64" s="16" t="str">
        <f>IF('Data input'!Y64="","",4*('Data input'!Y64-'Data input'!Y$108)/('Data input'!Y$109-'Data input'!Y$108)+1)</f>
        <v/>
      </c>
      <c r="Z64" s="16" t="str">
        <f>IF('Data input'!Z64="","",4*('Data input'!Z64-'Data input'!Z$108)/('Data input'!Z$109-'Data input'!Z$108)+1)</f>
        <v/>
      </c>
      <c r="AA64" s="62" t="str">
        <f>IF('Data input'!AA64="","",4*('Data input'!AA64-'Data input'!AA$108)/('Data input'!AA$109-'Data input'!AA$108)+1)</f>
        <v/>
      </c>
      <c r="AB64" s="78"/>
      <c r="AC64" s="79">
        <v>0</v>
      </c>
      <c r="AD64" s="80" t="e">
        <f t="shared" si="13"/>
        <v>#DIV/0!</v>
      </c>
      <c r="AE64" s="4"/>
      <c r="AF64" s="59" t="str">
        <f t="shared" si="40"/>
        <v/>
      </c>
      <c r="AG64" s="60" t="str">
        <f t="shared" si="40"/>
        <v/>
      </c>
      <c r="AH64"/>
      <c r="AI64"/>
      <c r="AJ64"/>
      <c r="AK64"/>
      <c r="AL64"/>
      <c r="AM64"/>
      <c r="AN64"/>
      <c r="AO64"/>
      <c r="AP64"/>
      <c r="AQ64"/>
      <c r="AR64"/>
      <c r="AS64" s="71" t="str">
        <f t="shared" si="15"/>
        <v/>
      </c>
      <c r="AT64" s="71" t="str">
        <f t="shared" si="15"/>
        <v/>
      </c>
      <c r="AU64" s="71" t="str">
        <f t="shared" si="15"/>
        <v/>
      </c>
      <c r="AV64" s="71" t="str">
        <f t="shared" si="15"/>
        <v/>
      </c>
      <c r="AW64" s="71" t="str">
        <f t="shared" si="15"/>
        <v/>
      </c>
      <c r="AX64" s="71" t="str">
        <f t="shared" si="16"/>
        <v/>
      </c>
      <c r="AY64" s="71" t="str">
        <f t="shared" si="16"/>
        <v/>
      </c>
      <c r="AZ64" s="71" t="str">
        <f t="shared" si="16"/>
        <v/>
      </c>
      <c r="BA64" s="71" t="str">
        <f t="shared" si="16"/>
        <v/>
      </c>
      <c r="BB64" s="71" t="str">
        <f t="shared" si="16"/>
        <v/>
      </c>
      <c r="BC64" s="18" t="str">
        <f>IF(C64&lt;&gt;"",(('Data input'!C$109-'Data input'!C$108)*(AS64-1)/4)+'Data input'!C$108,"")</f>
        <v/>
      </c>
      <c r="BD64" s="18" t="str">
        <f>IF(D64&lt;&gt;"",(('Data input'!D$109-'Data input'!D$108)*(AT64-1)/4)+'Data input'!D$108,"")</f>
        <v/>
      </c>
      <c r="BE64" s="18" t="str">
        <f>IF(E64&lt;&gt;"",(('Data input'!E$109-'Data input'!E$108)*(AU64-1)/4)+'Data input'!E$108,"")</f>
        <v/>
      </c>
      <c r="BF64" s="18" t="str">
        <f>IF(F64&lt;&gt;"",(('Data input'!F$109-'Data input'!F$108)*(AV64-1)/4)+'Data input'!F$108,"")</f>
        <v/>
      </c>
      <c r="BG64" s="18" t="str">
        <f>IF(G64&lt;&gt;"",(('Data input'!G$109-'Data input'!G$108)*(AW64-1)/4)+'Data input'!G$108,"")</f>
        <v/>
      </c>
      <c r="BH64" s="19" t="str">
        <f>IF(H64&lt;&gt;"",(('Data input'!H$109-'Data input'!H$108)*(AX64-1)/4)+'Data input'!H$108,"")</f>
        <v/>
      </c>
      <c r="BI64" s="18" t="str">
        <f>IF(I64&lt;&gt;"",(('Data input'!I$109-'Data input'!I$108)*(AY64-1)/4)+'Data input'!I$108,"")</f>
        <v/>
      </c>
      <c r="BJ64" s="19" t="str">
        <f>IF(J64&lt;&gt;"",(('Data input'!J$109-'Data input'!J$108)*(AZ64-1)/4)+'Data input'!J$108,"")</f>
        <v/>
      </c>
      <c r="BK64" s="19" t="str">
        <f>IF(K64&lt;&gt;"",(('Data input'!K$109-'Data input'!K$108)*(BA64-1)/4)+'Data input'!K$108,"")</f>
        <v/>
      </c>
      <c r="BL64" s="19" t="str">
        <f>IF(L64&lt;&gt;"",(('Data input'!L$109-'Data input'!L$108)*(BB64-1)/4)+'Data input'!L$108,"")</f>
        <v/>
      </c>
      <c r="BM64" s="18" t="str">
        <f>IF(C64&lt;&gt;"",BC64-'Data input'!C64,"")</f>
        <v/>
      </c>
      <c r="BN64" s="18" t="str">
        <f>IF(D64&lt;&gt;"",BD64-'Data input'!D64,"")</f>
        <v/>
      </c>
      <c r="BO64" s="18" t="str">
        <f>IF(E64&lt;&gt;"",BE64-'Data input'!E64,"")</f>
        <v/>
      </c>
      <c r="BP64" s="18" t="str">
        <f>IF(F64&lt;&gt;"",BF64-'Data input'!F64,"")</f>
        <v/>
      </c>
      <c r="BQ64" s="18" t="str">
        <f>IF(G64&lt;&gt;"",BG64-'Data input'!G64,"")</f>
        <v/>
      </c>
      <c r="BR64" s="19" t="str">
        <f>IF(H64&lt;&gt;"",BH64-'Data input'!H64,"")</f>
        <v/>
      </c>
      <c r="BS64" s="18" t="str">
        <f>IF(I64&lt;&gt;"",BI64-'Data input'!I64,"")</f>
        <v/>
      </c>
      <c r="BT64" s="18" t="str">
        <f>IF(J64&lt;&gt;"",BJ64-'Data input'!J64,"")</f>
        <v/>
      </c>
      <c r="BU64" s="18" t="str">
        <f>IF(K64&lt;&gt;"",BK64-'Data input'!K64,"")</f>
        <v/>
      </c>
      <c r="BV64" s="72" t="str">
        <f>IF(L64&lt;&gt;"",BL64-'Data input'!L64,"")</f>
        <v/>
      </c>
      <c r="BW64" s="121" t="str">
        <f t="shared" si="17"/>
        <v/>
      </c>
      <c r="FT64" s="1" t="str">
        <f t="shared" si="33"/>
        <v/>
      </c>
      <c r="FU64" s="1" t="str">
        <f t="shared" si="33"/>
        <v/>
      </c>
      <c r="FV64" s="1" t="str">
        <f t="shared" si="33"/>
        <v/>
      </c>
      <c r="FW64" s="1" t="str">
        <f t="shared" si="33"/>
        <v/>
      </c>
      <c r="FX64" s="1" t="str">
        <f t="shared" si="33"/>
        <v/>
      </c>
      <c r="FY64" s="1" t="str">
        <f t="shared" si="33"/>
        <v/>
      </c>
      <c r="FZ64" s="1" t="str">
        <f t="shared" si="33"/>
        <v/>
      </c>
      <c r="GA64" s="1" t="str">
        <f t="shared" si="33"/>
        <v/>
      </c>
      <c r="GB64" s="1" t="str">
        <f t="shared" si="33"/>
        <v/>
      </c>
      <c r="GC64" s="1" t="str">
        <f t="shared" si="33"/>
        <v/>
      </c>
      <c r="GD64" s="1" t="str">
        <f t="shared" si="33"/>
        <v/>
      </c>
      <c r="GE64" s="1" t="str">
        <f t="shared" si="33"/>
        <v/>
      </c>
      <c r="GF64" s="1" t="str">
        <f t="shared" si="33"/>
        <v/>
      </c>
      <c r="GG64" s="1" t="str">
        <f t="shared" si="33"/>
        <v/>
      </c>
      <c r="GH64" s="1" t="str">
        <f t="shared" si="33"/>
        <v/>
      </c>
      <c r="GI64" s="1" t="str">
        <f t="shared" si="32"/>
        <v/>
      </c>
      <c r="GJ64" s="1" t="str">
        <f t="shared" si="32"/>
        <v/>
      </c>
      <c r="GK64" s="1" t="str">
        <f t="shared" si="32"/>
        <v/>
      </c>
      <c r="GL64" s="1" t="str">
        <f t="shared" si="32"/>
        <v/>
      </c>
      <c r="GM64" s="1" t="str">
        <f t="shared" si="32"/>
        <v/>
      </c>
      <c r="GN64" s="1" t="str">
        <f t="shared" si="32"/>
        <v/>
      </c>
      <c r="GO64" s="1" t="str">
        <f t="shared" si="32"/>
        <v/>
      </c>
      <c r="GP64" s="1" t="str">
        <f t="shared" si="32"/>
        <v/>
      </c>
      <c r="GQ64" s="1" t="str">
        <f t="shared" si="32"/>
        <v/>
      </c>
      <c r="GR64" s="1" t="str">
        <f t="shared" si="32"/>
        <v/>
      </c>
      <c r="GS64" s="1" t="str">
        <f t="shared" si="32"/>
        <v/>
      </c>
      <c r="GT64" s="1" t="str">
        <f t="shared" si="32"/>
        <v/>
      </c>
      <c r="GU64" s="1" t="str">
        <f t="shared" si="32"/>
        <v/>
      </c>
      <c r="GV64" s="1" t="str">
        <f t="shared" si="32"/>
        <v/>
      </c>
      <c r="GW64" s="1" t="str">
        <f t="shared" si="32"/>
        <v/>
      </c>
      <c r="GX64" s="1" t="str">
        <f t="shared" si="32"/>
        <v/>
      </c>
      <c r="GY64" s="1" t="str">
        <f t="shared" si="39"/>
        <v/>
      </c>
      <c r="GZ64" s="1" t="str">
        <f t="shared" si="38"/>
        <v/>
      </c>
      <c r="HA64" s="1" t="str">
        <f t="shared" si="38"/>
        <v/>
      </c>
      <c r="HB64" s="1" t="str">
        <f t="shared" si="38"/>
        <v/>
      </c>
      <c r="HC64" s="1" t="str">
        <f t="shared" si="38"/>
        <v/>
      </c>
      <c r="HD64" s="1" t="str">
        <f t="shared" si="38"/>
        <v/>
      </c>
      <c r="HE64" s="1" t="str">
        <f t="shared" si="38"/>
        <v/>
      </c>
      <c r="HF64" s="1" t="str">
        <f t="shared" si="38"/>
        <v/>
      </c>
      <c r="HG64" s="1" t="str">
        <f t="shared" si="38"/>
        <v/>
      </c>
      <c r="HH64" s="1" t="str">
        <f t="shared" si="38"/>
        <v/>
      </c>
      <c r="HI64" s="1" t="str">
        <f t="shared" si="38"/>
        <v/>
      </c>
      <c r="HJ64" s="1" t="str">
        <f t="shared" si="38"/>
        <v/>
      </c>
      <c r="HK64" s="1" t="str">
        <f t="shared" si="34"/>
        <v/>
      </c>
      <c r="HL64" s="1" t="str">
        <f t="shared" si="34"/>
        <v/>
      </c>
      <c r="HM64" s="1" t="str">
        <f t="shared" si="34"/>
        <v/>
      </c>
      <c r="HN64" s="1" t="str">
        <f t="shared" si="34"/>
        <v/>
      </c>
      <c r="HO64" s="1" t="str">
        <f t="shared" si="34"/>
        <v/>
      </c>
      <c r="HP64" s="1" t="str">
        <f t="shared" si="34"/>
        <v/>
      </c>
      <c r="HQ64" s="1" t="str">
        <f t="shared" si="34"/>
        <v/>
      </c>
      <c r="HR64" s="1" t="str">
        <f t="shared" si="34"/>
        <v/>
      </c>
      <c r="HS64" s="1" t="str">
        <f t="shared" si="34"/>
        <v/>
      </c>
      <c r="HT64" s="1" t="str">
        <f t="shared" si="34"/>
        <v/>
      </c>
      <c r="HU64" s="1" t="str">
        <f t="shared" si="34"/>
        <v/>
      </c>
      <c r="HV64" s="1" t="str">
        <f t="shared" si="34"/>
        <v/>
      </c>
      <c r="HW64" s="1" t="str">
        <f t="shared" si="34"/>
        <v/>
      </c>
      <c r="HX64" s="1" t="str">
        <f t="shared" si="34"/>
        <v/>
      </c>
      <c r="HY64" s="1" t="str">
        <f t="shared" si="34"/>
        <v/>
      </c>
      <c r="HZ64" s="1" t="str">
        <f t="shared" si="34"/>
        <v/>
      </c>
      <c r="IA64" s="1" t="str">
        <f t="shared" si="35"/>
        <v/>
      </c>
      <c r="IB64" s="1" t="str">
        <f t="shared" si="35"/>
        <v/>
      </c>
      <c r="IC64" s="1" t="str">
        <f t="shared" si="35"/>
        <v/>
      </c>
      <c r="ID64" s="1" t="str">
        <f t="shared" si="35"/>
        <v/>
      </c>
      <c r="IE64" s="1" t="str">
        <f t="shared" si="35"/>
        <v/>
      </c>
      <c r="IF64" s="1" t="str">
        <f t="shared" si="35"/>
        <v/>
      </c>
      <c r="IG64" s="1" t="str">
        <f t="shared" si="35"/>
        <v/>
      </c>
      <c r="IH64" s="1" t="str">
        <f t="shared" si="35"/>
        <v/>
      </c>
      <c r="II64" s="1" t="str">
        <f t="shared" si="35"/>
        <v/>
      </c>
      <c r="IJ64" s="1" t="str">
        <f t="shared" si="35"/>
        <v/>
      </c>
      <c r="IK64" s="1" t="str">
        <f t="shared" si="35"/>
        <v/>
      </c>
      <c r="IL64" s="1" t="str">
        <f t="shared" si="35"/>
        <v/>
      </c>
      <c r="IM64" s="1" t="str">
        <f t="shared" si="35"/>
        <v/>
      </c>
      <c r="IN64" s="1" t="str">
        <f t="shared" si="35"/>
        <v/>
      </c>
      <c r="IO64" s="1" t="str">
        <f t="shared" si="35"/>
        <v/>
      </c>
      <c r="IP64" s="1" t="str">
        <f t="shared" si="35"/>
        <v/>
      </c>
      <c r="IQ64" s="1" t="str">
        <f t="shared" si="36"/>
        <v/>
      </c>
      <c r="IR64" s="1" t="str">
        <f t="shared" si="36"/>
        <v/>
      </c>
      <c r="IS64" s="1" t="str">
        <f t="shared" si="36"/>
        <v/>
      </c>
      <c r="IT64" s="1" t="str">
        <f t="shared" si="36"/>
        <v/>
      </c>
      <c r="IU64" s="1" t="str">
        <f t="shared" si="36"/>
        <v/>
      </c>
      <c r="IV64" s="1" t="str">
        <f t="shared" si="36"/>
        <v/>
      </c>
      <c r="IW64" s="1" t="str">
        <f t="shared" si="36"/>
        <v/>
      </c>
      <c r="IX64" s="1" t="str">
        <f t="shared" si="36"/>
        <v/>
      </c>
      <c r="IY64" s="1" t="str">
        <f t="shared" si="36"/>
        <v/>
      </c>
      <c r="IZ64" s="1" t="str">
        <f t="shared" si="36"/>
        <v/>
      </c>
      <c r="JA64" s="1" t="str">
        <f t="shared" si="36"/>
        <v/>
      </c>
      <c r="JB64" s="1" t="str">
        <f t="shared" si="36"/>
        <v/>
      </c>
      <c r="JC64" s="1" t="str">
        <f t="shared" si="36"/>
        <v/>
      </c>
      <c r="JD64" s="1" t="str">
        <f t="shared" si="36"/>
        <v/>
      </c>
      <c r="JE64" s="1" t="str">
        <f t="shared" si="36"/>
        <v/>
      </c>
      <c r="JF64" s="1" t="str">
        <f t="shared" si="36"/>
        <v/>
      </c>
      <c r="JG64" s="1" t="str">
        <f t="shared" si="37"/>
        <v/>
      </c>
      <c r="JH64" s="1" t="str">
        <f t="shared" si="37"/>
        <v/>
      </c>
      <c r="JI64" s="1" t="str">
        <f t="shared" si="37"/>
        <v/>
      </c>
      <c r="JJ64" s="1" t="str">
        <f t="shared" si="30"/>
        <v/>
      </c>
      <c r="JK64" s="1" t="str">
        <f t="shared" si="30"/>
        <v/>
      </c>
      <c r="JL64" s="1" t="str">
        <f t="shared" si="24"/>
        <v/>
      </c>
      <c r="JM64" s="1" t="str">
        <f t="shared" si="12"/>
        <v/>
      </c>
      <c r="JN64" s="1" t="str">
        <f t="shared" si="12"/>
        <v/>
      </c>
      <c r="JO64" s="1" t="str">
        <f t="shared" si="12"/>
        <v/>
      </c>
    </row>
    <row r="65" spans="1:275" ht="14.5" x14ac:dyDescent="0.35">
      <c r="A65" s="59" t="str">
        <f>IF('Data input'!A65&lt;&gt;"",'Data input'!A65,"")</f>
        <v/>
      </c>
      <c r="B65" s="15" t="str">
        <f>IF('Data input'!B65&lt;&gt;"",'Data input'!B65,"")</f>
        <v/>
      </c>
      <c r="C65" s="16" t="str">
        <f>IF('Data input'!C65="","",4*('Data input'!C65-'Data input'!C$108)/('Data input'!C$109-'Data input'!C$108)+1)</f>
        <v/>
      </c>
      <c r="D65" s="16" t="str">
        <f>IF('Data input'!D65="","",4*('Data input'!D65-'Data input'!D$108)/('Data input'!D$109-'Data input'!D$108)+1)</f>
        <v/>
      </c>
      <c r="E65" s="16" t="str">
        <f>IF('Data input'!E65="","",4*('Data input'!E65-'Data input'!E$108)/('Data input'!E$109-'Data input'!E$108)+1)</f>
        <v/>
      </c>
      <c r="F65" s="16" t="str">
        <f>IF('Data input'!F65="","",4*('Data input'!F65-'Data input'!F$108)/('Data input'!F$109-'Data input'!F$108)+1)</f>
        <v/>
      </c>
      <c r="G65" s="16" t="str">
        <f>IF('Data input'!G65="","",4*('Data input'!G65-'Data input'!G$108)/('Data input'!G$109-'Data input'!G$108)+1)</f>
        <v/>
      </c>
      <c r="H65" s="16" t="str">
        <f>IF('Data input'!H65="","",4*('Data input'!H65-'Data input'!H$108)/('Data input'!H$109-'Data input'!H$108)+1)</f>
        <v/>
      </c>
      <c r="I65" s="19" t="str">
        <f>IF('Data input'!I65="","",4*('Data input'!I65-'Data input'!I$108)/('Data input'!I$109-'Data input'!I$108)+1)</f>
        <v/>
      </c>
      <c r="J65" s="19" t="str">
        <f>IF('Data input'!J65="","",4*('Data input'!J65-'Data input'!J$108)/('Data input'!J$109-'Data input'!J$108)+1)</f>
        <v/>
      </c>
      <c r="K65" s="19" t="str">
        <f>IF('Data input'!K65="","",4*('Data input'!K65-'Data input'!K$108)/('Data input'!K$109-'Data input'!K$108)+1)</f>
        <v/>
      </c>
      <c r="L65" s="19" t="str">
        <f>IF('Data input'!L65="","",4*('Data input'!L65-'Data input'!L$108)/('Data input'!L$109-'Data input'!L$108)+1)</f>
        <v/>
      </c>
      <c r="M65" s="16" t="str">
        <f>IF('Data input'!M65="","",4*('Data input'!M65-'Data input'!M$108)/('Data input'!M$109-'Data input'!M$108)+1)</f>
        <v/>
      </c>
      <c r="N65" s="16" t="str">
        <f>IF('Data input'!N65="","",4*('Data input'!N65-'Data input'!N$108)/('Data input'!N$109-'Data input'!N$108)+1)</f>
        <v/>
      </c>
      <c r="O65" s="16" t="str">
        <f>IF('Data input'!O65="","",4*('Data input'!O65-'Data input'!O$108)/('Data input'!O$109-'Data input'!O$108)+1)</f>
        <v/>
      </c>
      <c r="P65" s="16" t="str">
        <f>IF('Data input'!P65="","",4*('Data input'!P65-'Data input'!P$108)/('Data input'!P$109-'Data input'!P$108)+1)</f>
        <v/>
      </c>
      <c r="Q65" s="16" t="str">
        <f>IF('Data input'!Q65="","",4*('Data input'!Q65-'Data input'!Q$108)/('Data input'!Q$109-'Data input'!Q$108)+1)</f>
        <v/>
      </c>
      <c r="R65" s="16" t="str">
        <f>IF('Data input'!R65="","",4*('Data input'!R65-'Data input'!R$108)/('Data input'!R$109-'Data input'!R$108)+1)</f>
        <v/>
      </c>
      <c r="S65" s="16" t="str">
        <f>IF('Data input'!S65="","",4*('Data input'!S65-'Data input'!S$108)/('Data input'!S$109-'Data input'!S$108)+1)</f>
        <v/>
      </c>
      <c r="T65" s="16" t="str">
        <f>IF('Data input'!T65="","",4*('Data input'!T65-'Data input'!T$108)/('Data input'!T$109-'Data input'!T$108)+1)</f>
        <v/>
      </c>
      <c r="U65" s="16" t="str">
        <f>IF('Data input'!U65="","",4*('Data input'!U65-'Data input'!U$108)/('Data input'!U$109-'Data input'!U$108)+1)</f>
        <v/>
      </c>
      <c r="V65" s="16" t="str">
        <f>IF('Data input'!V65="","",4*('Data input'!V65-'Data input'!V$108)/('Data input'!V$109-'Data input'!V$108)+1)</f>
        <v/>
      </c>
      <c r="W65" s="16" t="str">
        <f>IF('Data input'!W65="","",4*('Data input'!W65-'Data input'!W$108)/('Data input'!W$109-'Data input'!W$108)+1)</f>
        <v/>
      </c>
      <c r="X65" s="16" t="str">
        <f>IF('Data input'!X65="","",4*('Data input'!X65-'Data input'!X$108)/('Data input'!X$109-'Data input'!X$108)+1)</f>
        <v/>
      </c>
      <c r="Y65" s="16" t="str">
        <f>IF('Data input'!Y65="","",4*('Data input'!Y65-'Data input'!Y$108)/('Data input'!Y$109-'Data input'!Y$108)+1)</f>
        <v/>
      </c>
      <c r="Z65" s="16" t="str">
        <f>IF('Data input'!Z65="","",4*('Data input'!Z65-'Data input'!Z$108)/('Data input'!Z$109-'Data input'!Z$108)+1)</f>
        <v/>
      </c>
      <c r="AA65" s="62" t="str">
        <f>IF('Data input'!AA65="","",4*('Data input'!AA65-'Data input'!AA$108)/('Data input'!AA$109-'Data input'!AA$108)+1)</f>
        <v/>
      </c>
      <c r="AB65" s="78"/>
      <c r="AC65" s="79">
        <v>0</v>
      </c>
      <c r="AD65" s="80" t="e">
        <f t="shared" si="13"/>
        <v>#DIV/0!</v>
      </c>
      <c r="AE65" s="4"/>
      <c r="AF65" s="59" t="str">
        <f t="shared" si="40"/>
        <v/>
      </c>
      <c r="AG65" s="60" t="str">
        <f t="shared" si="40"/>
        <v/>
      </c>
      <c r="AH65"/>
      <c r="AI65"/>
      <c r="AJ65"/>
      <c r="AK65"/>
      <c r="AL65"/>
      <c r="AM65"/>
      <c r="AN65"/>
      <c r="AO65"/>
      <c r="AP65"/>
      <c r="AQ65"/>
      <c r="AR65"/>
      <c r="AS65" s="71" t="str">
        <f t="shared" si="15"/>
        <v/>
      </c>
      <c r="AT65" s="71" t="str">
        <f t="shared" si="15"/>
        <v/>
      </c>
      <c r="AU65" s="71" t="str">
        <f t="shared" si="15"/>
        <v/>
      </c>
      <c r="AV65" s="71" t="str">
        <f t="shared" si="15"/>
        <v/>
      </c>
      <c r="AW65" s="71" t="str">
        <f t="shared" si="15"/>
        <v/>
      </c>
      <c r="AX65" s="71" t="str">
        <f t="shared" si="16"/>
        <v/>
      </c>
      <c r="AY65" s="71" t="str">
        <f t="shared" si="16"/>
        <v/>
      </c>
      <c r="AZ65" s="71" t="str">
        <f t="shared" si="16"/>
        <v/>
      </c>
      <c r="BA65" s="71" t="str">
        <f t="shared" si="16"/>
        <v/>
      </c>
      <c r="BB65" s="71" t="str">
        <f t="shared" si="16"/>
        <v/>
      </c>
      <c r="BC65" s="18" t="str">
        <f>IF(C65&lt;&gt;"",(('Data input'!C$109-'Data input'!C$108)*(AS65-1)/4)+'Data input'!C$108,"")</f>
        <v/>
      </c>
      <c r="BD65" s="18" t="str">
        <f>IF(D65&lt;&gt;"",(('Data input'!D$109-'Data input'!D$108)*(AT65-1)/4)+'Data input'!D$108,"")</f>
        <v/>
      </c>
      <c r="BE65" s="18" t="str">
        <f>IF(E65&lt;&gt;"",(('Data input'!E$109-'Data input'!E$108)*(AU65-1)/4)+'Data input'!E$108,"")</f>
        <v/>
      </c>
      <c r="BF65" s="18" t="str">
        <f>IF(F65&lt;&gt;"",(('Data input'!F$109-'Data input'!F$108)*(AV65-1)/4)+'Data input'!F$108,"")</f>
        <v/>
      </c>
      <c r="BG65" s="18" t="str">
        <f>IF(G65&lt;&gt;"",(('Data input'!G$109-'Data input'!G$108)*(AW65-1)/4)+'Data input'!G$108,"")</f>
        <v/>
      </c>
      <c r="BH65" s="19" t="str">
        <f>IF(H65&lt;&gt;"",(('Data input'!H$109-'Data input'!H$108)*(AX65-1)/4)+'Data input'!H$108,"")</f>
        <v/>
      </c>
      <c r="BI65" s="18" t="str">
        <f>IF(I65&lt;&gt;"",(('Data input'!I$109-'Data input'!I$108)*(AY65-1)/4)+'Data input'!I$108,"")</f>
        <v/>
      </c>
      <c r="BJ65" s="19" t="str">
        <f>IF(J65&lt;&gt;"",(('Data input'!J$109-'Data input'!J$108)*(AZ65-1)/4)+'Data input'!J$108,"")</f>
        <v/>
      </c>
      <c r="BK65" s="19" t="str">
        <f>IF(K65&lt;&gt;"",(('Data input'!K$109-'Data input'!K$108)*(BA65-1)/4)+'Data input'!K$108,"")</f>
        <v/>
      </c>
      <c r="BL65" s="19" t="str">
        <f>IF(L65&lt;&gt;"",(('Data input'!L$109-'Data input'!L$108)*(BB65-1)/4)+'Data input'!L$108,"")</f>
        <v/>
      </c>
      <c r="BM65" s="18" t="str">
        <f>IF(C65&lt;&gt;"",BC65-'Data input'!C65,"")</f>
        <v/>
      </c>
      <c r="BN65" s="18" t="str">
        <f>IF(D65&lt;&gt;"",BD65-'Data input'!D65,"")</f>
        <v/>
      </c>
      <c r="BO65" s="18" t="str">
        <f>IF(E65&lt;&gt;"",BE65-'Data input'!E65,"")</f>
        <v/>
      </c>
      <c r="BP65" s="18" t="str">
        <f>IF(F65&lt;&gt;"",BF65-'Data input'!F65,"")</f>
        <v/>
      </c>
      <c r="BQ65" s="18" t="str">
        <f>IF(G65&lt;&gt;"",BG65-'Data input'!G65,"")</f>
        <v/>
      </c>
      <c r="BR65" s="19" t="str">
        <f>IF(H65&lt;&gt;"",BH65-'Data input'!H65,"")</f>
        <v/>
      </c>
      <c r="BS65" s="18" t="str">
        <f>IF(I65&lt;&gt;"",BI65-'Data input'!I65,"")</f>
        <v/>
      </c>
      <c r="BT65" s="18" t="str">
        <f>IF(J65&lt;&gt;"",BJ65-'Data input'!J65,"")</f>
        <v/>
      </c>
      <c r="BU65" s="18" t="str">
        <f>IF(K65&lt;&gt;"",BK65-'Data input'!K65,"")</f>
        <v/>
      </c>
      <c r="BV65" s="72" t="str">
        <f>IF(L65&lt;&gt;"",BL65-'Data input'!L65,"")</f>
        <v/>
      </c>
      <c r="BW65" s="121" t="str">
        <f t="shared" si="17"/>
        <v/>
      </c>
      <c r="FT65" s="1" t="str">
        <f t="shared" si="33"/>
        <v/>
      </c>
      <c r="FU65" s="1" t="str">
        <f t="shared" si="33"/>
        <v/>
      </c>
      <c r="FV65" s="1" t="str">
        <f t="shared" si="33"/>
        <v/>
      </c>
      <c r="FW65" s="1" t="str">
        <f t="shared" si="33"/>
        <v/>
      </c>
      <c r="FX65" s="1" t="str">
        <f t="shared" si="33"/>
        <v/>
      </c>
      <c r="FY65" s="1" t="str">
        <f t="shared" si="33"/>
        <v/>
      </c>
      <c r="FZ65" s="1" t="str">
        <f t="shared" si="33"/>
        <v/>
      </c>
      <c r="GA65" s="1" t="str">
        <f t="shared" si="33"/>
        <v/>
      </c>
      <c r="GB65" s="1" t="str">
        <f t="shared" si="33"/>
        <v/>
      </c>
      <c r="GC65" s="1" t="str">
        <f t="shared" si="33"/>
        <v/>
      </c>
      <c r="GD65" s="1" t="str">
        <f t="shared" si="33"/>
        <v/>
      </c>
      <c r="GE65" s="1" t="str">
        <f t="shared" si="33"/>
        <v/>
      </c>
      <c r="GF65" s="1" t="str">
        <f t="shared" si="33"/>
        <v/>
      </c>
      <c r="GG65" s="1" t="str">
        <f t="shared" si="33"/>
        <v/>
      </c>
      <c r="GH65" s="1" t="str">
        <f t="shared" si="33"/>
        <v/>
      </c>
      <c r="GI65" s="1" t="str">
        <f t="shared" si="32"/>
        <v/>
      </c>
      <c r="GJ65" s="1" t="str">
        <f t="shared" si="32"/>
        <v/>
      </c>
      <c r="GK65" s="1" t="str">
        <f t="shared" si="32"/>
        <v/>
      </c>
      <c r="GL65" s="1" t="str">
        <f t="shared" si="32"/>
        <v/>
      </c>
      <c r="GM65" s="1" t="str">
        <f t="shared" si="32"/>
        <v/>
      </c>
      <c r="GN65" s="1" t="str">
        <f t="shared" si="32"/>
        <v/>
      </c>
      <c r="GO65" s="1" t="str">
        <f t="shared" si="32"/>
        <v/>
      </c>
      <c r="GP65" s="1" t="str">
        <f t="shared" si="32"/>
        <v/>
      </c>
      <c r="GQ65" s="1" t="str">
        <f t="shared" si="32"/>
        <v/>
      </c>
      <c r="GR65" s="1" t="str">
        <f t="shared" si="32"/>
        <v/>
      </c>
      <c r="GS65" s="1" t="str">
        <f t="shared" si="32"/>
        <v/>
      </c>
      <c r="GT65" s="1" t="str">
        <f t="shared" si="32"/>
        <v/>
      </c>
      <c r="GU65" s="1" t="str">
        <f t="shared" si="32"/>
        <v/>
      </c>
      <c r="GV65" s="1" t="str">
        <f t="shared" si="32"/>
        <v/>
      </c>
      <c r="GW65" s="1" t="str">
        <f t="shared" si="32"/>
        <v/>
      </c>
      <c r="GX65" s="1" t="str">
        <f t="shared" si="32"/>
        <v/>
      </c>
      <c r="GY65" s="1" t="str">
        <f t="shared" si="39"/>
        <v/>
      </c>
      <c r="GZ65" s="1" t="str">
        <f t="shared" si="38"/>
        <v/>
      </c>
      <c r="HA65" s="1" t="str">
        <f t="shared" si="38"/>
        <v/>
      </c>
      <c r="HB65" s="1" t="str">
        <f t="shared" si="38"/>
        <v/>
      </c>
      <c r="HC65" s="1" t="str">
        <f t="shared" si="38"/>
        <v/>
      </c>
      <c r="HD65" s="1" t="str">
        <f t="shared" si="38"/>
        <v/>
      </c>
      <c r="HE65" s="1" t="str">
        <f t="shared" si="38"/>
        <v/>
      </c>
      <c r="HF65" s="1" t="str">
        <f t="shared" si="38"/>
        <v/>
      </c>
      <c r="HG65" s="1" t="str">
        <f t="shared" si="38"/>
        <v/>
      </c>
      <c r="HH65" s="1" t="str">
        <f t="shared" si="38"/>
        <v/>
      </c>
      <c r="HI65" s="1" t="str">
        <f t="shared" si="38"/>
        <v/>
      </c>
      <c r="HJ65" s="1" t="str">
        <f t="shared" si="38"/>
        <v/>
      </c>
      <c r="HK65" s="1" t="str">
        <f t="shared" si="34"/>
        <v/>
      </c>
      <c r="HL65" s="1" t="str">
        <f t="shared" si="34"/>
        <v/>
      </c>
      <c r="HM65" s="1" t="str">
        <f t="shared" si="34"/>
        <v/>
      </c>
      <c r="HN65" s="1" t="str">
        <f t="shared" si="34"/>
        <v/>
      </c>
      <c r="HO65" s="1" t="str">
        <f t="shared" si="34"/>
        <v/>
      </c>
      <c r="HP65" s="1" t="str">
        <f t="shared" si="34"/>
        <v/>
      </c>
      <c r="HQ65" s="1" t="str">
        <f t="shared" si="34"/>
        <v/>
      </c>
      <c r="HR65" s="1" t="str">
        <f t="shared" si="34"/>
        <v/>
      </c>
      <c r="HS65" s="1" t="str">
        <f t="shared" si="34"/>
        <v/>
      </c>
      <c r="HT65" s="1" t="str">
        <f t="shared" si="34"/>
        <v/>
      </c>
      <c r="HU65" s="1" t="str">
        <f t="shared" si="34"/>
        <v/>
      </c>
      <c r="HV65" s="1" t="str">
        <f t="shared" si="34"/>
        <v/>
      </c>
      <c r="HW65" s="1" t="str">
        <f t="shared" si="34"/>
        <v/>
      </c>
      <c r="HX65" s="1" t="str">
        <f t="shared" si="34"/>
        <v/>
      </c>
      <c r="HY65" s="1" t="str">
        <f t="shared" si="34"/>
        <v/>
      </c>
      <c r="HZ65" s="1" t="str">
        <f t="shared" si="34"/>
        <v/>
      </c>
      <c r="IA65" s="1" t="str">
        <f t="shared" si="35"/>
        <v/>
      </c>
      <c r="IB65" s="1" t="str">
        <f t="shared" si="35"/>
        <v/>
      </c>
      <c r="IC65" s="1" t="str">
        <f t="shared" si="35"/>
        <v/>
      </c>
      <c r="ID65" s="1" t="str">
        <f t="shared" si="35"/>
        <v/>
      </c>
      <c r="IE65" s="1" t="str">
        <f t="shared" si="35"/>
        <v/>
      </c>
      <c r="IF65" s="1" t="str">
        <f t="shared" si="35"/>
        <v/>
      </c>
      <c r="IG65" s="1" t="str">
        <f t="shared" si="35"/>
        <v/>
      </c>
      <c r="IH65" s="1" t="str">
        <f t="shared" si="35"/>
        <v/>
      </c>
      <c r="II65" s="1" t="str">
        <f t="shared" si="35"/>
        <v/>
      </c>
      <c r="IJ65" s="1" t="str">
        <f t="shared" si="35"/>
        <v/>
      </c>
      <c r="IK65" s="1" t="str">
        <f t="shared" si="35"/>
        <v/>
      </c>
      <c r="IL65" s="1" t="str">
        <f t="shared" si="35"/>
        <v/>
      </c>
      <c r="IM65" s="1" t="str">
        <f t="shared" si="35"/>
        <v/>
      </c>
      <c r="IN65" s="1" t="str">
        <f t="shared" si="35"/>
        <v/>
      </c>
      <c r="IO65" s="1" t="str">
        <f t="shared" si="35"/>
        <v/>
      </c>
      <c r="IP65" s="1" t="str">
        <f t="shared" si="35"/>
        <v/>
      </c>
      <c r="IQ65" s="1" t="str">
        <f t="shared" si="36"/>
        <v/>
      </c>
      <c r="IR65" s="1" t="str">
        <f t="shared" si="36"/>
        <v/>
      </c>
      <c r="IS65" s="1" t="str">
        <f t="shared" si="36"/>
        <v/>
      </c>
      <c r="IT65" s="1" t="str">
        <f t="shared" si="36"/>
        <v/>
      </c>
      <c r="IU65" s="1" t="str">
        <f t="shared" si="36"/>
        <v/>
      </c>
      <c r="IV65" s="1" t="str">
        <f t="shared" si="36"/>
        <v/>
      </c>
      <c r="IW65" s="1" t="str">
        <f t="shared" si="36"/>
        <v/>
      </c>
      <c r="IX65" s="1" t="str">
        <f t="shared" si="36"/>
        <v/>
      </c>
      <c r="IY65" s="1" t="str">
        <f t="shared" si="36"/>
        <v/>
      </c>
      <c r="IZ65" s="1" t="str">
        <f t="shared" si="36"/>
        <v/>
      </c>
      <c r="JA65" s="1" t="str">
        <f t="shared" si="36"/>
        <v/>
      </c>
      <c r="JB65" s="1" t="str">
        <f t="shared" si="36"/>
        <v/>
      </c>
      <c r="JC65" s="1" t="str">
        <f t="shared" si="36"/>
        <v/>
      </c>
      <c r="JD65" s="1" t="str">
        <f t="shared" si="36"/>
        <v/>
      </c>
      <c r="JE65" s="1" t="str">
        <f t="shared" si="36"/>
        <v/>
      </c>
      <c r="JF65" s="1" t="str">
        <f t="shared" si="36"/>
        <v/>
      </c>
      <c r="JG65" s="1" t="str">
        <f t="shared" si="37"/>
        <v/>
      </c>
      <c r="JH65" s="1" t="str">
        <f t="shared" si="37"/>
        <v/>
      </c>
      <c r="JI65" s="1" t="str">
        <f t="shared" si="37"/>
        <v/>
      </c>
      <c r="JJ65" s="1" t="str">
        <f t="shared" si="30"/>
        <v/>
      </c>
      <c r="JK65" s="1" t="str">
        <f t="shared" si="30"/>
        <v/>
      </c>
      <c r="JL65" s="1" t="str">
        <f t="shared" si="24"/>
        <v/>
      </c>
      <c r="JM65" s="1" t="str">
        <f t="shared" si="12"/>
        <v/>
      </c>
      <c r="JN65" s="1" t="str">
        <f t="shared" si="12"/>
        <v/>
      </c>
      <c r="JO65" s="1" t="str">
        <f t="shared" si="12"/>
        <v/>
      </c>
    </row>
    <row r="66" spans="1:275" ht="14.5" x14ac:dyDescent="0.35">
      <c r="A66" s="59" t="str">
        <f>IF('Data input'!A66&lt;&gt;"",'Data input'!A66,"")</f>
        <v/>
      </c>
      <c r="B66" s="15" t="str">
        <f>IF('Data input'!B66&lt;&gt;"",'Data input'!B66,"")</f>
        <v/>
      </c>
      <c r="C66" s="16" t="str">
        <f>IF('Data input'!C66="","",4*('Data input'!C66-'Data input'!C$108)/('Data input'!C$109-'Data input'!C$108)+1)</f>
        <v/>
      </c>
      <c r="D66" s="16" t="str">
        <f>IF('Data input'!D66="","",4*('Data input'!D66-'Data input'!D$108)/('Data input'!D$109-'Data input'!D$108)+1)</f>
        <v/>
      </c>
      <c r="E66" s="16" t="str">
        <f>IF('Data input'!E66="","",4*('Data input'!E66-'Data input'!E$108)/('Data input'!E$109-'Data input'!E$108)+1)</f>
        <v/>
      </c>
      <c r="F66" s="16" t="str">
        <f>IF('Data input'!F66="","",4*('Data input'!F66-'Data input'!F$108)/('Data input'!F$109-'Data input'!F$108)+1)</f>
        <v/>
      </c>
      <c r="G66" s="16" t="str">
        <f>IF('Data input'!G66="","",4*('Data input'!G66-'Data input'!G$108)/('Data input'!G$109-'Data input'!G$108)+1)</f>
        <v/>
      </c>
      <c r="H66" s="16" t="str">
        <f>IF('Data input'!H66="","",4*('Data input'!H66-'Data input'!H$108)/('Data input'!H$109-'Data input'!H$108)+1)</f>
        <v/>
      </c>
      <c r="I66" s="19" t="str">
        <f>IF('Data input'!I66="","",4*('Data input'!I66-'Data input'!I$108)/('Data input'!I$109-'Data input'!I$108)+1)</f>
        <v/>
      </c>
      <c r="J66" s="19" t="str">
        <f>IF('Data input'!J66="","",4*('Data input'!J66-'Data input'!J$108)/('Data input'!J$109-'Data input'!J$108)+1)</f>
        <v/>
      </c>
      <c r="K66" s="19" t="str">
        <f>IF('Data input'!K66="","",4*('Data input'!K66-'Data input'!K$108)/('Data input'!K$109-'Data input'!K$108)+1)</f>
        <v/>
      </c>
      <c r="L66" s="19" t="str">
        <f>IF('Data input'!L66="","",4*('Data input'!L66-'Data input'!L$108)/('Data input'!L$109-'Data input'!L$108)+1)</f>
        <v/>
      </c>
      <c r="M66" s="16" t="str">
        <f>IF('Data input'!M66="","",4*('Data input'!M66-'Data input'!M$108)/('Data input'!M$109-'Data input'!M$108)+1)</f>
        <v/>
      </c>
      <c r="N66" s="16" t="str">
        <f>IF('Data input'!N66="","",4*('Data input'!N66-'Data input'!N$108)/('Data input'!N$109-'Data input'!N$108)+1)</f>
        <v/>
      </c>
      <c r="O66" s="16" t="str">
        <f>IF('Data input'!O66="","",4*('Data input'!O66-'Data input'!O$108)/('Data input'!O$109-'Data input'!O$108)+1)</f>
        <v/>
      </c>
      <c r="P66" s="16" t="str">
        <f>IF('Data input'!P66="","",4*('Data input'!P66-'Data input'!P$108)/('Data input'!P$109-'Data input'!P$108)+1)</f>
        <v/>
      </c>
      <c r="Q66" s="16" t="str">
        <f>IF('Data input'!Q66="","",4*('Data input'!Q66-'Data input'!Q$108)/('Data input'!Q$109-'Data input'!Q$108)+1)</f>
        <v/>
      </c>
      <c r="R66" s="16" t="str">
        <f>IF('Data input'!R66="","",4*('Data input'!R66-'Data input'!R$108)/('Data input'!R$109-'Data input'!R$108)+1)</f>
        <v/>
      </c>
      <c r="S66" s="16" t="str">
        <f>IF('Data input'!S66="","",4*('Data input'!S66-'Data input'!S$108)/('Data input'!S$109-'Data input'!S$108)+1)</f>
        <v/>
      </c>
      <c r="T66" s="16" t="str">
        <f>IF('Data input'!T66="","",4*('Data input'!T66-'Data input'!T$108)/('Data input'!T$109-'Data input'!T$108)+1)</f>
        <v/>
      </c>
      <c r="U66" s="16" t="str">
        <f>IF('Data input'!U66="","",4*('Data input'!U66-'Data input'!U$108)/('Data input'!U$109-'Data input'!U$108)+1)</f>
        <v/>
      </c>
      <c r="V66" s="16" t="str">
        <f>IF('Data input'!V66="","",4*('Data input'!V66-'Data input'!V$108)/('Data input'!V$109-'Data input'!V$108)+1)</f>
        <v/>
      </c>
      <c r="W66" s="16" t="str">
        <f>IF('Data input'!W66="","",4*('Data input'!W66-'Data input'!W$108)/('Data input'!W$109-'Data input'!W$108)+1)</f>
        <v/>
      </c>
      <c r="X66" s="16" t="str">
        <f>IF('Data input'!X66="","",4*('Data input'!X66-'Data input'!X$108)/('Data input'!X$109-'Data input'!X$108)+1)</f>
        <v/>
      </c>
      <c r="Y66" s="16" t="str">
        <f>IF('Data input'!Y66="","",4*('Data input'!Y66-'Data input'!Y$108)/('Data input'!Y$109-'Data input'!Y$108)+1)</f>
        <v/>
      </c>
      <c r="Z66" s="16" t="str">
        <f>IF('Data input'!Z66="","",4*('Data input'!Z66-'Data input'!Z$108)/('Data input'!Z$109-'Data input'!Z$108)+1)</f>
        <v/>
      </c>
      <c r="AA66" s="62" t="str">
        <f>IF('Data input'!AA66="","",4*('Data input'!AA66-'Data input'!AA$108)/('Data input'!AA$109-'Data input'!AA$108)+1)</f>
        <v/>
      </c>
      <c r="AB66" s="78"/>
      <c r="AC66" s="79">
        <v>0</v>
      </c>
      <c r="AD66" s="80" t="e">
        <f t="shared" si="13"/>
        <v>#DIV/0!</v>
      </c>
      <c r="AE66" s="4"/>
      <c r="AF66" s="59" t="str">
        <f t="shared" si="40"/>
        <v/>
      </c>
      <c r="AG66" s="60" t="str">
        <f t="shared" si="40"/>
        <v/>
      </c>
      <c r="AH66"/>
      <c r="AI66"/>
      <c r="AJ66"/>
      <c r="AK66"/>
      <c r="AL66"/>
      <c r="AM66"/>
      <c r="AN66"/>
      <c r="AO66"/>
      <c r="AP66"/>
      <c r="AQ66"/>
      <c r="AR66"/>
      <c r="AS66" s="71" t="str">
        <f t="shared" si="15"/>
        <v/>
      </c>
      <c r="AT66" s="71" t="str">
        <f t="shared" si="15"/>
        <v/>
      </c>
      <c r="AU66" s="71" t="str">
        <f t="shared" si="15"/>
        <v/>
      </c>
      <c r="AV66" s="71" t="str">
        <f t="shared" si="15"/>
        <v/>
      </c>
      <c r="AW66" s="71" t="str">
        <f t="shared" si="15"/>
        <v/>
      </c>
      <c r="AX66" s="71" t="str">
        <f t="shared" si="16"/>
        <v/>
      </c>
      <c r="AY66" s="71" t="str">
        <f t="shared" si="16"/>
        <v/>
      </c>
      <c r="AZ66" s="71" t="str">
        <f t="shared" si="16"/>
        <v/>
      </c>
      <c r="BA66" s="71" t="str">
        <f t="shared" si="16"/>
        <v/>
      </c>
      <c r="BB66" s="71" t="str">
        <f t="shared" si="16"/>
        <v/>
      </c>
      <c r="BC66" s="18" t="str">
        <f>IF(C66&lt;&gt;"",(('Data input'!C$109-'Data input'!C$108)*(AS66-1)/4)+'Data input'!C$108,"")</f>
        <v/>
      </c>
      <c r="BD66" s="18" t="str">
        <f>IF(D66&lt;&gt;"",(('Data input'!D$109-'Data input'!D$108)*(AT66-1)/4)+'Data input'!D$108,"")</f>
        <v/>
      </c>
      <c r="BE66" s="18" t="str">
        <f>IF(E66&lt;&gt;"",(('Data input'!E$109-'Data input'!E$108)*(AU66-1)/4)+'Data input'!E$108,"")</f>
        <v/>
      </c>
      <c r="BF66" s="18" t="str">
        <f>IF(F66&lt;&gt;"",(('Data input'!F$109-'Data input'!F$108)*(AV66-1)/4)+'Data input'!F$108,"")</f>
        <v/>
      </c>
      <c r="BG66" s="18" t="str">
        <f>IF(G66&lt;&gt;"",(('Data input'!G$109-'Data input'!G$108)*(AW66-1)/4)+'Data input'!G$108,"")</f>
        <v/>
      </c>
      <c r="BH66" s="19" t="str">
        <f>IF(H66&lt;&gt;"",(('Data input'!H$109-'Data input'!H$108)*(AX66-1)/4)+'Data input'!H$108,"")</f>
        <v/>
      </c>
      <c r="BI66" s="18" t="str">
        <f>IF(I66&lt;&gt;"",(('Data input'!I$109-'Data input'!I$108)*(AY66-1)/4)+'Data input'!I$108,"")</f>
        <v/>
      </c>
      <c r="BJ66" s="19" t="str">
        <f>IF(J66&lt;&gt;"",(('Data input'!J$109-'Data input'!J$108)*(AZ66-1)/4)+'Data input'!J$108,"")</f>
        <v/>
      </c>
      <c r="BK66" s="19" t="str">
        <f>IF(K66&lt;&gt;"",(('Data input'!K$109-'Data input'!K$108)*(BA66-1)/4)+'Data input'!K$108,"")</f>
        <v/>
      </c>
      <c r="BL66" s="19" t="str">
        <f>IF(L66&lt;&gt;"",(('Data input'!L$109-'Data input'!L$108)*(BB66-1)/4)+'Data input'!L$108,"")</f>
        <v/>
      </c>
      <c r="BM66" s="18" t="str">
        <f>IF(C66&lt;&gt;"",BC66-'Data input'!C66,"")</f>
        <v/>
      </c>
      <c r="BN66" s="18" t="str">
        <f>IF(D66&lt;&gt;"",BD66-'Data input'!D66,"")</f>
        <v/>
      </c>
      <c r="BO66" s="18" t="str">
        <f>IF(E66&lt;&gt;"",BE66-'Data input'!E66,"")</f>
        <v/>
      </c>
      <c r="BP66" s="18" t="str">
        <f>IF(F66&lt;&gt;"",BF66-'Data input'!F66,"")</f>
        <v/>
      </c>
      <c r="BQ66" s="18" t="str">
        <f>IF(G66&lt;&gt;"",BG66-'Data input'!G66,"")</f>
        <v/>
      </c>
      <c r="BR66" s="19" t="str">
        <f>IF(H66&lt;&gt;"",BH66-'Data input'!H66,"")</f>
        <v/>
      </c>
      <c r="BS66" s="18" t="str">
        <f>IF(I66&lt;&gt;"",BI66-'Data input'!I66,"")</f>
        <v/>
      </c>
      <c r="BT66" s="18" t="str">
        <f>IF(J66&lt;&gt;"",BJ66-'Data input'!J66,"")</f>
        <v/>
      </c>
      <c r="BU66" s="18" t="str">
        <f>IF(K66&lt;&gt;"",BK66-'Data input'!K66,"")</f>
        <v/>
      </c>
      <c r="BV66" s="72" t="str">
        <f>IF(L66&lt;&gt;"",BL66-'Data input'!L66,"")</f>
        <v/>
      </c>
      <c r="BW66" s="121" t="str">
        <f t="shared" si="17"/>
        <v/>
      </c>
      <c r="FT66" s="1" t="str">
        <f t="shared" si="33"/>
        <v/>
      </c>
      <c r="FU66" s="1" t="str">
        <f t="shared" si="33"/>
        <v/>
      </c>
      <c r="FV66" s="1" t="str">
        <f t="shared" si="33"/>
        <v/>
      </c>
      <c r="FW66" s="1" t="str">
        <f t="shared" si="33"/>
        <v/>
      </c>
      <c r="FX66" s="1" t="str">
        <f t="shared" si="33"/>
        <v/>
      </c>
      <c r="FY66" s="1" t="str">
        <f t="shared" si="33"/>
        <v/>
      </c>
      <c r="FZ66" s="1" t="str">
        <f t="shared" si="33"/>
        <v/>
      </c>
      <c r="GA66" s="1" t="str">
        <f t="shared" si="33"/>
        <v/>
      </c>
      <c r="GB66" s="1" t="str">
        <f t="shared" si="33"/>
        <v/>
      </c>
      <c r="GC66" s="1" t="str">
        <f t="shared" si="33"/>
        <v/>
      </c>
      <c r="GD66" s="1" t="str">
        <f t="shared" si="33"/>
        <v/>
      </c>
      <c r="GE66" s="1" t="str">
        <f t="shared" si="33"/>
        <v/>
      </c>
      <c r="GF66" s="1" t="str">
        <f t="shared" si="33"/>
        <v/>
      </c>
      <c r="GG66" s="1" t="str">
        <f t="shared" si="33"/>
        <v/>
      </c>
      <c r="GH66" s="1" t="str">
        <f t="shared" si="33"/>
        <v/>
      </c>
      <c r="GI66" s="1" t="str">
        <f t="shared" si="32"/>
        <v/>
      </c>
      <c r="GJ66" s="1" t="str">
        <f t="shared" si="32"/>
        <v/>
      </c>
      <c r="GK66" s="1" t="str">
        <f t="shared" si="32"/>
        <v/>
      </c>
      <c r="GL66" s="1" t="str">
        <f t="shared" si="32"/>
        <v/>
      </c>
      <c r="GM66" s="1" t="str">
        <f t="shared" si="32"/>
        <v/>
      </c>
      <c r="GN66" s="1" t="str">
        <f t="shared" si="32"/>
        <v/>
      </c>
      <c r="GO66" s="1" t="str">
        <f t="shared" si="32"/>
        <v/>
      </c>
      <c r="GP66" s="1" t="str">
        <f t="shared" si="32"/>
        <v/>
      </c>
      <c r="GQ66" s="1" t="str">
        <f t="shared" si="32"/>
        <v/>
      </c>
      <c r="GR66" s="1" t="str">
        <f t="shared" si="32"/>
        <v/>
      </c>
      <c r="GS66" s="1" t="str">
        <f t="shared" si="32"/>
        <v/>
      </c>
      <c r="GT66" s="1" t="str">
        <f t="shared" si="32"/>
        <v/>
      </c>
      <c r="GU66" s="1" t="str">
        <f t="shared" si="32"/>
        <v/>
      </c>
      <c r="GV66" s="1" t="str">
        <f t="shared" si="32"/>
        <v/>
      </c>
      <c r="GW66" s="1" t="str">
        <f t="shared" si="32"/>
        <v/>
      </c>
      <c r="GX66" s="1" t="str">
        <f t="shared" si="32"/>
        <v/>
      </c>
      <c r="GY66" s="1" t="str">
        <f t="shared" si="39"/>
        <v/>
      </c>
      <c r="GZ66" s="1" t="str">
        <f t="shared" si="38"/>
        <v/>
      </c>
      <c r="HA66" s="1" t="str">
        <f t="shared" si="38"/>
        <v/>
      </c>
      <c r="HB66" s="1" t="str">
        <f t="shared" si="38"/>
        <v/>
      </c>
      <c r="HC66" s="1" t="str">
        <f t="shared" si="38"/>
        <v/>
      </c>
      <c r="HD66" s="1" t="str">
        <f t="shared" si="38"/>
        <v/>
      </c>
      <c r="HE66" s="1" t="str">
        <f t="shared" si="38"/>
        <v/>
      </c>
      <c r="HF66" s="1" t="str">
        <f t="shared" si="38"/>
        <v/>
      </c>
      <c r="HG66" s="1" t="str">
        <f t="shared" si="38"/>
        <v/>
      </c>
      <c r="HH66" s="1" t="str">
        <f t="shared" si="38"/>
        <v/>
      </c>
      <c r="HI66" s="1" t="str">
        <f t="shared" si="38"/>
        <v/>
      </c>
      <c r="HJ66" s="1" t="str">
        <f t="shared" si="38"/>
        <v/>
      </c>
      <c r="HK66" s="1" t="str">
        <f t="shared" si="34"/>
        <v/>
      </c>
      <c r="HL66" s="1" t="str">
        <f t="shared" si="34"/>
        <v/>
      </c>
      <c r="HM66" s="1" t="str">
        <f t="shared" si="34"/>
        <v/>
      </c>
      <c r="HN66" s="1" t="str">
        <f t="shared" si="34"/>
        <v/>
      </c>
      <c r="HO66" s="1" t="str">
        <f t="shared" si="34"/>
        <v/>
      </c>
      <c r="HP66" s="1" t="str">
        <f t="shared" si="34"/>
        <v/>
      </c>
      <c r="HQ66" s="1" t="str">
        <f t="shared" si="34"/>
        <v/>
      </c>
      <c r="HR66" s="1" t="str">
        <f t="shared" si="34"/>
        <v/>
      </c>
      <c r="HS66" s="1" t="str">
        <f t="shared" si="34"/>
        <v/>
      </c>
      <c r="HT66" s="1" t="str">
        <f t="shared" si="34"/>
        <v/>
      </c>
      <c r="HU66" s="1" t="str">
        <f t="shared" si="34"/>
        <v/>
      </c>
      <c r="HV66" s="1" t="str">
        <f t="shared" si="34"/>
        <v/>
      </c>
      <c r="HW66" s="1" t="str">
        <f t="shared" ref="HW66:IL82" si="41">IF(EA66&gt;0.0001,CONCATENATE(EA$2,"; "),"")</f>
        <v/>
      </c>
      <c r="HX66" s="1" t="str">
        <f t="shared" si="41"/>
        <v/>
      </c>
      <c r="HY66" s="1" t="str">
        <f t="shared" si="41"/>
        <v/>
      </c>
      <c r="HZ66" s="1" t="str">
        <f t="shared" si="41"/>
        <v/>
      </c>
      <c r="IA66" s="1" t="str">
        <f t="shared" si="35"/>
        <v/>
      </c>
      <c r="IB66" s="1" t="str">
        <f t="shared" si="35"/>
        <v/>
      </c>
      <c r="IC66" s="1" t="str">
        <f t="shared" si="35"/>
        <v/>
      </c>
      <c r="ID66" s="1" t="str">
        <f t="shared" si="35"/>
        <v/>
      </c>
      <c r="IE66" s="1" t="str">
        <f t="shared" si="35"/>
        <v/>
      </c>
      <c r="IF66" s="1" t="str">
        <f t="shared" si="35"/>
        <v/>
      </c>
      <c r="IG66" s="1" t="str">
        <f t="shared" si="35"/>
        <v/>
      </c>
      <c r="IH66" s="1" t="str">
        <f t="shared" si="35"/>
        <v/>
      </c>
      <c r="II66" s="1" t="str">
        <f t="shared" si="35"/>
        <v/>
      </c>
      <c r="IJ66" s="1" t="str">
        <f t="shared" si="35"/>
        <v/>
      </c>
      <c r="IK66" s="1" t="str">
        <f t="shared" si="35"/>
        <v/>
      </c>
      <c r="IL66" s="1" t="str">
        <f t="shared" si="35"/>
        <v/>
      </c>
      <c r="IM66" s="1" t="str">
        <f t="shared" ref="IM66:JB82" si="42">IF(EQ66&gt;0.0001,CONCATENATE(EQ$2,"; "),"")</f>
        <v/>
      </c>
      <c r="IN66" s="1" t="str">
        <f t="shared" si="42"/>
        <v/>
      </c>
      <c r="IO66" s="1" t="str">
        <f t="shared" si="42"/>
        <v/>
      </c>
      <c r="IP66" s="1" t="str">
        <f t="shared" si="42"/>
        <v/>
      </c>
      <c r="IQ66" s="1" t="str">
        <f t="shared" si="36"/>
        <v/>
      </c>
      <c r="IR66" s="1" t="str">
        <f t="shared" si="36"/>
        <v/>
      </c>
      <c r="IS66" s="1" t="str">
        <f t="shared" si="36"/>
        <v/>
      </c>
      <c r="IT66" s="1" t="str">
        <f t="shared" si="36"/>
        <v/>
      </c>
      <c r="IU66" s="1" t="str">
        <f t="shared" si="36"/>
        <v/>
      </c>
      <c r="IV66" s="1" t="str">
        <f t="shared" si="36"/>
        <v/>
      </c>
      <c r="IW66" s="1" t="str">
        <f t="shared" si="36"/>
        <v/>
      </c>
      <c r="IX66" s="1" t="str">
        <f t="shared" si="36"/>
        <v/>
      </c>
      <c r="IY66" s="1" t="str">
        <f t="shared" si="36"/>
        <v/>
      </c>
      <c r="IZ66" s="1" t="str">
        <f t="shared" si="36"/>
        <v/>
      </c>
      <c r="JA66" s="1" t="str">
        <f t="shared" si="36"/>
        <v/>
      </c>
      <c r="JB66" s="1" t="str">
        <f t="shared" si="36"/>
        <v/>
      </c>
      <c r="JC66" s="1" t="str">
        <f t="shared" ref="JC66:JF102" si="43">IF(FG66&gt;0.0001,CONCATENATE(FG$2,"; "),"")</f>
        <v/>
      </c>
      <c r="JD66" s="1" t="str">
        <f t="shared" si="43"/>
        <v/>
      </c>
      <c r="JE66" s="1" t="str">
        <f t="shared" si="43"/>
        <v/>
      </c>
      <c r="JF66" s="1" t="str">
        <f t="shared" si="43"/>
        <v/>
      </c>
      <c r="JG66" s="1" t="str">
        <f t="shared" si="37"/>
        <v/>
      </c>
      <c r="JH66" s="1" t="str">
        <f t="shared" si="37"/>
        <v/>
      </c>
      <c r="JI66" s="1" t="str">
        <f t="shared" si="37"/>
        <v/>
      </c>
      <c r="JJ66" s="1" t="str">
        <f t="shared" si="30"/>
        <v/>
      </c>
      <c r="JK66" s="1" t="str">
        <f t="shared" si="30"/>
        <v/>
      </c>
      <c r="JL66" s="1" t="str">
        <f t="shared" si="24"/>
        <v/>
      </c>
      <c r="JM66" s="1" t="str">
        <f t="shared" si="12"/>
        <v/>
      </c>
      <c r="JN66" s="1" t="str">
        <f t="shared" si="12"/>
        <v/>
      </c>
      <c r="JO66" s="1" t="str">
        <f t="shared" si="12"/>
        <v/>
      </c>
    </row>
    <row r="67" spans="1:275" ht="14.5" x14ac:dyDescent="0.35">
      <c r="A67" s="59" t="str">
        <f>IF('Data input'!A67&lt;&gt;"",'Data input'!A67,"")</f>
        <v/>
      </c>
      <c r="B67" s="15" t="str">
        <f>IF('Data input'!B67&lt;&gt;"",'Data input'!B67,"")</f>
        <v/>
      </c>
      <c r="C67" s="16" t="str">
        <f>IF('Data input'!C67="","",4*('Data input'!C67-'Data input'!C$108)/('Data input'!C$109-'Data input'!C$108)+1)</f>
        <v/>
      </c>
      <c r="D67" s="16" t="str">
        <f>IF('Data input'!D67="","",4*('Data input'!D67-'Data input'!D$108)/('Data input'!D$109-'Data input'!D$108)+1)</f>
        <v/>
      </c>
      <c r="E67" s="16" t="str">
        <f>IF('Data input'!E67="","",4*('Data input'!E67-'Data input'!E$108)/('Data input'!E$109-'Data input'!E$108)+1)</f>
        <v/>
      </c>
      <c r="F67" s="16" t="str">
        <f>IF('Data input'!F67="","",4*('Data input'!F67-'Data input'!F$108)/('Data input'!F$109-'Data input'!F$108)+1)</f>
        <v/>
      </c>
      <c r="G67" s="16" t="str">
        <f>IF('Data input'!G67="","",4*('Data input'!G67-'Data input'!G$108)/('Data input'!G$109-'Data input'!G$108)+1)</f>
        <v/>
      </c>
      <c r="H67" s="16" t="str">
        <f>IF('Data input'!H67="","",4*('Data input'!H67-'Data input'!H$108)/('Data input'!H$109-'Data input'!H$108)+1)</f>
        <v/>
      </c>
      <c r="I67" s="19" t="str">
        <f>IF('Data input'!I67="","",4*('Data input'!I67-'Data input'!I$108)/('Data input'!I$109-'Data input'!I$108)+1)</f>
        <v/>
      </c>
      <c r="J67" s="19" t="str">
        <f>IF('Data input'!J67="","",4*('Data input'!J67-'Data input'!J$108)/('Data input'!J$109-'Data input'!J$108)+1)</f>
        <v/>
      </c>
      <c r="K67" s="19" t="str">
        <f>IF('Data input'!K67="","",4*('Data input'!K67-'Data input'!K$108)/('Data input'!K$109-'Data input'!K$108)+1)</f>
        <v/>
      </c>
      <c r="L67" s="19" t="str">
        <f>IF('Data input'!L67="","",4*('Data input'!L67-'Data input'!L$108)/('Data input'!L$109-'Data input'!L$108)+1)</f>
        <v/>
      </c>
      <c r="M67" s="16" t="str">
        <f>IF('Data input'!M67="","",4*('Data input'!M67-'Data input'!M$108)/('Data input'!M$109-'Data input'!M$108)+1)</f>
        <v/>
      </c>
      <c r="N67" s="16" t="str">
        <f>IF('Data input'!N67="","",4*('Data input'!N67-'Data input'!N$108)/('Data input'!N$109-'Data input'!N$108)+1)</f>
        <v/>
      </c>
      <c r="O67" s="16" t="str">
        <f>IF('Data input'!O67="","",4*('Data input'!O67-'Data input'!O$108)/('Data input'!O$109-'Data input'!O$108)+1)</f>
        <v/>
      </c>
      <c r="P67" s="16" t="str">
        <f>IF('Data input'!P67="","",4*('Data input'!P67-'Data input'!P$108)/('Data input'!P$109-'Data input'!P$108)+1)</f>
        <v/>
      </c>
      <c r="Q67" s="16" t="str">
        <f>IF('Data input'!Q67="","",4*('Data input'!Q67-'Data input'!Q$108)/('Data input'!Q$109-'Data input'!Q$108)+1)</f>
        <v/>
      </c>
      <c r="R67" s="16" t="str">
        <f>IF('Data input'!R67="","",4*('Data input'!R67-'Data input'!R$108)/('Data input'!R$109-'Data input'!R$108)+1)</f>
        <v/>
      </c>
      <c r="S67" s="16" t="str">
        <f>IF('Data input'!S67="","",4*('Data input'!S67-'Data input'!S$108)/('Data input'!S$109-'Data input'!S$108)+1)</f>
        <v/>
      </c>
      <c r="T67" s="16" t="str">
        <f>IF('Data input'!T67="","",4*('Data input'!T67-'Data input'!T$108)/('Data input'!T$109-'Data input'!T$108)+1)</f>
        <v/>
      </c>
      <c r="U67" s="16" t="str">
        <f>IF('Data input'!U67="","",4*('Data input'!U67-'Data input'!U$108)/('Data input'!U$109-'Data input'!U$108)+1)</f>
        <v/>
      </c>
      <c r="V67" s="16" t="str">
        <f>IF('Data input'!V67="","",4*('Data input'!V67-'Data input'!V$108)/('Data input'!V$109-'Data input'!V$108)+1)</f>
        <v/>
      </c>
      <c r="W67" s="16" t="str">
        <f>IF('Data input'!W67="","",4*('Data input'!W67-'Data input'!W$108)/('Data input'!W$109-'Data input'!W$108)+1)</f>
        <v/>
      </c>
      <c r="X67" s="16" t="str">
        <f>IF('Data input'!X67="","",4*('Data input'!X67-'Data input'!X$108)/('Data input'!X$109-'Data input'!X$108)+1)</f>
        <v/>
      </c>
      <c r="Y67" s="16" t="str">
        <f>IF('Data input'!Y67="","",4*('Data input'!Y67-'Data input'!Y$108)/('Data input'!Y$109-'Data input'!Y$108)+1)</f>
        <v/>
      </c>
      <c r="Z67" s="16" t="str">
        <f>IF('Data input'!Z67="","",4*('Data input'!Z67-'Data input'!Z$108)/('Data input'!Z$109-'Data input'!Z$108)+1)</f>
        <v/>
      </c>
      <c r="AA67" s="62" t="str">
        <f>IF('Data input'!AA67="","",4*('Data input'!AA67-'Data input'!AA$108)/('Data input'!AA$109-'Data input'!AA$108)+1)</f>
        <v/>
      </c>
      <c r="AB67" s="78"/>
      <c r="AC67" s="79">
        <v>0</v>
      </c>
      <c r="AD67" s="80" t="e">
        <f t="shared" si="13"/>
        <v>#DIV/0!</v>
      </c>
      <c r="AE67" s="4"/>
      <c r="AF67" s="59" t="str">
        <f t="shared" si="40"/>
        <v/>
      </c>
      <c r="AG67" s="60" t="str">
        <f t="shared" si="40"/>
        <v/>
      </c>
      <c r="AH67"/>
      <c r="AI67"/>
      <c r="AJ67"/>
      <c r="AK67"/>
      <c r="AL67"/>
      <c r="AM67"/>
      <c r="AN67"/>
      <c r="AO67"/>
      <c r="AP67"/>
      <c r="AQ67"/>
      <c r="AR67"/>
      <c r="AS67" s="71" t="str">
        <f t="shared" ref="AS67:AW102" si="44">IF(C67&lt;&gt;"",C67+AH67,"")</f>
        <v/>
      </c>
      <c r="AT67" s="71" t="str">
        <f t="shared" si="44"/>
        <v/>
      </c>
      <c r="AU67" s="71" t="str">
        <f t="shared" si="44"/>
        <v/>
      </c>
      <c r="AV67" s="71" t="str">
        <f t="shared" si="44"/>
        <v/>
      </c>
      <c r="AW67" s="71" t="str">
        <f t="shared" si="44"/>
        <v/>
      </c>
      <c r="AX67" s="71" t="str">
        <f t="shared" ref="AX67:BB102" si="45">IF(H67&lt;&gt;"",H67-AM67,"")</f>
        <v/>
      </c>
      <c r="AY67" s="71" t="str">
        <f t="shared" si="45"/>
        <v/>
      </c>
      <c r="AZ67" s="71" t="str">
        <f t="shared" si="45"/>
        <v/>
      </c>
      <c r="BA67" s="71" t="str">
        <f t="shared" si="45"/>
        <v/>
      </c>
      <c r="BB67" s="71" t="str">
        <f t="shared" si="45"/>
        <v/>
      </c>
      <c r="BC67" s="18" t="str">
        <f>IF(C67&lt;&gt;"",(('Data input'!C$109-'Data input'!C$108)*(AS67-1)/4)+'Data input'!C$108,"")</f>
        <v/>
      </c>
      <c r="BD67" s="18" t="str">
        <f>IF(D67&lt;&gt;"",(('Data input'!D$109-'Data input'!D$108)*(AT67-1)/4)+'Data input'!D$108,"")</f>
        <v/>
      </c>
      <c r="BE67" s="18" t="str">
        <f>IF(E67&lt;&gt;"",(('Data input'!E$109-'Data input'!E$108)*(AU67-1)/4)+'Data input'!E$108,"")</f>
        <v/>
      </c>
      <c r="BF67" s="18" t="str">
        <f>IF(F67&lt;&gt;"",(('Data input'!F$109-'Data input'!F$108)*(AV67-1)/4)+'Data input'!F$108,"")</f>
        <v/>
      </c>
      <c r="BG67" s="18" t="str">
        <f>IF(G67&lt;&gt;"",(('Data input'!G$109-'Data input'!G$108)*(AW67-1)/4)+'Data input'!G$108,"")</f>
        <v/>
      </c>
      <c r="BH67" s="19" t="str">
        <f>IF(H67&lt;&gt;"",(('Data input'!H$109-'Data input'!H$108)*(AX67-1)/4)+'Data input'!H$108,"")</f>
        <v/>
      </c>
      <c r="BI67" s="18" t="str">
        <f>IF(I67&lt;&gt;"",(('Data input'!I$109-'Data input'!I$108)*(AY67-1)/4)+'Data input'!I$108,"")</f>
        <v/>
      </c>
      <c r="BJ67" s="19" t="str">
        <f>IF(J67&lt;&gt;"",(('Data input'!J$109-'Data input'!J$108)*(AZ67-1)/4)+'Data input'!J$108,"")</f>
        <v/>
      </c>
      <c r="BK67" s="19" t="str">
        <f>IF(K67&lt;&gt;"",(('Data input'!K$109-'Data input'!K$108)*(BA67-1)/4)+'Data input'!K$108,"")</f>
        <v/>
      </c>
      <c r="BL67" s="19" t="str">
        <f>IF(L67&lt;&gt;"",(('Data input'!L$109-'Data input'!L$108)*(BB67-1)/4)+'Data input'!L$108,"")</f>
        <v/>
      </c>
      <c r="BM67" s="18" t="str">
        <f>IF(C67&lt;&gt;"",BC67-'Data input'!C67,"")</f>
        <v/>
      </c>
      <c r="BN67" s="18" t="str">
        <f>IF(D67&lt;&gt;"",BD67-'Data input'!D67,"")</f>
        <v/>
      </c>
      <c r="BO67" s="18" t="str">
        <f>IF(E67&lt;&gt;"",BE67-'Data input'!E67,"")</f>
        <v/>
      </c>
      <c r="BP67" s="18" t="str">
        <f>IF(F67&lt;&gt;"",BF67-'Data input'!F67,"")</f>
        <v/>
      </c>
      <c r="BQ67" s="18" t="str">
        <f>IF(G67&lt;&gt;"",BG67-'Data input'!G67,"")</f>
        <v/>
      </c>
      <c r="BR67" s="19" t="str">
        <f>IF(H67&lt;&gt;"",BH67-'Data input'!H67,"")</f>
        <v/>
      </c>
      <c r="BS67" s="18" t="str">
        <f>IF(I67&lt;&gt;"",BI67-'Data input'!I67,"")</f>
        <v/>
      </c>
      <c r="BT67" s="18" t="str">
        <f>IF(J67&lt;&gt;"",BJ67-'Data input'!J67,"")</f>
        <v/>
      </c>
      <c r="BU67" s="18" t="str">
        <f>IF(K67&lt;&gt;"",BK67-'Data input'!K67,"")</f>
        <v/>
      </c>
      <c r="BV67" s="72" t="str">
        <f>IF(L67&lt;&gt;"",BL67-'Data input'!L67,"")</f>
        <v/>
      </c>
      <c r="BW67" s="121" t="str">
        <f t="shared" si="17"/>
        <v/>
      </c>
      <c r="FT67" s="1" t="str">
        <f t="shared" ref="FT67:GI83" si="46">IF(BX67&gt;0.0001,CONCATENATE(BX$2,"; "),"")</f>
        <v/>
      </c>
      <c r="FU67" s="1" t="str">
        <f t="shared" si="46"/>
        <v/>
      </c>
      <c r="FV67" s="1" t="str">
        <f t="shared" si="46"/>
        <v/>
      </c>
      <c r="FW67" s="1" t="str">
        <f t="shared" si="46"/>
        <v/>
      </c>
      <c r="FX67" s="1" t="str">
        <f t="shared" si="46"/>
        <v/>
      </c>
      <c r="FY67" s="1" t="str">
        <f t="shared" si="46"/>
        <v/>
      </c>
      <c r="FZ67" s="1" t="str">
        <f t="shared" si="46"/>
        <v/>
      </c>
      <c r="GA67" s="1" t="str">
        <f t="shared" si="46"/>
        <v/>
      </c>
      <c r="GB67" s="1" t="str">
        <f t="shared" si="46"/>
        <v/>
      </c>
      <c r="GC67" s="1" t="str">
        <f t="shared" si="46"/>
        <v/>
      </c>
      <c r="GD67" s="1" t="str">
        <f t="shared" si="46"/>
        <v/>
      </c>
      <c r="GE67" s="1" t="str">
        <f t="shared" si="46"/>
        <v/>
      </c>
      <c r="GF67" s="1" t="str">
        <f t="shared" si="46"/>
        <v/>
      </c>
      <c r="GG67" s="1" t="str">
        <f t="shared" si="46"/>
        <v/>
      </c>
      <c r="GH67" s="1" t="str">
        <f t="shared" si="46"/>
        <v/>
      </c>
      <c r="GI67" s="1" t="str">
        <f t="shared" si="32"/>
        <v/>
      </c>
      <c r="GJ67" s="1" t="str">
        <f t="shared" si="32"/>
        <v/>
      </c>
      <c r="GK67" s="1" t="str">
        <f t="shared" si="32"/>
        <v/>
      </c>
      <c r="GL67" s="1" t="str">
        <f t="shared" si="32"/>
        <v/>
      </c>
      <c r="GM67" s="1" t="str">
        <f t="shared" si="32"/>
        <v/>
      </c>
      <c r="GN67" s="1" t="str">
        <f t="shared" si="32"/>
        <v/>
      </c>
      <c r="GO67" s="1" t="str">
        <f t="shared" si="32"/>
        <v/>
      </c>
      <c r="GP67" s="1" t="str">
        <f t="shared" si="32"/>
        <v/>
      </c>
      <c r="GQ67" s="1" t="str">
        <f t="shared" si="32"/>
        <v/>
      </c>
      <c r="GR67" s="1" t="str">
        <f t="shared" si="32"/>
        <v/>
      </c>
      <c r="GS67" s="1" t="str">
        <f t="shared" si="32"/>
        <v/>
      </c>
      <c r="GT67" s="1" t="str">
        <f t="shared" si="32"/>
        <v/>
      </c>
      <c r="GU67" s="1" t="str">
        <f t="shared" si="32"/>
        <v/>
      </c>
      <c r="GV67" s="1" t="str">
        <f t="shared" si="32"/>
        <v/>
      </c>
      <c r="GW67" s="1" t="str">
        <f t="shared" si="32"/>
        <v/>
      </c>
      <c r="GX67" s="1" t="str">
        <f t="shared" si="32"/>
        <v/>
      </c>
      <c r="GY67" s="1" t="str">
        <f t="shared" si="39"/>
        <v/>
      </c>
      <c r="GZ67" s="1" t="str">
        <f t="shared" si="38"/>
        <v/>
      </c>
      <c r="HA67" s="1" t="str">
        <f t="shared" si="38"/>
        <v/>
      </c>
      <c r="HB67" s="1" t="str">
        <f t="shared" si="38"/>
        <v/>
      </c>
      <c r="HC67" s="1" t="str">
        <f t="shared" si="38"/>
        <v/>
      </c>
      <c r="HD67" s="1" t="str">
        <f t="shared" si="38"/>
        <v/>
      </c>
      <c r="HE67" s="1" t="str">
        <f t="shared" si="38"/>
        <v/>
      </c>
      <c r="HF67" s="1" t="str">
        <f t="shared" si="38"/>
        <v/>
      </c>
      <c r="HG67" s="1" t="str">
        <f t="shared" si="38"/>
        <v/>
      </c>
      <c r="HH67" s="1" t="str">
        <f t="shared" si="38"/>
        <v/>
      </c>
      <c r="HI67" s="1" t="str">
        <f t="shared" si="38"/>
        <v/>
      </c>
      <c r="HJ67" s="1" t="str">
        <f t="shared" si="38"/>
        <v/>
      </c>
      <c r="HK67" s="1" t="str">
        <f t="shared" si="38"/>
        <v/>
      </c>
      <c r="HL67" s="1" t="str">
        <f t="shared" si="38"/>
        <v/>
      </c>
      <c r="HM67" s="1" t="str">
        <f t="shared" si="38"/>
        <v/>
      </c>
      <c r="HN67" s="1" t="str">
        <f t="shared" si="38"/>
        <v/>
      </c>
      <c r="HO67" s="1" t="str">
        <f t="shared" si="38"/>
        <v/>
      </c>
      <c r="HP67" s="1" t="str">
        <f t="shared" ref="HP67:IE91" si="47">IF(DT67&gt;0.0001,CONCATENATE(DT$2,"; "),"")</f>
        <v/>
      </c>
      <c r="HQ67" s="1" t="str">
        <f t="shared" si="47"/>
        <v/>
      </c>
      <c r="HR67" s="1" t="str">
        <f t="shared" si="47"/>
        <v/>
      </c>
      <c r="HS67" s="1" t="str">
        <f t="shared" si="47"/>
        <v/>
      </c>
      <c r="HT67" s="1" t="str">
        <f t="shared" si="47"/>
        <v/>
      </c>
      <c r="HU67" s="1" t="str">
        <f t="shared" si="47"/>
        <v/>
      </c>
      <c r="HV67" s="1" t="str">
        <f t="shared" si="47"/>
        <v/>
      </c>
      <c r="HW67" s="1" t="str">
        <f t="shared" si="41"/>
        <v/>
      </c>
      <c r="HX67" s="1" t="str">
        <f t="shared" si="41"/>
        <v/>
      </c>
      <c r="HY67" s="1" t="str">
        <f t="shared" si="41"/>
        <v/>
      </c>
      <c r="HZ67" s="1" t="str">
        <f t="shared" si="41"/>
        <v/>
      </c>
      <c r="IA67" s="1" t="str">
        <f t="shared" si="41"/>
        <v/>
      </c>
      <c r="IB67" s="1" t="str">
        <f t="shared" si="41"/>
        <v/>
      </c>
      <c r="IC67" s="1" t="str">
        <f t="shared" si="41"/>
        <v/>
      </c>
      <c r="ID67" s="1" t="str">
        <f t="shared" si="41"/>
        <v/>
      </c>
      <c r="IE67" s="1" t="str">
        <f t="shared" si="41"/>
        <v/>
      </c>
      <c r="IF67" s="1" t="str">
        <f t="shared" si="41"/>
        <v/>
      </c>
      <c r="IG67" s="1" t="str">
        <f t="shared" si="41"/>
        <v/>
      </c>
      <c r="IH67" s="1" t="str">
        <f t="shared" si="41"/>
        <v/>
      </c>
      <c r="II67" s="1" t="str">
        <f t="shared" si="41"/>
        <v/>
      </c>
      <c r="IJ67" s="1" t="str">
        <f t="shared" si="41"/>
        <v/>
      </c>
      <c r="IK67" s="1" t="str">
        <f t="shared" si="41"/>
        <v/>
      </c>
      <c r="IL67" s="1" t="str">
        <f t="shared" si="41"/>
        <v/>
      </c>
      <c r="IM67" s="1" t="str">
        <f t="shared" si="42"/>
        <v/>
      </c>
      <c r="IN67" s="1" t="str">
        <f t="shared" si="42"/>
        <v/>
      </c>
      <c r="IO67" s="1" t="str">
        <f t="shared" si="42"/>
        <v/>
      </c>
      <c r="IP67" s="1" t="str">
        <f t="shared" si="42"/>
        <v/>
      </c>
      <c r="IQ67" s="1" t="str">
        <f t="shared" si="42"/>
        <v/>
      </c>
      <c r="IR67" s="1" t="str">
        <f t="shared" si="42"/>
        <v/>
      </c>
      <c r="IS67" s="1" t="str">
        <f t="shared" si="42"/>
        <v/>
      </c>
      <c r="IT67" s="1" t="str">
        <f t="shared" si="42"/>
        <v/>
      </c>
      <c r="IU67" s="1" t="str">
        <f t="shared" si="42"/>
        <v/>
      </c>
      <c r="IV67" s="1" t="str">
        <f t="shared" si="42"/>
        <v/>
      </c>
      <c r="IW67" s="1" t="str">
        <f t="shared" si="42"/>
        <v/>
      </c>
      <c r="IX67" s="1" t="str">
        <f t="shared" si="42"/>
        <v/>
      </c>
      <c r="IY67" s="1" t="str">
        <f t="shared" si="42"/>
        <v/>
      </c>
      <c r="IZ67" s="1" t="str">
        <f t="shared" si="42"/>
        <v/>
      </c>
      <c r="JA67" s="1" t="str">
        <f t="shared" si="42"/>
        <v/>
      </c>
      <c r="JB67" s="1" t="str">
        <f t="shared" si="42"/>
        <v/>
      </c>
      <c r="JC67" s="1" t="str">
        <f t="shared" si="43"/>
        <v/>
      </c>
      <c r="JD67" s="1" t="str">
        <f t="shared" si="43"/>
        <v/>
      </c>
      <c r="JE67" s="1" t="str">
        <f t="shared" si="43"/>
        <v/>
      </c>
      <c r="JF67" s="1" t="str">
        <f t="shared" si="43"/>
        <v/>
      </c>
      <c r="JG67" s="1" t="str">
        <f t="shared" si="37"/>
        <v/>
      </c>
      <c r="JH67" s="1" t="str">
        <f t="shared" si="37"/>
        <v/>
      </c>
      <c r="JI67" s="1" t="str">
        <f t="shared" si="37"/>
        <v/>
      </c>
      <c r="JJ67" s="1" t="str">
        <f t="shared" si="30"/>
        <v/>
      </c>
      <c r="JK67" s="1" t="str">
        <f t="shared" si="30"/>
        <v/>
      </c>
      <c r="JL67" s="1" t="str">
        <f t="shared" si="24"/>
        <v/>
      </c>
      <c r="JM67" s="1" t="str">
        <f t="shared" si="24"/>
        <v/>
      </c>
      <c r="JN67" s="1" t="str">
        <f t="shared" si="24"/>
        <v/>
      </c>
      <c r="JO67" s="1" t="str">
        <f t="shared" si="24"/>
        <v/>
      </c>
    </row>
    <row r="68" spans="1:275" ht="14.5" x14ac:dyDescent="0.35">
      <c r="A68" s="59" t="str">
        <f>IF('Data input'!A68&lt;&gt;"",'Data input'!A68,"")</f>
        <v/>
      </c>
      <c r="B68" s="15" t="str">
        <f>IF('Data input'!B68&lt;&gt;"",'Data input'!B68,"")</f>
        <v/>
      </c>
      <c r="C68" s="16" t="str">
        <f>IF('Data input'!C68="","",4*('Data input'!C68-'Data input'!C$108)/('Data input'!C$109-'Data input'!C$108)+1)</f>
        <v/>
      </c>
      <c r="D68" s="16" t="str">
        <f>IF('Data input'!D68="","",4*('Data input'!D68-'Data input'!D$108)/('Data input'!D$109-'Data input'!D$108)+1)</f>
        <v/>
      </c>
      <c r="E68" s="16" t="str">
        <f>IF('Data input'!E68="","",4*('Data input'!E68-'Data input'!E$108)/('Data input'!E$109-'Data input'!E$108)+1)</f>
        <v/>
      </c>
      <c r="F68" s="16" t="str">
        <f>IF('Data input'!F68="","",4*('Data input'!F68-'Data input'!F$108)/('Data input'!F$109-'Data input'!F$108)+1)</f>
        <v/>
      </c>
      <c r="G68" s="16" t="str">
        <f>IF('Data input'!G68="","",4*('Data input'!G68-'Data input'!G$108)/('Data input'!G$109-'Data input'!G$108)+1)</f>
        <v/>
      </c>
      <c r="H68" s="16" t="str">
        <f>IF('Data input'!H68="","",4*('Data input'!H68-'Data input'!H$108)/('Data input'!H$109-'Data input'!H$108)+1)</f>
        <v/>
      </c>
      <c r="I68" s="19" t="str">
        <f>IF('Data input'!I68="","",4*('Data input'!I68-'Data input'!I$108)/('Data input'!I$109-'Data input'!I$108)+1)</f>
        <v/>
      </c>
      <c r="J68" s="19" t="str">
        <f>IF('Data input'!J68="","",4*('Data input'!J68-'Data input'!J$108)/('Data input'!J$109-'Data input'!J$108)+1)</f>
        <v/>
      </c>
      <c r="K68" s="19" t="str">
        <f>IF('Data input'!K68="","",4*('Data input'!K68-'Data input'!K$108)/('Data input'!K$109-'Data input'!K$108)+1)</f>
        <v/>
      </c>
      <c r="L68" s="19" t="str">
        <f>IF('Data input'!L68="","",4*('Data input'!L68-'Data input'!L$108)/('Data input'!L$109-'Data input'!L$108)+1)</f>
        <v/>
      </c>
      <c r="M68" s="16" t="str">
        <f>IF('Data input'!M68="","",4*('Data input'!M68-'Data input'!M$108)/('Data input'!M$109-'Data input'!M$108)+1)</f>
        <v/>
      </c>
      <c r="N68" s="16" t="str">
        <f>IF('Data input'!N68="","",4*('Data input'!N68-'Data input'!N$108)/('Data input'!N$109-'Data input'!N$108)+1)</f>
        <v/>
      </c>
      <c r="O68" s="16" t="str">
        <f>IF('Data input'!O68="","",4*('Data input'!O68-'Data input'!O$108)/('Data input'!O$109-'Data input'!O$108)+1)</f>
        <v/>
      </c>
      <c r="P68" s="16" t="str">
        <f>IF('Data input'!P68="","",4*('Data input'!P68-'Data input'!P$108)/('Data input'!P$109-'Data input'!P$108)+1)</f>
        <v/>
      </c>
      <c r="Q68" s="16" t="str">
        <f>IF('Data input'!Q68="","",4*('Data input'!Q68-'Data input'!Q$108)/('Data input'!Q$109-'Data input'!Q$108)+1)</f>
        <v/>
      </c>
      <c r="R68" s="16" t="str">
        <f>IF('Data input'!R68="","",4*('Data input'!R68-'Data input'!R$108)/('Data input'!R$109-'Data input'!R$108)+1)</f>
        <v/>
      </c>
      <c r="S68" s="16" t="str">
        <f>IF('Data input'!S68="","",4*('Data input'!S68-'Data input'!S$108)/('Data input'!S$109-'Data input'!S$108)+1)</f>
        <v/>
      </c>
      <c r="T68" s="16" t="str">
        <f>IF('Data input'!T68="","",4*('Data input'!T68-'Data input'!T$108)/('Data input'!T$109-'Data input'!T$108)+1)</f>
        <v/>
      </c>
      <c r="U68" s="16" t="str">
        <f>IF('Data input'!U68="","",4*('Data input'!U68-'Data input'!U$108)/('Data input'!U$109-'Data input'!U$108)+1)</f>
        <v/>
      </c>
      <c r="V68" s="16" t="str">
        <f>IF('Data input'!V68="","",4*('Data input'!V68-'Data input'!V$108)/('Data input'!V$109-'Data input'!V$108)+1)</f>
        <v/>
      </c>
      <c r="W68" s="16" t="str">
        <f>IF('Data input'!W68="","",4*('Data input'!W68-'Data input'!W$108)/('Data input'!W$109-'Data input'!W$108)+1)</f>
        <v/>
      </c>
      <c r="X68" s="16" t="str">
        <f>IF('Data input'!X68="","",4*('Data input'!X68-'Data input'!X$108)/('Data input'!X$109-'Data input'!X$108)+1)</f>
        <v/>
      </c>
      <c r="Y68" s="16" t="str">
        <f>IF('Data input'!Y68="","",4*('Data input'!Y68-'Data input'!Y$108)/('Data input'!Y$109-'Data input'!Y$108)+1)</f>
        <v/>
      </c>
      <c r="Z68" s="16" t="str">
        <f>IF('Data input'!Z68="","",4*('Data input'!Z68-'Data input'!Z$108)/('Data input'!Z$109-'Data input'!Z$108)+1)</f>
        <v/>
      </c>
      <c r="AA68" s="62" t="str">
        <f>IF('Data input'!AA68="","",4*('Data input'!AA68-'Data input'!AA$108)/('Data input'!AA$109-'Data input'!AA$108)+1)</f>
        <v/>
      </c>
      <c r="AB68" s="78"/>
      <c r="AC68" s="79">
        <v>0</v>
      </c>
      <c r="AD68" s="80" t="e">
        <f t="shared" ref="AD68:AD102" si="48">AC68/$AC$107</f>
        <v>#DIV/0!</v>
      </c>
      <c r="AE68" s="4"/>
      <c r="AF68" s="59" t="str">
        <f t="shared" si="40"/>
        <v/>
      </c>
      <c r="AG68" s="60" t="str">
        <f t="shared" si="40"/>
        <v/>
      </c>
      <c r="AH68"/>
      <c r="AI68"/>
      <c r="AJ68"/>
      <c r="AK68"/>
      <c r="AL68"/>
      <c r="AM68"/>
      <c r="AN68"/>
      <c r="AO68"/>
      <c r="AP68"/>
      <c r="AQ68"/>
      <c r="AR68"/>
      <c r="AS68" s="71" t="str">
        <f t="shared" si="44"/>
        <v/>
      </c>
      <c r="AT68" s="71" t="str">
        <f t="shared" si="44"/>
        <v/>
      </c>
      <c r="AU68" s="71" t="str">
        <f t="shared" si="44"/>
        <v/>
      </c>
      <c r="AV68" s="71" t="str">
        <f t="shared" si="44"/>
        <v/>
      </c>
      <c r="AW68" s="71" t="str">
        <f t="shared" si="44"/>
        <v/>
      </c>
      <c r="AX68" s="71" t="str">
        <f t="shared" si="45"/>
        <v/>
      </c>
      <c r="AY68" s="71" t="str">
        <f t="shared" si="45"/>
        <v/>
      </c>
      <c r="AZ68" s="71" t="str">
        <f t="shared" si="45"/>
        <v/>
      </c>
      <c r="BA68" s="71" t="str">
        <f t="shared" si="45"/>
        <v/>
      </c>
      <c r="BB68" s="71" t="str">
        <f t="shared" si="45"/>
        <v/>
      </c>
      <c r="BC68" s="18" t="str">
        <f>IF(C68&lt;&gt;"",(('Data input'!C$109-'Data input'!C$108)*(AS68-1)/4)+'Data input'!C$108,"")</f>
        <v/>
      </c>
      <c r="BD68" s="18" t="str">
        <f>IF(D68&lt;&gt;"",(('Data input'!D$109-'Data input'!D$108)*(AT68-1)/4)+'Data input'!D$108,"")</f>
        <v/>
      </c>
      <c r="BE68" s="18" t="str">
        <f>IF(E68&lt;&gt;"",(('Data input'!E$109-'Data input'!E$108)*(AU68-1)/4)+'Data input'!E$108,"")</f>
        <v/>
      </c>
      <c r="BF68" s="18" t="str">
        <f>IF(F68&lt;&gt;"",(('Data input'!F$109-'Data input'!F$108)*(AV68-1)/4)+'Data input'!F$108,"")</f>
        <v/>
      </c>
      <c r="BG68" s="18" t="str">
        <f>IF(G68&lt;&gt;"",(('Data input'!G$109-'Data input'!G$108)*(AW68-1)/4)+'Data input'!G$108,"")</f>
        <v/>
      </c>
      <c r="BH68" s="19" t="str">
        <f>IF(H68&lt;&gt;"",(('Data input'!H$109-'Data input'!H$108)*(AX68-1)/4)+'Data input'!H$108,"")</f>
        <v/>
      </c>
      <c r="BI68" s="18" t="str">
        <f>IF(I68&lt;&gt;"",(('Data input'!I$109-'Data input'!I$108)*(AY68-1)/4)+'Data input'!I$108,"")</f>
        <v/>
      </c>
      <c r="BJ68" s="19" t="str">
        <f>IF(J68&lt;&gt;"",(('Data input'!J$109-'Data input'!J$108)*(AZ68-1)/4)+'Data input'!J$108,"")</f>
        <v/>
      </c>
      <c r="BK68" s="19" t="str">
        <f>IF(K68&lt;&gt;"",(('Data input'!K$109-'Data input'!K$108)*(BA68-1)/4)+'Data input'!K$108,"")</f>
        <v/>
      </c>
      <c r="BL68" s="19" t="str">
        <f>IF(L68&lt;&gt;"",(('Data input'!L$109-'Data input'!L$108)*(BB68-1)/4)+'Data input'!L$108,"")</f>
        <v/>
      </c>
      <c r="BM68" s="18" t="str">
        <f>IF(C68&lt;&gt;"",BC68-'Data input'!C68,"")</f>
        <v/>
      </c>
      <c r="BN68" s="18" t="str">
        <f>IF(D68&lt;&gt;"",BD68-'Data input'!D68,"")</f>
        <v/>
      </c>
      <c r="BO68" s="18" t="str">
        <f>IF(E68&lt;&gt;"",BE68-'Data input'!E68,"")</f>
        <v/>
      </c>
      <c r="BP68" s="18" t="str">
        <f>IF(F68&lt;&gt;"",BF68-'Data input'!F68,"")</f>
        <v/>
      </c>
      <c r="BQ68" s="18" t="str">
        <f>IF(G68&lt;&gt;"",BG68-'Data input'!G68,"")</f>
        <v/>
      </c>
      <c r="BR68" s="19" t="str">
        <f>IF(H68&lt;&gt;"",BH68-'Data input'!H68,"")</f>
        <v/>
      </c>
      <c r="BS68" s="18" t="str">
        <f>IF(I68&lt;&gt;"",BI68-'Data input'!I68,"")</f>
        <v/>
      </c>
      <c r="BT68" s="18" t="str">
        <f>IF(J68&lt;&gt;"",BJ68-'Data input'!J68,"")</f>
        <v/>
      </c>
      <c r="BU68" s="18" t="str">
        <f>IF(K68&lt;&gt;"",BK68-'Data input'!K68,"")</f>
        <v/>
      </c>
      <c r="BV68" s="72" t="str">
        <f>IF(L68&lt;&gt;"",BL68-'Data input'!L68,"")</f>
        <v/>
      </c>
      <c r="BW68" s="121" t="str">
        <f t="shared" ref="BW68:BW102" si="49">CONCATENATE(FT68,FU68,FV68,FW68,FX68,FY68,FZ68,GA68,GB68,GC68,GD68,GE68,GF68,GG68,GH68,GI68,GJ68,GK68,GL68,GM68,GN68,GO68,GP68,GQ68,GR68,GS68,GT68,GU68,GV68,GW68,GX68,GY68,GZ68,HA68,HB68,HC68,HD68,HE68,HF68,HG68,HH68,HI68,HJ68,HK68,HL68,HM68,HN68,HO68,HP68,HQ68,HR68,HS68,HT68,HU68,HV68,HW68,HX68,HY68,HZ68,IA68,IB68,IC68,ID68,IE68,IF68,IG68,IH68,II68,IJ68,IK68,IL68,IM68,IN68,IO68,IP68,IQ68,IR68,IS68,IT68,IU68,IV68,IW68,IX68,IY68,IZ68,JA68,JB68,JC68,JD68,JE68,JF68,JG68,JH68,JI68,JJ68,JK68,JL68,JM68,JN68,JO68)</f>
        <v/>
      </c>
      <c r="FT68" s="1" t="str">
        <f t="shared" si="46"/>
        <v/>
      </c>
      <c r="FU68" s="1" t="str">
        <f t="shared" si="46"/>
        <v/>
      </c>
      <c r="FV68" s="1" t="str">
        <f t="shared" si="46"/>
        <v/>
      </c>
      <c r="FW68" s="1" t="str">
        <f t="shared" si="46"/>
        <v/>
      </c>
      <c r="FX68" s="1" t="str">
        <f t="shared" si="46"/>
        <v/>
      </c>
      <c r="FY68" s="1" t="str">
        <f t="shared" si="46"/>
        <v/>
      </c>
      <c r="FZ68" s="1" t="str">
        <f t="shared" si="46"/>
        <v/>
      </c>
      <c r="GA68" s="1" t="str">
        <f t="shared" si="46"/>
        <v/>
      </c>
      <c r="GB68" s="1" t="str">
        <f t="shared" si="46"/>
        <v/>
      </c>
      <c r="GC68" s="1" t="str">
        <f t="shared" si="46"/>
        <v/>
      </c>
      <c r="GD68" s="1" t="str">
        <f t="shared" si="46"/>
        <v/>
      </c>
      <c r="GE68" s="1" t="str">
        <f t="shared" si="46"/>
        <v/>
      </c>
      <c r="GF68" s="1" t="str">
        <f t="shared" si="46"/>
        <v/>
      </c>
      <c r="GG68" s="1" t="str">
        <f t="shared" si="46"/>
        <v/>
      </c>
      <c r="GH68" s="1" t="str">
        <f t="shared" si="46"/>
        <v/>
      </c>
      <c r="GI68" s="1" t="str">
        <f t="shared" si="32"/>
        <v/>
      </c>
      <c r="GJ68" s="1" t="str">
        <f t="shared" si="32"/>
        <v/>
      </c>
      <c r="GK68" s="1" t="str">
        <f t="shared" si="32"/>
        <v/>
      </c>
      <c r="GL68" s="1" t="str">
        <f t="shared" si="32"/>
        <v/>
      </c>
      <c r="GM68" s="1" t="str">
        <f t="shared" si="32"/>
        <v/>
      </c>
      <c r="GN68" s="1" t="str">
        <f t="shared" si="32"/>
        <v/>
      </c>
      <c r="GO68" s="1" t="str">
        <f t="shared" si="32"/>
        <v/>
      </c>
      <c r="GP68" s="1" t="str">
        <f t="shared" si="32"/>
        <v/>
      </c>
      <c r="GQ68" s="1" t="str">
        <f t="shared" si="32"/>
        <v/>
      </c>
      <c r="GR68" s="1" t="str">
        <f t="shared" si="32"/>
        <v/>
      </c>
      <c r="GS68" s="1" t="str">
        <f t="shared" si="32"/>
        <v/>
      </c>
      <c r="GT68" s="1" t="str">
        <f t="shared" ref="GT68:HI96" si="50">IF(CX68&gt;0.0001,CONCATENATE(CX$2,"; "),"")</f>
        <v/>
      </c>
      <c r="GU68" s="1" t="str">
        <f t="shared" si="50"/>
        <v/>
      </c>
      <c r="GV68" s="1" t="str">
        <f t="shared" si="50"/>
        <v/>
      </c>
      <c r="GW68" s="1" t="str">
        <f t="shared" si="50"/>
        <v/>
      </c>
      <c r="GX68" s="1" t="str">
        <f t="shared" si="50"/>
        <v/>
      </c>
      <c r="GY68" s="1" t="str">
        <f t="shared" si="39"/>
        <v/>
      </c>
      <c r="GZ68" s="1" t="str">
        <f t="shared" si="38"/>
        <v/>
      </c>
      <c r="HA68" s="1" t="str">
        <f t="shared" si="38"/>
        <v/>
      </c>
      <c r="HB68" s="1" t="str">
        <f t="shared" si="38"/>
        <v/>
      </c>
      <c r="HC68" s="1" t="str">
        <f t="shared" si="38"/>
        <v/>
      </c>
      <c r="HD68" s="1" t="str">
        <f t="shared" si="38"/>
        <v/>
      </c>
      <c r="HE68" s="1" t="str">
        <f t="shared" si="38"/>
        <v/>
      </c>
      <c r="HF68" s="1" t="str">
        <f t="shared" si="38"/>
        <v/>
      </c>
      <c r="HG68" s="1" t="str">
        <f t="shared" si="38"/>
        <v/>
      </c>
      <c r="HH68" s="1" t="str">
        <f t="shared" si="38"/>
        <v/>
      </c>
      <c r="HI68" s="1" t="str">
        <f t="shared" si="38"/>
        <v/>
      </c>
      <c r="HJ68" s="1" t="str">
        <f t="shared" si="38"/>
        <v/>
      </c>
      <c r="HK68" s="1" t="str">
        <f t="shared" si="38"/>
        <v/>
      </c>
      <c r="HL68" s="1" t="str">
        <f t="shared" si="38"/>
        <v/>
      </c>
      <c r="HM68" s="1" t="str">
        <f t="shared" si="38"/>
        <v/>
      </c>
      <c r="HN68" s="1" t="str">
        <f t="shared" si="38"/>
        <v/>
      </c>
      <c r="HO68" s="1" t="str">
        <f t="shared" si="38"/>
        <v/>
      </c>
      <c r="HP68" s="1" t="str">
        <f t="shared" si="47"/>
        <v/>
      </c>
      <c r="HQ68" s="1" t="str">
        <f t="shared" si="47"/>
        <v/>
      </c>
      <c r="HR68" s="1" t="str">
        <f t="shared" si="47"/>
        <v/>
      </c>
      <c r="HS68" s="1" t="str">
        <f t="shared" si="47"/>
        <v/>
      </c>
      <c r="HT68" s="1" t="str">
        <f t="shared" si="47"/>
        <v/>
      </c>
      <c r="HU68" s="1" t="str">
        <f t="shared" si="47"/>
        <v/>
      </c>
      <c r="HV68" s="1" t="str">
        <f t="shared" si="47"/>
        <v/>
      </c>
      <c r="HW68" s="1" t="str">
        <f t="shared" si="41"/>
        <v/>
      </c>
      <c r="HX68" s="1" t="str">
        <f t="shared" si="41"/>
        <v/>
      </c>
      <c r="HY68" s="1" t="str">
        <f t="shared" si="41"/>
        <v/>
      </c>
      <c r="HZ68" s="1" t="str">
        <f t="shared" si="41"/>
        <v/>
      </c>
      <c r="IA68" s="1" t="str">
        <f t="shared" si="41"/>
        <v/>
      </c>
      <c r="IB68" s="1" t="str">
        <f t="shared" si="41"/>
        <v/>
      </c>
      <c r="IC68" s="1" t="str">
        <f t="shared" si="41"/>
        <v/>
      </c>
      <c r="ID68" s="1" t="str">
        <f t="shared" si="41"/>
        <v/>
      </c>
      <c r="IE68" s="1" t="str">
        <f t="shared" si="41"/>
        <v/>
      </c>
      <c r="IF68" s="1" t="str">
        <f t="shared" si="41"/>
        <v/>
      </c>
      <c r="IG68" s="1" t="str">
        <f t="shared" si="41"/>
        <v/>
      </c>
      <c r="IH68" s="1" t="str">
        <f t="shared" si="41"/>
        <v/>
      </c>
      <c r="II68" s="1" t="str">
        <f t="shared" si="41"/>
        <v/>
      </c>
      <c r="IJ68" s="1" t="str">
        <f t="shared" si="41"/>
        <v/>
      </c>
      <c r="IK68" s="1" t="str">
        <f t="shared" si="41"/>
        <v/>
      </c>
      <c r="IL68" s="1" t="str">
        <f t="shared" si="41"/>
        <v/>
      </c>
      <c r="IM68" s="1" t="str">
        <f t="shared" si="42"/>
        <v/>
      </c>
      <c r="IN68" s="1" t="str">
        <f t="shared" si="42"/>
        <v/>
      </c>
      <c r="IO68" s="1" t="str">
        <f t="shared" si="42"/>
        <v/>
      </c>
      <c r="IP68" s="1" t="str">
        <f t="shared" si="42"/>
        <v/>
      </c>
      <c r="IQ68" s="1" t="str">
        <f t="shared" si="42"/>
        <v/>
      </c>
      <c r="IR68" s="1" t="str">
        <f t="shared" si="42"/>
        <v/>
      </c>
      <c r="IS68" s="1" t="str">
        <f t="shared" si="42"/>
        <v/>
      </c>
      <c r="IT68" s="1" t="str">
        <f t="shared" si="42"/>
        <v/>
      </c>
      <c r="IU68" s="1" t="str">
        <f t="shared" si="42"/>
        <v/>
      </c>
      <c r="IV68" s="1" t="str">
        <f t="shared" si="42"/>
        <v/>
      </c>
      <c r="IW68" s="1" t="str">
        <f t="shared" si="42"/>
        <v/>
      </c>
      <c r="IX68" s="1" t="str">
        <f t="shared" si="42"/>
        <v/>
      </c>
      <c r="IY68" s="1" t="str">
        <f t="shared" si="42"/>
        <v/>
      </c>
      <c r="IZ68" s="1" t="str">
        <f t="shared" si="42"/>
        <v/>
      </c>
      <c r="JA68" s="1" t="str">
        <f t="shared" si="42"/>
        <v/>
      </c>
      <c r="JB68" s="1" t="str">
        <f t="shared" si="42"/>
        <v/>
      </c>
      <c r="JC68" s="1" t="str">
        <f t="shared" si="43"/>
        <v/>
      </c>
      <c r="JD68" s="1" t="str">
        <f t="shared" si="43"/>
        <v/>
      </c>
      <c r="JE68" s="1" t="str">
        <f t="shared" si="43"/>
        <v/>
      </c>
      <c r="JF68" s="1" t="str">
        <f t="shared" si="43"/>
        <v/>
      </c>
      <c r="JG68" s="1" t="str">
        <f t="shared" si="37"/>
        <v/>
      </c>
      <c r="JH68" s="1" t="str">
        <f t="shared" si="37"/>
        <v/>
      </c>
      <c r="JI68" s="1" t="str">
        <f t="shared" si="37"/>
        <v/>
      </c>
      <c r="JJ68" s="1" t="str">
        <f t="shared" si="30"/>
        <v/>
      </c>
      <c r="JK68" s="1" t="str">
        <f t="shared" si="30"/>
        <v/>
      </c>
      <c r="JL68" s="1" t="str">
        <f t="shared" si="24"/>
        <v/>
      </c>
      <c r="JM68" s="1" t="str">
        <f t="shared" si="24"/>
        <v/>
      </c>
      <c r="JN68" s="1" t="str">
        <f t="shared" si="24"/>
        <v/>
      </c>
      <c r="JO68" s="1" t="str">
        <f t="shared" si="24"/>
        <v/>
      </c>
    </row>
    <row r="69" spans="1:275" ht="14.5" x14ac:dyDescent="0.35">
      <c r="A69" s="59" t="str">
        <f>IF('Data input'!A69&lt;&gt;"",'Data input'!A69,"")</f>
        <v/>
      </c>
      <c r="B69" s="15" t="str">
        <f>IF('Data input'!B69&lt;&gt;"",'Data input'!B69,"")</f>
        <v/>
      </c>
      <c r="C69" s="16" t="str">
        <f>IF('Data input'!C69="","",4*('Data input'!C69-'Data input'!C$108)/('Data input'!C$109-'Data input'!C$108)+1)</f>
        <v/>
      </c>
      <c r="D69" s="16" t="str">
        <f>IF('Data input'!D69="","",4*('Data input'!D69-'Data input'!D$108)/('Data input'!D$109-'Data input'!D$108)+1)</f>
        <v/>
      </c>
      <c r="E69" s="16" t="str">
        <f>IF('Data input'!E69="","",4*('Data input'!E69-'Data input'!E$108)/('Data input'!E$109-'Data input'!E$108)+1)</f>
        <v/>
      </c>
      <c r="F69" s="16" t="str">
        <f>IF('Data input'!F69="","",4*('Data input'!F69-'Data input'!F$108)/('Data input'!F$109-'Data input'!F$108)+1)</f>
        <v/>
      </c>
      <c r="G69" s="16" t="str">
        <f>IF('Data input'!G69="","",4*('Data input'!G69-'Data input'!G$108)/('Data input'!G$109-'Data input'!G$108)+1)</f>
        <v/>
      </c>
      <c r="H69" s="16" t="str">
        <f>IF('Data input'!H69="","",4*('Data input'!H69-'Data input'!H$108)/('Data input'!H$109-'Data input'!H$108)+1)</f>
        <v/>
      </c>
      <c r="I69" s="19" t="str">
        <f>IF('Data input'!I69="","",4*('Data input'!I69-'Data input'!I$108)/('Data input'!I$109-'Data input'!I$108)+1)</f>
        <v/>
      </c>
      <c r="J69" s="19" t="str">
        <f>IF('Data input'!J69="","",4*('Data input'!J69-'Data input'!J$108)/('Data input'!J$109-'Data input'!J$108)+1)</f>
        <v/>
      </c>
      <c r="K69" s="19" t="str">
        <f>IF('Data input'!K69="","",4*('Data input'!K69-'Data input'!K$108)/('Data input'!K$109-'Data input'!K$108)+1)</f>
        <v/>
      </c>
      <c r="L69" s="19" t="str">
        <f>IF('Data input'!L69="","",4*('Data input'!L69-'Data input'!L$108)/('Data input'!L$109-'Data input'!L$108)+1)</f>
        <v/>
      </c>
      <c r="M69" s="16" t="str">
        <f>IF('Data input'!M69="","",4*('Data input'!M69-'Data input'!M$108)/('Data input'!M$109-'Data input'!M$108)+1)</f>
        <v/>
      </c>
      <c r="N69" s="16" t="str">
        <f>IF('Data input'!N69="","",4*('Data input'!N69-'Data input'!N$108)/('Data input'!N$109-'Data input'!N$108)+1)</f>
        <v/>
      </c>
      <c r="O69" s="16" t="str">
        <f>IF('Data input'!O69="","",4*('Data input'!O69-'Data input'!O$108)/('Data input'!O$109-'Data input'!O$108)+1)</f>
        <v/>
      </c>
      <c r="P69" s="16" t="str">
        <f>IF('Data input'!P69="","",4*('Data input'!P69-'Data input'!P$108)/('Data input'!P$109-'Data input'!P$108)+1)</f>
        <v/>
      </c>
      <c r="Q69" s="16" t="str">
        <f>IF('Data input'!Q69="","",4*('Data input'!Q69-'Data input'!Q$108)/('Data input'!Q$109-'Data input'!Q$108)+1)</f>
        <v/>
      </c>
      <c r="R69" s="16" t="str">
        <f>IF('Data input'!R69="","",4*('Data input'!R69-'Data input'!R$108)/('Data input'!R$109-'Data input'!R$108)+1)</f>
        <v/>
      </c>
      <c r="S69" s="16" t="str">
        <f>IF('Data input'!S69="","",4*('Data input'!S69-'Data input'!S$108)/('Data input'!S$109-'Data input'!S$108)+1)</f>
        <v/>
      </c>
      <c r="T69" s="16" t="str">
        <f>IF('Data input'!T69="","",4*('Data input'!T69-'Data input'!T$108)/('Data input'!T$109-'Data input'!T$108)+1)</f>
        <v/>
      </c>
      <c r="U69" s="16" t="str">
        <f>IF('Data input'!U69="","",4*('Data input'!U69-'Data input'!U$108)/('Data input'!U$109-'Data input'!U$108)+1)</f>
        <v/>
      </c>
      <c r="V69" s="16" t="str">
        <f>IF('Data input'!V69="","",4*('Data input'!V69-'Data input'!V$108)/('Data input'!V$109-'Data input'!V$108)+1)</f>
        <v/>
      </c>
      <c r="W69" s="16" t="str">
        <f>IF('Data input'!W69="","",4*('Data input'!W69-'Data input'!W$108)/('Data input'!W$109-'Data input'!W$108)+1)</f>
        <v/>
      </c>
      <c r="X69" s="16" t="str">
        <f>IF('Data input'!X69="","",4*('Data input'!X69-'Data input'!X$108)/('Data input'!X$109-'Data input'!X$108)+1)</f>
        <v/>
      </c>
      <c r="Y69" s="16" t="str">
        <f>IF('Data input'!Y69="","",4*('Data input'!Y69-'Data input'!Y$108)/('Data input'!Y$109-'Data input'!Y$108)+1)</f>
        <v/>
      </c>
      <c r="Z69" s="16" t="str">
        <f>IF('Data input'!Z69="","",4*('Data input'!Z69-'Data input'!Z$108)/('Data input'!Z$109-'Data input'!Z$108)+1)</f>
        <v/>
      </c>
      <c r="AA69" s="62" t="str">
        <f>IF('Data input'!AA69="","",4*('Data input'!AA69-'Data input'!AA$108)/('Data input'!AA$109-'Data input'!AA$108)+1)</f>
        <v/>
      </c>
      <c r="AB69" s="78"/>
      <c r="AC69" s="79">
        <v>0</v>
      </c>
      <c r="AD69" s="80" t="e">
        <f t="shared" si="48"/>
        <v>#DIV/0!</v>
      </c>
      <c r="AE69" s="4"/>
      <c r="AF69" s="59" t="str">
        <f t="shared" si="40"/>
        <v/>
      </c>
      <c r="AG69" s="60" t="str">
        <f t="shared" si="40"/>
        <v/>
      </c>
      <c r="AH69"/>
      <c r="AI69"/>
      <c r="AJ69"/>
      <c r="AK69"/>
      <c r="AL69"/>
      <c r="AM69"/>
      <c r="AN69"/>
      <c r="AO69"/>
      <c r="AP69"/>
      <c r="AQ69"/>
      <c r="AR69"/>
      <c r="AS69" s="71" t="str">
        <f t="shared" si="44"/>
        <v/>
      </c>
      <c r="AT69" s="71" t="str">
        <f t="shared" si="44"/>
        <v/>
      </c>
      <c r="AU69" s="71" t="str">
        <f t="shared" si="44"/>
        <v/>
      </c>
      <c r="AV69" s="71" t="str">
        <f t="shared" si="44"/>
        <v/>
      </c>
      <c r="AW69" s="71" t="str">
        <f t="shared" si="44"/>
        <v/>
      </c>
      <c r="AX69" s="71" t="str">
        <f t="shared" si="45"/>
        <v/>
      </c>
      <c r="AY69" s="71" t="str">
        <f t="shared" si="45"/>
        <v/>
      </c>
      <c r="AZ69" s="71" t="str">
        <f t="shared" si="45"/>
        <v/>
      </c>
      <c r="BA69" s="71" t="str">
        <f t="shared" si="45"/>
        <v/>
      </c>
      <c r="BB69" s="71" t="str">
        <f t="shared" si="45"/>
        <v/>
      </c>
      <c r="BC69" s="18" t="str">
        <f>IF(C69&lt;&gt;"",(('Data input'!C$109-'Data input'!C$108)*(AS69-1)/4)+'Data input'!C$108,"")</f>
        <v/>
      </c>
      <c r="BD69" s="18" t="str">
        <f>IF(D69&lt;&gt;"",(('Data input'!D$109-'Data input'!D$108)*(AT69-1)/4)+'Data input'!D$108,"")</f>
        <v/>
      </c>
      <c r="BE69" s="18" t="str">
        <f>IF(E69&lt;&gt;"",(('Data input'!E$109-'Data input'!E$108)*(AU69-1)/4)+'Data input'!E$108,"")</f>
        <v/>
      </c>
      <c r="BF69" s="18" t="str">
        <f>IF(F69&lt;&gt;"",(('Data input'!F$109-'Data input'!F$108)*(AV69-1)/4)+'Data input'!F$108,"")</f>
        <v/>
      </c>
      <c r="BG69" s="18" t="str">
        <f>IF(G69&lt;&gt;"",(('Data input'!G$109-'Data input'!G$108)*(AW69-1)/4)+'Data input'!G$108,"")</f>
        <v/>
      </c>
      <c r="BH69" s="19" t="str">
        <f>IF(H69&lt;&gt;"",(('Data input'!H$109-'Data input'!H$108)*(AX69-1)/4)+'Data input'!H$108,"")</f>
        <v/>
      </c>
      <c r="BI69" s="18" t="str">
        <f>IF(I69&lt;&gt;"",(('Data input'!I$109-'Data input'!I$108)*(AY69-1)/4)+'Data input'!I$108,"")</f>
        <v/>
      </c>
      <c r="BJ69" s="19" t="str">
        <f>IF(J69&lt;&gt;"",(('Data input'!J$109-'Data input'!J$108)*(AZ69-1)/4)+'Data input'!J$108,"")</f>
        <v/>
      </c>
      <c r="BK69" s="19" t="str">
        <f>IF(K69&lt;&gt;"",(('Data input'!K$109-'Data input'!K$108)*(BA69-1)/4)+'Data input'!K$108,"")</f>
        <v/>
      </c>
      <c r="BL69" s="19" t="str">
        <f>IF(L69&lt;&gt;"",(('Data input'!L$109-'Data input'!L$108)*(BB69-1)/4)+'Data input'!L$108,"")</f>
        <v/>
      </c>
      <c r="BM69" s="18" t="str">
        <f>IF(C69&lt;&gt;"",BC69-'Data input'!C69,"")</f>
        <v/>
      </c>
      <c r="BN69" s="18" t="str">
        <f>IF(D69&lt;&gt;"",BD69-'Data input'!D69,"")</f>
        <v/>
      </c>
      <c r="BO69" s="18" t="str">
        <f>IF(E69&lt;&gt;"",BE69-'Data input'!E69,"")</f>
        <v/>
      </c>
      <c r="BP69" s="18" t="str">
        <f>IF(F69&lt;&gt;"",BF69-'Data input'!F69,"")</f>
        <v/>
      </c>
      <c r="BQ69" s="18" t="str">
        <f>IF(G69&lt;&gt;"",BG69-'Data input'!G69,"")</f>
        <v/>
      </c>
      <c r="BR69" s="19" t="str">
        <f>IF(H69&lt;&gt;"",BH69-'Data input'!H69,"")</f>
        <v/>
      </c>
      <c r="BS69" s="18" t="str">
        <f>IF(I69&lt;&gt;"",BI69-'Data input'!I69,"")</f>
        <v/>
      </c>
      <c r="BT69" s="18" t="str">
        <f>IF(J69&lt;&gt;"",BJ69-'Data input'!J69,"")</f>
        <v/>
      </c>
      <c r="BU69" s="18" t="str">
        <f>IF(K69&lt;&gt;"",BK69-'Data input'!K69,"")</f>
        <v/>
      </c>
      <c r="BV69" s="72" t="str">
        <f>IF(L69&lt;&gt;"",BL69-'Data input'!L69,"")</f>
        <v/>
      </c>
      <c r="BW69" s="121" t="str">
        <f t="shared" si="49"/>
        <v/>
      </c>
      <c r="FT69" s="1" t="str">
        <f t="shared" si="46"/>
        <v/>
      </c>
      <c r="FU69" s="1" t="str">
        <f t="shared" si="46"/>
        <v/>
      </c>
      <c r="FV69" s="1" t="str">
        <f t="shared" si="46"/>
        <v/>
      </c>
      <c r="FW69" s="1" t="str">
        <f t="shared" si="46"/>
        <v/>
      </c>
      <c r="FX69" s="1" t="str">
        <f t="shared" si="46"/>
        <v/>
      </c>
      <c r="FY69" s="1" t="str">
        <f t="shared" si="46"/>
        <v/>
      </c>
      <c r="FZ69" s="1" t="str">
        <f t="shared" si="46"/>
        <v/>
      </c>
      <c r="GA69" s="1" t="str">
        <f t="shared" si="46"/>
        <v/>
      </c>
      <c r="GB69" s="1" t="str">
        <f t="shared" si="46"/>
        <v/>
      </c>
      <c r="GC69" s="1" t="str">
        <f t="shared" si="46"/>
        <v/>
      </c>
      <c r="GD69" s="1" t="str">
        <f t="shared" si="46"/>
        <v/>
      </c>
      <c r="GE69" s="1" t="str">
        <f t="shared" si="46"/>
        <v/>
      </c>
      <c r="GF69" s="1" t="str">
        <f t="shared" si="46"/>
        <v/>
      </c>
      <c r="GG69" s="1" t="str">
        <f t="shared" si="46"/>
        <v/>
      </c>
      <c r="GH69" s="1" t="str">
        <f t="shared" si="46"/>
        <v/>
      </c>
      <c r="GI69" s="1" t="str">
        <f t="shared" si="46"/>
        <v/>
      </c>
      <c r="GJ69" s="1" t="str">
        <f t="shared" ref="GJ69:GS94" si="51">IF(CN69&gt;0.0001,CONCATENATE(CN$2,"; "),"")</f>
        <v/>
      </c>
      <c r="GK69" s="1" t="str">
        <f t="shared" si="51"/>
        <v/>
      </c>
      <c r="GL69" s="1" t="str">
        <f t="shared" si="51"/>
        <v/>
      </c>
      <c r="GM69" s="1" t="str">
        <f t="shared" si="51"/>
        <v/>
      </c>
      <c r="GN69" s="1" t="str">
        <f t="shared" si="51"/>
        <v/>
      </c>
      <c r="GO69" s="1" t="str">
        <f t="shared" si="51"/>
        <v/>
      </c>
      <c r="GP69" s="1" t="str">
        <f t="shared" si="51"/>
        <v/>
      </c>
      <c r="GQ69" s="1" t="str">
        <f t="shared" si="51"/>
        <v/>
      </c>
      <c r="GR69" s="1" t="str">
        <f t="shared" si="51"/>
        <v/>
      </c>
      <c r="GS69" s="1" t="str">
        <f t="shared" si="51"/>
        <v/>
      </c>
      <c r="GT69" s="1" t="str">
        <f t="shared" si="50"/>
        <v/>
      </c>
      <c r="GU69" s="1" t="str">
        <f t="shared" si="50"/>
        <v/>
      </c>
      <c r="GV69" s="1" t="str">
        <f t="shared" si="50"/>
        <v/>
      </c>
      <c r="GW69" s="1" t="str">
        <f t="shared" si="50"/>
        <v/>
      </c>
      <c r="GX69" s="1" t="str">
        <f t="shared" si="50"/>
        <v/>
      </c>
      <c r="GY69" s="1" t="str">
        <f t="shared" si="39"/>
        <v/>
      </c>
      <c r="GZ69" s="1" t="str">
        <f t="shared" si="38"/>
        <v/>
      </c>
      <c r="HA69" s="1" t="str">
        <f t="shared" si="38"/>
        <v/>
      </c>
      <c r="HB69" s="1" t="str">
        <f t="shared" si="38"/>
        <v/>
      </c>
      <c r="HC69" s="1" t="str">
        <f t="shared" si="38"/>
        <v/>
      </c>
      <c r="HD69" s="1" t="str">
        <f t="shared" si="38"/>
        <v/>
      </c>
      <c r="HE69" s="1" t="str">
        <f t="shared" si="38"/>
        <v/>
      </c>
      <c r="HF69" s="1" t="str">
        <f t="shared" si="38"/>
        <v/>
      </c>
      <c r="HG69" s="1" t="str">
        <f t="shared" si="38"/>
        <v/>
      </c>
      <c r="HH69" s="1" t="str">
        <f t="shared" si="38"/>
        <v/>
      </c>
      <c r="HI69" s="1" t="str">
        <f t="shared" si="38"/>
        <v/>
      </c>
      <c r="HJ69" s="1" t="str">
        <f t="shared" si="38"/>
        <v/>
      </c>
      <c r="HK69" s="1" t="str">
        <f t="shared" si="38"/>
        <v/>
      </c>
      <c r="HL69" s="1" t="str">
        <f t="shared" si="38"/>
        <v/>
      </c>
      <c r="HM69" s="1" t="str">
        <f t="shared" si="38"/>
        <v/>
      </c>
      <c r="HN69" s="1" t="str">
        <f t="shared" si="38"/>
        <v/>
      </c>
      <c r="HO69" s="1" t="str">
        <f t="shared" si="38"/>
        <v/>
      </c>
      <c r="HP69" s="1" t="str">
        <f t="shared" si="47"/>
        <v/>
      </c>
      <c r="HQ69" s="1" t="str">
        <f t="shared" si="47"/>
        <v/>
      </c>
      <c r="HR69" s="1" t="str">
        <f t="shared" si="47"/>
        <v/>
      </c>
      <c r="HS69" s="1" t="str">
        <f t="shared" si="47"/>
        <v/>
      </c>
      <c r="HT69" s="1" t="str">
        <f t="shared" si="47"/>
        <v/>
      </c>
      <c r="HU69" s="1" t="str">
        <f t="shared" si="47"/>
        <v/>
      </c>
      <c r="HV69" s="1" t="str">
        <f t="shared" si="47"/>
        <v/>
      </c>
      <c r="HW69" s="1" t="str">
        <f t="shared" si="41"/>
        <v/>
      </c>
      <c r="HX69" s="1" t="str">
        <f t="shared" si="41"/>
        <v/>
      </c>
      <c r="HY69" s="1" t="str">
        <f t="shared" si="41"/>
        <v/>
      </c>
      <c r="HZ69" s="1" t="str">
        <f t="shared" si="41"/>
        <v/>
      </c>
      <c r="IA69" s="1" t="str">
        <f t="shared" si="41"/>
        <v/>
      </c>
      <c r="IB69" s="1" t="str">
        <f t="shared" si="41"/>
        <v/>
      </c>
      <c r="IC69" s="1" t="str">
        <f t="shared" si="41"/>
        <v/>
      </c>
      <c r="ID69" s="1" t="str">
        <f t="shared" si="41"/>
        <v/>
      </c>
      <c r="IE69" s="1" t="str">
        <f t="shared" si="41"/>
        <v/>
      </c>
      <c r="IF69" s="1" t="str">
        <f t="shared" si="41"/>
        <v/>
      </c>
      <c r="IG69" s="1" t="str">
        <f t="shared" si="41"/>
        <v/>
      </c>
      <c r="IH69" s="1" t="str">
        <f t="shared" si="41"/>
        <v/>
      </c>
      <c r="II69" s="1" t="str">
        <f t="shared" si="41"/>
        <v/>
      </c>
      <c r="IJ69" s="1" t="str">
        <f t="shared" si="41"/>
        <v/>
      </c>
      <c r="IK69" s="1" t="str">
        <f t="shared" si="41"/>
        <v/>
      </c>
      <c r="IL69" s="1" t="str">
        <f t="shared" si="41"/>
        <v/>
      </c>
      <c r="IM69" s="1" t="str">
        <f t="shared" si="42"/>
        <v/>
      </c>
      <c r="IN69" s="1" t="str">
        <f t="shared" si="42"/>
        <v/>
      </c>
      <c r="IO69" s="1" t="str">
        <f t="shared" si="42"/>
        <v/>
      </c>
      <c r="IP69" s="1" t="str">
        <f t="shared" si="42"/>
        <v/>
      </c>
      <c r="IQ69" s="1" t="str">
        <f t="shared" si="42"/>
        <v/>
      </c>
      <c r="IR69" s="1" t="str">
        <f t="shared" si="42"/>
        <v/>
      </c>
      <c r="IS69" s="1" t="str">
        <f t="shared" si="42"/>
        <v/>
      </c>
      <c r="IT69" s="1" t="str">
        <f t="shared" si="42"/>
        <v/>
      </c>
      <c r="IU69" s="1" t="str">
        <f t="shared" si="42"/>
        <v/>
      </c>
      <c r="IV69" s="1" t="str">
        <f t="shared" si="42"/>
        <v/>
      </c>
      <c r="IW69" s="1" t="str">
        <f t="shared" si="42"/>
        <v/>
      </c>
      <c r="IX69" s="1" t="str">
        <f t="shared" si="42"/>
        <v/>
      </c>
      <c r="IY69" s="1" t="str">
        <f t="shared" si="42"/>
        <v/>
      </c>
      <c r="IZ69" s="1" t="str">
        <f t="shared" si="42"/>
        <v/>
      </c>
      <c r="JA69" s="1" t="str">
        <f t="shared" si="42"/>
        <v/>
      </c>
      <c r="JB69" s="1" t="str">
        <f t="shared" si="42"/>
        <v/>
      </c>
      <c r="JC69" s="1" t="str">
        <f t="shared" si="43"/>
        <v/>
      </c>
      <c r="JD69" s="1" t="str">
        <f t="shared" si="43"/>
        <v/>
      </c>
      <c r="JE69" s="1" t="str">
        <f t="shared" si="43"/>
        <v/>
      </c>
      <c r="JF69" s="1" t="str">
        <f t="shared" si="43"/>
        <v/>
      </c>
      <c r="JG69" s="1" t="str">
        <f t="shared" si="37"/>
        <v/>
      </c>
      <c r="JH69" s="1" t="str">
        <f t="shared" si="37"/>
        <v/>
      </c>
      <c r="JI69" s="1" t="str">
        <f t="shared" si="37"/>
        <v/>
      </c>
      <c r="JJ69" s="1" t="str">
        <f t="shared" si="30"/>
        <v/>
      </c>
      <c r="JK69" s="1" t="str">
        <f t="shared" si="30"/>
        <v/>
      </c>
      <c r="JL69" s="1" t="str">
        <f t="shared" si="24"/>
        <v/>
      </c>
      <c r="JM69" s="1" t="str">
        <f t="shared" si="24"/>
        <v/>
      </c>
      <c r="JN69" s="1" t="str">
        <f t="shared" si="24"/>
        <v/>
      </c>
      <c r="JO69" s="1" t="str">
        <f t="shared" si="24"/>
        <v/>
      </c>
    </row>
    <row r="70" spans="1:275" ht="14.5" x14ac:dyDescent="0.35">
      <c r="A70" s="59" t="str">
        <f>IF('Data input'!A70&lt;&gt;"",'Data input'!A70,"")</f>
        <v/>
      </c>
      <c r="B70" s="15" t="str">
        <f>IF('Data input'!B70&lt;&gt;"",'Data input'!B70,"")</f>
        <v/>
      </c>
      <c r="C70" s="16" t="str">
        <f>IF('Data input'!C70="","",4*('Data input'!C70-'Data input'!C$108)/('Data input'!C$109-'Data input'!C$108)+1)</f>
        <v/>
      </c>
      <c r="D70" s="16" t="str">
        <f>IF('Data input'!D70="","",4*('Data input'!D70-'Data input'!D$108)/('Data input'!D$109-'Data input'!D$108)+1)</f>
        <v/>
      </c>
      <c r="E70" s="16" t="str">
        <f>IF('Data input'!E70="","",4*('Data input'!E70-'Data input'!E$108)/('Data input'!E$109-'Data input'!E$108)+1)</f>
        <v/>
      </c>
      <c r="F70" s="16" t="str">
        <f>IF('Data input'!F70="","",4*('Data input'!F70-'Data input'!F$108)/('Data input'!F$109-'Data input'!F$108)+1)</f>
        <v/>
      </c>
      <c r="G70" s="16" t="str">
        <f>IF('Data input'!G70="","",4*('Data input'!G70-'Data input'!G$108)/('Data input'!G$109-'Data input'!G$108)+1)</f>
        <v/>
      </c>
      <c r="H70" s="16" t="str">
        <f>IF('Data input'!H70="","",4*('Data input'!H70-'Data input'!H$108)/('Data input'!H$109-'Data input'!H$108)+1)</f>
        <v/>
      </c>
      <c r="I70" s="19" t="str">
        <f>IF('Data input'!I70="","",4*('Data input'!I70-'Data input'!I$108)/('Data input'!I$109-'Data input'!I$108)+1)</f>
        <v/>
      </c>
      <c r="J70" s="19" t="str">
        <f>IF('Data input'!J70="","",4*('Data input'!J70-'Data input'!J$108)/('Data input'!J$109-'Data input'!J$108)+1)</f>
        <v/>
      </c>
      <c r="K70" s="19" t="str">
        <f>IF('Data input'!K70="","",4*('Data input'!K70-'Data input'!K$108)/('Data input'!K$109-'Data input'!K$108)+1)</f>
        <v/>
      </c>
      <c r="L70" s="19" t="str">
        <f>IF('Data input'!L70="","",4*('Data input'!L70-'Data input'!L$108)/('Data input'!L$109-'Data input'!L$108)+1)</f>
        <v/>
      </c>
      <c r="M70" s="16" t="str">
        <f>IF('Data input'!M70="","",4*('Data input'!M70-'Data input'!M$108)/('Data input'!M$109-'Data input'!M$108)+1)</f>
        <v/>
      </c>
      <c r="N70" s="16" t="str">
        <f>IF('Data input'!N70="","",4*('Data input'!N70-'Data input'!N$108)/('Data input'!N$109-'Data input'!N$108)+1)</f>
        <v/>
      </c>
      <c r="O70" s="16" t="str">
        <f>IF('Data input'!O70="","",4*('Data input'!O70-'Data input'!O$108)/('Data input'!O$109-'Data input'!O$108)+1)</f>
        <v/>
      </c>
      <c r="P70" s="16" t="str">
        <f>IF('Data input'!P70="","",4*('Data input'!P70-'Data input'!P$108)/('Data input'!P$109-'Data input'!P$108)+1)</f>
        <v/>
      </c>
      <c r="Q70" s="16" t="str">
        <f>IF('Data input'!Q70="","",4*('Data input'!Q70-'Data input'!Q$108)/('Data input'!Q$109-'Data input'!Q$108)+1)</f>
        <v/>
      </c>
      <c r="R70" s="16" t="str">
        <f>IF('Data input'!R70="","",4*('Data input'!R70-'Data input'!R$108)/('Data input'!R$109-'Data input'!R$108)+1)</f>
        <v/>
      </c>
      <c r="S70" s="16" t="str">
        <f>IF('Data input'!S70="","",4*('Data input'!S70-'Data input'!S$108)/('Data input'!S$109-'Data input'!S$108)+1)</f>
        <v/>
      </c>
      <c r="T70" s="16" t="str">
        <f>IF('Data input'!T70="","",4*('Data input'!T70-'Data input'!T$108)/('Data input'!T$109-'Data input'!T$108)+1)</f>
        <v/>
      </c>
      <c r="U70" s="16" t="str">
        <f>IF('Data input'!U70="","",4*('Data input'!U70-'Data input'!U$108)/('Data input'!U$109-'Data input'!U$108)+1)</f>
        <v/>
      </c>
      <c r="V70" s="16" t="str">
        <f>IF('Data input'!V70="","",4*('Data input'!V70-'Data input'!V$108)/('Data input'!V$109-'Data input'!V$108)+1)</f>
        <v/>
      </c>
      <c r="W70" s="16" t="str">
        <f>IF('Data input'!W70="","",4*('Data input'!W70-'Data input'!W$108)/('Data input'!W$109-'Data input'!W$108)+1)</f>
        <v/>
      </c>
      <c r="X70" s="16" t="str">
        <f>IF('Data input'!X70="","",4*('Data input'!X70-'Data input'!X$108)/('Data input'!X$109-'Data input'!X$108)+1)</f>
        <v/>
      </c>
      <c r="Y70" s="16" t="str">
        <f>IF('Data input'!Y70="","",4*('Data input'!Y70-'Data input'!Y$108)/('Data input'!Y$109-'Data input'!Y$108)+1)</f>
        <v/>
      </c>
      <c r="Z70" s="16" t="str">
        <f>IF('Data input'!Z70="","",4*('Data input'!Z70-'Data input'!Z$108)/('Data input'!Z$109-'Data input'!Z$108)+1)</f>
        <v/>
      </c>
      <c r="AA70" s="62" t="str">
        <f>IF('Data input'!AA70="","",4*('Data input'!AA70-'Data input'!AA$108)/('Data input'!AA$109-'Data input'!AA$108)+1)</f>
        <v/>
      </c>
      <c r="AB70" s="78"/>
      <c r="AC70" s="79">
        <v>0</v>
      </c>
      <c r="AD70" s="80" t="e">
        <f t="shared" si="48"/>
        <v>#DIV/0!</v>
      </c>
      <c r="AE70" s="4"/>
      <c r="AF70" s="59" t="str">
        <f t="shared" si="40"/>
        <v/>
      </c>
      <c r="AG70" s="60" t="str">
        <f t="shared" si="40"/>
        <v/>
      </c>
      <c r="AH70"/>
      <c r="AI70"/>
      <c r="AJ70"/>
      <c r="AK70"/>
      <c r="AL70"/>
      <c r="AM70"/>
      <c r="AN70"/>
      <c r="AO70"/>
      <c r="AP70"/>
      <c r="AQ70"/>
      <c r="AR70"/>
      <c r="AS70" s="71" t="str">
        <f t="shared" si="44"/>
        <v/>
      </c>
      <c r="AT70" s="71" t="str">
        <f t="shared" si="44"/>
        <v/>
      </c>
      <c r="AU70" s="71" t="str">
        <f t="shared" si="44"/>
        <v/>
      </c>
      <c r="AV70" s="71" t="str">
        <f t="shared" si="44"/>
        <v/>
      </c>
      <c r="AW70" s="71" t="str">
        <f t="shared" si="44"/>
        <v/>
      </c>
      <c r="AX70" s="71" t="str">
        <f t="shared" si="45"/>
        <v/>
      </c>
      <c r="AY70" s="71" t="str">
        <f t="shared" si="45"/>
        <v/>
      </c>
      <c r="AZ70" s="71" t="str">
        <f t="shared" si="45"/>
        <v/>
      </c>
      <c r="BA70" s="71" t="str">
        <f t="shared" si="45"/>
        <v/>
      </c>
      <c r="BB70" s="71" t="str">
        <f t="shared" si="45"/>
        <v/>
      </c>
      <c r="BC70" s="18" t="str">
        <f>IF(C70&lt;&gt;"",(('Data input'!C$109-'Data input'!C$108)*(AS70-1)/4)+'Data input'!C$108,"")</f>
        <v/>
      </c>
      <c r="BD70" s="18" t="str">
        <f>IF(D70&lt;&gt;"",(('Data input'!D$109-'Data input'!D$108)*(AT70-1)/4)+'Data input'!D$108,"")</f>
        <v/>
      </c>
      <c r="BE70" s="18" t="str">
        <f>IF(E70&lt;&gt;"",(('Data input'!E$109-'Data input'!E$108)*(AU70-1)/4)+'Data input'!E$108,"")</f>
        <v/>
      </c>
      <c r="BF70" s="18" t="str">
        <f>IF(F70&lt;&gt;"",(('Data input'!F$109-'Data input'!F$108)*(AV70-1)/4)+'Data input'!F$108,"")</f>
        <v/>
      </c>
      <c r="BG70" s="18" t="str">
        <f>IF(G70&lt;&gt;"",(('Data input'!G$109-'Data input'!G$108)*(AW70-1)/4)+'Data input'!G$108,"")</f>
        <v/>
      </c>
      <c r="BH70" s="19" t="str">
        <f>IF(H70&lt;&gt;"",(('Data input'!H$109-'Data input'!H$108)*(AX70-1)/4)+'Data input'!H$108,"")</f>
        <v/>
      </c>
      <c r="BI70" s="18" t="str">
        <f>IF(I70&lt;&gt;"",(('Data input'!I$109-'Data input'!I$108)*(AY70-1)/4)+'Data input'!I$108,"")</f>
        <v/>
      </c>
      <c r="BJ70" s="19" t="str">
        <f>IF(J70&lt;&gt;"",(('Data input'!J$109-'Data input'!J$108)*(AZ70-1)/4)+'Data input'!J$108,"")</f>
        <v/>
      </c>
      <c r="BK70" s="19" t="str">
        <f>IF(K70&lt;&gt;"",(('Data input'!K$109-'Data input'!K$108)*(BA70-1)/4)+'Data input'!K$108,"")</f>
        <v/>
      </c>
      <c r="BL70" s="19" t="str">
        <f>IF(L70&lt;&gt;"",(('Data input'!L$109-'Data input'!L$108)*(BB70-1)/4)+'Data input'!L$108,"")</f>
        <v/>
      </c>
      <c r="BM70" s="18" t="str">
        <f>IF(C70&lt;&gt;"",BC70-'Data input'!C70,"")</f>
        <v/>
      </c>
      <c r="BN70" s="18" t="str">
        <f>IF(D70&lt;&gt;"",BD70-'Data input'!D70,"")</f>
        <v/>
      </c>
      <c r="BO70" s="18" t="str">
        <f>IF(E70&lt;&gt;"",BE70-'Data input'!E70,"")</f>
        <v/>
      </c>
      <c r="BP70" s="18" t="str">
        <f>IF(F70&lt;&gt;"",BF70-'Data input'!F70,"")</f>
        <v/>
      </c>
      <c r="BQ70" s="18" t="str">
        <f>IF(G70&lt;&gt;"",BG70-'Data input'!G70,"")</f>
        <v/>
      </c>
      <c r="BR70" s="19" t="str">
        <f>IF(H70&lt;&gt;"",BH70-'Data input'!H70,"")</f>
        <v/>
      </c>
      <c r="BS70" s="18" t="str">
        <f>IF(I70&lt;&gt;"",BI70-'Data input'!I70,"")</f>
        <v/>
      </c>
      <c r="BT70" s="18" t="str">
        <f>IF(J70&lt;&gt;"",BJ70-'Data input'!J70,"")</f>
        <v/>
      </c>
      <c r="BU70" s="18" t="str">
        <f>IF(K70&lt;&gt;"",BK70-'Data input'!K70,"")</f>
        <v/>
      </c>
      <c r="BV70" s="72" t="str">
        <f>IF(L70&lt;&gt;"",BL70-'Data input'!L70,"")</f>
        <v/>
      </c>
      <c r="BW70" s="121" t="str">
        <f t="shared" si="49"/>
        <v/>
      </c>
      <c r="FT70" s="1" t="str">
        <f t="shared" si="46"/>
        <v/>
      </c>
      <c r="FU70" s="1" t="str">
        <f t="shared" si="46"/>
        <v/>
      </c>
      <c r="FV70" s="1" t="str">
        <f t="shared" si="46"/>
        <v/>
      </c>
      <c r="FW70" s="1" t="str">
        <f t="shared" si="46"/>
        <v/>
      </c>
      <c r="FX70" s="1" t="str">
        <f t="shared" si="46"/>
        <v/>
      </c>
      <c r="FY70" s="1" t="str">
        <f t="shared" si="46"/>
        <v/>
      </c>
      <c r="FZ70" s="1" t="str">
        <f t="shared" si="46"/>
        <v/>
      </c>
      <c r="GA70" s="1" t="str">
        <f t="shared" si="46"/>
        <v/>
      </c>
      <c r="GB70" s="1" t="str">
        <f t="shared" si="46"/>
        <v/>
      </c>
      <c r="GC70" s="1" t="str">
        <f t="shared" si="46"/>
        <v/>
      </c>
      <c r="GD70" s="1" t="str">
        <f t="shared" si="46"/>
        <v/>
      </c>
      <c r="GE70" s="1" t="str">
        <f t="shared" si="46"/>
        <v/>
      </c>
      <c r="GF70" s="1" t="str">
        <f t="shared" si="46"/>
        <v/>
      </c>
      <c r="GG70" s="1" t="str">
        <f t="shared" si="46"/>
        <v/>
      </c>
      <c r="GH70" s="1" t="str">
        <f t="shared" si="46"/>
        <v/>
      </c>
      <c r="GI70" s="1" t="str">
        <f t="shared" si="46"/>
        <v/>
      </c>
      <c r="GJ70" s="1" t="str">
        <f t="shared" si="51"/>
        <v/>
      </c>
      <c r="GK70" s="1" t="str">
        <f t="shared" si="51"/>
        <v/>
      </c>
      <c r="GL70" s="1" t="str">
        <f t="shared" si="51"/>
        <v/>
      </c>
      <c r="GM70" s="1" t="str">
        <f t="shared" si="51"/>
        <v/>
      </c>
      <c r="GN70" s="1" t="str">
        <f t="shared" si="51"/>
        <v/>
      </c>
      <c r="GO70" s="1" t="str">
        <f t="shared" si="51"/>
        <v/>
      </c>
      <c r="GP70" s="1" t="str">
        <f t="shared" si="51"/>
        <v/>
      </c>
      <c r="GQ70" s="1" t="str">
        <f t="shared" si="51"/>
        <v/>
      </c>
      <c r="GR70" s="1" t="str">
        <f t="shared" si="51"/>
        <v/>
      </c>
      <c r="GS70" s="1" t="str">
        <f t="shared" si="51"/>
        <v/>
      </c>
      <c r="GT70" s="1" t="str">
        <f t="shared" si="50"/>
        <v/>
      </c>
      <c r="GU70" s="1" t="str">
        <f t="shared" si="50"/>
        <v/>
      </c>
      <c r="GV70" s="1" t="str">
        <f t="shared" si="50"/>
        <v/>
      </c>
      <c r="GW70" s="1" t="str">
        <f t="shared" si="50"/>
        <v/>
      </c>
      <c r="GX70" s="1" t="str">
        <f t="shared" si="50"/>
        <v/>
      </c>
      <c r="GY70" s="1" t="str">
        <f t="shared" si="39"/>
        <v/>
      </c>
      <c r="GZ70" s="1" t="str">
        <f t="shared" si="38"/>
        <v/>
      </c>
      <c r="HA70" s="1" t="str">
        <f t="shared" si="38"/>
        <v/>
      </c>
      <c r="HB70" s="1" t="str">
        <f t="shared" si="38"/>
        <v/>
      </c>
      <c r="HC70" s="1" t="str">
        <f t="shared" si="38"/>
        <v/>
      </c>
      <c r="HD70" s="1" t="str">
        <f t="shared" si="38"/>
        <v/>
      </c>
      <c r="HE70" s="1" t="str">
        <f t="shared" si="38"/>
        <v/>
      </c>
      <c r="HF70" s="1" t="str">
        <f t="shared" si="38"/>
        <v/>
      </c>
      <c r="HG70" s="1" t="str">
        <f t="shared" si="38"/>
        <v/>
      </c>
      <c r="HH70" s="1" t="str">
        <f t="shared" si="38"/>
        <v/>
      </c>
      <c r="HI70" s="1" t="str">
        <f t="shared" si="38"/>
        <v/>
      </c>
      <c r="HJ70" s="1" t="str">
        <f t="shared" si="38"/>
        <v/>
      </c>
      <c r="HK70" s="1" t="str">
        <f t="shared" si="38"/>
        <v/>
      </c>
      <c r="HL70" s="1" t="str">
        <f t="shared" si="38"/>
        <v/>
      </c>
      <c r="HM70" s="1" t="str">
        <f t="shared" si="38"/>
        <v/>
      </c>
      <c r="HN70" s="1" t="str">
        <f t="shared" si="38"/>
        <v/>
      </c>
      <c r="HO70" s="1" t="str">
        <f t="shared" si="38"/>
        <v/>
      </c>
      <c r="HP70" s="1" t="str">
        <f t="shared" si="47"/>
        <v/>
      </c>
      <c r="HQ70" s="1" t="str">
        <f t="shared" si="47"/>
        <v/>
      </c>
      <c r="HR70" s="1" t="str">
        <f t="shared" si="47"/>
        <v/>
      </c>
      <c r="HS70" s="1" t="str">
        <f t="shared" si="47"/>
        <v/>
      </c>
      <c r="HT70" s="1" t="str">
        <f t="shared" si="47"/>
        <v/>
      </c>
      <c r="HU70" s="1" t="str">
        <f t="shared" si="47"/>
        <v/>
      </c>
      <c r="HV70" s="1" t="str">
        <f t="shared" si="47"/>
        <v/>
      </c>
      <c r="HW70" s="1" t="str">
        <f t="shared" si="41"/>
        <v/>
      </c>
      <c r="HX70" s="1" t="str">
        <f t="shared" si="41"/>
        <v/>
      </c>
      <c r="HY70" s="1" t="str">
        <f t="shared" si="41"/>
        <v/>
      </c>
      <c r="HZ70" s="1" t="str">
        <f t="shared" si="41"/>
        <v/>
      </c>
      <c r="IA70" s="1" t="str">
        <f t="shared" si="41"/>
        <v/>
      </c>
      <c r="IB70" s="1" t="str">
        <f t="shared" si="41"/>
        <v/>
      </c>
      <c r="IC70" s="1" t="str">
        <f t="shared" si="41"/>
        <v/>
      </c>
      <c r="ID70" s="1" t="str">
        <f t="shared" si="41"/>
        <v/>
      </c>
      <c r="IE70" s="1" t="str">
        <f t="shared" si="41"/>
        <v/>
      </c>
      <c r="IF70" s="1" t="str">
        <f t="shared" si="41"/>
        <v/>
      </c>
      <c r="IG70" s="1" t="str">
        <f t="shared" si="41"/>
        <v/>
      </c>
      <c r="IH70" s="1" t="str">
        <f t="shared" si="41"/>
        <v/>
      </c>
      <c r="II70" s="1" t="str">
        <f t="shared" si="41"/>
        <v/>
      </c>
      <c r="IJ70" s="1" t="str">
        <f t="shared" si="41"/>
        <v/>
      </c>
      <c r="IK70" s="1" t="str">
        <f t="shared" si="41"/>
        <v/>
      </c>
      <c r="IL70" s="1" t="str">
        <f t="shared" si="41"/>
        <v/>
      </c>
      <c r="IM70" s="1" t="str">
        <f t="shared" si="42"/>
        <v/>
      </c>
      <c r="IN70" s="1" t="str">
        <f t="shared" si="42"/>
        <v/>
      </c>
      <c r="IO70" s="1" t="str">
        <f t="shared" si="42"/>
        <v/>
      </c>
      <c r="IP70" s="1" t="str">
        <f t="shared" si="42"/>
        <v/>
      </c>
      <c r="IQ70" s="1" t="str">
        <f t="shared" si="42"/>
        <v/>
      </c>
      <c r="IR70" s="1" t="str">
        <f t="shared" si="42"/>
        <v/>
      </c>
      <c r="IS70" s="1" t="str">
        <f t="shared" si="42"/>
        <v/>
      </c>
      <c r="IT70" s="1" t="str">
        <f t="shared" si="42"/>
        <v/>
      </c>
      <c r="IU70" s="1" t="str">
        <f t="shared" si="42"/>
        <v/>
      </c>
      <c r="IV70" s="1" t="str">
        <f t="shared" si="42"/>
        <v/>
      </c>
      <c r="IW70" s="1" t="str">
        <f t="shared" si="42"/>
        <v/>
      </c>
      <c r="IX70" s="1" t="str">
        <f t="shared" si="42"/>
        <v/>
      </c>
      <c r="IY70" s="1" t="str">
        <f t="shared" si="42"/>
        <v/>
      </c>
      <c r="IZ70" s="1" t="str">
        <f t="shared" si="42"/>
        <v/>
      </c>
      <c r="JA70" s="1" t="str">
        <f t="shared" si="42"/>
        <v/>
      </c>
      <c r="JB70" s="1" t="str">
        <f t="shared" si="42"/>
        <v/>
      </c>
      <c r="JC70" s="1" t="str">
        <f t="shared" si="43"/>
        <v/>
      </c>
      <c r="JD70" s="1" t="str">
        <f t="shared" si="43"/>
        <v/>
      </c>
      <c r="JE70" s="1" t="str">
        <f t="shared" si="43"/>
        <v/>
      </c>
      <c r="JF70" s="1" t="str">
        <f t="shared" si="43"/>
        <v/>
      </c>
      <c r="JG70" s="1" t="str">
        <f t="shared" si="37"/>
        <v/>
      </c>
      <c r="JH70" s="1" t="str">
        <f t="shared" si="37"/>
        <v/>
      </c>
      <c r="JI70" s="1" t="str">
        <f t="shared" si="37"/>
        <v/>
      </c>
      <c r="JJ70" s="1" t="str">
        <f t="shared" si="30"/>
        <v/>
      </c>
      <c r="JK70" s="1" t="str">
        <f t="shared" si="30"/>
        <v/>
      </c>
      <c r="JL70" s="1" t="str">
        <f t="shared" si="24"/>
        <v/>
      </c>
      <c r="JM70" s="1" t="str">
        <f t="shared" si="24"/>
        <v/>
      </c>
      <c r="JN70" s="1" t="str">
        <f t="shared" si="24"/>
        <v/>
      </c>
      <c r="JO70" s="1" t="str">
        <f t="shared" si="24"/>
        <v/>
      </c>
    </row>
    <row r="71" spans="1:275" ht="14.5" x14ac:dyDescent="0.35">
      <c r="A71" s="59" t="str">
        <f>IF('Data input'!A71&lt;&gt;"",'Data input'!A71,"")</f>
        <v/>
      </c>
      <c r="B71" s="15" t="str">
        <f>IF('Data input'!B71&lt;&gt;"",'Data input'!B71,"")</f>
        <v/>
      </c>
      <c r="C71" s="16" t="str">
        <f>IF('Data input'!C71="","",4*('Data input'!C71-'Data input'!C$108)/('Data input'!C$109-'Data input'!C$108)+1)</f>
        <v/>
      </c>
      <c r="D71" s="16" t="str">
        <f>IF('Data input'!D71="","",4*('Data input'!D71-'Data input'!D$108)/('Data input'!D$109-'Data input'!D$108)+1)</f>
        <v/>
      </c>
      <c r="E71" s="16" t="str">
        <f>IF('Data input'!E71="","",4*('Data input'!E71-'Data input'!E$108)/('Data input'!E$109-'Data input'!E$108)+1)</f>
        <v/>
      </c>
      <c r="F71" s="16" t="str">
        <f>IF('Data input'!F71="","",4*('Data input'!F71-'Data input'!F$108)/('Data input'!F$109-'Data input'!F$108)+1)</f>
        <v/>
      </c>
      <c r="G71" s="16" t="str">
        <f>IF('Data input'!G71="","",4*('Data input'!G71-'Data input'!G$108)/('Data input'!G$109-'Data input'!G$108)+1)</f>
        <v/>
      </c>
      <c r="H71" s="16" t="str">
        <f>IF('Data input'!H71="","",4*('Data input'!H71-'Data input'!H$108)/('Data input'!H$109-'Data input'!H$108)+1)</f>
        <v/>
      </c>
      <c r="I71" s="19" t="str">
        <f>IF('Data input'!I71="","",4*('Data input'!I71-'Data input'!I$108)/('Data input'!I$109-'Data input'!I$108)+1)</f>
        <v/>
      </c>
      <c r="J71" s="19" t="str">
        <f>IF('Data input'!J71="","",4*('Data input'!J71-'Data input'!J$108)/('Data input'!J$109-'Data input'!J$108)+1)</f>
        <v/>
      </c>
      <c r="K71" s="19" t="str">
        <f>IF('Data input'!K71="","",4*('Data input'!K71-'Data input'!K$108)/('Data input'!K$109-'Data input'!K$108)+1)</f>
        <v/>
      </c>
      <c r="L71" s="19" t="str">
        <f>IF('Data input'!L71="","",4*('Data input'!L71-'Data input'!L$108)/('Data input'!L$109-'Data input'!L$108)+1)</f>
        <v/>
      </c>
      <c r="M71" s="16" t="str">
        <f>IF('Data input'!M71="","",4*('Data input'!M71-'Data input'!M$108)/('Data input'!M$109-'Data input'!M$108)+1)</f>
        <v/>
      </c>
      <c r="N71" s="16" t="str">
        <f>IF('Data input'!N71="","",4*('Data input'!N71-'Data input'!N$108)/('Data input'!N$109-'Data input'!N$108)+1)</f>
        <v/>
      </c>
      <c r="O71" s="16" t="str">
        <f>IF('Data input'!O71="","",4*('Data input'!O71-'Data input'!O$108)/('Data input'!O$109-'Data input'!O$108)+1)</f>
        <v/>
      </c>
      <c r="P71" s="16" t="str">
        <f>IF('Data input'!P71="","",4*('Data input'!P71-'Data input'!P$108)/('Data input'!P$109-'Data input'!P$108)+1)</f>
        <v/>
      </c>
      <c r="Q71" s="16" t="str">
        <f>IF('Data input'!Q71="","",4*('Data input'!Q71-'Data input'!Q$108)/('Data input'!Q$109-'Data input'!Q$108)+1)</f>
        <v/>
      </c>
      <c r="R71" s="16" t="str">
        <f>IF('Data input'!R71="","",4*('Data input'!R71-'Data input'!R$108)/('Data input'!R$109-'Data input'!R$108)+1)</f>
        <v/>
      </c>
      <c r="S71" s="16" t="str">
        <f>IF('Data input'!S71="","",4*('Data input'!S71-'Data input'!S$108)/('Data input'!S$109-'Data input'!S$108)+1)</f>
        <v/>
      </c>
      <c r="T71" s="16" t="str">
        <f>IF('Data input'!T71="","",4*('Data input'!T71-'Data input'!T$108)/('Data input'!T$109-'Data input'!T$108)+1)</f>
        <v/>
      </c>
      <c r="U71" s="16" t="str">
        <f>IF('Data input'!U71="","",4*('Data input'!U71-'Data input'!U$108)/('Data input'!U$109-'Data input'!U$108)+1)</f>
        <v/>
      </c>
      <c r="V71" s="16" t="str">
        <f>IF('Data input'!V71="","",4*('Data input'!V71-'Data input'!V$108)/('Data input'!V$109-'Data input'!V$108)+1)</f>
        <v/>
      </c>
      <c r="W71" s="16" t="str">
        <f>IF('Data input'!W71="","",4*('Data input'!W71-'Data input'!W$108)/('Data input'!W$109-'Data input'!W$108)+1)</f>
        <v/>
      </c>
      <c r="X71" s="16" t="str">
        <f>IF('Data input'!X71="","",4*('Data input'!X71-'Data input'!X$108)/('Data input'!X$109-'Data input'!X$108)+1)</f>
        <v/>
      </c>
      <c r="Y71" s="16" t="str">
        <f>IF('Data input'!Y71="","",4*('Data input'!Y71-'Data input'!Y$108)/('Data input'!Y$109-'Data input'!Y$108)+1)</f>
        <v/>
      </c>
      <c r="Z71" s="16" t="str">
        <f>IF('Data input'!Z71="","",4*('Data input'!Z71-'Data input'!Z$108)/('Data input'!Z$109-'Data input'!Z$108)+1)</f>
        <v/>
      </c>
      <c r="AA71" s="62" t="str">
        <f>IF('Data input'!AA71="","",4*('Data input'!AA71-'Data input'!AA$108)/('Data input'!AA$109-'Data input'!AA$108)+1)</f>
        <v/>
      </c>
      <c r="AB71" s="78"/>
      <c r="AC71" s="79">
        <v>0</v>
      </c>
      <c r="AD71" s="80" t="e">
        <f t="shared" si="48"/>
        <v>#DIV/0!</v>
      </c>
      <c r="AE71" s="4"/>
      <c r="AF71" s="59" t="str">
        <f t="shared" si="40"/>
        <v/>
      </c>
      <c r="AG71" s="60" t="str">
        <f t="shared" si="40"/>
        <v/>
      </c>
      <c r="AH71"/>
      <c r="AI71"/>
      <c r="AJ71"/>
      <c r="AK71"/>
      <c r="AL71"/>
      <c r="AM71"/>
      <c r="AN71"/>
      <c r="AO71"/>
      <c r="AP71"/>
      <c r="AQ71"/>
      <c r="AR71"/>
      <c r="AS71" s="71" t="str">
        <f t="shared" si="44"/>
        <v/>
      </c>
      <c r="AT71" s="71" t="str">
        <f t="shared" si="44"/>
        <v/>
      </c>
      <c r="AU71" s="71" t="str">
        <f t="shared" si="44"/>
        <v/>
      </c>
      <c r="AV71" s="71" t="str">
        <f t="shared" si="44"/>
        <v/>
      </c>
      <c r="AW71" s="71" t="str">
        <f t="shared" si="44"/>
        <v/>
      </c>
      <c r="AX71" s="71" t="str">
        <f t="shared" si="45"/>
        <v/>
      </c>
      <c r="AY71" s="71" t="str">
        <f t="shared" si="45"/>
        <v/>
      </c>
      <c r="AZ71" s="71" t="str">
        <f t="shared" si="45"/>
        <v/>
      </c>
      <c r="BA71" s="71" t="str">
        <f t="shared" si="45"/>
        <v/>
      </c>
      <c r="BB71" s="71" t="str">
        <f t="shared" si="45"/>
        <v/>
      </c>
      <c r="BC71" s="18" t="str">
        <f>IF(C71&lt;&gt;"",(('Data input'!C$109-'Data input'!C$108)*(AS71-1)/4)+'Data input'!C$108,"")</f>
        <v/>
      </c>
      <c r="BD71" s="18" t="str">
        <f>IF(D71&lt;&gt;"",(('Data input'!D$109-'Data input'!D$108)*(AT71-1)/4)+'Data input'!D$108,"")</f>
        <v/>
      </c>
      <c r="BE71" s="18" t="str">
        <f>IF(E71&lt;&gt;"",(('Data input'!E$109-'Data input'!E$108)*(AU71-1)/4)+'Data input'!E$108,"")</f>
        <v/>
      </c>
      <c r="BF71" s="18" t="str">
        <f>IF(F71&lt;&gt;"",(('Data input'!F$109-'Data input'!F$108)*(AV71-1)/4)+'Data input'!F$108,"")</f>
        <v/>
      </c>
      <c r="BG71" s="18" t="str">
        <f>IF(G71&lt;&gt;"",(('Data input'!G$109-'Data input'!G$108)*(AW71-1)/4)+'Data input'!G$108,"")</f>
        <v/>
      </c>
      <c r="BH71" s="19" t="str">
        <f>IF(H71&lt;&gt;"",(('Data input'!H$109-'Data input'!H$108)*(AX71-1)/4)+'Data input'!H$108,"")</f>
        <v/>
      </c>
      <c r="BI71" s="18" t="str">
        <f>IF(I71&lt;&gt;"",(('Data input'!I$109-'Data input'!I$108)*(AY71-1)/4)+'Data input'!I$108,"")</f>
        <v/>
      </c>
      <c r="BJ71" s="19" t="str">
        <f>IF(J71&lt;&gt;"",(('Data input'!J$109-'Data input'!J$108)*(AZ71-1)/4)+'Data input'!J$108,"")</f>
        <v/>
      </c>
      <c r="BK71" s="19" t="str">
        <f>IF(K71&lt;&gt;"",(('Data input'!K$109-'Data input'!K$108)*(BA71-1)/4)+'Data input'!K$108,"")</f>
        <v/>
      </c>
      <c r="BL71" s="19" t="str">
        <f>IF(L71&lt;&gt;"",(('Data input'!L$109-'Data input'!L$108)*(BB71-1)/4)+'Data input'!L$108,"")</f>
        <v/>
      </c>
      <c r="BM71" s="18" t="str">
        <f>IF(C71&lt;&gt;"",BC71-'Data input'!C71,"")</f>
        <v/>
      </c>
      <c r="BN71" s="18" t="str">
        <f>IF(D71&lt;&gt;"",BD71-'Data input'!D71,"")</f>
        <v/>
      </c>
      <c r="BO71" s="18" t="str">
        <f>IF(E71&lt;&gt;"",BE71-'Data input'!E71,"")</f>
        <v/>
      </c>
      <c r="BP71" s="18" t="str">
        <f>IF(F71&lt;&gt;"",BF71-'Data input'!F71,"")</f>
        <v/>
      </c>
      <c r="BQ71" s="18" t="str">
        <f>IF(G71&lt;&gt;"",BG71-'Data input'!G71,"")</f>
        <v/>
      </c>
      <c r="BR71" s="19" t="str">
        <f>IF(H71&lt;&gt;"",BH71-'Data input'!H71,"")</f>
        <v/>
      </c>
      <c r="BS71" s="18" t="str">
        <f>IF(I71&lt;&gt;"",BI71-'Data input'!I71,"")</f>
        <v/>
      </c>
      <c r="BT71" s="18" t="str">
        <f>IF(J71&lt;&gt;"",BJ71-'Data input'!J71,"")</f>
        <v/>
      </c>
      <c r="BU71" s="18" t="str">
        <f>IF(K71&lt;&gt;"",BK71-'Data input'!K71,"")</f>
        <v/>
      </c>
      <c r="BV71" s="72" t="str">
        <f>IF(L71&lt;&gt;"",BL71-'Data input'!L71,"")</f>
        <v/>
      </c>
      <c r="BW71" s="121" t="str">
        <f t="shared" si="49"/>
        <v/>
      </c>
      <c r="FT71" s="1" t="str">
        <f t="shared" si="46"/>
        <v/>
      </c>
      <c r="FU71" s="1" t="str">
        <f t="shared" si="46"/>
        <v/>
      </c>
      <c r="FV71" s="1" t="str">
        <f t="shared" si="46"/>
        <v/>
      </c>
      <c r="FW71" s="1" t="str">
        <f t="shared" si="46"/>
        <v/>
      </c>
      <c r="FX71" s="1" t="str">
        <f t="shared" si="46"/>
        <v/>
      </c>
      <c r="FY71" s="1" t="str">
        <f t="shared" si="46"/>
        <v/>
      </c>
      <c r="FZ71" s="1" t="str">
        <f t="shared" si="46"/>
        <v/>
      </c>
      <c r="GA71" s="1" t="str">
        <f t="shared" si="46"/>
        <v/>
      </c>
      <c r="GB71" s="1" t="str">
        <f t="shared" si="46"/>
        <v/>
      </c>
      <c r="GC71" s="1" t="str">
        <f t="shared" si="46"/>
        <v/>
      </c>
      <c r="GD71" s="1" t="str">
        <f t="shared" si="46"/>
        <v/>
      </c>
      <c r="GE71" s="1" t="str">
        <f t="shared" si="46"/>
        <v/>
      </c>
      <c r="GF71" s="1" t="str">
        <f t="shared" si="46"/>
        <v/>
      </c>
      <c r="GG71" s="1" t="str">
        <f t="shared" si="46"/>
        <v/>
      </c>
      <c r="GH71" s="1" t="str">
        <f t="shared" si="46"/>
        <v/>
      </c>
      <c r="GI71" s="1" t="str">
        <f t="shared" si="46"/>
        <v/>
      </c>
      <c r="GJ71" s="1" t="str">
        <f t="shared" si="51"/>
        <v/>
      </c>
      <c r="GK71" s="1" t="str">
        <f t="shared" si="51"/>
        <v/>
      </c>
      <c r="GL71" s="1" t="str">
        <f t="shared" si="51"/>
        <v/>
      </c>
      <c r="GM71" s="1" t="str">
        <f t="shared" si="51"/>
        <v/>
      </c>
      <c r="GN71" s="1" t="str">
        <f t="shared" si="51"/>
        <v/>
      </c>
      <c r="GO71" s="1" t="str">
        <f t="shared" si="51"/>
        <v/>
      </c>
      <c r="GP71" s="1" t="str">
        <f t="shared" si="51"/>
        <v/>
      </c>
      <c r="GQ71" s="1" t="str">
        <f t="shared" si="51"/>
        <v/>
      </c>
      <c r="GR71" s="1" t="str">
        <f t="shared" si="51"/>
        <v/>
      </c>
      <c r="GS71" s="1" t="str">
        <f t="shared" si="51"/>
        <v/>
      </c>
      <c r="GT71" s="1" t="str">
        <f t="shared" si="50"/>
        <v/>
      </c>
      <c r="GU71" s="1" t="str">
        <f t="shared" si="50"/>
        <v/>
      </c>
      <c r="GV71" s="1" t="str">
        <f t="shared" si="50"/>
        <v/>
      </c>
      <c r="GW71" s="1" t="str">
        <f t="shared" si="50"/>
        <v/>
      </c>
      <c r="GX71" s="1" t="str">
        <f t="shared" si="50"/>
        <v/>
      </c>
      <c r="GY71" s="1" t="str">
        <f t="shared" si="39"/>
        <v/>
      </c>
      <c r="GZ71" s="1" t="str">
        <f t="shared" si="38"/>
        <v/>
      </c>
      <c r="HA71" s="1" t="str">
        <f t="shared" si="38"/>
        <v/>
      </c>
      <c r="HB71" s="1" t="str">
        <f t="shared" si="38"/>
        <v/>
      </c>
      <c r="HC71" s="1" t="str">
        <f t="shared" si="38"/>
        <v/>
      </c>
      <c r="HD71" s="1" t="str">
        <f t="shared" si="38"/>
        <v/>
      </c>
      <c r="HE71" s="1" t="str">
        <f t="shared" si="38"/>
        <v/>
      </c>
      <c r="HF71" s="1" t="str">
        <f t="shared" si="38"/>
        <v/>
      </c>
      <c r="HG71" s="1" t="str">
        <f t="shared" si="38"/>
        <v/>
      </c>
      <c r="HH71" s="1" t="str">
        <f t="shared" si="38"/>
        <v/>
      </c>
      <c r="HI71" s="1" t="str">
        <f t="shared" si="38"/>
        <v/>
      </c>
      <c r="HJ71" s="1" t="str">
        <f t="shared" si="38"/>
        <v/>
      </c>
      <c r="HK71" s="1" t="str">
        <f t="shared" si="38"/>
        <v/>
      </c>
      <c r="HL71" s="1" t="str">
        <f t="shared" si="38"/>
        <v/>
      </c>
      <c r="HM71" s="1" t="str">
        <f t="shared" si="38"/>
        <v/>
      </c>
      <c r="HN71" s="1" t="str">
        <f t="shared" si="38"/>
        <v/>
      </c>
      <c r="HO71" s="1" t="str">
        <f t="shared" ref="HO71:ID102" si="52">IF(DS71&gt;0.0001,CONCATENATE(DS$2,"; "),"")</f>
        <v/>
      </c>
      <c r="HP71" s="1" t="str">
        <f t="shared" si="47"/>
        <v/>
      </c>
      <c r="HQ71" s="1" t="str">
        <f t="shared" si="47"/>
        <v/>
      </c>
      <c r="HR71" s="1" t="str">
        <f t="shared" si="47"/>
        <v/>
      </c>
      <c r="HS71" s="1" t="str">
        <f t="shared" si="47"/>
        <v/>
      </c>
      <c r="HT71" s="1" t="str">
        <f t="shared" si="47"/>
        <v/>
      </c>
      <c r="HU71" s="1" t="str">
        <f t="shared" si="47"/>
        <v/>
      </c>
      <c r="HV71" s="1" t="str">
        <f t="shared" si="47"/>
        <v/>
      </c>
      <c r="HW71" s="1" t="str">
        <f t="shared" si="41"/>
        <v/>
      </c>
      <c r="HX71" s="1" t="str">
        <f t="shared" si="41"/>
        <v/>
      </c>
      <c r="HY71" s="1" t="str">
        <f t="shared" si="41"/>
        <v/>
      </c>
      <c r="HZ71" s="1" t="str">
        <f t="shared" si="41"/>
        <v/>
      </c>
      <c r="IA71" s="1" t="str">
        <f t="shared" si="41"/>
        <v/>
      </c>
      <c r="IB71" s="1" t="str">
        <f t="shared" si="41"/>
        <v/>
      </c>
      <c r="IC71" s="1" t="str">
        <f t="shared" si="41"/>
        <v/>
      </c>
      <c r="ID71" s="1" t="str">
        <f t="shared" si="41"/>
        <v/>
      </c>
      <c r="IE71" s="1" t="str">
        <f t="shared" si="41"/>
        <v/>
      </c>
      <c r="IF71" s="1" t="str">
        <f t="shared" si="41"/>
        <v/>
      </c>
      <c r="IG71" s="1" t="str">
        <f t="shared" si="41"/>
        <v/>
      </c>
      <c r="IH71" s="1" t="str">
        <f t="shared" si="41"/>
        <v/>
      </c>
      <c r="II71" s="1" t="str">
        <f t="shared" si="41"/>
        <v/>
      </c>
      <c r="IJ71" s="1" t="str">
        <f t="shared" si="41"/>
        <v/>
      </c>
      <c r="IK71" s="1" t="str">
        <f t="shared" si="41"/>
        <v/>
      </c>
      <c r="IL71" s="1" t="str">
        <f t="shared" si="41"/>
        <v/>
      </c>
      <c r="IM71" s="1" t="str">
        <f t="shared" si="42"/>
        <v/>
      </c>
      <c r="IN71" s="1" t="str">
        <f t="shared" si="42"/>
        <v/>
      </c>
      <c r="IO71" s="1" t="str">
        <f t="shared" si="42"/>
        <v/>
      </c>
      <c r="IP71" s="1" t="str">
        <f t="shared" si="42"/>
        <v/>
      </c>
      <c r="IQ71" s="1" t="str">
        <f t="shared" si="42"/>
        <v/>
      </c>
      <c r="IR71" s="1" t="str">
        <f t="shared" si="42"/>
        <v/>
      </c>
      <c r="IS71" s="1" t="str">
        <f t="shared" si="42"/>
        <v/>
      </c>
      <c r="IT71" s="1" t="str">
        <f t="shared" si="42"/>
        <v/>
      </c>
      <c r="IU71" s="1" t="str">
        <f t="shared" si="42"/>
        <v/>
      </c>
      <c r="IV71" s="1" t="str">
        <f t="shared" si="42"/>
        <v/>
      </c>
      <c r="IW71" s="1" t="str">
        <f t="shared" si="42"/>
        <v/>
      </c>
      <c r="IX71" s="1" t="str">
        <f t="shared" si="42"/>
        <v/>
      </c>
      <c r="IY71" s="1" t="str">
        <f t="shared" si="42"/>
        <v/>
      </c>
      <c r="IZ71" s="1" t="str">
        <f t="shared" si="42"/>
        <v/>
      </c>
      <c r="JA71" s="1" t="str">
        <f t="shared" si="42"/>
        <v/>
      </c>
      <c r="JB71" s="1" t="str">
        <f t="shared" si="42"/>
        <v/>
      </c>
      <c r="JC71" s="1" t="str">
        <f t="shared" si="43"/>
        <v/>
      </c>
      <c r="JD71" s="1" t="str">
        <f t="shared" si="43"/>
        <v/>
      </c>
      <c r="JE71" s="1" t="str">
        <f t="shared" si="43"/>
        <v/>
      </c>
      <c r="JF71" s="1" t="str">
        <f t="shared" si="43"/>
        <v/>
      </c>
      <c r="JG71" s="1" t="str">
        <f t="shared" si="37"/>
        <v/>
      </c>
      <c r="JH71" s="1" t="str">
        <f t="shared" si="37"/>
        <v/>
      </c>
      <c r="JI71" s="1" t="str">
        <f t="shared" si="37"/>
        <v/>
      </c>
      <c r="JJ71" s="1" t="str">
        <f t="shared" si="30"/>
        <v/>
      </c>
      <c r="JK71" s="1" t="str">
        <f t="shared" si="30"/>
        <v/>
      </c>
      <c r="JL71" s="1" t="str">
        <f t="shared" si="24"/>
        <v/>
      </c>
      <c r="JM71" s="1" t="str">
        <f t="shared" si="24"/>
        <v/>
      </c>
      <c r="JN71" s="1" t="str">
        <f t="shared" si="24"/>
        <v/>
      </c>
      <c r="JO71" s="1" t="str">
        <f t="shared" si="24"/>
        <v/>
      </c>
    </row>
    <row r="72" spans="1:275" ht="14.5" x14ac:dyDescent="0.35">
      <c r="A72" s="59" t="str">
        <f>IF('Data input'!A72&lt;&gt;"",'Data input'!A72,"")</f>
        <v/>
      </c>
      <c r="B72" s="15" t="str">
        <f>IF('Data input'!B72&lt;&gt;"",'Data input'!B72,"")</f>
        <v/>
      </c>
      <c r="C72" s="16" t="str">
        <f>IF('Data input'!C72="","",4*('Data input'!C72-'Data input'!C$108)/('Data input'!C$109-'Data input'!C$108)+1)</f>
        <v/>
      </c>
      <c r="D72" s="16" t="str">
        <f>IF('Data input'!D72="","",4*('Data input'!D72-'Data input'!D$108)/('Data input'!D$109-'Data input'!D$108)+1)</f>
        <v/>
      </c>
      <c r="E72" s="16" t="str">
        <f>IF('Data input'!E72="","",4*('Data input'!E72-'Data input'!E$108)/('Data input'!E$109-'Data input'!E$108)+1)</f>
        <v/>
      </c>
      <c r="F72" s="16" t="str">
        <f>IF('Data input'!F72="","",4*('Data input'!F72-'Data input'!F$108)/('Data input'!F$109-'Data input'!F$108)+1)</f>
        <v/>
      </c>
      <c r="G72" s="16" t="str">
        <f>IF('Data input'!G72="","",4*('Data input'!G72-'Data input'!G$108)/('Data input'!G$109-'Data input'!G$108)+1)</f>
        <v/>
      </c>
      <c r="H72" s="16" t="str">
        <f>IF('Data input'!H72="","",4*('Data input'!H72-'Data input'!H$108)/('Data input'!H$109-'Data input'!H$108)+1)</f>
        <v/>
      </c>
      <c r="I72" s="19" t="str">
        <f>IF('Data input'!I72="","",4*('Data input'!I72-'Data input'!I$108)/('Data input'!I$109-'Data input'!I$108)+1)</f>
        <v/>
      </c>
      <c r="J72" s="19" t="str">
        <f>IF('Data input'!J72="","",4*('Data input'!J72-'Data input'!J$108)/('Data input'!J$109-'Data input'!J$108)+1)</f>
        <v/>
      </c>
      <c r="K72" s="19" t="str">
        <f>IF('Data input'!K72="","",4*('Data input'!K72-'Data input'!K$108)/('Data input'!K$109-'Data input'!K$108)+1)</f>
        <v/>
      </c>
      <c r="L72" s="19" t="str">
        <f>IF('Data input'!L72="","",4*('Data input'!L72-'Data input'!L$108)/('Data input'!L$109-'Data input'!L$108)+1)</f>
        <v/>
      </c>
      <c r="M72" s="16" t="str">
        <f>IF('Data input'!M72="","",4*('Data input'!M72-'Data input'!M$108)/('Data input'!M$109-'Data input'!M$108)+1)</f>
        <v/>
      </c>
      <c r="N72" s="16" t="str">
        <f>IF('Data input'!N72="","",4*('Data input'!N72-'Data input'!N$108)/('Data input'!N$109-'Data input'!N$108)+1)</f>
        <v/>
      </c>
      <c r="O72" s="16" t="str">
        <f>IF('Data input'!O72="","",4*('Data input'!O72-'Data input'!O$108)/('Data input'!O$109-'Data input'!O$108)+1)</f>
        <v/>
      </c>
      <c r="P72" s="16" t="str">
        <f>IF('Data input'!P72="","",4*('Data input'!P72-'Data input'!P$108)/('Data input'!P$109-'Data input'!P$108)+1)</f>
        <v/>
      </c>
      <c r="Q72" s="16" t="str">
        <f>IF('Data input'!Q72="","",4*('Data input'!Q72-'Data input'!Q$108)/('Data input'!Q$109-'Data input'!Q$108)+1)</f>
        <v/>
      </c>
      <c r="R72" s="16" t="str">
        <f>IF('Data input'!R72="","",4*('Data input'!R72-'Data input'!R$108)/('Data input'!R$109-'Data input'!R$108)+1)</f>
        <v/>
      </c>
      <c r="S72" s="16" t="str">
        <f>IF('Data input'!S72="","",4*('Data input'!S72-'Data input'!S$108)/('Data input'!S$109-'Data input'!S$108)+1)</f>
        <v/>
      </c>
      <c r="T72" s="16" t="str">
        <f>IF('Data input'!T72="","",4*('Data input'!T72-'Data input'!T$108)/('Data input'!T$109-'Data input'!T$108)+1)</f>
        <v/>
      </c>
      <c r="U72" s="16" t="str">
        <f>IF('Data input'!U72="","",4*('Data input'!U72-'Data input'!U$108)/('Data input'!U$109-'Data input'!U$108)+1)</f>
        <v/>
      </c>
      <c r="V72" s="16" t="str">
        <f>IF('Data input'!V72="","",4*('Data input'!V72-'Data input'!V$108)/('Data input'!V$109-'Data input'!V$108)+1)</f>
        <v/>
      </c>
      <c r="W72" s="16" t="str">
        <f>IF('Data input'!W72="","",4*('Data input'!W72-'Data input'!W$108)/('Data input'!W$109-'Data input'!W$108)+1)</f>
        <v/>
      </c>
      <c r="X72" s="16" t="str">
        <f>IF('Data input'!X72="","",4*('Data input'!X72-'Data input'!X$108)/('Data input'!X$109-'Data input'!X$108)+1)</f>
        <v/>
      </c>
      <c r="Y72" s="16" t="str">
        <f>IF('Data input'!Y72="","",4*('Data input'!Y72-'Data input'!Y$108)/('Data input'!Y$109-'Data input'!Y$108)+1)</f>
        <v/>
      </c>
      <c r="Z72" s="16" t="str">
        <f>IF('Data input'!Z72="","",4*('Data input'!Z72-'Data input'!Z$108)/('Data input'!Z$109-'Data input'!Z$108)+1)</f>
        <v/>
      </c>
      <c r="AA72" s="62" t="str">
        <f>IF('Data input'!AA72="","",4*('Data input'!AA72-'Data input'!AA$108)/('Data input'!AA$109-'Data input'!AA$108)+1)</f>
        <v/>
      </c>
      <c r="AB72" s="78"/>
      <c r="AC72" s="79">
        <v>0</v>
      </c>
      <c r="AD72" s="80" t="e">
        <f t="shared" si="48"/>
        <v>#DIV/0!</v>
      </c>
      <c r="AE72" s="4"/>
      <c r="AF72" s="59" t="str">
        <f t="shared" si="40"/>
        <v/>
      </c>
      <c r="AG72" s="60" t="str">
        <f t="shared" si="40"/>
        <v/>
      </c>
      <c r="AH72"/>
      <c r="AI72"/>
      <c r="AJ72"/>
      <c r="AK72"/>
      <c r="AL72"/>
      <c r="AM72"/>
      <c r="AN72"/>
      <c r="AO72"/>
      <c r="AP72"/>
      <c r="AQ72"/>
      <c r="AR72"/>
      <c r="AS72" s="71" t="str">
        <f t="shared" si="44"/>
        <v/>
      </c>
      <c r="AT72" s="71" t="str">
        <f t="shared" si="44"/>
        <v/>
      </c>
      <c r="AU72" s="71" t="str">
        <f t="shared" si="44"/>
        <v/>
      </c>
      <c r="AV72" s="71" t="str">
        <f t="shared" si="44"/>
        <v/>
      </c>
      <c r="AW72" s="71" t="str">
        <f t="shared" si="44"/>
        <v/>
      </c>
      <c r="AX72" s="71" t="str">
        <f t="shared" si="45"/>
        <v/>
      </c>
      <c r="AY72" s="71" t="str">
        <f t="shared" si="45"/>
        <v/>
      </c>
      <c r="AZ72" s="71" t="str">
        <f t="shared" si="45"/>
        <v/>
      </c>
      <c r="BA72" s="71" t="str">
        <f t="shared" si="45"/>
        <v/>
      </c>
      <c r="BB72" s="71" t="str">
        <f t="shared" si="45"/>
        <v/>
      </c>
      <c r="BC72" s="18" t="str">
        <f>IF(C72&lt;&gt;"",(('Data input'!C$109-'Data input'!C$108)*(AS72-1)/4)+'Data input'!C$108,"")</f>
        <v/>
      </c>
      <c r="BD72" s="18" t="str">
        <f>IF(D72&lt;&gt;"",(('Data input'!D$109-'Data input'!D$108)*(AT72-1)/4)+'Data input'!D$108,"")</f>
        <v/>
      </c>
      <c r="BE72" s="18" t="str">
        <f>IF(E72&lt;&gt;"",(('Data input'!E$109-'Data input'!E$108)*(AU72-1)/4)+'Data input'!E$108,"")</f>
        <v/>
      </c>
      <c r="BF72" s="18" t="str">
        <f>IF(F72&lt;&gt;"",(('Data input'!F$109-'Data input'!F$108)*(AV72-1)/4)+'Data input'!F$108,"")</f>
        <v/>
      </c>
      <c r="BG72" s="18" t="str">
        <f>IF(G72&lt;&gt;"",(('Data input'!G$109-'Data input'!G$108)*(AW72-1)/4)+'Data input'!G$108,"")</f>
        <v/>
      </c>
      <c r="BH72" s="19" t="str">
        <f>IF(H72&lt;&gt;"",(('Data input'!H$109-'Data input'!H$108)*(AX72-1)/4)+'Data input'!H$108,"")</f>
        <v/>
      </c>
      <c r="BI72" s="18" t="str">
        <f>IF(I72&lt;&gt;"",(('Data input'!I$109-'Data input'!I$108)*(AY72-1)/4)+'Data input'!I$108,"")</f>
        <v/>
      </c>
      <c r="BJ72" s="19" t="str">
        <f>IF(J72&lt;&gt;"",(('Data input'!J$109-'Data input'!J$108)*(AZ72-1)/4)+'Data input'!J$108,"")</f>
        <v/>
      </c>
      <c r="BK72" s="19" t="str">
        <f>IF(K72&lt;&gt;"",(('Data input'!K$109-'Data input'!K$108)*(BA72-1)/4)+'Data input'!K$108,"")</f>
        <v/>
      </c>
      <c r="BL72" s="19" t="str">
        <f>IF(L72&lt;&gt;"",(('Data input'!L$109-'Data input'!L$108)*(BB72-1)/4)+'Data input'!L$108,"")</f>
        <v/>
      </c>
      <c r="BM72" s="18" t="str">
        <f>IF(C72&lt;&gt;"",BC72-'Data input'!C72,"")</f>
        <v/>
      </c>
      <c r="BN72" s="18" t="str">
        <f>IF(D72&lt;&gt;"",BD72-'Data input'!D72,"")</f>
        <v/>
      </c>
      <c r="BO72" s="18" t="str">
        <f>IF(E72&lt;&gt;"",BE72-'Data input'!E72,"")</f>
        <v/>
      </c>
      <c r="BP72" s="18" t="str">
        <f>IF(F72&lt;&gt;"",BF72-'Data input'!F72,"")</f>
        <v/>
      </c>
      <c r="BQ72" s="18" t="str">
        <f>IF(G72&lt;&gt;"",BG72-'Data input'!G72,"")</f>
        <v/>
      </c>
      <c r="BR72" s="19" t="str">
        <f>IF(H72&lt;&gt;"",BH72-'Data input'!H72,"")</f>
        <v/>
      </c>
      <c r="BS72" s="18" t="str">
        <f>IF(I72&lt;&gt;"",BI72-'Data input'!I72,"")</f>
        <v/>
      </c>
      <c r="BT72" s="18" t="str">
        <f>IF(J72&lt;&gt;"",BJ72-'Data input'!J72,"")</f>
        <v/>
      </c>
      <c r="BU72" s="18" t="str">
        <f>IF(K72&lt;&gt;"",BK72-'Data input'!K72,"")</f>
        <v/>
      </c>
      <c r="BV72" s="72" t="str">
        <f>IF(L72&lt;&gt;"",BL72-'Data input'!L72,"")</f>
        <v/>
      </c>
      <c r="BW72" s="121" t="str">
        <f t="shared" si="49"/>
        <v/>
      </c>
      <c r="FT72" s="1" t="str">
        <f t="shared" si="46"/>
        <v/>
      </c>
      <c r="FU72" s="1" t="str">
        <f t="shared" si="46"/>
        <v/>
      </c>
      <c r="FV72" s="1" t="str">
        <f t="shared" si="46"/>
        <v/>
      </c>
      <c r="FW72" s="1" t="str">
        <f t="shared" si="46"/>
        <v/>
      </c>
      <c r="FX72" s="1" t="str">
        <f t="shared" si="46"/>
        <v/>
      </c>
      <c r="FY72" s="1" t="str">
        <f t="shared" si="46"/>
        <v/>
      </c>
      <c r="FZ72" s="1" t="str">
        <f t="shared" si="46"/>
        <v/>
      </c>
      <c r="GA72" s="1" t="str">
        <f t="shared" si="46"/>
        <v/>
      </c>
      <c r="GB72" s="1" t="str">
        <f t="shared" si="46"/>
        <v/>
      </c>
      <c r="GC72" s="1" t="str">
        <f t="shared" si="46"/>
        <v/>
      </c>
      <c r="GD72" s="1" t="str">
        <f t="shared" si="46"/>
        <v/>
      </c>
      <c r="GE72" s="1" t="str">
        <f t="shared" si="46"/>
        <v/>
      </c>
      <c r="GF72" s="1" t="str">
        <f t="shared" si="46"/>
        <v/>
      </c>
      <c r="GG72" s="1" t="str">
        <f t="shared" si="46"/>
        <v/>
      </c>
      <c r="GH72" s="1" t="str">
        <f t="shared" si="46"/>
        <v/>
      </c>
      <c r="GI72" s="1" t="str">
        <f t="shared" si="46"/>
        <v/>
      </c>
      <c r="GJ72" s="1" t="str">
        <f t="shared" si="51"/>
        <v/>
      </c>
      <c r="GK72" s="1" t="str">
        <f t="shared" si="51"/>
        <v/>
      </c>
      <c r="GL72" s="1" t="str">
        <f t="shared" si="51"/>
        <v/>
      </c>
      <c r="GM72" s="1" t="str">
        <f t="shared" si="51"/>
        <v/>
      </c>
      <c r="GN72" s="1" t="str">
        <f t="shared" si="51"/>
        <v/>
      </c>
      <c r="GO72" s="1" t="str">
        <f t="shared" si="51"/>
        <v/>
      </c>
      <c r="GP72" s="1" t="str">
        <f t="shared" si="51"/>
        <v/>
      </c>
      <c r="GQ72" s="1" t="str">
        <f t="shared" si="51"/>
        <v/>
      </c>
      <c r="GR72" s="1" t="str">
        <f t="shared" si="51"/>
        <v/>
      </c>
      <c r="GS72" s="1" t="str">
        <f t="shared" si="51"/>
        <v/>
      </c>
      <c r="GT72" s="1" t="str">
        <f t="shared" si="50"/>
        <v/>
      </c>
      <c r="GU72" s="1" t="str">
        <f t="shared" si="50"/>
        <v/>
      </c>
      <c r="GV72" s="1" t="str">
        <f t="shared" si="50"/>
        <v/>
      </c>
      <c r="GW72" s="1" t="str">
        <f t="shared" si="50"/>
        <v/>
      </c>
      <c r="GX72" s="1" t="str">
        <f t="shared" si="50"/>
        <v/>
      </c>
      <c r="GY72" s="1" t="str">
        <f t="shared" si="39"/>
        <v/>
      </c>
      <c r="GZ72" s="1" t="str">
        <f t="shared" si="39"/>
        <v/>
      </c>
      <c r="HA72" s="1" t="str">
        <f t="shared" si="39"/>
        <v/>
      </c>
      <c r="HB72" s="1" t="str">
        <f t="shared" si="39"/>
        <v/>
      </c>
      <c r="HC72" s="1" t="str">
        <f t="shared" si="39"/>
        <v/>
      </c>
      <c r="HD72" s="1" t="str">
        <f t="shared" si="39"/>
        <v/>
      </c>
      <c r="HE72" s="1" t="str">
        <f t="shared" si="39"/>
        <v/>
      </c>
      <c r="HF72" s="1" t="str">
        <f t="shared" si="39"/>
        <v/>
      </c>
      <c r="HG72" s="1" t="str">
        <f t="shared" si="39"/>
        <v/>
      </c>
      <c r="HH72" s="1" t="str">
        <f t="shared" si="39"/>
        <v/>
      </c>
      <c r="HI72" s="1" t="str">
        <f t="shared" si="39"/>
        <v/>
      </c>
      <c r="HJ72" s="1" t="str">
        <f t="shared" si="39"/>
        <v/>
      </c>
      <c r="HK72" s="1" t="str">
        <f t="shared" si="39"/>
        <v/>
      </c>
      <c r="HL72" s="1" t="str">
        <f t="shared" si="39"/>
        <v/>
      </c>
      <c r="HM72" s="1" t="str">
        <f t="shared" si="39"/>
        <v/>
      </c>
      <c r="HN72" s="1" t="str">
        <f t="shared" si="39"/>
        <v/>
      </c>
      <c r="HO72" s="1" t="str">
        <f t="shared" si="52"/>
        <v/>
      </c>
      <c r="HP72" s="1" t="str">
        <f t="shared" si="47"/>
        <v/>
      </c>
      <c r="HQ72" s="1" t="str">
        <f t="shared" si="47"/>
        <v/>
      </c>
      <c r="HR72" s="1" t="str">
        <f t="shared" si="47"/>
        <v/>
      </c>
      <c r="HS72" s="1" t="str">
        <f t="shared" si="47"/>
        <v/>
      </c>
      <c r="HT72" s="1" t="str">
        <f t="shared" si="47"/>
        <v/>
      </c>
      <c r="HU72" s="1" t="str">
        <f t="shared" si="47"/>
        <v/>
      </c>
      <c r="HV72" s="1" t="str">
        <f t="shared" si="47"/>
        <v/>
      </c>
      <c r="HW72" s="1" t="str">
        <f t="shared" si="41"/>
        <v/>
      </c>
      <c r="HX72" s="1" t="str">
        <f t="shared" si="41"/>
        <v/>
      </c>
      <c r="HY72" s="1" t="str">
        <f t="shared" si="41"/>
        <v/>
      </c>
      <c r="HZ72" s="1" t="str">
        <f t="shared" si="41"/>
        <v/>
      </c>
      <c r="IA72" s="1" t="str">
        <f t="shared" si="41"/>
        <v/>
      </c>
      <c r="IB72" s="1" t="str">
        <f t="shared" si="41"/>
        <v/>
      </c>
      <c r="IC72" s="1" t="str">
        <f t="shared" si="41"/>
        <v/>
      </c>
      <c r="ID72" s="1" t="str">
        <f t="shared" si="41"/>
        <v/>
      </c>
      <c r="IE72" s="1" t="str">
        <f t="shared" si="41"/>
        <v/>
      </c>
      <c r="IF72" s="1" t="str">
        <f t="shared" si="41"/>
        <v/>
      </c>
      <c r="IG72" s="1" t="str">
        <f t="shared" si="41"/>
        <v/>
      </c>
      <c r="IH72" s="1" t="str">
        <f t="shared" si="41"/>
        <v/>
      </c>
      <c r="II72" s="1" t="str">
        <f t="shared" si="41"/>
        <v/>
      </c>
      <c r="IJ72" s="1" t="str">
        <f t="shared" si="41"/>
        <v/>
      </c>
      <c r="IK72" s="1" t="str">
        <f t="shared" si="41"/>
        <v/>
      </c>
      <c r="IL72" s="1" t="str">
        <f t="shared" si="41"/>
        <v/>
      </c>
      <c r="IM72" s="1" t="str">
        <f t="shared" si="42"/>
        <v/>
      </c>
      <c r="IN72" s="1" t="str">
        <f t="shared" si="42"/>
        <v/>
      </c>
      <c r="IO72" s="1" t="str">
        <f t="shared" si="42"/>
        <v/>
      </c>
      <c r="IP72" s="1" t="str">
        <f t="shared" si="42"/>
        <v/>
      </c>
      <c r="IQ72" s="1" t="str">
        <f t="shared" si="42"/>
        <v/>
      </c>
      <c r="IR72" s="1" t="str">
        <f t="shared" si="42"/>
        <v/>
      </c>
      <c r="IS72" s="1" t="str">
        <f t="shared" si="42"/>
        <v/>
      </c>
      <c r="IT72" s="1" t="str">
        <f t="shared" si="42"/>
        <v/>
      </c>
      <c r="IU72" s="1" t="str">
        <f t="shared" si="42"/>
        <v/>
      </c>
      <c r="IV72" s="1" t="str">
        <f t="shared" si="42"/>
        <v/>
      </c>
      <c r="IW72" s="1" t="str">
        <f t="shared" si="42"/>
        <v/>
      </c>
      <c r="IX72" s="1" t="str">
        <f t="shared" si="42"/>
        <v/>
      </c>
      <c r="IY72" s="1" t="str">
        <f t="shared" si="42"/>
        <v/>
      </c>
      <c r="IZ72" s="1" t="str">
        <f t="shared" si="42"/>
        <v/>
      </c>
      <c r="JA72" s="1" t="str">
        <f t="shared" si="42"/>
        <v/>
      </c>
      <c r="JB72" s="1" t="str">
        <f t="shared" si="42"/>
        <v/>
      </c>
      <c r="JC72" s="1" t="str">
        <f t="shared" si="43"/>
        <v/>
      </c>
      <c r="JD72" s="1" t="str">
        <f t="shared" si="43"/>
        <v/>
      </c>
      <c r="JE72" s="1" t="str">
        <f t="shared" si="43"/>
        <v/>
      </c>
      <c r="JF72" s="1" t="str">
        <f t="shared" si="43"/>
        <v/>
      </c>
      <c r="JG72" s="1" t="str">
        <f t="shared" si="37"/>
        <v/>
      </c>
      <c r="JH72" s="1" t="str">
        <f t="shared" si="37"/>
        <v/>
      </c>
      <c r="JI72" s="1" t="str">
        <f t="shared" si="37"/>
        <v/>
      </c>
      <c r="JJ72" s="1" t="str">
        <f t="shared" si="30"/>
        <v/>
      </c>
      <c r="JK72" s="1" t="str">
        <f t="shared" si="30"/>
        <v/>
      </c>
      <c r="JL72" s="1" t="str">
        <f t="shared" si="24"/>
        <v/>
      </c>
      <c r="JM72" s="1" t="str">
        <f t="shared" si="24"/>
        <v/>
      </c>
      <c r="JN72" s="1" t="str">
        <f t="shared" si="24"/>
        <v/>
      </c>
      <c r="JO72" s="1" t="str">
        <f t="shared" si="24"/>
        <v/>
      </c>
    </row>
    <row r="73" spans="1:275" ht="14.5" x14ac:dyDescent="0.35">
      <c r="A73" s="59" t="str">
        <f>IF('Data input'!A73&lt;&gt;"",'Data input'!A73,"")</f>
        <v/>
      </c>
      <c r="B73" s="15" t="str">
        <f>IF('Data input'!B73&lt;&gt;"",'Data input'!B73,"")</f>
        <v/>
      </c>
      <c r="C73" s="16" t="str">
        <f>IF('Data input'!C73="","",4*('Data input'!C73-'Data input'!C$108)/('Data input'!C$109-'Data input'!C$108)+1)</f>
        <v/>
      </c>
      <c r="D73" s="16" t="str">
        <f>IF('Data input'!D73="","",4*('Data input'!D73-'Data input'!D$108)/('Data input'!D$109-'Data input'!D$108)+1)</f>
        <v/>
      </c>
      <c r="E73" s="16" t="str">
        <f>IF('Data input'!E73="","",4*('Data input'!E73-'Data input'!E$108)/('Data input'!E$109-'Data input'!E$108)+1)</f>
        <v/>
      </c>
      <c r="F73" s="16" t="str">
        <f>IF('Data input'!F73="","",4*('Data input'!F73-'Data input'!F$108)/('Data input'!F$109-'Data input'!F$108)+1)</f>
        <v/>
      </c>
      <c r="G73" s="16" t="str">
        <f>IF('Data input'!G73="","",4*('Data input'!G73-'Data input'!G$108)/('Data input'!G$109-'Data input'!G$108)+1)</f>
        <v/>
      </c>
      <c r="H73" s="16" t="str">
        <f>IF('Data input'!H73="","",4*('Data input'!H73-'Data input'!H$108)/('Data input'!H$109-'Data input'!H$108)+1)</f>
        <v/>
      </c>
      <c r="I73" s="19" t="str">
        <f>IF('Data input'!I73="","",4*('Data input'!I73-'Data input'!I$108)/('Data input'!I$109-'Data input'!I$108)+1)</f>
        <v/>
      </c>
      <c r="J73" s="19" t="str">
        <f>IF('Data input'!J73="","",4*('Data input'!J73-'Data input'!J$108)/('Data input'!J$109-'Data input'!J$108)+1)</f>
        <v/>
      </c>
      <c r="K73" s="19" t="str">
        <f>IF('Data input'!K73="","",4*('Data input'!K73-'Data input'!K$108)/('Data input'!K$109-'Data input'!K$108)+1)</f>
        <v/>
      </c>
      <c r="L73" s="19" t="str">
        <f>IF('Data input'!L73="","",4*('Data input'!L73-'Data input'!L$108)/('Data input'!L$109-'Data input'!L$108)+1)</f>
        <v/>
      </c>
      <c r="M73" s="16" t="str">
        <f>IF('Data input'!M73="","",4*('Data input'!M73-'Data input'!M$108)/('Data input'!M$109-'Data input'!M$108)+1)</f>
        <v/>
      </c>
      <c r="N73" s="16" t="str">
        <f>IF('Data input'!N73="","",4*('Data input'!N73-'Data input'!N$108)/('Data input'!N$109-'Data input'!N$108)+1)</f>
        <v/>
      </c>
      <c r="O73" s="16" t="str">
        <f>IF('Data input'!O73="","",4*('Data input'!O73-'Data input'!O$108)/('Data input'!O$109-'Data input'!O$108)+1)</f>
        <v/>
      </c>
      <c r="P73" s="16" t="str">
        <f>IF('Data input'!P73="","",4*('Data input'!P73-'Data input'!P$108)/('Data input'!P$109-'Data input'!P$108)+1)</f>
        <v/>
      </c>
      <c r="Q73" s="16" t="str">
        <f>IF('Data input'!Q73="","",4*('Data input'!Q73-'Data input'!Q$108)/('Data input'!Q$109-'Data input'!Q$108)+1)</f>
        <v/>
      </c>
      <c r="R73" s="16" t="str">
        <f>IF('Data input'!R73="","",4*('Data input'!R73-'Data input'!R$108)/('Data input'!R$109-'Data input'!R$108)+1)</f>
        <v/>
      </c>
      <c r="S73" s="16" t="str">
        <f>IF('Data input'!S73="","",4*('Data input'!S73-'Data input'!S$108)/('Data input'!S$109-'Data input'!S$108)+1)</f>
        <v/>
      </c>
      <c r="T73" s="16" t="str">
        <f>IF('Data input'!T73="","",4*('Data input'!T73-'Data input'!T$108)/('Data input'!T$109-'Data input'!T$108)+1)</f>
        <v/>
      </c>
      <c r="U73" s="16" t="str">
        <f>IF('Data input'!U73="","",4*('Data input'!U73-'Data input'!U$108)/('Data input'!U$109-'Data input'!U$108)+1)</f>
        <v/>
      </c>
      <c r="V73" s="16" t="str">
        <f>IF('Data input'!V73="","",4*('Data input'!V73-'Data input'!V$108)/('Data input'!V$109-'Data input'!V$108)+1)</f>
        <v/>
      </c>
      <c r="W73" s="16" t="str">
        <f>IF('Data input'!W73="","",4*('Data input'!W73-'Data input'!W$108)/('Data input'!W$109-'Data input'!W$108)+1)</f>
        <v/>
      </c>
      <c r="X73" s="16" t="str">
        <f>IF('Data input'!X73="","",4*('Data input'!X73-'Data input'!X$108)/('Data input'!X$109-'Data input'!X$108)+1)</f>
        <v/>
      </c>
      <c r="Y73" s="16" t="str">
        <f>IF('Data input'!Y73="","",4*('Data input'!Y73-'Data input'!Y$108)/('Data input'!Y$109-'Data input'!Y$108)+1)</f>
        <v/>
      </c>
      <c r="Z73" s="16" t="str">
        <f>IF('Data input'!Z73="","",4*('Data input'!Z73-'Data input'!Z$108)/('Data input'!Z$109-'Data input'!Z$108)+1)</f>
        <v/>
      </c>
      <c r="AA73" s="62" t="str">
        <f>IF('Data input'!AA73="","",4*('Data input'!AA73-'Data input'!AA$108)/('Data input'!AA$109-'Data input'!AA$108)+1)</f>
        <v/>
      </c>
      <c r="AB73" s="78"/>
      <c r="AC73" s="79">
        <v>0</v>
      </c>
      <c r="AD73" s="80" t="e">
        <f t="shared" si="48"/>
        <v>#DIV/0!</v>
      </c>
      <c r="AE73" s="4"/>
      <c r="AF73" s="59" t="str">
        <f t="shared" si="40"/>
        <v/>
      </c>
      <c r="AG73" s="60" t="str">
        <f t="shared" si="40"/>
        <v/>
      </c>
      <c r="AH73"/>
      <c r="AI73"/>
      <c r="AJ73"/>
      <c r="AK73"/>
      <c r="AL73"/>
      <c r="AM73"/>
      <c r="AN73"/>
      <c r="AO73"/>
      <c r="AP73"/>
      <c r="AQ73"/>
      <c r="AR73"/>
      <c r="AS73" s="71" t="str">
        <f t="shared" si="44"/>
        <v/>
      </c>
      <c r="AT73" s="71" t="str">
        <f t="shared" si="44"/>
        <v/>
      </c>
      <c r="AU73" s="71" t="str">
        <f t="shared" si="44"/>
        <v/>
      </c>
      <c r="AV73" s="71" t="str">
        <f t="shared" si="44"/>
        <v/>
      </c>
      <c r="AW73" s="71" t="str">
        <f t="shared" si="44"/>
        <v/>
      </c>
      <c r="AX73" s="71" t="str">
        <f t="shared" si="45"/>
        <v/>
      </c>
      <c r="AY73" s="71" t="str">
        <f t="shared" si="45"/>
        <v/>
      </c>
      <c r="AZ73" s="71" t="str">
        <f t="shared" si="45"/>
        <v/>
      </c>
      <c r="BA73" s="71" t="str">
        <f t="shared" si="45"/>
        <v/>
      </c>
      <c r="BB73" s="71" t="str">
        <f t="shared" si="45"/>
        <v/>
      </c>
      <c r="BC73" s="18" t="str">
        <f>IF(C73&lt;&gt;"",(('Data input'!C$109-'Data input'!C$108)*(AS73-1)/4)+'Data input'!C$108,"")</f>
        <v/>
      </c>
      <c r="BD73" s="18" t="str">
        <f>IF(D73&lt;&gt;"",(('Data input'!D$109-'Data input'!D$108)*(AT73-1)/4)+'Data input'!D$108,"")</f>
        <v/>
      </c>
      <c r="BE73" s="18" t="str">
        <f>IF(E73&lt;&gt;"",(('Data input'!E$109-'Data input'!E$108)*(AU73-1)/4)+'Data input'!E$108,"")</f>
        <v/>
      </c>
      <c r="BF73" s="18" t="str">
        <f>IF(F73&lt;&gt;"",(('Data input'!F$109-'Data input'!F$108)*(AV73-1)/4)+'Data input'!F$108,"")</f>
        <v/>
      </c>
      <c r="BG73" s="18" t="str">
        <f>IF(G73&lt;&gt;"",(('Data input'!G$109-'Data input'!G$108)*(AW73-1)/4)+'Data input'!G$108,"")</f>
        <v/>
      </c>
      <c r="BH73" s="19" t="str">
        <f>IF(H73&lt;&gt;"",(('Data input'!H$109-'Data input'!H$108)*(AX73-1)/4)+'Data input'!H$108,"")</f>
        <v/>
      </c>
      <c r="BI73" s="18" t="str">
        <f>IF(I73&lt;&gt;"",(('Data input'!I$109-'Data input'!I$108)*(AY73-1)/4)+'Data input'!I$108,"")</f>
        <v/>
      </c>
      <c r="BJ73" s="19" t="str">
        <f>IF(J73&lt;&gt;"",(('Data input'!J$109-'Data input'!J$108)*(AZ73-1)/4)+'Data input'!J$108,"")</f>
        <v/>
      </c>
      <c r="BK73" s="19" t="str">
        <f>IF(K73&lt;&gt;"",(('Data input'!K$109-'Data input'!K$108)*(BA73-1)/4)+'Data input'!K$108,"")</f>
        <v/>
      </c>
      <c r="BL73" s="19" t="str">
        <f>IF(L73&lt;&gt;"",(('Data input'!L$109-'Data input'!L$108)*(BB73-1)/4)+'Data input'!L$108,"")</f>
        <v/>
      </c>
      <c r="BM73" s="18" t="str">
        <f>IF(C73&lt;&gt;"",BC73-'Data input'!C73,"")</f>
        <v/>
      </c>
      <c r="BN73" s="18" t="str">
        <f>IF(D73&lt;&gt;"",BD73-'Data input'!D73,"")</f>
        <v/>
      </c>
      <c r="BO73" s="18" t="str">
        <f>IF(E73&lt;&gt;"",BE73-'Data input'!E73,"")</f>
        <v/>
      </c>
      <c r="BP73" s="18" t="str">
        <f>IF(F73&lt;&gt;"",BF73-'Data input'!F73,"")</f>
        <v/>
      </c>
      <c r="BQ73" s="18" t="str">
        <f>IF(G73&lt;&gt;"",BG73-'Data input'!G73,"")</f>
        <v/>
      </c>
      <c r="BR73" s="19" t="str">
        <f>IF(H73&lt;&gt;"",BH73-'Data input'!H73,"")</f>
        <v/>
      </c>
      <c r="BS73" s="18" t="str">
        <f>IF(I73&lt;&gt;"",BI73-'Data input'!I73,"")</f>
        <v/>
      </c>
      <c r="BT73" s="18" t="str">
        <f>IF(J73&lt;&gt;"",BJ73-'Data input'!J73,"")</f>
        <v/>
      </c>
      <c r="BU73" s="18" t="str">
        <f>IF(K73&lt;&gt;"",BK73-'Data input'!K73,"")</f>
        <v/>
      </c>
      <c r="BV73" s="72" t="str">
        <f>IF(L73&lt;&gt;"",BL73-'Data input'!L73,"")</f>
        <v/>
      </c>
      <c r="BW73" s="121" t="str">
        <f t="shared" si="49"/>
        <v/>
      </c>
      <c r="FT73" s="1" t="str">
        <f t="shared" si="46"/>
        <v/>
      </c>
      <c r="FU73" s="1" t="str">
        <f t="shared" si="46"/>
        <v/>
      </c>
      <c r="FV73" s="1" t="str">
        <f t="shared" si="46"/>
        <v/>
      </c>
      <c r="FW73" s="1" t="str">
        <f t="shared" si="46"/>
        <v/>
      </c>
      <c r="FX73" s="1" t="str">
        <f t="shared" si="46"/>
        <v/>
      </c>
      <c r="FY73" s="1" t="str">
        <f t="shared" si="46"/>
        <v/>
      </c>
      <c r="FZ73" s="1" t="str">
        <f t="shared" si="46"/>
        <v/>
      </c>
      <c r="GA73" s="1" t="str">
        <f t="shared" si="46"/>
        <v/>
      </c>
      <c r="GB73" s="1" t="str">
        <f t="shared" si="46"/>
        <v/>
      </c>
      <c r="GC73" s="1" t="str">
        <f t="shared" si="46"/>
        <v/>
      </c>
      <c r="GD73" s="1" t="str">
        <f t="shared" si="46"/>
        <v/>
      </c>
      <c r="GE73" s="1" t="str">
        <f t="shared" si="46"/>
        <v/>
      </c>
      <c r="GF73" s="1" t="str">
        <f t="shared" si="46"/>
        <v/>
      </c>
      <c r="GG73" s="1" t="str">
        <f t="shared" si="46"/>
        <v/>
      </c>
      <c r="GH73" s="1" t="str">
        <f t="shared" si="46"/>
        <v/>
      </c>
      <c r="GI73" s="1" t="str">
        <f t="shared" si="46"/>
        <v/>
      </c>
      <c r="GJ73" s="1" t="str">
        <f t="shared" si="51"/>
        <v/>
      </c>
      <c r="GK73" s="1" t="str">
        <f t="shared" si="51"/>
        <v/>
      </c>
      <c r="GL73" s="1" t="str">
        <f t="shared" si="51"/>
        <v/>
      </c>
      <c r="GM73" s="1" t="str">
        <f t="shared" si="51"/>
        <v/>
      </c>
      <c r="GN73" s="1" t="str">
        <f t="shared" si="51"/>
        <v/>
      </c>
      <c r="GO73" s="1" t="str">
        <f t="shared" si="51"/>
        <v/>
      </c>
      <c r="GP73" s="1" t="str">
        <f t="shared" si="51"/>
        <v/>
      </c>
      <c r="GQ73" s="1" t="str">
        <f t="shared" si="51"/>
        <v/>
      </c>
      <c r="GR73" s="1" t="str">
        <f t="shared" si="51"/>
        <v/>
      </c>
      <c r="GS73" s="1" t="str">
        <f t="shared" si="51"/>
        <v/>
      </c>
      <c r="GT73" s="1" t="str">
        <f t="shared" si="50"/>
        <v/>
      </c>
      <c r="GU73" s="1" t="str">
        <f t="shared" si="50"/>
        <v/>
      </c>
      <c r="GV73" s="1" t="str">
        <f t="shared" si="50"/>
        <v/>
      </c>
      <c r="GW73" s="1" t="str">
        <f t="shared" si="50"/>
        <v/>
      </c>
      <c r="GX73" s="1" t="str">
        <f t="shared" si="50"/>
        <v/>
      </c>
      <c r="GY73" s="1" t="str">
        <f t="shared" si="39"/>
        <v/>
      </c>
      <c r="GZ73" s="1" t="str">
        <f t="shared" si="39"/>
        <v/>
      </c>
      <c r="HA73" s="1" t="str">
        <f t="shared" si="39"/>
        <v/>
      </c>
      <c r="HB73" s="1" t="str">
        <f t="shared" si="39"/>
        <v/>
      </c>
      <c r="HC73" s="1" t="str">
        <f t="shared" si="39"/>
        <v/>
      </c>
      <c r="HD73" s="1" t="str">
        <f t="shared" si="39"/>
        <v/>
      </c>
      <c r="HE73" s="1" t="str">
        <f t="shared" si="39"/>
        <v/>
      </c>
      <c r="HF73" s="1" t="str">
        <f t="shared" si="39"/>
        <v/>
      </c>
      <c r="HG73" s="1" t="str">
        <f t="shared" si="39"/>
        <v/>
      </c>
      <c r="HH73" s="1" t="str">
        <f t="shared" si="39"/>
        <v/>
      </c>
      <c r="HI73" s="1" t="str">
        <f t="shared" si="39"/>
        <v/>
      </c>
      <c r="HJ73" s="1" t="str">
        <f t="shared" si="39"/>
        <v/>
      </c>
      <c r="HK73" s="1" t="str">
        <f t="shared" si="39"/>
        <v/>
      </c>
      <c r="HL73" s="1" t="str">
        <f t="shared" si="39"/>
        <v/>
      </c>
      <c r="HM73" s="1" t="str">
        <f t="shared" si="39"/>
        <v/>
      </c>
      <c r="HN73" s="1" t="str">
        <f t="shared" si="39"/>
        <v/>
      </c>
      <c r="HO73" s="1" t="str">
        <f t="shared" si="52"/>
        <v/>
      </c>
      <c r="HP73" s="1" t="str">
        <f t="shared" si="47"/>
        <v/>
      </c>
      <c r="HQ73" s="1" t="str">
        <f t="shared" si="47"/>
        <v/>
      </c>
      <c r="HR73" s="1" t="str">
        <f t="shared" si="47"/>
        <v/>
      </c>
      <c r="HS73" s="1" t="str">
        <f t="shared" si="47"/>
        <v/>
      </c>
      <c r="HT73" s="1" t="str">
        <f t="shared" si="47"/>
        <v/>
      </c>
      <c r="HU73" s="1" t="str">
        <f t="shared" si="47"/>
        <v/>
      </c>
      <c r="HV73" s="1" t="str">
        <f t="shared" si="47"/>
        <v/>
      </c>
      <c r="HW73" s="1" t="str">
        <f t="shared" si="41"/>
        <v/>
      </c>
      <c r="HX73" s="1" t="str">
        <f t="shared" si="41"/>
        <v/>
      </c>
      <c r="HY73" s="1" t="str">
        <f t="shared" si="41"/>
        <v/>
      </c>
      <c r="HZ73" s="1" t="str">
        <f t="shared" si="41"/>
        <v/>
      </c>
      <c r="IA73" s="1" t="str">
        <f t="shared" si="41"/>
        <v/>
      </c>
      <c r="IB73" s="1" t="str">
        <f t="shared" si="41"/>
        <v/>
      </c>
      <c r="IC73" s="1" t="str">
        <f t="shared" si="41"/>
        <v/>
      </c>
      <c r="ID73" s="1" t="str">
        <f t="shared" si="41"/>
        <v/>
      </c>
      <c r="IE73" s="1" t="str">
        <f t="shared" si="41"/>
        <v/>
      </c>
      <c r="IF73" s="1" t="str">
        <f t="shared" si="41"/>
        <v/>
      </c>
      <c r="IG73" s="1" t="str">
        <f t="shared" si="41"/>
        <v/>
      </c>
      <c r="IH73" s="1" t="str">
        <f t="shared" si="41"/>
        <v/>
      </c>
      <c r="II73" s="1" t="str">
        <f t="shared" si="41"/>
        <v/>
      </c>
      <c r="IJ73" s="1" t="str">
        <f t="shared" si="41"/>
        <v/>
      </c>
      <c r="IK73" s="1" t="str">
        <f t="shared" si="41"/>
        <v/>
      </c>
      <c r="IL73" s="1" t="str">
        <f t="shared" si="41"/>
        <v/>
      </c>
      <c r="IM73" s="1" t="str">
        <f t="shared" si="42"/>
        <v/>
      </c>
      <c r="IN73" s="1" t="str">
        <f t="shared" si="42"/>
        <v/>
      </c>
      <c r="IO73" s="1" t="str">
        <f t="shared" si="42"/>
        <v/>
      </c>
      <c r="IP73" s="1" t="str">
        <f t="shared" si="42"/>
        <v/>
      </c>
      <c r="IQ73" s="1" t="str">
        <f t="shared" si="42"/>
        <v/>
      </c>
      <c r="IR73" s="1" t="str">
        <f t="shared" si="42"/>
        <v/>
      </c>
      <c r="IS73" s="1" t="str">
        <f t="shared" si="42"/>
        <v/>
      </c>
      <c r="IT73" s="1" t="str">
        <f t="shared" si="42"/>
        <v/>
      </c>
      <c r="IU73" s="1" t="str">
        <f t="shared" si="42"/>
        <v/>
      </c>
      <c r="IV73" s="1" t="str">
        <f t="shared" si="42"/>
        <v/>
      </c>
      <c r="IW73" s="1" t="str">
        <f t="shared" si="42"/>
        <v/>
      </c>
      <c r="IX73" s="1" t="str">
        <f t="shared" si="42"/>
        <v/>
      </c>
      <c r="IY73" s="1" t="str">
        <f t="shared" si="42"/>
        <v/>
      </c>
      <c r="IZ73" s="1" t="str">
        <f t="shared" si="42"/>
        <v/>
      </c>
      <c r="JA73" s="1" t="str">
        <f t="shared" si="42"/>
        <v/>
      </c>
      <c r="JB73" s="1" t="str">
        <f t="shared" si="42"/>
        <v/>
      </c>
      <c r="JC73" s="1" t="str">
        <f t="shared" si="43"/>
        <v/>
      </c>
      <c r="JD73" s="1" t="str">
        <f t="shared" si="43"/>
        <v/>
      </c>
      <c r="JE73" s="1" t="str">
        <f t="shared" si="43"/>
        <v/>
      </c>
      <c r="JF73" s="1" t="str">
        <f t="shared" si="43"/>
        <v/>
      </c>
      <c r="JG73" s="1" t="str">
        <f t="shared" si="37"/>
        <v/>
      </c>
      <c r="JH73" s="1" t="str">
        <f t="shared" si="37"/>
        <v/>
      </c>
      <c r="JI73" s="1" t="str">
        <f t="shared" si="37"/>
        <v/>
      </c>
      <c r="JJ73" s="1" t="str">
        <f t="shared" si="30"/>
        <v/>
      </c>
      <c r="JK73" s="1" t="str">
        <f t="shared" si="30"/>
        <v/>
      </c>
      <c r="JL73" s="1" t="str">
        <f t="shared" si="24"/>
        <v/>
      </c>
      <c r="JM73" s="1" t="str">
        <f t="shared" si="24"/>
        <v/>
      </c>
      <c r="JN73" s="1" t="str">
        <f t="shared" si="24"/>
        <v/>
      </c>
      <c r="JO73" s="1" t="str">
        <f t="shared" si="24"/>
        <v/>
      </c>
    </row>
    <row r="74" spans="1:275" ht="14.5" x14ac:dyDescent="0.35">
      <c r="A74" s="59" t="str">
        <f>IF('Data input'!A74&lt;&gt;"",'Data input'!A74,"")</f>
        <v/>
      </c>
      <c r="B74" s="15" t="str">
        <f>IF('Data input'!B74&lt;&gt;"",'Data input'!B74,"")</f>
        <v/>
      </c>
      <c r="C74" s="16" t="str">
        <f>IF('Data input'!C74="","",4*('Data input'!C74-'Data input'!C$108)/('Data input'!C$109-'Data input'!C$108)+1)</f>
        <v/>
      </c>
      <c r="D74" s="16" t="str">
        <f>IF('Data input'!D74="","",4*('Data input'!D74-'Data input'!D$108)/('Data input'!D$109-'Data input'!D$108)+1)</f>
        <v/>
      </c>
      <c r="E74" s="16" t="str">
        <f>IF('Data input'!E74="","",4*('Data input'!E74-'Data input'!E$108)/('Data input'!E$109-'Data input'!E$108)+1)</f>
        <v/>
      </c>
      <c r="F74" s="16" t="str">
        <f>IF('Data input'!F74="","",4*('Data input'!F74-'Data input'!F$108)/('Data input'!F$109-'Data input'!F$108)+1)</f>
        <v/>
      </c>
      <c r="G74" s="16" t="str">
        <f>IF('Data input'!G74="","",4*('Data input'!G74-'Data input'!G$108)/('Data input'!G$109-'Data input'!G$108)+1)</f>
        <v/>
      </c>
      <c r="H74" s="16" t="str">
        <f>IF('Data input'!H74="","",4*('Data input'!H74-'Data input'!H$108)/('Data input'!H$109-'Data input'!H$108)+1)</f>
        <v/>
      </c>
      <c r="I74" s="19" t="str">
        <f>IF('Data input'!I74="","",4*('Data input'!I74-'Data input'!I$108)/('Data input'!I$109-'Data input'!I$108)+1)</f>
        <v/>
      </c>
      <c r="J74" s="19" t="str">
        <f>IF('Data input'!J74="","",4*('Data input'!J74-'Data input'!J$108)/('Data input'!J$109-'Data input'!J$108)+1)</f>
        <v/>
      </c>
      <c r="K74" s="19" t="str">
        <f>IF('Data input'!K74="","",4*('Data input'!K74-'Data input'!K$108)/('Data input'!K$109-'Data input'!K$108)+1)</f>
        <v/>
      </c>
      <c r="L74" s="19" t="str">
        <f>IF('Data input'!L74="","",4*('Data input'!L74-'Data input'!L$108)/('Data input'!L$109-'Data input'!L$108)+1)</f>
        <v/>
      </c>
      <c r="M74" s="16" t="str">
        <f>IF('Data input'!M74="","",4*('Data input'!M74-'Data input'!M$108)/('Data input'!M$109-'Data input'!M$108)+1)</f>
        <v/>
      </c>
      <c r="N74" s="16" t="str">
        <f>IF('Data input'!N74="","",4*('Data input'!N74-'Data input'!N$108)/('Data input'!N$109-'Data input'!N$108)+1)</f>
        <v/>
      </c>
      <c r="O74" s="16" t="str">
        <f>IF('Data input'!O74="","",4*('Data input'!O74-'Data input'!O$108)/('Data input'!O$109-'Data input'!O$108)+1)</f>
        <v/>
      </c>
      <c r="P74" s="16" t="str">
        <f>IF('Data input'!P74="","",4*('Data input'!P74-'Data input'!P$108)/('Data input'!P$109-'Data input'!P$108)+1)</f>
        <v/>
      </c>
      <c r="Q74" s="16" t="str">
        <f>IF('Data input'!Q74="","",4*('Data input'!Q74-'Data input'!Q$108)/('Data input'!Q$109-'Data input'!Q$108)+1)</f>
        <v/>
      </c>
      <c r="R74" s="16" t="str">
        <f>IF('Data input'!R74="","",4*('Data input'!R74-'Data input'!R$108)/('Data input'!R$109-'Data input'!R$108)+1)</f>
        <v/>
      </c>
      <c r="S74" s="16" t="str">
        <f>IF('Data input'!S74="","",4*('Data input'!S74-'Data input'!S$108)/('Data input'!S$109-'Data input'!S$108)+1)</f>
        <v/>
      </c>
      <c r="T74" s="16" t="str">
        <f>IF('Data input'!T74="","",4*('Data input'!T74-'Data input'!T$108)/('Data input'!T$109-'Data input'!T$108)+1)</f>
        <v/>
      </c>
      <c r="U74" s="16" t="str">
        <f>IF('Data input'!U74="","",4*('Data input'!U74-'Data input'!U$108)/('Data input'!U$109-'Data input'!U$108)+1)</f>
        <v/>
      </c>
      <c r="V74" s="16" t="str">
        <f>IF('Data input'!V74="","",4*('Data input'!V74-'Data input'!V$108)/('Data input'!V$109-'Data input'!V$108)+1)</f>
        <v/>
      </c>
      <c r="W74" s="16" t="str">
        <f>IF('Data input'!W74="","",4*('Data input'!W74-'Data input'!W$108)/('Data input'!W$109-'Data input'!W$108)+1)</f>
        <v/>
      </c>
      <c r="X74" s="16" t="str">
        <f>IF('Data input'!X74="","",4*('Data input'!X74-'Data input'!X$108)/('Data input'!X$109-'Data input'!X$108)+1)</f>
        <v/>
      </c>
      <c r="Y74" s="16" t="str">
        <f>IF('Data input'!Y74="","",4*('Data input'!Y74-'Data input'!Y$108)/('Data input'!Y$109-'Data input'!Y$108)+1)</f>
        <v/>
      </c>
      <c r="Z74" s="16" t="str">
        <f>IF('Data input'!Z74="","",4*('Data input'!Z74-'Data input'!Z$108)/('Data input'!Z$109-'Data input'!Z$108)+1)</f>
        <v/>
      </c>
      <c r="AA74" s="62" t="str">
        <f>IF('Data input'!AA74="","",4*('Data input'!AA74-'Data input'!AA$108)/('Data input'!AA$109-'Data input'!AA$108)+1)</f>
        <v/>
      </c>
      <c r="AB74" s="78"/>
      <c r="AC74" s="79">
        <v>0</v>
      </c>
      <c r="AD74" s="80" t="e">
        <f t="shared" si="48"/>
        <v>#DIV/0!</v>
      </c>
      <c r="AE74" s="4"/>
      <c r="AF74" s="59" t="str">
        <f t="shared" si="40"/>
        <v/>
      </c>
      <c r="AG74" s="60" t="str">
        <f t="shared" si="40"/>
        <v/>
      </c>
      <c r="AH74"/>
      <c r="AI74"/>
      <c r="AJ74"/>
      <c r="AK74"/>
      <c r="AL74"/>
      <c r="AM74"/>
      <c r="AN74"/>
      <c r="AO74"/>
      <c r="AP74"/>
      <c r="AQ74"/>
      <c r="AR74"/>
      <c r="AS74" s="71" t="str">
        <f t="shared" si="44"/>
        <v/>
      </c>
      <c r="AT74" s="71" t="str">
        <f t="shared" si="44"/>
        <v/>
      </c>
      <c r="AU74" s="71" t="str">
        <f t="shared" si="44"/>
        <v/>
      </c>
      <c r="AV74" s="71" t="str">
        <f t="shared" si="44"/>
        <v/>
      </c>
      <c r="AW74" s="71" t="str">
        <f t="shared" si="44"/>
        <v/>
      </c>
      <c r="AX74" s="71" t="str">
        <f t="shared" si="45"/>
        <v/>
      </c>
      <c r="AY74" s="71" t="str">
        <f t="shared" si="45"/>
        <v/>
      </c>
      <c r="AZ74" s="71" t="str">
        <f t="shared" si="45"/>
        <v/>
      </c>
      <c r="BA74" s="71" t="str">
        <f t="shared" si="45"/>
        <v/>
      </c>
      <c r="BB74" s="71" t="str">
        <f t="shared" si="45"/>
        <v/>
      </c>
      <c r="BC74" s="18" t="str">
        <f>IF(C74&lt;&gt;"",(('Data input'!C$109-'Data input'!C$108)*(AS74-1)/4)+'Data input'!C$108,"")</f>
        <v/>
      </c>
      <c r="BD74" s="18" t="str">
        <f>IF(D74&lt;&gt;"",(('Data input'!D$109-'Data input'!D$108)*(AT74-1)/4)+'Data input'!D$108,"")</f>
        <v/>
      </c>
      <c r="BE74" s="18" t="str">
        <f>IF(E74&lt;&gt;"",(('Data input'!E$109-'Data input'!E$108)*(AU74-1)/4)+'Data input'!E$108,"")</f>
        <v/>
      </c>
      <c r="BF74" s="18" t="str">
        <f>IF(F74&lt;&gt;"",(('Data input'!F$109-'Data input'!F$108)*(AV74-1)/4)+'Data input'!F$108,"")</f>
        <v/>
      </c>
      <c r="BG74" s="18" t="str">
        <f>IF(G74&lt;&gt;"",(('Data input'!G$109-'Data input'!G$108)*(AW74-1)/4)+'Data input'!G$108,"")</f>
        <v/>
      </c>
      <c r="BH74" s="19" t="str">
        <f>IF(H74&lt;&gt;"",(('Data input'!H$109-'Data input'!H$108)*(AX74-1)/4)+'Data input'!H$108,"")</f>
        <v/>
      </c>
      <c r="BI74" s="18" t="str">
        <f>IF(I74&lt;&gt;"",(('Data input'!I$109-'Data input'!I$108)*(AY74-1)/4)+'Data input'!I$108,"")</f>
        <v/>
      </c>
      <c r="BJ74" s="19" t="str">
        <f>IF(J74&lt;&gt;"",(('Data input'!J$109-'Data input'!J$108)*(AZ74-1)/4)+'Data input'!J$108,"")</f>
        <v/>
      </c>
      <c r="BK74" s="19" t="str">
        <f>IF(K74&lt;&gt;"",(('Data input'!K$109-'Data input'!K$108)*(BA74-1)/4)+'Data input'!K$108,"")</f>
        <v/>
      </c>
      <c r="BL74" s="19" t="str">
        <f>IF(L74&lt;&gt;"",(('Data input'!L$109-'Data input'!L$108)*(BB74-1)/4)+'Data input'!L$108,"")</f>
        <v/>
      </c>
      <c r="BM74" s="18" t="str">
        <f>IF(C74&lt;&gt;"",BC74-'Data input'!C74,"")</f>
        <v/>
      </c>
      <c r="BN74" s="18" t="str">
        <f>IF(D74&lt;&gt;"",BD74-'Data input'!D74,"")</f>
        <v/>
      </c>
      <c r="BO74" s="18" t="str">
        <f>IF(E74&lt;&gt;"",BE74-'Data input'!E74,"")</f>
        <v/>
      </c>
      <c r="BP74" s="18" t="str">
        <f>IF(F74&lt;&gt;"",BF74-'Data input'!F74,"")</f>
        <v/>
      </c>
      <c r="BQ74" s="18" t="str">
        <f>IF(G74&lt;&gt;"",BG74-'Data input'!G74,"")</f>
        <v/>
      </c>
      <c r="BR74" s="19" t="str">
        <f>IF(H74&lt;&gt;"",BH74-'Data input'!H74,"")</f>
        <v/>
      </c>
      <c r="BS74" s="18" t="str">
        <f>IF(I74&lt;&gt;"",BI74-'Data input'!I74,"")</f>
        <v/>
      </c>
      <c r="BT74" s="18" t="str">
        <f>IF(J74&lt;&gt;"",BJ74-'Data input'!J74,"")</f>
        <v/>
      </c>
      <c r="BU74" s="18" t="str">
        <f>IF(K74&lt;&gt;"",BK74-'Data input'!K74,"")</f>
        <v/>
      </c>
      <c r="BV74" s="72" t="str">
        <f>IF(L74&lt;&gt;"",BL74-'Data input'!L74,"")</f>
        <v/>
      </c>
      <c r="BW74" s="121" t="str">
        <f t="shared" si="49"/>
        <v/>
      </c>
      <c r="FT74" s="1" t="str">
        <f t="shared" si="46"/>
        <v/>
      </c>
      <c r="FU74" s="1" t="str">
        <f t="shared" si="46"/>
        <v/>
      </c>
      <c r="FV74" s="1" t="str">
        <f t="shared" si="46"/>
        <v/>
      </c>
      <c r="FW74" s="1" t="str">
        <f t="shared" si="46"/>
        <v/>
      </c>
      <c r="FX74" s="1" t="str">
        <f t="shared" si="46"/>
        <v/>
      </c>
      <c r="FY74" s="1" t="str">
        <f t="shared" si="46"/>
        <v/>
      </c>
      <c r="FZ74" s="1" t="str">
        <f t="shared" si="46"/>
        <v/>
      </c>
      <c r="GA74" s="1" t="str">
        <f t="shared" si="46"/>
        <v/>
      </c>
      <c r="GB74" s="1" t="str">
        <f t="shared" si="46"/>
        <v/>
      </c>
      <c r="GC74" s="1" t="str">
        <f t="shared" si="46"/>
        <v/>
      </c>
      <c r="GD74" s="1" t="str">
        <f t="shared" si="46"/>
        <v/>
      </c>
      <c r="GE74" s="1" t="str">
        <f t="shared" si="46"/>
        <v/>
      </c>
      <c r="GF74" s="1" t="str">
        <f t="shared" si="46"/>
        <v/>
      </c>
      <c r="GG74" s="1" t="str">
        <f t="shared" si="46"/>
        <v/>
      </c>
      <c r="GH74" s="1" t="str">
        <f t="shared" si="46"/>
        <v/>
      </c>
      <c r="GI74" s="1" t="str">
        <f t="shared" si="46"/>
        <v/>
      </c>
      <c r="GJ74" s="1" t="str">
        <f t="shared" si="51"/>
        <v/>
      </c>
      <c r="GK74" s="1" t="str">
        <f t="shared" si="51"/>
        <v/>
      </c>
      <c r="GL74" s="1" t="str">
        <f t="shared" si="51"/>
        <v/>
      </c>
      <c r="GM74" s="1" t="str">
        <f t="shared" si="51"/>
        <v/>
      </c>
      <c r="GN74" s="1" t="str">
        <f t="shared" si="51"/>
        <v/>
      </c>
      <c r="GO74" s="1" t="str">
        <f t="shared" si="51"/>
        <v/>
      </c>
      <c r="GP74" s="1" t="str">
        <f t="shared" si="51"/>
        <v/>
      </c>
      <c r="GQ74" s="1" t="str">
        <f t="shared" si="51"/>
        <v/>
      </c>
      <c r="GR74" s="1" t="str">
        <f t="shared" si="51"/>
        <v/>
      </c>
      <c r="GS74" s="1" t="str">
        <f t="shared" si="51"/>
        <v/>
      </c>
      <c r="GT74" s="1" t="str">
        <f t="shared" si="50"/>
        <v/>
      </c>
      <c r="GU74" s="1" t="str">
        <f t="shared" si="50"/>
        <v/>
      </c>
      <c r="GV74" s="1" t="str">
        <f t="shared" si="50"/>
        <v/>
      </c>
      <c r="GW74" s="1" t="str">
        <f t="shared" si="50"/>
        <v/>
      </c>
      <c r="GX74" s="1" t="str">
        <f t="shared" si="50"/>
        <v/>
      </c>
      <c r="GY74" s="1" t="str">
        <f t="shared" si="39"/>
        <v/>
      </c>
      <c r="GZ74" s="1" t="str">
        <f t="shared" si="39"/>
        <v/>
      </c>
      <c r="HA74" s="1" t="str">
        <f t="shared" si="39"/>
        <v/>
      </c>
      <c r="HB74" s="1" t="str">
        <f t="shared" si="39"/>
        <v/>
      </c>
      <c r="HC74" s="1" t="str">
        <f t="shared" si="39"/>
        <v/>
      </c>
      <c r="HD74" s="1" t="str">
        <f t="shared" si="39"/>
        <v/>
      </c>
      <c r="HE74" s="1" t="str">
        <f t="shared" si="39"/>
        <v/>
      </c>
      <c r="HF74" s="1" t="str">
        <f t="shared" si="39"/>
        <v/>
      </c>
      <c r="HG74" s="1" t="str">
        <f t="shared" si="39"/>
        <v/>
      </c>
      <c r="HH74" s="1" t="str">
        <f t="shared" si="39"/>
        <v/>
      </c>
      <c r="HI74" s="1" t="str">
        <f t="shared" si="39"/>
        <v/>
      </c>
      <c r="HJ74" s="1" t="str">
        <f t="shared" si="39"/>
        <v/>
      </c>
      <c r="HK74" s="1" t="str">
        <f t="shared" si="39"/>
        <v/>
      </c>
      <c r="HL74" s="1" t="str">
        <f t="shared" si="39"/>
        <v/>
      </c>
      <c r="HM74" s="1" t="str">
        <f t="shared" si="39"/>
        <v/>
      </c>
      <c r="HN74" s="1" t="str">
        <f t="shared" si="39"/>
        <v/>
      </c>
      <c r="HO74" s="1" t="str">
        <f t="shared" si="52"/>
        <v/>
      </c>
      <c r="HP74" s="1" t="str">
        <f t="shared" si="47"/>
        <v/>
      </c>
      <c r="HQ74" s="1" t="str">
        <f t="shared" si="47"/>
        <v/>
      </c>
      <c r="HR74" s="1" t="str">
        <f t="shared" si="47"/>
        <v/>
      </c>
      <c r="HS74" s="1" t="str">
        <f t="shared" si="47"/>
        <v/>
      </c>
      <c r="HT74" s="1" t="str">
        <f t="shared" si="47"/>
        <v/>
      </c>
      <c r="HU74" s="1" t="str">
        <f t="shared" si="47"/>
        <v/>
      </c>
      <c r="HV74" s="1" t="str">
        <f t="shared" si="47"/>
        <v/>
      </c>
      <c r="HW74" s="1" t="str">
        <f t="shared" si="41"/>
        <v/>
      </c>
      <c r="HX74" s="1" t="str">
        <f t="shared" si="41"/>
        <v/>
      </c>
      <c r="HY74" s="1" t="str">
        <f t="shared" si="41"/>
        <v/>
      </c>
      <c r="HZ74" s="1" t="str">
        <f t="shared" si="41"/>
        <v/>
      </c>
      <c r="IA74" s="1" t="str">
        <f t="shared" si="41"/>
        <v/>
      </c>
      <c r="IB74" s="1" t="str">
        <f t="shared" si="41"/>
        <v/>
      </c>
      <c r="IC74" s="1" t="str">
        <f t="shared" si="41"/>
        <v/>
      </c>
      <c r="ID74" s="1" t="str">
        <f t="shared" si="41"/>
        <v/>
      </c>
      <c r="IE74" s="1" t="str">
        <f t="shared" si="41"/>
        <v/>
      </c>
      <c r="IF74" s="1" t="str">
        <f t="shared" si="41"/>
        <v/>
      </c>
      <c r="IG74" s="1" t="str">
        <f t="shared" si="41"/>
        <v/>
      </c>
      <c r="IH74" s="1" t="str">
        <f t="shared" si="41"/>
        <v/>
      </c>
      <c r="II74" s="1" t="str">
        <f t="shared" si="41"/>
        <v/>
      </c>
      <c r="IJ74" s="1" t="str">
        <f t="shared" si="41"/>
        <v/>
      </c>
      <c r="IK74" s="1" t="str">
        <f t="shared" si="41"/>
        <v/>
      </c>
      <c r="IL74" s="1" t="str">
        <f t="shared" si="41"/>
        <v/>
      </c>
      <c r="IM74" s="1" t="str">
        <f t="shared" si="42"/>
        <v/>
      </c>
      <c r="IN74" s="1" t="str">
        <f t="shared" si="42"/>
        <v/>
      </c>
      <c r="IO74" s="1" t="str">
        <f t="shared" si="42"/>
        <v/>
      </c>
      <c r="IP74" s="1" t="str">
        <f t="shared" si="42"/>
        <v/>
      </c>
      <c r="IQ74" s="1" t="str">
        <f t="shared" si="42"/>
        <v/>
      </c>
      <c r="IR74" s="1" t="str">
        <f t="shared" si="42"/>
        <v/>
      </c>
      <c r="IS74" s="1" t="str">
        <f t="shared" si="42"/>
        <v/>
      </c>
      <c r="IT74" s="1" t="str">
        <f t="shared" si="42"/>
        <v/>
      </c>
      <c r="IU74" s="1" t="str">
        <f t="shared" si="42"/>
        <v/>
      </c>
      <c r="IV74" s="1" t="str">
        <f t="shared" si="42"/>
        <v/>
      </c>
      <c r="IW74" s="1" t="str">
        <f t="shared" si="42"/>
        <v/>
      </c>
      <c r="IX74" s="1" t="str">
        <f t="shared" si="42"/>
        <v/>
      </c>
      <c r="IY74" s="1" t="str">
        <f t="shared" si="42"/>
        <v/>
      </c>
      <c r="IZ74" s="1" t="str">
        <f t="shared" si="42"/>
        <v/>
      </c>
      <c r="JA74" s="1" t="str">
        <f t="shared" si="42"/>
        <v/>
      </c>
      <c r="JB74" s="1" t="str">
        <f t="shared" si="42"/>
        <v/>
      </c>
      <c r="JC74" s="1" t="str">
        <f t="shared" si="43"/>
        <v/>
      </c>
      <c r="JD74" s="1" t="str">
        <f t="shared" si="43"/>
        <v/>
      </c>
      <c r="JE74" s="1" t="str">
        <f t="shared" si="43"/>
        <v/>
      </c>
      <c r="JF74" s="1" t="str">
        <f t="shared" si="43"/>
        <v/>
      </c>
      <c r="JG74" s="1" t="str">
        <f t="shared" si="37"/>
        <v/>
      </c>
      <c r="JH74" s="1" t="str">
        <f t="shared" si="37"/>
        <v/>
      </c>
      <c r="JI74" s="1" t="str">
        <f t="shared" si="37"/>
        <v/>
      </c>
      <c r="JJ74" s="1" t="str">
        <f t="shared" si="30"/>
        <v/>
      </c>
      <c r="JK74" s="1" t="str">
        <f t="shared" si="30"/>
        <v/>
      </c>
      <c r="JL74" s="1" t="str">
        <f t="shared" si="24"/>
        <v/>
      </c>
      <c r="JM74" s="1" t="str">
        <f t="shared" si="24"/>
        <v/>
      </c>
      <c r="JN74" s="1" t="str">
        <f t="shared" si="24"/>
        <v/>
      </c>
      <c r="JO74" s="1" t="str">
        <f t="shared" si="24"/>
        <v/>
      </c>
    </row>
    <row r="75" spans="1:275" ht="14.5" x14ac:dyDescent="0.35">
      <c r="A75" s="59" t="str">
        <f>IF('Data input'!A75&lt;&gt;"",'Data input'!A75,"")</f>
        <v/>
      </c>
      <c r="B75" s="15" t="str">
        <f>IF('Data input'!B75&lt;&gt;"",'Data input'!B75,"")</f>
        <v/>
      </c>
      <c r="C75" s="16" t="str">
        <f>IF('Data input'!C75="","",4*('Data input'!C75-'Data input'!C$108)/('Data input'!C$109-'Data input'!C$108)+1)</f>
        <v/>
      </c>
      <c r="D75" s="16" t="str">
        <f>IF('Data input'!D75="","",4*('Data input'!D75-'Data input'!D$108)/('Data input'!D$109-'Data input'!D$108)+1)</f>
        <v/>
      </c>
      <c r="E75" s="16" t="str">
        <f>IF('Data input'!E75="","",4*('Data input'!E75-'Data input'!E$108)/('Data input'!E$109-'Data input'!E$108)+1)</f>
        <v/>
      </c>
      <c r="F75" s="16" t="str">
        <f>IF('Data input'!F75="","",4*('Data input'!F75-'Data input'!F$108)/('Data input'!F$109-'Data input'!F$108)+1)</f>
        <v/>
      </c>
      <c r="G75" s="16" t="str">
        <f>IF('Data input'!G75="","",4*('Data input'!G75-'Data input'!G$108)/('Data input'!G$109-'Data input'!G$108)+1)</f>
        <v/>
      </c>
      <c r="H75" s="16" t="str">
        <f>IF('Data input'!H75="","",4*('Data input'!H75-'Data input'!H$108)/('Data input'!H$109-'Data input'!H$108)+1)</f>
        <v/>
      </c>
      <c r="I75" s="19" t="str">
        <f>IF('Data input'!I75="","",4*('Data input'!I75-'Data input'!I$108)/('Data input'!I$109-'Data input'!I$108)+1)</f>
        <v/>
      </c>
      <c r="J75" s="19" t="str">
        <f>IF('Data input'!J75="","",4*('Data input'!J75-'Data input'!J$108)/('Data input'!J$109-'Data input'!J$108)+1)</f>
        <v/>
      </c>
      <c r="K75" s="19" t="str">
        <f>IF('Data input'!K75="","",4*('Data input'!K75-'Data input'!K$108)/('Data input'!K$109-'Data input'!K$108)+1)</f>
        <v/>
      </c>
      <c r="L75" s="19" t="str">
        <f>IF('Data input'!L75="","",4*('Data input'!L75-'Data input'!L$108)/('Data input'!L$109-'Data input'!L$108)+1)</f>
        <v/>
      </c>
      <c r="M75" s="16" t="str">
        <f>IF('Data input'!M75="","",4*('Data input'!M75-'Data input'!M$108)/('Data input'!M$109-'Data input'!M$108)+1)</f>
        <v/>
      </c>
      <c r="N75" s="16" t="str">
        <f>IF('Data input'!N75="","",4*('Data input'!N75-'Data input'!N$108)/('Data input'!N$109-'Data input'!N$108)+1)</f>
        <v/>
      </c>
      <c r="O75" s="16" t="str">
        <f>IF('Data input'!O75="","",4*('Data input'!O75-'Data input'!O$108)/('Data input'!O$109-'Data input'!O$108)+1)</f>
        <v/>
      </c>
      <c r="P75" s="16" t="str">
        <f>IF('Data input'!P75="","",4*('Data input'!P75-'Data input'!P$108)/('Data input'!P$109-'Data input'!P$108)+1)</f>
        <v/>
      </c>
      <c r="Q75" s="16" t="str">
        <f>IF('Data input'!Q75="","",4*('Data input'!Q75-'Data input'!Q$108)/('Data input'!Q$109-'Data input'!Q$108)+1)</f>
        <v/>
      </c>
      <c r="R75" s="16" t="str">
        <f>IF('Data input'!R75="","",4*('Data input'!R75-'Data input'!R$108)/('Data input'!R$109-'Data input'!R$108)+1)</f>
        <v/>
      </c>
      <c r="S75" s="16" t="str">
        <f>IF('Data input'!S75="","",4*('Data input'!S75-'Data input'!S$108)/('Data input'!S$109-'Data input'!S$108)+1)</f>
        <v/>
      </c>
      <c r="T75" s="16" t="str">
        <f>IF('Data input'!T75="","",4*('Data input'!T75-'Data input'!T$108)/('Data input'!T$109-'Data input'!T$108)+1)</f>
        <v/>
      </c>
      <c r="U75" s="16" t="str">
        <f>IF('Data input'!U75="","",4*('Data input'!U75-'Data input'!U$108)/('Data input'!U$109-'Data input'!U$108)+1)</f>
        <v/>
      </c>
      <c r="V75" s="16" t="str">
        <f>IF('Data input'!V75="","",4*('Data input'!V75-'Data input'!V$108)/('Data input'!V$109-'Data input'!V$108)+1)</f>
        <v/>
      </c>
      <c r="W75" s="16" t="str">
        <f>IF('Data input'!W75="","",4*('Data input'!W75-'Data input'!W$108)/('Data input'!W$109-'Data input'!W$108)+1)</f>
        <v/>
      </c>
      <c r="X75" s="16" t="str">
        <f>IF('Data input'!X75="","",4*('Data input'!X75-'Data input'!X$108)/('Data input'!X$109-'Data input'!X$108)+1)</f>
        <v/>
      </c>
      <c r="Y75" s="16" t="str">
        <f>IF('Data input'!Y75="","",4*('Data input'!Y75-'Data input'!Y$108)/('Data input'!Y$109-'Data input'!Y$108)+1)</f>
        <v/>
      </c>
      <c r="Z75" s="16" t="str">
        <f>IF('Data input'!Z75="","",4*('Data input'!Z75-'Data input'!Z$108)/('Data input'!Z$109-'Data input'!Z$108)+1)</f>
        <v/>
      </c>
      <c r="AA75" s="62" t="str">
        <f>IF('Data input'!AA75="","",4*('Data input'!AA75-'Data input'!AA$108)/('Data input'!AA$109-'Data input'!AA$108)+1)</f>
        <v/>
      </c>
      <c r="AB75" s="78"/>
      <c r="AC75" s="79">
        <v>0</v>
      </c>
      <c r="AD75" s="80" t="e">
        <f t="shared" si="48"/>
        <v>#DIV/0!</v>
      </c>
      <c r="AE75" s="4"/>
      <c r="AF75" s="59" t="str">
        <f t="shared" si="40"/>
        <v/>
      </c>
      <c r="AG75" s="60" t="str">
        <f t="shared" si="40"/>
        <v/>
      </c>
      <c r="AH75"/>
      <c r="AI75"/>
      <c r="AJ75"/>
      <c r="AK75"/>
      <c r="AL75"/>
      <c r="AM75"/>
      <c r="AN75"/>
      <c r="AO75"/>
      <c r="AP75"/>
      <c r="AQ75"/>
      <c r="AR75"/>
      <c r="AS75" s="71" t="str">
        <f t="shared" si="44"/>
        <v/>
      </c>
      <c r="AT75" s="71" t="str">
        <f t="shared" si="44"/>
        <v/>
      </c>
      <c r="AU75" s="71" t="str">
        <f t="shared" si="44"/>
        <v/>
      </c>
      <c r="AV75" s="71" t="str">
        <f t="shared" si="44"/>
        <v/>
      </c>
      <c r="AW75" s="71" t="str">
        <f t="shared" si="44"/>
        <v/>
      </c>
      <c r="AX75" s="71" t="str">
        <f t="shared" si="45"/>
        <v/>
      </c>
      <c r="AY75" s="71" t="str">
        <f t="shared" si="45"/>
        <v/>
      </c>
      <c r="AZ75" s="71" t="str">
        <f t="shared" si="45"/>
        <v/>
      </c>
      <c r="BA75" s="71" t="str">
        <f t="shared" si="45"/>
        <v/>
      </c>
      <c r="BB75" s="71" t="str">
        <f t="shared" si="45"/>
        <v/>
      </c>
      <c r="BC75" s="18" t="str">
        <f>IF(C75&lt;&gt;"",(('Data input'!C$109-'Data input'!C$108)*(AS75-1)/4)+'Data input'!C$108,"")</f>
        <v/>
      </c>
      <c r="BD75" s="18" t="str">
        <f>IF(D75&lt;&gt;"",(('Data input'!D$109-'Data input'!D$108)*(AT75-1)/4)+'Data input'!D$108,"")</f>
        <v/>
      </c>
      <c r="BE75" s="18" t="str">
        <f>IF(E75&lt;&gt;"",(('Data input'!E$109-'Data input'!E$108)*(AU75-1)/4)+'Data input'!E$108,"")</f>
        <v/>
      </c>
      <c r="BF75" s="18" t="str">
        <f>IF(F75&lt;&gt;"",(('Data input'!F$109-'Data input'!F$108)*(AV75-1)/4)+'Data input'!F$108,"")</f>
        <v/>
      </c>
      <c r="BG75" s="18" t="str">
        <f>IF(G75&lt;&gt;"",(('Data input'!G$109-'Data input'!G$108)*(AW75-1)/4)+'Data input'!G$108,"")</f>
        <v/>
      </c>
      <c r="BH75" s="19" t="str">
        <f>IF(H75&lt;&gt;"",(('Data input'!H$109-'Data input'!H$108)*(AX75-1)/4)+'Data input'!H$108,"")</f>
        <v/>
      </c>
      <c r="BI75" s="18" t="str">
        <f>IF(I75&lt;&gt;"",(('Data input'!I$109-'Data input'!I$108)*(AY75-1)/4)+'Data input'!I$108,"")</f>
        <v/>
      </c>
      <c r="BJ75" s="19" t="str">
        <f>IF(J75&lt;&gt;"",(('Data input'!J$109-'Data input'!J$108)*(AZ75-1)/4)+'Data input'!J$108,"")</f>
        <v/>
      </c>
      <c r="BK75" s="19" t="str">
        <f>IF(K75&lt;&gt;"",(('Data input'!K$109-'Data input'!K$108)*(BA75-1)/4)+'Data input'!K$108,"")</f>
        <v/>
      </c>
      <c r="BL75" s="19" t="str">
        <f>IF(L75&lt;&gt;"",(('Data input'!L$109-'Data input'!L$108)*(BB75-1)/4)+'Data input'!L$108,"")</f>
        <v/>
      </c>
      <c r="BM75" s="18" t="str">
        <f>IF(C75&lt;&gt;"",BC75-'Data input'!C75,"")</f>
        <v/>
      </c>
      <c r="BN75" s="18" t="str">
        <f>IF(D75&lt;&gt;"",BD75-'Data input'!D75,"")</f>
        <v/>
      </c>
      <c r="BO75" s="18" t="str">
        <f>IF(E75&lt;&gt;"",BE75-'Data input'!E75,"")</f>
        <v/>
      </c>
      <c r="BP75" s="18" t="str">
        <f>IF(F75&lt;&gt;"",BF75-'Data input'!F75,"")</f>
        <v/>
      </c>
      <c r="BQ75" s="18" t="str">
        <f>IF(G75&lt;&gt;"",BG75-'Data input'!G75,"")</f>
        <v/>
      </c>
      <c r="BR75" s="19" t="str">
        <f>IF(H75&lt;&gt;"",BH75-'Data input'!H75,"")</f>
        <v/>
      </c>
      <c r="BS75" s="18" t="str">
        <f>IF(I75&lt;&gt;"",BI75-'Data input'!I75,"")</f>
        <v/>
      </c>
      <c r="BT75" s="18" t="str">
        <f>IF(J75&lt;&gt;"",BJ75-'Data input'!J75,"")</f>
        <v/>
      </c>
      <c r="BU75" s="18" t="str">
        <f>IF(K75&lt;&gt;"",BK75-'Data input'!K75,"")</f>
        <v/>
      </c>
      <c r="BV75" s="72" t="str">
        <f>IF(L75&lt;&gt;"",BL75-'Data input'!L75,"")</f>
        <v/>
      </c>
      <c r="BW75" s="121" t="str">
        <f t="shared" si="49"/>
        <v/>
      </c>
      <c r="FT75" s="1" t="str">
        <f t="shared" si="46"/>
        <v/>
      </c>
      <c r="FU75" s="1" t="str">
        <f t="shared" si="46"/>
        <v/>
      </c>
      <c r="FV75" s="1" t="str">
        <f t="shared" si="46"/>
        <v/>
      </c>
      <c r="FW75" s="1" t="str">
        <f t="shared" si="46"/>
        <v/>
      </c>
      <c r="FX75" s="1" t="str">
        <f t="shared" si="46"/>
        <v/>
      </c>
      <c r="FY75" s="1" t="str">
        <f t="shared" si="46"/>
        <v/>
      </c>
      <c r="FZ75" s="1" t="str">
        <f t="shared" si="46"/>
        <v/>
      </c>
      <c r="GA75" s="1" t="str">
        <f t="shared" si="46"/>
        <v/>
      </c>
      <c r="GB75" s="1" t="str">
        <f t="shared" si="46"/>
        <v/>
      </c>
      <c r="GC75" s="1" t="str">
        <f t="shared" si="46"/>
        <v/>
      </c>
      <c r="GD75" s="1" t="str">
        <f t="shared" si="46"/>
        <v/>
      </c>
      <c r="GE75" s="1" t="str">
        <f t="shared" si="46"/>
        <v/>
      </c>
      <c r="GF75" s="1" t="str">
        <f t="shared" si="46"/>
        <v/>
      </c>
      <c r="GG75" s="1" t="str">
        <f t="shared" si="46"/>
        <v/>
      </c>
      <c r="GH75" s="1" t="str">
        <f t="shared" si="46"/>
        <v/>
      </c>
      <c r="GI75" s="1" t="str">
        <f t="shared" si="46"/>
        <v/>
      </c>
      <c r="GJ75" s="1" t="str">
        <f t="shared" si="51"/>
        <v/>
      </c>
      <c r="GK75" s="1" t="str">
        <f t="shared" si="51"/>
        <v/>
      </c>
      <c r="GL75" s="1" t="str">
        <f t="shared" si="51"/>
        <v/>
      </c>
      <c r="GM75" s="1" t="str">
        <f t="shared" si="51"/>
        <v/>
      </c>
      <c r="GN75" s="1" t="str">
        <f t="shared" si="51"/>
        <v/>
      </c>
      <c r="GO75" s="1" t="str">
        <f t="shared" si="51"/>
        <v/>
      </c>
      <c r="GP75" s="1" t="str">
        <f t="shared" si="51"/>
        <v/>
      </c>
      <c r="GQ75" s="1" t="str">
        <f t="shared" si="51"/>
        <v/>
      </c>
      <c r="GR75" s="1" t="str">
        <f t="shared" si="51"/>
        <v/>
      </c>
      <c r="GS75" s="1" t="str">
        <f t="shared" si="51"/>
        <v/>
      </c>
      <c r="GT75" s="1" t="str">
        <f t="shared" si="50"/>
        <v/>
      </c>
      <c r="GU75" s="1" t="str">
        <f t="shared" si="50"/>
        <v/>
      </c>
      <c r="GV75" s="1" t="str">
        <f t="shared" si="50"/>
        <v/>
      </c>
      <c r="GW75" s="1" t="str">
        <f t="shared" si="50"/>
        <v/>
      </c>
      <c r="GX75" s="1" t="str">
        <f t="shared" si="50"/>
        <v/>
      </c>
      <c r="GY75" s="1" t="str">
        <f t="shared" si="39"/>
        <v/>
      </c>
      <c r="GZ75" s="1" t="str">
        <f t="shared" si="39"/>
        <v/>
      </c>
      <c r="HA75" s="1" t="str">
        <f t="shared" si="39"/>
        <v/>
      </c>
      <c r="HB75" s="1" t="str">
        <f t="shared" si="39"/>
        <v/>
      </c>
      <c r="HC75" s="1" t="str">
        <f t="shared" si="39"/>
        <v/>
      </c>
      <c r="HD75" s="1" t="str">
        <f t="shared" si="39"/>
        <v/>
      </c>
      <c r="HE75" s="1" t="str">
        <f t="shared" si="39"/>
        <v/>
      </c>
      <c r="HF75" s="1" t="str">
        <f t="shared" si="39"/>
        <v/>
      </c>
      <c r="HG75" s="1" t="str">
        <f t="shared" si="39"/>
        <v/>
      </c>
      <c r="HH75" s="1" t="str">
        <f t="shared" si="39"/>
        <v/>
      </c>
      <c r="HI75" s="1" t="str">
        <f t="shared" si="39"/>
        <v/>
      </c>
      <c r="HJ75" s="1" t="str">
        <f t="shared" si="39"/>
        <v/>
      </c>
      <c r="HK75" s="1" t="str">
        <f t="shared" si="39"/>
        <v/>
      </c>
      <c r="HL75" s="1" t="str">
        <f t="shared" si="39"/>
        <v/>
      </c>
      <c r="HM75" s="1" t="str">
        <f t="shared" si="39"/>
        <v/>
      </c>
      <c r="HN75" s="1" t="str">
        <f t="shared" si="39"/>
        <v/>
      </c>
      <c r="HO75" s="1" t="str">
        <f t="shared" si="52"/>
        <v/>
      </c>
      <c r="HP75" s="1" t="str">
        <f t="shared" si="47"/>
        <v/>
      </c>
      <c r="HQ75" s="1" t="str">
        <f t="shared" si="47"/>
        <v/>
      </c>
      <c r="HR75" s="1" t="str">
        <f t="shared" si="47"/>
        <v/>
      </c>
      <c r="HS75" s="1" t="str">
        <f t="shared" si="47"/>
        <v/>
      </c>
      <c r="HT75" s="1" t="str">
        <f t="shared" si="47"/>
        <v/>
      </c>
      <c r="HU75" s="1" t="str">
        <f t="shared" si="47"/>
        <v/>
      </c>
      <c r="HV75" s="1" t="str">
        <f t="shared" si="47"/>
        <v/>
      </c>
      <c r="HW75" s="1" t="str">
        <f t="shared" si="41"/>
        <v/>
      </c>
      <c r="HX75" s="1" t="str">
        <f t="shared" si="41"/>
        <v/>
      </c>
      <c r="HY75" s="1" t="str">
        <f t="shared" si="41"/>
        <v/>
      </c>
      <c r="HZ75" s="1" t="str">
        <f t="shared" si="41"/>
        <v/>
      </c>
      <c r="IA75" s="1" t="str">
        <f t="shared" si="41"/>
        <v/>
      </c>
      <c r="IB75" s="1" t="str">
        <f t="shared" si="41"/>
        <v/>
      </c>
      <c r="IC75" s="1" t="str">
        <f t="shared" si="41"/>
        <v/>
      </c>
      <c r="ID75" s="1" t="str">
        <f t="shared" si="41"/>
        <v/>
      </c>
      <c r="IE75" s="1" t="str">
        <f t="shared" si="41"/>
        <v/>
      </c>
      <c r="IF75" s="1" t="str">
        <f t="shared" si="41"/>
        <v/>
      </c>
      <c r="IG75" s="1" t="str">
        <f t="shared" si="41"/>
        <v/>
      </c>
      <c r="IH75" s="1" t="str">
        <f t="shared" si="41"/>
        <v/>
      </c>
      <c r="II75" s="1" t="str">
        <f t="shared" si="41"/>
        <v/>
      </c>
      <c r="IJ75" s="1" t="str">
        <f t="shared" si="41"/>
        <v/>
      </c>
      <c r="IK75" s="1" t="str">
        <f t="shared" si="41"/>
        <v/>
      </c>
      <c r="IL75" s="1" t="str">
        <f t="shared" si="41"/>
        <v/>
      </c>
      <c r="IM75" s="1" t="str">
        <f t="shared" si="42"/>
        <v/>
      </c>
      <c r="IN75" s="1" t="str">
        <f t="shared" si="42"/>
        <v/>
      </c>
      <c r="IO75" s="1" t="str">
        <f t="shared" si="42"/>
        <v/>
      </c>
      <c r="IP75" s="1" t="str">
        <f t="shared" si="42"/>
        <v/>
      </c>
      <c r="IQ75" s="1" t="str">
        <f t="shared" si="42"/>
        <v/>
      </c>
      <c r="IR75" s="1" t="str">
        <f t="shared" si="42"/>
        <v/>
      </c>
      <c r="IS75" s="1" t="str">
        <f t="shared" si="42"/>
        <v/>
      </c>
      <c r="IT75" s="1" t="str">
        <f t="shared" si="42"/>
        <v/>
      </c>
      <c r="IU75" s="1" t="str">
        <f t="shared" si="42"/>
        <v/>
      </c>
      <c r="IV75" s="1" t="str">
        <f t="shared" si="42"/>
        <v/>
      </c>
      <c r="IW75" s="1" t="str">
        <f t="shared" si="42"/>
        <v/>
      </c>
      <c r="IX75" s="1" t="str">
        <f t="shared" si="42"/>
        <v/>
      </c>
      <c r="IY75" s="1" t="str">
        <f t="shared" si="42"/>
        <v/>
      </c>
      <c r="IZ75" s="1" t="str">
        <f t="shared" si="42"/>
        <v/>
      </c>
      <c r="JA75" s="1" t="str">
        <f t="shared" si="42"/>
        <v/>
      </c>
      <c r="JB75" s="1" t="str">
        <f t="shared" si="42"/>
        <v/>
      </c>
      <c r="JC75" s="1" t="str">
        <f t="shared" si="43"/>
        <v/>
      </c>
      <c r="JD75" s="1" t="str">
        <f t="shared" si="43"/>
        <v/>
      </c>
      <c r="JE75" s="1" t="str">
        <f t="shared" si="43"/>
        <v/>
      </c>
      <c r="JF75" s="1" t="str">
        <f t="shared" si="43"/>
        <v/>
      </c>
      <c r="JG75" s="1" t="str">
        <f t="shared" si="37"/>
        <v/>
      </c>
      <c r="JH75" s="1" t="str">
        <f t="shared" si="37"/>
        <v/>
      </c>
      <c r="JI75" s="1" t="str">
        <f t="shared" si="37"/>
        <v/>
      </c>
      <c r="JJ75" s="1" t="str">
        <f t="shared" si="30"/>
        <v/>
      </c>
      <c r="JK75" s="1" t="str">
        <f t="shared" si="30"/>
        <v/>
      </c>
      <c r="JL75" s="1" t="str">
        <f t="shared" si="24"/>
        <v/>
      </c>
      <c r="JM75" s="1" t="str">
        <f t="shared" si="24"/>
        <v/>
      </c>
      <c r="JN75" s="1" t="str">
        <f t="shared" si="24"/>
        <v/>
      </c>
      <c r="JO75" s="1" t="str">
        <f t="shared" si="24"/>
        <v/>
      </c>
    </row>
    <row r="76" spans="1:275" ht="14.5" x14ac:dyDescent="0.35">
      <c r="A76" s="59" t="str">
        <f>IF('Data input'!A76&lt;&gt;"",'Data input'!A76,"")</f>
        <v/>
      </c>
      <c r="B76" s="15" t="str">
        <f>IF('Data input'!B76&lt;&gt;"",'Data input'!B76,"")</f>
        <v/>
      </c>
      <c r="C76" s="16" t="str">
        <f>IF('Data input'!C76="","",4*('Data input'!C76-'Data input'!C$108)/('Data input'!C$109-'Data input'!C$108)+1)</f>
        <v/>
      </c>
      <c r="D76" s="16" t="str">
        <f>IF('Data input'!D76="","",4*('Data input'!D76-'Data input'!D$108)/('Data input'!D$109-'Data input'!D$108)+1)</f>
        <v/>
      </c>
      <c r="E76" s="16" t="str">
        <f>IF('Data input'!E76="","",4*('Data input'!E76-'Data input'!E$108)/('Data input'!E$109-'Data input'!E$108)+1)</f>
        <v/>
      </c>
      <c r="F76" s="16" t="str">
        <f>IF('Data input'!F76="","",4*('Data input'!F76-'Data input'!F$108)/('Data input'!F$109-'Data input'!F$108)+1)</f>
        <v/>
      </c>
      <c r="G76" s="16" t="str">
        <f>IF('Data input'!G76="","",4*('Data input'!G76-'Data input'!G$108)/('Data input'!G$109-'Data input'!G$108)+1)</f>
        <v/>
      </c>
      <c r="H76" s="16" t="str">
        <f>IF('Data input'!H76="","",4*('Data input'!H76-'Data input'!H$108)/('Data input'!H$109-'Data input'!H$108)+1)</f>
        <v/>
      </c>
      <c r="I76" s="19" t="str">
        <f>IF('Data input'!I76="","",4*('Data input'!I76-'Data input'!I$108)/('Data input'!I$109-'Data input'!I$108)+1)</f>
        <v/>
      </c>
      <c r="J76" s="19" t="str">
        <f>IF('Data input'!J76="","",4*('Data input'!J76-'Data input'!J$108)/('Data input'!J$109-'Data input'!J$108)+1)</f>
        <v/>
      </c>
      <c r="K76" s="19" t="str">
        <f>IF('Data input'!K76="","",4*('Data input'!K76-'Data input'!K$108)/('Data input'!K$109-'Data input'!K$108)+1)</f>
        <v/>
      </c>
      <c r="L76" s="19" t="str">
        <f>IF('Data input'!L76="","",4*('Data input'!L76-'Data input'!L$108)/('Data input'!L$109-'Data input'!L$108)+1)</f>
        <v/>
      </c>
      <c r="M76" s="16" t="str">
        <f>IF('Data input'!M76="","",4*('Data input'!M76-'Data input'!M$108)/('Data input'!M$109-'Data input'!M$108)+1)</f>
        <v/>
      </c>
      <c r="N76" s="16" t="str">
        <f>IF('Data input'!N76="","",4*('Data input'!N76-'Data input'!N$108)/('Data input'!N$109-'Data input'!N$108)+1)</f>
        <v/>
      </c>
      <c r="O76" s="16" t="str">
        <f>IF('Data input'!O76="","",4*('Data input'!O76-'Data input'!O$108)/('Data input'!O$109-'Data input'!O$108)+1)</f>
        <v/>
      </c>
      <c r="P76" s="16" t="str">
        <f>IF('Data input'!P76="","",4*('Data input'!P76-'Data input'!P$108)/('Data input'!P$109-'Data input'!P$108)+1)</f>
        <v/>
      </c>
      <c r="Q76" s="16" t="str">
        <f>IF('Data input'!Q76="","",4*('Data input'!Q76-'Data input'!Q$108)/('Data input'!Q$109-'Data input'!Q$108)+1)</f>
        <v/>
      </c>
      <c r="R76" s="16" t="str">
        <f>IF('Data input'!R76="","",4*('Data input'!R76-'Data input'!R$108)/('Data input'!R$109-'Data input'!R$108)+1)</f>
        <v/>
      </c>
      <c r="S76" s="16" t="str">
        <f>IF('Data input'!S76="","",4*('Data input'!S76-'Data input'!S$108)/('Data input'!S$109-'Data input'!S$108)+1)</f>
        <v/>
      </c>
      <c r="T76" s="16" t="str">
        <f>IF('Data input'!T76="","",4*('Data input'!T76-'Data input'!T$108)/('Data input'!T$109-'Data input'!T$108)+1)</f>
        <v/>
      </c>
      <c r="U76" s="16" t="str">
        <f>IF('Data input'!U76="","",4*('Data input'!U76-'Data input'!U$108)/('Data input'!U$109-'Data input'!U$108)+1)</f>
        <v/>
      </c>
      <c r="V76" s="16" t="str">
        <f>IF('Data input'!V76="","",4*('Data input'!V76-'Data input'!V$108)/('Data input'!V$109-'Data input'!V$108)+1)</f>
        <v/>
      </c>
      <c r="W76" s="16" t="str">
        <f>IF('Data input'!W76="","",4*('Data input'!W76-'Data input'!W$108)/('Data input'!W$109-'Data input'!W$108)+1)</f>
        <v/>
      </c>
      <c r="X76" s="16" t="str">
        <f>IF('Data input'!X76="","",4*('Data input'!X76-'Data input'!X$108)/('Data input'!X$109-'Data input'!X$108)+1)</f>
        <v/>
      </c>
      <c r="Y76" s="16" t="str">
        <f>IF('Data input'!Y76="","",4*('Data input'!Y76-'Data input'!Y$108)/('Data input'!Y$109-'Data input'!Y$108)+1)</f>
        <v/>
      </c>
      <c r="Z76" s="16" t="str">
        <f>IF('Data input'!Z76="","",4*('Data input'!Z76-'Data input'!Z$108)/('Data input'!Z$109-'Data input'!Z$108)+1)</f>
        <v/>
      </c>
      <c r="AA76" s="62" t="str">
        <f>IF('Data input'!AA76="","",4*('Data input'!AA76-'Data input'!AA$108)/('Data input'!AA$109-'Data input'!AA$108)+1)</f>
        <v/>
      </c>
      <c r="AB76" s="78"/>
      <c r="AC76" s="79">
        <v>0</v>
      </c>
      <c r="AD76" s="80" t="e">
        <f t="shared" si="48"/>
        <v>#DIV/0!</v>
      </c>
      <c r="AE76" s="4"/>
      <c r="AF76" s="59" t="str">
        <f t="shared" si="40"/>
        <v/>
      </c>
      <c r="AG76" s="60" t="str">
        <f t="shared" si="40"/>
        <v/>
      </c>
      <c r="AH76"/>
      <c r="AI76"/>
      <c r="AJ76"/>
      <c r="AK76"/>
      <c r="AL76"/>
      <c r="AM76"/>
      <c r="AN76"/>
      <c r="AO76"/>
      <c r="AP76"/>
      <c r="AQ76"/>
      <c r="AR76"/>
      <c r="AS76" s="71" t="str">
        <f t="shared" si="44"/>
        <v/>
      </c>
      <c r="AT76" s="71" t="str">
        <f t="shared" si="44"/>
        <v/>
      </c>
      <c r="AU76" s="71" t="str">
        <f t="shared" si="44"/>
        <v/>
      </c>
      <c r="AV76" s="71" t="str">
        <f t="shared" si="44"/>
        <v/>
      </c>
      <c r="AW76" s="71" t="str">
        <f t="shared" si="44"/>
        <v/>
      </c>
      <c r="AX76" s="71" t="str">
        <f t="shared" si="45"/>
        <v/>
      </c>
      <c r="AY76" s="71" t="str">
        <f t="shared" si="45"/>
        <v/>
      </c>
      <c r="AZ76" s="71" t="str">
        <f t="shared" si="45"/>
        <v/>
      </c>
      <c r="BA76" s="71" t="str">
        <f t="shared" si="45"/>
        <v/>
      </c>
      <c r="BB76" s="71" t="str">
        <f t="shared" si="45"/>
        <v/>
      </c>
      <c r="BC76" s="18" t="str">
        <f>IF(C76&lt;&gt;"",(('Data input'!C$109-'Data input'!C$108)*(AS76-1)/4)+'Data input'!C$108,"")</f>
        <v/>
      </c>
      <c r="BD76" s="18" t="str">
        <f>IF(D76&lt;&gt;"",(('Data input'!D$109-'Data input'!D$108)*(AT76-1)/4)+'Data input'!D$108,"")</f>
        <v/>
      </c>
      <c r="BE76" s="18" t="str">
        <f>IF(E76&lt;&gt;"",(('Data input'!E$109-'Data input'!E$108)*(AU76-1)/4)+'Data input'!E$108,"")</f>
        <v/>
      </c>
      <c r="BF76" s="18" t="str">
        <f>IF(F76&lt;&gt;"",(('Data input'!F$109-'Data input'!F$108)*(AV76-1)/4)+'Data input'!F$108,"")</f>
        <v/>
      </c>
      <c r="BG76" s="18" t="str">
        <f>IF(G76&lt;&gt;"",(('Data input'!G$109-'Data input'!G$108)*(AW76-1)/4)+'Data input'!G$108,"")</f>
        <v/>
      </c>
      <c r="BH76" s="19" t="str">
        <f>IF(H76&lt;&gt;"",(('Data input'!H$109-'Data input'!H$108)*(AX76-1)/4)+'Data input'!H$108,"")</f>
        <v/>
      </c>
      <c r="BI76" s="18" t="str">
        <f>IF(I76&lt;&gt;"",(('Data input'!I$109-'Data input'!I$108)*(AY76-1)/4)+'Data input'!I$108,"")</f>
        <v/>
      </c>
      <c r="BJ76" s="19" t="str">
        <f>IF(J76&lt;&gt;"",(('Data input'!J$109-'Data input'!J$108)*(AZ76-1)/4)+'Data input'!J$108,"")</f>
        <v/>
      </c>
      <c r="BK76" s="19" t="str">
        <f>IF(K76&lt;&gt;"",(('Data input'!K$109-'Data input'!K$108)*(BA76-1)/4)+'Data input'!K$108,"")</f>
        <v/>
      </c>
      <c r="BL76" s="19" t="str">
        <f>IF(L76&lt;&gt;"",(('Data input'!L$109-'Data input'!L$108)*(BB76-1)/4)+'Data input'!L$108,"")</f>
        <v/>
      </c>
      <c r="BM76" s="18" t="str">
        <f>IF(C76&lt;&gt;"",BC76-'Data input'!C76,"")</f>
        <v/>
      </c>
      <c r="BN76" s="18" t="str">
        <f>IF(D76&lt;&gt;"",BD76-'Data input'!D76,"")</f>
        <v/>
      </c>
      <c r="BO76" s="18" t="str">
        <f>IF(E76&lt;&gt;"",BE76-'Data input'!E76,"")</f>
        <v/>
      </c>
      <c r="BP76" s="18" t="str">
        <f>IF(F76&lt;&gt;"",BF76-'Data input'!F76,"")</f>
        <v/>
      </c>
      <c r="BQ76" s="18" t="str">
        <f>IF(G76&lt;&gt;"",BG76-'Data input'!G76,"")</f>
        <v/>
      </c>
      <c r="BR76" s="19" t="str">
        <f>IF(H76&lt;&gt;"",BH76-'Data input'!H76,"")</f>
        <v/>
      </c>
      <c r="BS76" s="18" t="str">
        <f>IF(I76&lt;&gt;"",BI76-'Data input'!I76,"")</f>
        <v/>
      </c>
      <c r="BT76" s="18" t="str">
        <f>IF(J76&lt;&gt;"",BJ76-'Data input'!J76,"")</f>
        <v/>
      </c>
      <c r="BU76" s="18" t="str">
        <f>IF(K76&lt;&gt;"",BK76-'Data input'!K76,"")</f>
        <v/>
      </c>
      <c r="BV76" s="72" t="str">
        <f>IF(L76&lt;&gt;"",BL76-'Data input'!L76,"")</f>
        <v/>
      </c>
      <c r="BW76" s="121" t="str">
        <f t="shared" si="49"/>
        <v/>
      </c>
      <c r="FT76" s="1" t="str">
        <f t="shared" si="46"/>
        <v/>
      </c>
      <c r="FU76" s="1" t="str">
        <f t="shared" si="46"/>
        <v/>
      </c>
      <c r="FV76" s="1" t="str">
        <f t="shared" si="46"/>
        <v/>
      </c>
      <c r="FW76" s="1" t="str">
        <f t="shared" si="46"/>
        <v/>
      </c>
      <c r="FX76" s="1" t="str">
        <f t="shared" si="46"/>
        <v/>
      </c>
      <c r="FY76" s="1" t="str">
        <f t="shared" si="46"/>
        <v/>
      </c>
      <c r="FZ76" s="1" t="str">
        <f t="shared" si="46"/>
        <v/>
      </c>
      <c r="GA76" s="1" t="str">
        <f t="shared" si="46"/>
        <v/>
      </c>
      <c r="GB76" s="1" t="str">
        <f t="shared" si="46"/>
        <v/>
      </c>
      <c r="GC76" s="1" t="str">
        <f t="shared" si="46"/>
        <v/>
      </c>
      <c r="GD76" s="1" t="str">
        <f t="shared" si="46"/>
        <v/>
      </c>
      <c r="GE76" s="1" t="str">
        <f t="shared" si="46"/>
        <v/>
      </c>
      <c r="GF76" s="1" t="str">
        <f t="shared" si="46"/>
        <v/>
      </c>
      <c r="GG76" s="1" t="str">
        <f t="shared" si="46"/>
        <v/>
      </c>
      <c r="GH76" s="1" t="str">
        <f t="shared" si="46"/>
        <v/>
      </c>
      <c r="GI76" s="1" t="str">
        <f t="shared" si="46"/>
        <v/>
      </c>
      <c r="GJ76" s="1" t="str">
        <f t="shared" si="51"/>
        <v/>
      </c>
      <c r="GK76" s="1" t="str">
        <f t="shared" si="51"/>
        <v/>
      </c>
      <c r="GL76" s="1" t="str">
        <f t="shared" si="51"/>
        <v/>
      </c>
      <c r="GM76" s="1" t="str">
        <f t="shared" si="51"/>
        <v/>
      </c>
      <c r="GN76" s="1" t="str">
        <f t="shared" si="51"/>
        <v/>
      </c>
      <c r="GO76" s="1" t="str">
        <f t="shared" si="51"/>
        <v/>
      </c>
      <c r="GP76" s="1" t="str">
        <f t="shared" si="51"/>
        <v/>
      </c>
      <c r="GQ76" s="1" t="str">
        <f t="shared" si="51"/>
        <v/>
      </c>
      <c r="GR76" s="1" t="str">
        <f t="shared" si="51"/>
        <v/>
      </c>
      <c r="GS76" s="1" t="str">
        <f t="shared" si="51"/>
        <v/>
      </c>
      <c r="GT76" s="1" t="str">
        <f t="shared" si="50"/>
        <v/>
      </c>
      <c r="GU76" s="1" t="str">
        <f t="shared" si="50"/>
        <v/>
      </c>
      <c r="GV76" s="1" t="str">
        <f t="shared" si="50"/>
        <v/>
      </c>
      <c r="GW76" s="1" t="str">
        <f t="shared" si="50"/>
        <v/>
      </c>
      <c r="GX76" s="1" t="str">
        <f t="shared" si="50"/>
        <v/>
      </c>
      <c r="GY76" s="1" t="str">
        <f t="shared" si="39"/>
        <v/>
      </c>
      <c r="GZ76" s="1" t="str">
        <f t="shared" si="39"/>
        <v/>
      </c>
      <c r="HA76" s="1" t="str">
        <f t="shared" si="39"/>
        <v/>
      </c>
      <c r="HB76" s="1" t="str">
        <f t="shared" si="39"/>
        <v/>
      </c>
      <c r="HC76" s="1" t="str">
        <f t="shared" si="39"/>
        <v/>
      </c>
      <c r="HD76" s="1" t="str">
        <f t="shared" si="39"/>
        <v/>
      </c>
      <c r="HE76" s="1" t="str">
        <f t="shared" si="39"/>
        <v/>
      </c>
      <c r="HF76" s="1" t="str">
        <f t="shared" si="39"/>
        <v/>
      </c>
      <c r="HG76" s="1" t="str">
        <f t="shared" si="39"/>
        <v/>
      </c>
      <c r="HH76" s="1" t="str">
        <f t="shared" si="39"/>
        <v/>
      </c>
      <c r="HI76" s="1" t="str">
        <f t="shared" si="39"/>
        <v/>
      </c>
      <c r="HJ76" s="1" t="str">
        <f t="shared" si="39"/>
        <v/>
      </c>
      <c r="HK76" s="1" t="str">
        <f t="shared" si="39"/>
        <v/>
      </c>
      <c r="HL76" s="1" t="str">
        <f t="shared" si="39"/>
        <v/>
      </c>
      <c r="HM76" s="1" t="str">
        <f t="shared" si="39"/>
        <v/>
      </c>
      <c r="HN76" s="1" t="str">
        <f t="shared" si="39"/>
        <v/>
      </c>
      <c r="HO76" s="1" t="str">
        <f t="shared" si="52"/>
        <v/>
      </c>
      <c r="HP76" s="1" t="str">
        <f t="shared" si="47"/>
        <v/>
      </c>
      <c r="HQ76" s="1" t="str">
        <f t="shared" si="47"/>
        <v/>
      </c>
      <c r="HR76" s="1" t="str">
        <f t="shared" si="47"/>
        <v/>
      </c>
      <c r="HS76" s="1" t="str">
        <f t="shared" si="47"/>
        <v/>
      </c>
      <c r="HT76" s="1" t="str">
        <f t="shared" si="47"/>
        <v/>
      </c>
      <c r="HU76" s="1" t="str">
        <f t="shared" si="47"/>
        <v/>
      </c>
      <c r="HV76" s="1" t="str">
        <f t="shared" si="47"/>
        <v/>
      </c>
      <c r="HW76" s="1" t="str">
        <f t="shared" si="41"/>
        <v/>
      </c>
      <c r="HX76" s="1" t="str">
        <f t="shared" si="41"/>
        <v/>
      </c>
      <c r="HY76" s="1" t="str">
        <f t="shared" si="41"/>
        <v/>
      </c>
      <c r="HZ76" s="1" t="str">
        <f t="shared" si="41"/>
        <v/>
      </c>
      <c r="IA76" s="1" t="str">
        <f t="shared" si="41"/>
        <v/>
      </c>
      <c r="IB76" s="1" t="str">
        <f t="shared" si="41"/>
        <v/>
      </c>
      <c r="IC76" s="1" t="str">
        <f t="shared" si="41"/>
        <v/>
      </c>
      <c r="ID76" s="1" t="str">
        <f t="shared" si="41"/>
        <v/>
      </c>
      <c r="IE76" s="1" t="str">
        <f t="shared" si="41"/>
        <v/>
      </c>
      <c r="IF76" s="1" t="str">
        <f t="shared" si="41"/>
        <v/>
      </c>
      <c r="IG76" s="1" t="str">
        <f t="shared" si="41"/>
        <v/>
      </c>
      <c r="IH76" s="1" t="str">
        <f t="shared" si="41"/>
        <v/>
      </c>
      <c r="II76" s="1" t="str">
        <f t="shared" si="41"/>
        <v/>
      </c>
      <c r="IJ76" s="1" t="str">
        <f t="shared" si="41"/>
        <v/>
      </c>
      <c r="IK76" s="1" t="str">
        <f t="shared" si="41"/>
        <v/>
      </c>
      <c r="IL76" s="1" t="str">
        <f t="shared" si="41"/>
        <v/>
      </c>
      <c r="IM76" s="1" t="str">
        <f t="shared" si="42"/>
        <v/>
      </c>
      <c r="IN76" s="1" t="str">
        <f t="shared" si="42"/>
        <v/>
      </c>
      <c r="IO76" s="1" t="str">
        <f t="shared" si="42"/>
        <v/>
      </c>
      <c r="IP76" s="1" t="str">
        <f t="shared" si="42"/>
        <v/>
      </c>
      <c r="IQ76" s="1" t="str">
        <f t="shared" si="42"/>
        <v/>
      </c>
      <c r="IR76" s="1" t="str">
        <f t="shared" si="42"/>
        <v/>
      </c>
      <c r="IS76" s="1" t="str">
        <f t="shared" si="42"/>
        <v/>
      </c>
      <c r="IT76" s="1" t="str">
        <f t="shared" si="42"/>
        <v/>
      </c>
      <c r="IU76" s="1" t="str">
        <f t="shared" si="42"/>
        <v/>
      </c>
      <c r="IV76" s="1" t="str">
        <f t="shared" si="42"/>
        <v/>
      </c>
      <c r="IW76" s="1" t="str">
        <f t="shared" si="42"/>
        <v/>
      </c>
      <c r="IX76" s="1" t="str">
        <f t="shared" si="42"/>
        <v/>
      </c>
      <c r="IY76" s="1" t="str">
        <f t="shared" si="42"/>
        <v/>
      </c>
      <c r="IZ76" s="1" t="str">
        <f t="shared" si="42"/>
        <v/>
      </c>
      <c r="JA76" s="1" t="str">
        <f t="shared" si="42"/>
        <v/>
      </c>
      <c r="JB76" s="1" t="str">
        <f t="shared" si="42"/>
        <v/>
      </c>
      <c r="JC76" s="1" t="str">
        <f t="shared" si="43"/>
        <v/>
      </c>
      <c r="JD76" s="1" t="str">
        <f t="shared" si="43"/>
        <v/>
      </c>
      <c r="JE76" s="1" t="str">
        <f t="shared" si="43"/>
        <v/>
      </c>
      <c r="JF76" s="1" t="str">
        <f t="shared" si="43"/>
        <v/>
      </c>
      <c r="JG76" s="1" t="str">
        <f t="shared" si="37"/>
        <v/>
      </c>
      <c r="JH76" s="1" t="str">
        <f t="shared" si="37"/>
        <v/>
      </c>
      <c r="JI76" s="1" t="str">
        <f t="shared" si="37"/>
        <v/>
      </c>
      <c r="JJ76" s="1" t="str">
        <f t="shared" si="30"/>
        <v/>
      </c>
      <c r="JK76" s="1" t="str">
        <f t="shared" si="30"/>
        <v/>
      </c>
      <c r="JL76" s="1" t="str">
        <f t="shared" si="24"/>
        <v/>
      </c>
      <c r="JM76" s="1" t="str">
        <f t="shared" si="24"/>
        <v/>
      </c>
      <c r="JN76" s="1" t="str">
        <f t="shared" si="24"/>
        <v/>
      </c>
      <c r="JO76" s="1" t="str">
        <f t="shared" si="24"/>
        <v/>
      </c>
    </row>
    <row r="77" spans="1:275" ht="14.5" x14ac:dyDescent="0.35">
      <c r="A77" s="59" t="str">
        <f>IF('Data input'!A77&lt;&gt;"",'Data input'!A77,"")</f>
        <v/>
      </c>
      <c r="B77" s="15" t="str">
        <f>IF('Data input'!B77&lt;&gt;"",'Data input'!B77,"")</f>
        <v/>
      </c>
      <c r="C77" s="16" t="str">
        <f>IF('Data input'!C77="","",4*('Data input'!C77-'Data input'!C$108)/('Data input'!C$109-'Data input'!C$108)+1)</f>
        <v/>
      </c>
      <c r="D77" s="16" t="str">
        <f>IF('Data input'!D77="","",4*('Data input'!D77-'Data input'!D$108)/('Data input'!D$109-'Data input'!D$108)+1)</f>
        <v/>
      </c>
      <c r="E77" s="16" t="str">
        <f>IF('Data input'!E77="","",4*('Data input'!E77-'Data input'!E$108)/('Data input'!E$109-'Data input'!E$108)+1)</f>
        <v/>
      </c>
      <c r="F77" s="16" t="str">
        <f>IF('Data input'!F77="","",4*('Data input'!F77-'Data input'!F$108)/('Data input'!F$109-'Data input'!F$108)+1)</f>
        <v/>
      </c>
      <c r="G77" s="16" t="str">
        <f>IF('Data input'!G77="","",4*('Data input'!G77-'Data input'!G$108)/('Data input'!G$109-'Data input'!G$108)+1)</f>
        <v/>
      </c>
      <c r="H77" s="16" t="str">
        <f>IF('Data input'!H77="","",4*('Data input'!H77-'Data input'!H$108)/('Data input'!H$109-'Data input'!H$108)+1)</f>
        <v/>
      </c>
      <c r="I77" s="19" t="str">
        <f>IF('Data input'!I77="","",4*('Data input'!I77-'Data input'!I$108)/('Data input'!I$109-'Data input'!I$108)+1)</f>
        <v/>
      </c>
      <c r="J77" s="19" t="str">
        <f>IF('Data input'!J77="","",4*('Data input'!J77-'Data input'!J$108)/('Data input'!J$109-'Data input'!J$108)+1)</f>
        <v/>
      </c>
      <c r="K77" s="19" t="str">
        <f>IF('Data input'!K77="","",4*('Data input'!K77-'Data input'!K$108)/('Data input'!K$109-'Data input'!K$108)+1)</f>
        <v/>
      </c>
      <c r="L77" s="19" t="str">
        <f>IF('Data input'!L77="","",4*('Data input'!L77-'Data input'!L$108)/('Data input'!L$109-'Data input'!L$108)+1)</f>
        <v/>
      </c>
      <c r="M77" s="16" t="str">
        <f>IF('Data input'!M77="","",4*('Data input'!M77-'Data input'!M$108)/('Data input'!M$109-'Data input'!M$108)+1)</f>
        <v/>
      </c>
      <c r="N77" s="16" t="str">
        <f>IF('Data input'!N77="","",4*('Data input'!N77-'Data input'!N$108)/('Data input'!N$109-'Data input'!N$108)+1)</f>
        <v/>
      </c>
      <c r="O77" s="16" t="str">
        <f>IF('Data input'!O77="","",4*('Data input'!O77-'Data input'!O$108)/('Data input'!O$109-'Data input'!O$108)+1)</f>
        <v/>
      </c>
      <c r="P77" s="16" t="str">
        <f>IF('Data input'!P77="","",4*('Data input'!P77-'Data input'!P$108)/('Data input'!P$109-'Data input'!P$108)+1)</f>
        <v/>
      </c>
      <c r="Q77" s="16" t="str">
        <f>IF('Data input'!Q77="","",4*('Data input'!Q77-'Data input'!Q$108)/('Data input'!Q$109-'Data input'!Q$108)+1)</f>
        <v/>
      </c>
      <c r="R77" s="16" t="str">
        <f>IF('Data input'!R77="","",4*('Data input'!R77-'Data input'!R$108)/('Data input'!R$109-'Data input'!R$108)+1)</f>
        <v/>
      </c>
      <c r="S77" s="16" t="str">
        <f>IF('Data input'!S77="","",4*('Data input'!S77-'Data input'!S$108)/('Data input'!S$109-'Data input'!S$108)+1)</f>
        <v/>
      </c>
      <c r="T77" s="16" t="str">
        <f>IF('Data input'!T77="","",4*('Data input'!T77-'Data input'!T$108)/('Data input'!T$109-'Data input'!T$108)+1)</f>
        <v/>
      </c>
      <c r="U77" s="16" t="str">
        <f>IF('Data input'!U77="","",4*('Data input'!U77-'Data input'!U$108)/('Data input'!U$109-'Data input'!U$108)+1)</f>
        <v/>
      </c>
      <c r="V77" s="16" t="str">
        <f>IF('Data input'!V77="","",4*('Data input'!V77-'Data input'!V$108)/('Data input'!V$109-'Data input'!V$108)+1)</f>
        <v/>
      </c>
      <c r="W77" s="16" t="str">
        <f>IF('Data input'!W77="","",4*('Data input'!W77-'Data input'!W$108)/('Data input'!W$109-'Data input'!W$108)+1)</f>
        <v/>
      </c>
      <c r="X77" s="16" t="str">
        <f>IF('Data input'!X77="","",4*('Data input'!X77-'Data input'!X$108)/('Data input'!X$109-'Data input'!X$108)+1)</f>
        <v/>
      </c>
      <c r="Y77" s="16" t="str">
        <f>IF('Data input'!Y77="","",4*('Data input'!Y77-'Data input'!Y$108)/('Data input'!Y$109-'Data input'!Y$108)+1)</f>
        <v/>
      </c>
      <c r="Z77" s="16" t="str">
        <f>IF('Data input'!Z77="","",4*('Data input'!Z77-'Data input'!Z$108)/('Data input'!Z$109-'Data input'!Z$108)+1)</f>
        <v/>
      </c>
      <c r="AA77" s="62" t="str">
        <f>IF('Data input'!AA77="","",4*('Data input'!AA77-'Data input'!AA$108)/('Data input'!AA$109-'Data input'!AA$108)+1)</f>
        <v/>
      </c>
      <c r="AB77" s="78"/>
      <c r="AC77" s="79">
        <v>0</v>
      </c>
      <c r="AD77" s="80" t="e">
        <f t="shared" si="48"/>
        <v>#DIV/0!</v>
      </c>
      <c r="AE77" s="4"/>
      <c r="AF77" s="59" t="str">
        <f t="shared" si="40"/>
        <v/>
      </c>
      <c r="AG77" s="60" t="str">
        <f t="shared" si="40"/>
        <v/>
      </c>
      <c r="AH77"/>
      <c r="AI77"/>
      <c r="AJ77"/>
      <c r="AK77"/>
      <c r="AL77"/>
      <c r="AM77"/>
      <c r="AN77"/>
      <c r="AO77"/>
      <c r="AP77"/>
      <c r="AQ77"/>
      <c r="AR77"/>
      <c r="AS77" s="71" t="str">
        <f t="shared" si="44"/>
        <v/>
      </c>
      <c r="AT77" s="71" t="str">
        <f t="shared" si="44"/>
        <v/>
      </c>
      <c r="AU77" s="71" t="str">
        <f t="shared" si="44"/>
        <v/>
      </c>
      <c r="AV77" s="71" t="str">
        <f t="shared" si="44"/>
        <v/>
      </c>
      <c r="AW77" s="71" t="str">
        <f t="shared" si="44"/>
        <v/>
      </c>
      <c r="AX77" s="71" t="str">
        <f t="shared" si="45"/>
        <v/>
      </c>
      <c r="AY77" s="71" t="str">
        <f t="shared" si="45"/>
        <v/>
      </c>
      <c r="AZ77" s="71" t="str">
        <f t="shared" si="45"/>
        <v/>
      </c>
      <c r="BA77" s="71" t="str">
        <f t="shared" si="45"/>
        <v/>
      </c>
      <c r="BB77" s="71" t="str">
        <f t="shared" si="45"/>
        <v/>
      </c>
      <c r="BC77" s="18" t="str">
        <f>IF(C77&lt;&gt;"",(('Data input'!C$109-'Data input'!C$108)*(AS77-1)/4)+'Data input'!C$108,"")</f>
        <v/>
      </c>
      <c r="BD77" s="18" t="str">
        <f>IF(D77&lt;&gt;"",(('Data input'!D$109-'Data input'!D$108)*(AT77-1)/4)+'Data input'!D$108,"")</f>
        <v/>
      </c>
      <c r="BE77" s="18" t="str">
        <f>IF(E77&lt;&gt;"",(('Data input'!E$109-'Data input'!E$108)*(AU77-1)/4)+'Data input'!E$108,"")</f>
        <v/>
      </c>
      <c r="BF77" s="18" t="str">
        <f>IF(F77&lt;&gt;"",(('Data input'!F$109-'Data input'!F$108)*(AV77-1)/4)+'Data input'!F$108,"")</f>
        <v/>
      </c>
      <c r="BG77" s="18" t="str">
        <f>IF(G77&lt;&gt;"",(('Data input'!G$109-'Data input'!G$108)*(AW77-1)/4)+'Data input'!G$108,"")</f>
        <v/>
      </c>
      <c r="BH77" s="19" t="str">
        <f>IF(H77&lt;&gt;"",(('Data input'!H$109-'Data input'!H$108)*(AX77-1)/4)+'Data input'!H$108,"")</f>
        <v/>
      </c>
      <c r="BI77" s="18" t="str">
        <f>IF(I77&lt;&gt;"",(('Data input'!I$109-'Data input'!I$108)*(AY77-1)/4)+'Data input'!I$108,"")</f>
        <v/>
      </c>
      <c r="BJ77" s="19" t="str">
        <f>IF(J77&lt;&gt;"",(('Data input'!J$109-'Data input'!J$108)*(AZ77-1)/4)+'Data input'!J$108,"")</f>
        <v/>
      </c>
      <c r="BK77" s="19" t="str">
        <f>IF(K77&lt;&gt;"",(('Data input'!K$109-'Data input'!K$108)*(BA77-1)/4)+'Data input'!K$108,"")</f>
        <v/>
      </c>
      <c r="BL77" s="19" t="str">
        <f>IF(L77&lt;&gt;"",(('Data input'!L$109-'Data input'!L$108)*(BB77-1)/4)+'Data input'!L$108,"")</f>
        <v/>
      </c>
      <c r="BM77" s="18" t="str">
        <f>IF(C77&lt;&gt;"",BC77-'Data input'!C77,"")</f>
        <v/>
      </c>
      <c r="BN77" s="18" t="str">
        <f>IF(D77&lt;&gt;"",BD77-'Data input'!D77,"")</f>
        <v/>
      </c>
      <c r="BO77" s="18" t="str">
        <f>IF(E77&lt;&gt;"",BE77-'Data input'!E77,"")</f>
        <v/>
      </c>
      <c r="BP77" s="18" t="str">
        <f>IF(F77&lt;&gt;"",BF77-'Data input'!F77,"")</f>
        <v/>
      </c>
      <c r="BQ77" s="18" t="str">
        <f>IF(G77&lt;&gt;"",BG77-'Data input'!G77,"")</f>
        <v/>
      </c>
      <c r="BR77" s="19" t="str">
        <f>IF(H77&lt;&gt;"",BH77-'Data input'!H77,"")</f>
        <v/>
      </c>
      <c r="BS77" s="18" t="str">
        <f>IF(I77&lt;&gt;"",BI77-'Data input'!I77,"")</f>
        <v/>
      </c>
      <c r="BT77" s="18" t="str">
        <f>IF(J77&lt;&gt;"",BJ77-'Data input'!J77,"")</f>
        <v/>
      </c>
      <c r="BU77" s="18" t="str">
        <f>IF(K77&lt;&gt;"",BK77-'Data input'!K77,"")</f>
        <v/>
      </c>
      <c r="BV77" s="72" t="str">
        <f>IF(L77&lt;&gt;"",BL77-'Data input'!L77,"")</f>
        <v/>
      </c>
      <c r="BW77" s="121" t="str">
        <f t="shared" si="49"/>
        <v/>
      </c>
      <c r="FT77" s="1" t="str">
        <f t="shared" si="46"/>
        <v/>
      </c>
      <c r="FU77" s="1" t="str">
        <f t="shared" si="46"/>
        <v/>
      </c>
      <c r="FV77" s="1" t="str">
        <f t="shared" si="46"/>
        <v/>
      </c>
      <c r="FW77" s="1" t="str">
        <f t="shared" si="46"/>
        <v/>
      </c>
      <c r="FX77" s="1" t="str">
        <f t="shared" si="46"/>
        <v/>
      </c>
      <c r="FY77" s="1" t="str">
        <f t="shared" si="46"/>
        <v/>
      </c>
      <c r="FZ77" s="1" t="str">
        <f t="shared" si="46"/>
        <v/>
      </c>
      <c r="GA77" s="1" t="str">
        <f t="shared" si="46"/>
        <v/>
      </c>
      <c r="GB77" s="1" t="str">
        <f t="shared" si="46"/>
        <v/>
      </c>
      <c r="GC77" s="1" t="str">
        <f t="shared" si="46"/>
        <v/>
      </c>
      <c r="GD77" s="1" t="str">
        <f t="shared" si="46"/>
        <v/>
      </c>
      <c r="GE77" s="1" t="str">
        <f t="shared" si="46"/>
        <v/>
      </c>
      <c r="GF77" s="1" t="str">
        <f t="shared" si="46"/>
        <v/>
      </c>
      <c r="GG77" s="1" t="str">
        <f t="shared" si="46"/>
        <v/>
      </c>
      <c r="GH77" s="1" t="str">
        <f t="shared" si="46"/>
        <v/>
      </c>
      <c r="GI77" s="1" t="str">
        <f t="shared" si="46"/>
        <v/>
      </c>
      <c r="GJ77" s="1" t="str">
        <f t="shared" si="51"/>
        <v/>
      </c>
      <c r="GK77" s="1" t="str">
        <f t="shared" si="51"/>
        <v/>
      </c>
      <c r="GL77" s="1" t="str">
        <f t="shared" si="51"/>
        <v/>
      </c>
      <c r="GM77" s="1" t="str">
        <f t="shared" si="51"/>
        <v/>
      </c>
      <c r="GN77" s="1" t="str">
        <f t="shared" si="51"/>
        <v/>
      </c>
      <c r="GO77" s="1" t="str">
        <f t="shared" si="51"/>
        <v/>
      </c>
      <c r="GP77" s="1" t="str">
        <f t="shared" si="51"/>
        <v/>
      </c>
      <c r="GQ77" s="1" t="str">
        <f t="shared" si="51"/>
        <v/>
      </c>
      <c r="GR77" s="1" t="str">
        <f t="shared" si="51"/>
        <v/>
      </c>
      <c r="GS77" s="1" t="str">
        <f t="shared" si="51"/>
        <v/>
      </c>
      <c r="GT77" s="1" t="str">
        <f t="shared" si="50"/>
        <v/>
      </c>
      <c r="GU77" s="1" t="str">
        <f t="shared" si="50"/>
        <v/>
      </c>
      <c r="GV77" s="1" t="str">
        <f t="shared" si="50"/>
        <v/>
      </c>
      <c r="GW77" s="1" t="str">
        <f t="shared" si="50"/>
        <v/>
      </c>
      <c r="GX77" s="1" t="str">
        <f t="shared" si="50"/>
        <v/>
      </c>
      <c r="GY77" s="1" t="str">
        <f t="shared" si="39"/>
        <v/>
      </c>
      <c r="GZ77" s="1" t="str">
        <f t="shared" si="39"/>
        <v/>
      </c>
      <c r="HA77" s="1" t="str">
        <f t="shared" si="39"/>
        <v/>
      </c>
      <c r="HB77" s="1" t="str">
        <f t="shared" si="39"/>
        <v/>
      </c>
      <c r="HC77" s="1" t="str">
        <f t="shared" si="39"/>
        <v/>
      </c>
      <c r="HD77" s="1" t="str">
        <f t="shared" si="39"/>
        <v/>
      </c>
      <c r="HE77" s="1" t="str">
        <f t="shared" si="39"/>
        <v/>
      </c>
      <c r="HF77" s="1" t="str">
        <f t="shared" si="39"/>
        <v/>
      </c>
      <c r="HG77" s="1" t="str">
        <f t="shared" si="39"/>
        <v/>
      </c>
      <c r="HH77" s="1" t="str">
        <f t="shared" si="39"/>
        <v/>
      </c>
      <c r="HI77" s="1" t="str">
        <f t="shared" si="39"/>
        <v/>
      </c>
      <c r="HJ77" s="1" t="str">
        <f t="shared" si="39"/>
        <v/>
      </c>
      <c r="HK77" s="1" t="str">
        <f t="shared" si="39"/>
        <v/>
      </c>
      <c r="HL77" s="1" t="str">
        <f t="shared" si="39"/>
        <v/>
      </c>
      <c r="HM77" s="1" t="str">
        <f t="shared" si="39"/>
        <v/>
      </c>
      <c r="HN77" s="1" t="str">
        <f t="shared" si="39"/>
        <v/>
      </c>
      <c r="HO77" s="1" t="str">
        <f t="shared" si="52"/>
        <v/>
      </c>
      <c r="HP77" s="1" t="str">
        <f t="shared" si="47"/>
        <v/>
      </c>
      <c r="HQ77" s="1" t="str">
        <f t="shared" si="47"/>
        <v/>
      </c>
      <c r="HR77" s="1" t="str">
        <f t="shared" si="47"/>
        <v/>
      </c>
      <c r="HS77" s="1" t="str">
        <f t="shared" si="47"/>
        <v/>
      </c>
      <c r="HT77" s="1" t="str">
        <f t="shared" si="47"/>
        <v/>
      </c>
      <c r="HU77" s="1" t="str">
        <f t="shared" si="47"/>
        <v/>
      </c>
      <c r="HV77" s="1" t="str">
        <f t="shared" si="47"/>
        <v/>
      </c>
      <c r="HW77" s="1" t="str">
        <f t="shared" si="41"/>
        <v/>
      </c>
      <c r="HX77" s="1" t="str">
        <f t="shared" si="41"/>
        <v/>
      </c>
      <c r="HY77" s="1" t="str">
        <f t="shared" si="41"/>
        <v/>
      </c>
      <c r="HZ77" s="1" t="str">
        <f t="shared" si="41"/>
        <v/>
      </c>
      <c r="IA77" s="1" t="str">
        <f t="shared" si="41"/>
        <v/>
      </c>
      <c r="IB77" s="1" t="str">
        <f t="shared" si="41"/>
        <v/>
      </c>
      <c r="IC77" s="1" t="str">
        <f t="shared" si="41"/>
        <v/>
      </c>
      <c r="ID77" s="1" t="str">
        <f t="shared" si="41"/>
        <v/>
      </c>
      <c r="IE77" s="1" t="str">
        <f t="shared" si="41"/>
        <v/>
      </c>
      <c r="IF77" s="1" t="str">
        <f t="shared" si="41"/>
        <v/>
      </c>
      <c r="IG77" s="1" t="str">
        <f t="shared" si="41"/>
        <v/>
      </c>
      <c r="IH77" s="1" t="str">
        <f t="shared" si="41"/>
        <v/>
      </c>
      <c r="II77" s="1" t="str">
        <f t="shared" si="41"/>
        <v/>
      </c>
      <c r="IJ77" s="1" t="str">
        <f t="shared" si="41"/>
        <v/>
      </c>
      <c r="IK77" s="1" t="str">
        <f t="shared" si="41"/>
        <v/>
      </c>
      <c r="IL77" s="1" t="str">
        <f t="shared" si="41"/>
        <v/>
      </c>
      <c r="IM77" s="1" t="str">
        <f t="shared" si="42"/>
        <v/>
      </c>
      <c r="IN77" s="1" t="str">
        <f t="shared" si="42"/>
        <v/>
      </c>
      <c r="IO77" s="1" t="str">
        <f t="shared" si="42"/>
        <v/>
      </c>
      <c r="IP77" s="1" t="str">
        <f t="shared" si="42"/>
        <v/>
      </c>
      <c r="IQ77" s="1" t="str">
        <f t="shared" si="42"/>
        <v/>
      </c>
      <c r="IR77" s="1" t="str">
        <f t="shared" si="42"/>
        <v/>
      </c>
      <c r="IS77" s="1" t="str">
        <f t="shared" si="42"/>
        <v/>
      </c>
      <c r="IT77" s="1" t="str">
        <f t="shared" si="42"/>
        <v/>
      </c>
      <c r="IU77" s="1" t="str">
        <f t="shared" si="42"/>
        <v/>
      </c>
      <c r="IV77" s="1" t="str">
        <f t="shared" si="42"/>
        <v/>
      </c>
      <c r="IW77" s="1" t="str">
        <f t="shared" si="42"/>
        <v/>
      </c>
      <c r="IX77" s="1" t="str">
        <f t="shared" si="42"/>
        <v/>
      </c>
      <c r="IY77" s="1" t="str">
        <f t="shared" si="42"/>
        <v/>
      </c>
      <c r="IZ77" s="1" t="str">
        <f t="shared" si="42"/>
        <v/>
      </c>
      <c r="JA77" s="1" t="str">
        <f t="shared" si="42"/>
        <v/>
      </c>
      <c r="JB77" s="1" t="str">
        <f t="shared" si="42"/>
        <v/>
      </c>
      <c r="JC77" s="1" t="str">
        <f t="shared" si="43"/>
        <v/>
      </c>
      <c r="JD77" s="1" t="str">
        <f t="shared" si="43"/>
        <v/>
      </c>
      <c r="JE77" s="1" t="str">
        <f t="shared" si="43"/>
        <v/>
      </c>
      <c r="JF77" s="1" t="str">
        <f t="shared" si="43"/>
        <v/>
      </c>
      <c r="JG77" s="1" t="str">
        <f t="shared" si="37"/>
        <v/>
      </c>
      <c r="JH77" s="1" t="str">
        <f t="shared" si="37"/>
        <v/>
      </c>
      <c r="JI77" s="1" t="str">
        <f t="shared" si="37"/>
        <v/>
      </c>
      <c r="JJ77" s="1" t="str">
        <f t="shared" si="30"/>
        <v/>
      </c>
      <c r="JK77" s="1" t="str">
        <f t="shared" si="30"/>
        <v/>
      </c>
      <c r="JL77" s="1" t="str">
        <f t="shared" si="24"/>
        <v/>
      </c>
      <c r="JM77" s="1" t="str">
        <f t="shared" si="24"/>
        <v/>
      </c>
      <c r="JN77" s="1" t="str">
        <f t="shared" si="24"/>
        <v/>
      </c>
      <c r="JO77" s="1" t="str">
        <f t="shared" si="24"/>
        <v/>
      </c>
    </row>
    <row r="78" spans="1:275" ht="14.5" x14ac:dyDescent="0.35">
      <c r="A78" s="59" t="str">
        <f>IF('Data input'!A78&lt;&gt;"",'Data input'!A78,"")</f>
        <v/>
      </c>
      <c r="B78" s="15" t="str">
        <f>IF('Data input'!B78&lt;&gt;"",'Data input'!B78,"")</f>
        <v/>
      </c>
      <c r="C78" s="16" t="str">
        <f>IF('Data input'!C78="","",4*('Data input'!C78-'Data input'!C$108)/('Data input'!C$109-'Data input'!C$108)+1)</f>
        <v/>
      </c>
      <c r="D78" s="16" t="str">
        <f>IF('Data input'!D78="","",4*('Data input'!D78-'Data input'!D$108)/('Data input'!D$109-'Data input'!D$108)+1)</f>
        <v/>
      </c>
      <c r="E78" s="16" t="str">
        <f>IF('Data input'!E78="","",4*('Data input'!E78-'Data input'!E$108)/('Data input'!E$109-'Data input'!E$108)+1)</f>
        <v/>
      </c>
      <c r="F78" s="16" t="str">
        <f>IF('Data input'!F78="","",4*('Data input'!F78-'Data input'!F$108)/('Data input'!F$109-'Data input'!F$108)+1)</f>
        <v/>
      </c>
      <c r="G78" s="16" t="str">
        <f>IF('Data input'!G78="","",4*('Data input'!G78-'Data input'!G$108)/('Data input'!G$109-'Data input'!G$108)+1)</f>
        <v/>
      </c>
      <c r="H78" s="16" t="str">
        <f>IF('Data input'!H78="","",4*('Data input'!H78-'Data input'!H$108)/('Data input'!H$109-'Data input'!H$108)+1)</f>
        <v/>
      </c>
      <c r="I78" s="19" t="str">
        <f>IF('Data input'!I78="","",4*('Data input'!I78-'Data input'!I$108)/('Data input'!I$109-'Data input'!I$108)+1)</f>
        <v/>
      </c>
      <c r="J78" s="19" t="str">
        <f>IF('Data input'!J78="","",4*('Data input'!J78-'Data input'!J$108)/('Data input'!J$109-'Data input'!J$108)+1)</f>
        <v/>
      </c>
      <c r="K78" s="19" t="str">
        <f>IF('Data input'!K78="","",4*('Data input'!K78-'Data input'!K$108)/('Data input'!K$109-'Data input'!K$108)+1)</f>
        <v/>
      </c>
      <c r="L78" s="19" t="str">
        <f>IF('Data input'!L78="","",4*('Data input'!L78-'Data input'!L$108)/('Data input'!L$109-'Data input'!L$108)+1)</f>
        <v/>
      </c>
      <c r="M78" s="16" t="str">
        <f>IF('Data input'!M78="","",4*('Data input'!M78-'Data input'!M$108)/('Data input'!M$109-'Data input'!M$108)+1)</f>
        <v/>
      </c>
      <c r="N78" s="16" t="str">
        <f>IF('Data input'!N78="","",4*('Data input'!N78-'Data input'!N$108)/('Data input'!N$109-'Data input'!N$108)+1)</f>
        <v/>
      </c>
      <c r="O78" s="16" t="str">
        <f>IF('Data input'!O78="","",4*('Data input'!O78-'Data input'!O$108)/('Data input'!O$109-'Data input'!O$108)+1)</f>
        <v/>
      </c>
      <c r="P78" s="16" t="str">
        <f>IF('Data input'!P78="","",4*('Data input'!P78-'Data input'!P$108)/('Data input'!P$109-'Data input'!P$108)+1)</f>
        <v/>
      </c>
      <c r="Q78" s="16" t="str">
        <f>IF('Data input'!Q78="","",4*('Data input'!Q78-'Data input'!Q$108)/('Data input'!Q$109-'Data input'!Q$108)+1)</f>
        <v/>
      </c>
      <c r="R78" s="16" t="str">
        <f>IF('Data input'!R78="","",4*('Data input'!R78-'Data input'!R$108)/('Data input'!R$109-'Data input'!R$108)+1)</f>
        <v/>
      </c>
      <c r="S78" s="16" t="str">
        <f>IF('Data input'!S78="","",4*('Data input'!S78-'Data input'!S$108)/('Data input'!S$109-'Data input'!S$108)+1)</f>
        <v/>
      </c>
      <c r="T78" s="16" t="str">
        <f>IF('Data input'!T78="","",4*('Data input'!T78-'Data input'!T$108)/('Data input'!T$109-'Data input'!T$108)+1)</f>
        <v/>
      </c>
      <c r="U78" s="16" t="str">
        <f>IF('Data input'!U78="","",4*('Data input'!U78-'Data input'!U$108)/('Data input'!U$109-'Data input'!U$108)+1)</f>
        <v/>
      </c>
      <c r="V78" s="16" t="str">
        <f>IF('Data input'!V78="","",4*('Data input'!V78-'Data input'!V$108)/('Data input'!V$109-'Data input'!V$108)+1)</f>
        <v/>
      </c>
      <c r="W78" s="16" t="str">
        <f>IF('Data input'!W78="","",4*('Data input'!W78-'Data input'!W$108)/('Data input'!W$109-'Data input'!W$108)+1)</f>
        <v/>
      </c>
      <c r="X78" s="16" t="str">
        <f>IF('Data input'!X78="","",4*('Data input'!X78-'Data input'!X$108)/('Data input'!X$109-'Data input'!X$108)+1)</f>
        <v/>
      </c>
      <c r="Y78" s="16" t="str">
        <f>IF('Data input'!Y78="","",4*('Data input'!Y78-'Data input'!Y$108)/('Data input'!Y$109-'Data input'!Y$108)+1)</f>
        <v/>
      </c>
      <c r="Z78" s="16" t="str">
        <f>IF('Data input'!Z78="","",4*('Data input'!Z78-'Data input'!Z$108)/('Data input'!Z$109-'Data input'!Z$108)+1)</f>
        <v/>
      </c>
      <c r="AA78" s="62" t="str">
        <f>IF('Data input'!AA78="","",4*('Data input'!AA78-'Data input'!AA$108)/('Data input'!AA$109-'Data input'!AA$108)+1)</f>
        <v/>
      </c>
      <c r="AB78" s="78"/>
      <c r="AC78" s="79">
        <v>0</v>
      </c>
      <c r="AD78" s="80" t="e">
        <f t="shared" si="48"/>
        <v>#DIV/0!</v>
      </c>
      <c r="AE78" s="4"/>
      <c r="AF78" s="59" t="str">
        <f t="shared" si="40"/>
        <v/>
      </c>
      <c r="AG78" s="60" t="str">
        <f t="shared" si="40"/>
        <v/>
      </c>
      <c r="AH78"/>
      <c r="AI78"/>
      <c r="AJ78"/>
      <c r="AK78"/>
      <c r="AL78"/>
      <c r="AM78"/>
      <c r="AN78"/>
      <c r="AO78"/>
      <c r="AP78"/>
      <c r="AQ78"/>
      <c r="AR78"/>
      <c r="AS78" s="71" t="str">
        <f t="shared" si="44"/>
        <v/>
      </c>
      <c r="AT78" s="71" t="str">
        <f t="shared" si="44"/>
        <v/>
      </c>
      <c r="AU78" s="71" t="str">
        <f t="shared" si="44"/>
        <v/>
      </c>
      <c r="AV78" s="71" t="str">
        <f t="shared" si="44"/>
        <v/>
      </c>
      <c r="AW78" s="71" t="str">
        <f t="shared" si="44"/>
        <v/>
      </c>
      <c r="AX78" s="71" t="str">
        <f t="shared" si="45"/>
        <v/>
      </c>
      <c r="AY78" s="71" t="str">
        <f t="shared" si="45"/>
        <v/>
      </c>
      <c r="AZ78" s="71" t="str">
        <f t="shared" si="45"/>
        <v/>
      </c>
      <c r="BA78" s="71" t="str">
        <f t="shared" si="45"/>
        <v/>
      </c>
      <c r="BB78" s="71" t="str">
        <f t="shared" si="45"/>
        <v/>
      </c>
      <c r="BC78" s="18" t="str">
        <f>IF(C78&lt;&gt;"",(('Data input'!C$109-'Data input'!C$108)*(AS78-1)/4)+'Data input'!C$108,"")</f>
        <v/>
      </c>
      <c r="BD78" s="18" t="str">
        <f>IF(D78&lt;&gt;"",(('Data input'!D$109-'Data input'!D$108)*(AT78-1)/4)+'Data input'!D$108,"")</f>
        <v/>
      </c>
      <c r="BE78" s="18" t="str">
        <f>IF(E78&lt;&gt;"",(('Data input'!E$109-'Data input'!E$108)*(AU78-1)/4)+'Data input'!E$108,"")</f>
        <v/>
      </c>
      <c r="BF78" s="18" t="str">
        <f>IF(F78&lt;&gt;"",(('Data input'!F$109-'Data input'!F$108)*(AV78-1)/4)+'Data input'!F$108,"")</f>
        <v/>
      </c>
      <c r="BG78" s="18" t="str">
        <f>IF(G78&lt;&gt;"",(('Data input'!G$109-'Data input'!G$108)*(AW78-1)/4)+'Data input'!G$108,"")</f>
        <v/>
      </c>
      <c r="BH78" s="19" t="str">
        <f>IF(H78&lt;&gt;"",(('Data input'!H$109-'Data input'!H$108)*(AX78-1)/4)+'Data input'!H$108,"")</f>
        <v/>
      </c>
      <c r="BI78" s="18" t="str">
        <f>IF(I78&lt;&gt;"",(('Data input'!I$109-'Data input'!I$108)*(AY78-1)/4)+'Data input'!I$108,"")</f>
        <v/>
      </c>
      <c r="BJ78" s="19" t="str">
        <f>IF(J78&lt;&gt;"",(('Data input'!J$109-'Data input'!J$108)*(AZ78-1)/4)+'Data input'!J$108,"")</f>
        <v/>
      </c>
      <c r="BK78" s="19" t="str">
        <f>IF(K78&lt;&gt;"",(('Data input'!K$109-'Data input'!K$108)*(BA78-1)/4)+'Data input'!K$108,"")</f>
        <v/>
      </c>
      <c r="BL78" s="19" t="str">
        <f>IF(L78&lt;&gt;"",(('Data input'!L$109-'Data input'!L$108)*(BB78-1)/4)+'Data input'!L$108,"")</f>
        <v/>
      </c>
      <c r="BM78" s="18" t="str">
        <f>IF(C78&lt;&gt;"",BC78-'Data input'!C78,"")</f>
        <v/>
      </c>
      <c r="BN78" s="18" t="str">
        <f>IF(D78&lt;&gt;"",BD78-'Data input'!D78,"")</f>
        <v/>
      </c>
      <c r="BO78" s="18" t="str">
        <f>IF(E78&lt;&gt;"",BE78-'Data input'!E78,"")</f>
        <v/>
      </c>
      <c r="BP78" s="18" t="str">
        <f>IF(F78&lt;&gt;"",BF78-'Data input'!F78,"")</f>
        <v/>
      </c>
      <c r="BQ78" s="18" t="str">
        <f>IF(G78&lt;&gt;"",BG78-'Data input'!G78,"")</f>
        <v/>
      </c>
      <c r="BR78" s="19" t="str">
        <f>IF(H78&lt;&gt;"",BH78-'Data input'!H78,"")</f>
        <v/>
      </c>
      <c r="BS78" s="18" t="str">
        <f>IF(I78&lt;&gt;"",BI78-'Data input'!I78,"")</f>
        <v/>
      </c>
      <c r="BT78" s="18" t="str">
        <f>IF(J78&lt;&gt;"",BJ78-'Data input'!J78,"")</f>
        <v/>
      </c>
      <c r="BU78" s="18" t="str">
        <f>IF(K78&lt;&gt;"",BK78-'Data input'!K78,"")</f>
        <v/>
      </c>
      <c r="BV78" s="72" t="str">
        <f>IF(L78&lt;&gt;"",BL78-'Data input'!L78,"")</f>
        <v/>
      </c>
      <c r="BW78" s="121" t="str">
        <f t="shared" si="49"/>
        <v/>
      </c>
      <c r="FT78" s="1" t="str">
        <f t="shared" si="46"/>
        <v/>
      </c>
      <c r="FU78" s="1" t="str">
        <f t="shared" si="46"/>
        <v/>
      </c>
      <c r="FV78" s="1" t="str">
        <f t="shared" si="46"/>
        <v/>
      </c>
      <c r="FW78" s="1" t="str">
        <f t="shared" si="46"/>
        <v/>
      </c>
      <c r="FX78" s="1" t="str">
        <f t="shared" si="46"/>
        <v/>
      </c>
      <c r="FY78" s="1" t="str">
        <f t="shared" si="46"/>
        <v/>
      </c>
      <c r="FZ78" s="1" t="str">
        <f t="shared" si="46"/>
        <v/>
      </c>
      <c r="GA78" s="1" t="str">
        <f t="shared" si="46"/>
        <v/>
      </c>
      <c r="GB78" s="1" t="str">
        <f t="shared" si="46"/>
        <v/>
      </c>
      <c r="GC78" s="1" t="str">
        <f t="shared" si="46"/>
        <v/>
      </c>
      <c r="GD78" s="1" t="str">
        <f t="shared" si="46"/>
        <v/>
      </c>
      <c r="GE78" s="1" t="str">
        <f t="shared" si="46"/>
        <v/>
      </c>
      <c r="GF78" s="1" t="str">
        <f t="shared" si="46"/>
        <v/>
      </c>
      <c r="GG78" s="1" t="str">
        <f t="shared" si="46"/>
        <v/>
      </c>
      <c r="GH78" s="1" t="str">
        <f t="shared" si="46"/>
        <v/>
      </c>
      <c r="GI78" s="1" t="str">
        <f t="shared" si="46"/>
        <v/>
      </c>
      <c r="GJ78" s="1" t="str">
        <f t="shared" si="51"/>
        <v/>
      </c>
      <c r="GK78" s="1" t="str">
        <f t="shared" si="51"/>
        <v/>
      </c>
      <c r="GL78" s="1" t="str">
        <f t="shared" si="51"/>
        <v/>
      </c>
      <c r="GM78" s="1" t="str">
        <f t="shared" si="51"/>
        <v/>
      </c>
      <c r="GN78" s="1" t="str">
        <f t="shared" si="51"/>
        <v/>
      </c>
      <c r="GO78" s="1" t="str">
        <f t="shared" si="51"/>
        <v/>
      </c>
      <c r="GP78" s="1" t="str">
        <f t="shared" si="51"/>
        <v/>
      </c>
      <c r="GQ78" s="1" t="str">
        <f t="shared" si="51"/>
        <v/>
      </c>
      <c r="GR78" s="1" t="str">
        <f t="shared" si="51"/>
        <v/>
      </c>
      <c r="GS78" s="1" t="str">
        <f t="shared" si="51"/>
        <v/>
      </c>
      <c r="GT78" s="1" t="str">
        <f t="shared" si="50"/>
        <v/>
      </c>
      <c r="GU78" s="1" t="str">
        <f t="shared" si="50"/>
        <v/>
      </c>
      <c r="GV78" s="1" t="str">
        <f t="shared" si="50"/>
        <v/>
      </c>
      <c r="GW78" s="1" t="str">
        <f t="shared" si="50"/>
        <v/>
      </c>
      <c r="GX78" s="1" t="str">
        <f t="shared" si="50"/>
        <v/>
      </c>
      <c r="GY78" s="1" t="str">
        <f t="shared" si="39"/>
        <v/>
      </c>
      <c r="GZ78" s="1" t="str">
        <f t="shared" si="39"/>
        <v/>
      </c>
      <c r="HA78" s="1" t="str">
        <f t="shared" si="39"/>
        <v/>
      </c>
      <c r="HB78" s="1" t="str">
        <f t="shared" si="39"/>
        <v/>
      </c>
      <c r="HC78" s="1" t="str">
        <f t="shared" si="39"/>
        <v/>
      </c>
      <c r="HD78" s="1" t="str">
        <f t="shared" si="39"/>
        <v/>
      </c>
      <c r="HE78" s="1" t="str">
        <f t="shared" si="39"/>
        <v/>
      </c>
      <c r="HF78" s="1" t="str">
        <f t="shared" si="39"/>
        <v/>
      </c>
      <c r="HG78" s="1" t="str">
        <f t="shared" si="39"/>
        <v/>
      </c>
      <c r="HH78" s="1" t="str">
        <f t="shared" si="39"/>
        <v/>
      </c>
      <c r="HI78" s="1" t="str">
        <f t="shared" si="39"/>
        <v/>
      </c>
      <c r="HJ78" s="1" t="str">
        <f t="shared" si="39"/>
        <v/>
      </c>
      <c r="HK78" s="1" t="str">
        <f t="shared" si="39"/>
        <v/>
      </c>
      <c r="HL78" s="1" t="str">
        <f t="shared" si="39"/>
        <v/>
      </c>
      <c r="HM78" s="1" t="str">
        <f t="shared" si="39"/>
        <v/>
      </c>
      <c r="HN78" s="1" t="str">
        <f t="shared" si="39"/>
        <v/>
      </c>
      <c r="HO78" s="1" t="str">
        <f t="shared" si="52"/>
        <v/>
      </c>
      <c r="HP78" s="1" t="str">
        <f t="shared" si="47"/>
        <v/>
      </c>
      <c r="HQ78" s="1" t="str">
        <f t="shared" si="47"/>
        <v/>
      </c>
      <c r="HR78" s="1" t="str">
        <f t="shared" si="47"/>
        <v/>
      </c>
      <c r="HS78" s="1" t="str">
        <f t="shared" si="47"/>
        <v/>
      </c>
      <c r="HT78" s="1" t="str">
        <f t="shared" si="47"/>
        <v/>
      </c>
      <c r="HU78" s="1" t="str">
        <f t="shared" si="47"/>
        <v/>
      </c>
      <c r="HV78" s="1" t="str">
        <f t="shared" si="47"/>
        <v/>
      </c>
      <c r="HW78" s="1" t="str">
        <f t="shared" si="41"/>
        <v/>
      </c>
      <c r="HX78" s="1" t="str">
        <f t="shared" si="41"/>
        <v/>
      </c>
      <c r="HY78" s="1" t="str">
        <f t="shared" si="41"/>
        <v/>
      </c>
      <c r="HZ78" s="1" t="str">
        <f t="shared" si="41"/>
        <v/>
      </c>
      <c r="IA78" s="1" t="str">
        <f t="shared" si="41"/>
        <v/>
      </c>
      <c r="IB78" s="1" t="str">
        <f t="shared" si="41"/>
        <v/>
      </c>
      <c r="IC78" s="1" t="str">
        <f t="shared" si="41"/>
        <v/>
      </c>
      <c r="ID78" s="1" t="str">
        <f t="shared" si="41"/>
        <v/>
      </c>
      <c r="IE78" s="1" t="str">
        <f t="shared" si="41"/>
        <v/>
      </c>
      <c r="IF78" s="1" t="str">
        <f t="shared" si="41"/>
        <v/>
      </c>
      <c r="IG78" s="1" t="str">
        <f t="shared" si="41"/>
        <v/>
      </c>
      <c r="IH78" s="1" t="str">
        <f t="shared" si="41"/>
        <v/>
      </c>
      <c r="II78" s="1" t="str">
        <f t="shared" si="41"/>
        <v/>
      </c>
      <c r="IJ78" s="1" t="str">
        <f t="shared" si="41"/>
        <v/>
      </c>
      <c r="IK78" s="1" t="str">
        <f t="shared" si="41"/>
        <v/>
      </c>
      <c r="IL78" s="1" t="str">
        <f t="shared" si="41"/>
        <v/>
      </c>
      <c r="IM78" s="1" t="str">
        <f t="shared" si="42"/>
        <v/>
      </c>
      <c r="IN78" s="1" t="str">
        <f t="shared" si="42"/>
        <v/>
      </c>
      <c r="IO78" s="1" t="str">
        <f t="shared" si="42"/>
        <v/>
      </c>
      <c r="IP78" s="1" t="str">
        <f t="shared" si="42"/>
        <v/>
      </c>
      <c r="IQ78" s="1" t="str">
        <f t="shared" si="42"/>
        <v/>
      </c>
      <c r="IR78" s="1" t="str">
        <f t="shared" si="42"/>
        <v/>
      </c>
      <c r="IS78" s="1" t="str">
        <f t="shared" si="42"/>
        <v/>
      </c>
      <c r="IT78" s="1" t="str">
        <f t="shared" si="42"/>
        <v/>
      </c>
      <c r="IU78" s="1" t="str">
        <f t="shared" si="42"/>
        <v/>
      </c>
      <c r="IV78" s="1" t="str">
        <f t="shared" si="42"/>
        <v/>
      </c>
      <c r="IW78" s="1" t="str">
        <f t="shared" si="42"/>
        <v/>
      </c>
      <c r="IX78" s="1" t="str">
        <f t="shared" si="42"/>
        <v/>
      </c>
      <c r="IY78" s="1" t="str">
        <f t="shared" si="42"/>
        <v/>
      </c>
      <c r="IZ78" s="1" t="str">
        <f t="shared" si="42"/>
        <v/>
      </c>
      <c r="JA78" s="1" t="str">
        <f t="shared" si="42"/>
        <v/>
      </c>
      <c r="JB78" s="1" t="str">
        <f t="shared" si="42"/>
        <v/>
      </c>
      <c r="JC78" s="1" t="str">
        <f t="shared" si="43"/>
        <v/>
      </c>
      <c r="JD78" s="1" t="str">
        <f t="shared" si="43"/>
        <v/>
      </c>
      <c r="JE78" s="1" t="str">
        <f t="shared" si="43"/>
        <v/>
      </c>
      <c r="JF78" s="1" t="str">
        <f t="shared" si="43"/>
        <v/>
      </c>
      <c r="JG78" s="1" t="str">
        <f t="shared" si="37"/>
        <v/>
      </c>
      <c r="JH78" s="1" t="str">
        <f t="shared" si="37"/>
        <v/>
      </c>
      <c r="JI78" s="1" t="str">
        <f t="shared" si="37"/>
        <v/>
      </c>
      <c r="JJ78" s="1" t="str">
        <f t="shared" si="30"/>
        <v/>
      </c>
      <c r="JK78" s="1" t="str">
        <f t="shared" si="30"/>
        <v/>
      </c>
      <c r="JL78" s="1" t="str">
        <f t="shared" si="24"/>
        <v/>
      </c>
      <c r="JM78" s="1" t="str">
        <f t="shared" si="24"/>
        <v/>
      </c>
      <c r="JN78" s="1" t="str">
        <f t="shared" si="24"/>
        <v/>
      </c>
      <c r="JO78" s="1" t="str">
        <f t="shared" si="24"/>
        <v/>
      </c>
    </row>
    <row r="79" spans="1:275" ht="14.5" x14ac:dyDescent="0.35">
      <c r="A79" s="59" t="str">
        <f>IF('Data input'!A79&lt;&gt;"",'Data input'!A79,"")</f>
        <v/>
      </c>
      <c r="B79" s="15" t="str">
        <f>IF('Data input'!B79&lt;&gt;"",'Data input'!B79,"")</f>
        <v/>
      </c>
      <c r="C79" s="16" t="str">
        <f>IF('Data input'!C79="","",4*('Data input'!C79-'Data input'!C$108)/('Data input'!C$109-'Data input'!C$108)+1)</f>
        <v/>
      </c>
      <c r="D79" s="16" t="str">
        <f>IF('Data input'!D79="","",4*('Data input'!D79-'Data input'!D$108)/('Data input'!D$109-'Data input'!D$108)+1)</f>
        <v/>
      </c>
      <c r="E79" s="16" t="str">
        <f>IF('Data input'!E79="","",4*('Data input'!E79-'Data input'!E$108)/('Data input'!E$109-'Data input'!E$108)+1)</f>
        <v/>
      </c>
      <c r="F79" s="16" t="str">
        <f>IF('Data input'!F79="","",4*('Data input'!F79-'Data input'!F$108)/('Data input'!F$109-'Data input'!F$108)+1)</f>
        <v/>
      </c>
      <c r="G79" s="16" t="str">
        <f>IF('Data input'!G79="","",4*('Data input'!G79-'Data input'!G$108)/('Data input'!G$109-'Data input'!G$108)+1)</f>
        <v/>
      </c>
      <c r="H79" s="16" t="str">
        <f>IF('Data input'!H79="","",4*('Data input'!H79-'Data input'!H$108)/('Data input'!H$109-'Data input'!H$108)+1)</f>
        <v/>
      </c>
      <c r="I79" s="19" t="str">
        <f>IF('Data input'!I79="","",4*('Data input'!I79-'Data input'!I$108)/('Data input'!I$109-'Data input'!I$108)+1)</f>
        <v/>
      </c>
      <c r="J79" s="19" t="str">
        <f>IF('Data input'!J79="","",4*('Data input'!J79-'Data input'!J$108)/('Data input'!J$109-'Data input'!J$108)+1)</f>
        <v/>
      </c>
      <c r="K79" s="19" t="str">
        <f>IF('Data input'!K79="","",4*('Data input'!K79-'Data input'!K$108)/('Data input'!K$109-'Data input'!K$108)+1)</f>
        <v/>
      </c>
      <c r="L79" s="19" t="str">
        <f>IF('Data input'!L79="","",4*('Data input'!L79-'Data input'!L$108)/('Data input'!L$109-'Data input'!L$108)+1)</f>
        <v/>
      </c>
      <c r="M79" s="16" t="str">
        <f>IF('Data input'!M79="","",4*('Data input'!M79-'Data input'!M$108)/('Data input'!M$109-'Data input'!M$108)+1)</f>
        <v/>
      </c>
      <c r="N79" s="16" t="str">
        <f>IF('Data input'!N79="","",4*('Data input'!N79-'Data input'!N$108)/('Data input'!N$109-'Data input'!N$108)+1)</f>
        <v/>
      </c>
      <c r="O79" s="16" t="str">
        <f>IF('Data input'!O79="","",4*('Data input'!O79-'Data input'!O$108)/('Data input'!O$109-'Data input'!O$108)+1)</f>
        <v/>
      </c>
      <c r="P79" s="16" t="str">
        <f>IF('Data input'!P79="","",4*('Data input'!P79-'Data input'!P$108)/('Data input'!P$109-'Data input'!P$108)+1)</f>
        <v/>
      </c>
      <c r="Q79" s="16" t="str">
        <f>IF('Data input'!Q79="","",4*('Data input'!Q79-'Data input'!Q$108)/('Data input'!Q$109-'Data input'!Q$108)+1)</f>
        <v/>
      </c>
      <c r="R79" s="16" t="str">
        <f>IF('Data input'!R79="","",4*('Data input'!R79-'Data input'!R$108)/('Data input'!R$109-'Data input'!R$108)+1)</f>
        <v/>
      </c>
      <c r="S79" s="16" t="str">
        <f>IF('Data input'!S79="","",4*('Data input'!S79-'Data input'!S$108)/('Data input'!S$109-'Data input'!S$108)+1)</f>
        <v/>
      </c>
      <c r="T79" s="16" t="str">
        <f>IF('Data input'!T79="","",4*('Data input'!T79-'Data input'!T$108)/('Data input'!T$109-'Data input'!T$108)+1)</f>
        <v/>
      </c>
      <c r="U79" s="16" t="str">
        <f>IF('Data input'!U79="","",4*('Data input'!U79-'Data input'!U$108)/('Data input'!U$109-'Data input'!U$108)+1)</f>
        <v/>
      </c>
      <c r="V79" s="16" t="str">
        <f>IF('Data input'!V79="","",4*('Data input'!V79-'Data input'!V$108)/('Data input'!V$109-'Data input'!V$108)+1)</f>
        <v/>
      </c>
      <c r="W79" s="16" t="str">
        <f>IF('Data input'!W79="","",4*('Data input'!W79-'Data input'!W$108)/('Data input'!W$109-'Data input'!W$108)+1)</f>
        <v/>
      </c>
      <c r="X79" s="16" t="str">
        <f>IF('Data input'!X79="","",4*('Data input'!X79-'Data input'!X$108)/('Data input'!X$109-'Data input'!X$108)+1)</f>
        <v/>
      </c>
      <c r="Y79" s="16" t="str">
        <f>IF('Data input'!Y79="","",4*('Data input'!Y79-'Data input'!Y$108)/('Data input'!Y$109-'Data input'!Y$108)+1)</f>
        <v/>
      </c>
      <c r="Z79" s="16" t="str">
        <f>IF('Data input'!Z79="","",4*('Data input'!Z79-'Data input'!Z$108)/('Data input'!Z$109-'Data input'!Z$108)+1)</f>
        <v/>
      </c>
      <c r="AA79" s="62" t="str">
        <f>IF('Data input'!AA79="","",4*('Data input'!AA79-'Data input'!AA$108)/('Data input'!AA$109-'Data input'!AA$108)+1)</f>
        <v/>
      </c>
      <c r="AB79" s="78"/>
      <c r="AC79" s="79">
        <v>0</v>
      </c>
      <c r="AD79" s="80" t="e">
        <f t="shared" si="48"/>
        <v>#DIV/0!</v>
      </c>
      <c r="AE79" s="4"/>
      <c r="AF79" s="59" t="str">
        <f t="shared" si="40"/>
        <v/>
      </c>
      <c r="AG79" s="60" t="str">
        <f t="shared" si="40"/>
        <v/>
      </c>
      <c r="AH79"/>
      <c r="AI79"/>
      <c r="AJ79"/>
      <c r="AK79"/>
      <c r="AL79"/>
      <c r="AM79"/>
      <c r="AN79"/>
      <c r="AO79"/>
      <c r="AP79"/>
      <c r="AQ79"/>
      <c r="AR79"/>
      <c r="AS79" s="71" t="str">
        <f t="shared" si="44"/>
        <v/>
      </c>
      <c r="AT79" s="71" t="str">
        <f t="shared" si="44"/>
        <v/>
      </c>
      <c r="AU79" s="71" t="str">
        <f t="shared" si="44"/>
        <v/>
      </c>
      <c r="AV79" s="71" t="str">
        <f t="shared" si="44"/>
        <v/>
      </c>
      <c r="AW79" s="71" t="str">
        <f t="shared" si="44"/>
        <v/>
      </c>
      <c r="AX79" s="71" t="str">
        <f t="shared" si="45"/>
        <v/>
      </c>
      <c r="AY79" s="71" t="str">
        <f t="shared" si="45"/>
        <v/>
      </c>
      <c r="AZ79" s="71" t="str">
        <f t="shared" si="45"/>
        <v/>
      </c>
      <c r="BA79" s="71" t="str">
        <f t="shared" si="45"/>
        <v/>
      </c>
      <c r="BB79" s="71" t="str">
        <f t="shared" si="45"/>
        <v/>
      </c>
      <c r="BC79" s="18" t="str">
        <f>IF(C79&lt;&gt;"",(('Data input'!C$109-'Data input'!C$108)*(AS79-1)/4)+'Data input'!C$108,"")</f>
        <v/>
      </c>
      <c r="BD79" s="18" t="str">
        <f>IF(D79&lt;&gt;"",(('Data input'!D$109-'Data input'!D$108)*(AT79-1)/4)+'Data input'!D$108,"")</f>
        <v/>
      </c>
      <c r="BE79" s="18" t="str">
        <f>IF(E79&lt;&gt;"",(('Data input'!E$109-'Data input'!E$108)*(AU79-1)/4)+'Data input'!E$108,"")</f>
        <v/>
      </c>
      <c r="BF79" s="18" t="str">
        <f>IF(F79&lt;&gt;"",(('Data input'!F$109-'Data input'!F$108)*(AV79-1)/4)+'Data input'!F$108,"")</f>
        <v/>
      </c>
      <c r="BG79" s="18" t="str">
        <f>IF(G79&lt;&gt;"",(('Data input'!G$109-'Data input'!G$108)*(AW79-1)/4)+'Data input'!G$108,"")</f>
        <v/>
      </c>
      <c r="BH79" s="19" t="str">
        <f>IF(H79&lt;&gt;"",(('Data input'!H$109-'Data input'!H$108)*(AX79-1)/4)+'Data input'!H$108,"")</f>
        <v/>
      </c>
      <c r="BI79" s="18" t="str">
        <f>IF(I79&lt;&gt;"",(('Data input'!I$109-'Data input'!I$108)*(AY79-1)/4)+'Data input'!I$108,"")</f>
        <v/>
      </c>
      <c r="BJ79" s="19" t="str">
        <f>IF(J79&lt;&gt;"",(('Data input'!J$109-'Data input'!J$108)*(AZ79-1)/4)+'Data input'!J$108,"")</f>
        <v/>
      </c>
      <c r="BK79" s="19" t="str">
        <f>IF(K79&lt;&gt;"",(('Data input'!K$109-'Data input'!K$108)*(BA79-1)/4)+'Data input'!K$108,"")</f>
        <v/>
      </c>
      <c r="BL79" s="19" t="str">
        <f>IF(L79&lt;&gt;"",(('Data input'!L$109-'Data input'!L$108)*(BB79-1)/4)+'Data input'!L$108,"")</f>
        <v/>
      </c>
      <c r="BM79" s="18" t="str">
        <f>IF(C79&lt;&gt;"",BC79-'Data input'!C79,"")</f>
        <v/>
      </c>
      <c r="BN79" s="18" t="str">
        <f>IF(D79&lt;&gt;"",BD79-'Data input'!D79,"")</f>
        <v/>
      </c>
      <c r="BO79" s="18" t="str">
        <f>IF(E79&lt;&gt;"",BE79-'Data input'!E79,"")</f>
        <v/>
      </c>
      <c r="BP79" s="18" t="str">
        <f>IF(F79&lt;&gt;"",BF79-'Data input'!F79,"")</f>
        <v/>
      </c>
      <c r="BQ79" s="18" t="str">
        <f>IF(G79&lt;&gt;"",BG79-'Data input'!G79,"")</f>
        <v/>
      </c>
      <c r="BR79" s="19" t="str">
        <f>IF(H79&lt;&gt;"",BH79-'Data input'!H79,"")</f>
        <v/>
      </c>
      <c r="BS79" s="18" t="str">
        <f>IF(I79&lt;&gt;"",BI79-'Data input'!I79,"")</f>
        <v/>
      </c>
      <c r="BT79" s="18" t="str">
        <f>IF(J79&lt;&gt;"",BJ79-'Data input'!J79,"")</f>
        <v/>
      </c>
      <c r="BU79" s="18" t="str">
        <f>IF(K79&lt;&gt;"",BK79-'Data input'!K79,"")</f>
        <v/>
      </c>
      <c r="BV79" s="72" t="str">
        <f>IF(L79&lt;&gt;"",BL79-'Data input'!L79,"")</f>
        <v/>
      </c>
      <c r="BW79" s="121" t="str">
        <f t="shared" si="49"/>
        <v/>
      </c>
      <c r="FT79" s="1" t="str">
        <f t="shared" si="46"/>
        <v/>
      </c>
      <c r="FU79" s="1" t="str">
        <f t="shared" si="46"/>
        <v/>
      </c>
      <c r="FV79" s="1" t="str">
        <f t="shared" si="46"/>
        <v/>
      </c>
      <c r="FW79" s="1" t="str">
        <f t="shared" si="46"/>
        <v/>
      </c>
      <c r="FX79" s="1" t="str">
        <f t="shared" si="46"/>
        <v/>
      </c>
      <c r="FY79" s="1" t="str">
        <f t="shared" si="46"/>
        <v/>
      </c>
      <c r="FZ79" s="1" t="str">
        <f t="shared" si="46"/>
        <v/>
      </c>
      <c r="GA79" s="1" t="str">
        <f t="shared" si="46"/>
        <v/>
      </c>
      <c r="GB79" s="1" t="str">
        <f t="shared" si="46"/>
        <v/>
      </c>
      <c r="GC79" s="1" t="str">
        <f t="shared" si="46"/>
        <v/>
      </c>
      <c r="GD79" s="1" t="str">
        <f t="shared" si="46"/>
        <v/>
      </c>
      <c r="GE79" s="1" t="str">
        <f t="shared" si="46"/>
        <v/>
      </c>
      <c r="GF79" s="1" t="str">
        <f t="shared" si="46"/>
        <v/>
      </c>
      <c r="GG79" s="1" t="str">
        <f t="shared" si="46"/>
        <v/>
      </c>
      <c r="GH79" s="1" t="str">
        <f t="shared" si="46"/>
        <v/>
      </c>
      <c r="GI79" s="1" t="str">
        <f t="shared" si="46"/>
        <v/>
      </c>
      <c r="GJ79" s="1" t="str">
        <f t="shared" si="51"/>
        <v/>
      </c>
      <c r="GK79" s="1" t="str">
        <f t="shared" si="51"/>
        <v/>
      </c>
      <c r="GL79" s="1" t="str">
        <f t="shared" si="51"/>
        <v/>
      </c>
      <c r="GM79" s="1" t="str">
        <f t="shared" si="51"/>
        <v/>
      </c>
      <c r="GN79" s="1" t="str">
        <f t="shared" si="51"/>
        <v/>
      </c>
      <c r="GO79" s="1" t="str">
        <f t="shared" si="51"/>
        <v/>
      </c>
      <c r="GP79" s="1" t="str">
        <f t="shared" si="51"/>
        <v/>
      </c>
      <c r="GQ79" s="1" t="str">
        <f t="shared" si="51"/>
        <v/>
      </c>
      <c r="GR79" s="1" t="str">
        <f t="shared" si="51"/>
        <v/>
      </c>
      <c r="GS79" s="1" t="str">
        <f t="shared" si="51"/>
        <v/>
      </c>
      <c r="GT79" s="1" t="str">
        <f t="shared" si="50"/>
        <v/>
      </c>
      <c r="GU79" s="1" t="str">
        <f t="shared" si="50"/>
        <v/>
      </c>
      <c r="GV79" s="1" t="str">
        <f t="shared" si="50"/>
        <v/>
      </c>
      <c r="GW79" s="1" t="str">
        <f t="shared" si="50"/>
        <v/>
      </c>
      <c r="GX79" s="1" t="str">
        <f t="shared" si="50"/>
        <v/>
      </c>
      <c r="GY79" s="1" t="str">
        <f t="shared" si="39"/>
        <v/>
      </c>
      <c r="GZ79" s="1" t="str">
        <f t="shared" si="39"/>
        <v/>
      </c>
      <c r="HA79" s="1" t="str">
        <f t="shared" si="39"/>
        <v/>
      </c>
      <c r="HB79" s="1" t="str">
        <f t="shared" si="39"/>
        <v/>
      </c>
      <c r="HC79" s="1" t="str">
        <f t="shared" si="39"/>
        <v/>
      </c>
      <c r="HD79" s="1" t="str">
        <f t="shared" si="39"/>
        <v/>
      </c>
      <c r="HE79" s="1" t="str">
        <f t="shared" si="39"/>
        <v/>
      </c>
      <c r="HF79" s="1" t="str">
        <f t="shared" si="39"/>
        <v/>
      </c>
      <c r="HG79" s="1" t="str">
        <f t="shared" si="39"/>
        <v/>
      </c>
      <c r="HH79" s="1" t="str">
        <f t="shared" si="39"/>
        <v/>
      </c>
      <c r="HI79" s="1" t="str">
        <f t="shared" si="39"/>
        <v/>
      </c>
      <c r="HJ79" s="1" t="str">
        <f t="shared" si="39"/>
        <v/>
      </c>
      <c r="HK79" s="1" t="str">
        <f t="shared" si="39"/>
        <v/>
      </c>
      <c r="HL79" s="1" t="str">
        <f t="shared" si="39"/>
        <v/>
      </c>
      <c r="HM79" s="1" t="str">
        <f t="shared" si="39"/>
        <v/>
      </c>
      <c r="HN79" s="1" t="str">
        <f t="shared" si="39"/>
        <v/>
      </c>
      <c r="HO79" s="1" t="str">
        <f t="shared" si="52"/>
        <v/>
      </c>
      <c r="HP79" s="1" t="str">
        <f t="shared" si="47"/>
        <v/>
      </c>
      <c r="HQ79" s="1" t="str">
        <f t="shared" si="47"/>
        <v/>
      </c>
      <c r="HR79" s="1" t="str">
        <f t="shared" si="47"/>
        <v/>
      </c>
      <c r="HS79" s="1" t="str">
        <f t="shared" si="47"/>
        <v/>
      </c>
      <c r="HT79" s="1" t="str">
        <f t="shared" si="47"/>
        <v/>
      </c>
      <c r="HU79" s="1" t="str">
        <f t="shared" si="47"/>
        <v/>
      </c>
      <c r="HV79" s="1" t="str">
        <f t="shared" si="47"/>
        <v/>
      </c>
      <c r="HW79" s="1" t="str">
        <f t="shared" si="41"/>
        <v/>
      </c>
      <c r="HX79" s="1" t="str">
        <f t="shared" si="41"/>
        <v/>
      </c>
      <c r="HY79" s="1" t="str">
        <f t="shared" si="41"/>
        <v/>
      </c>
      <c r="HZ79" s="1" t="str">
        <f t="shared" si="41"/>
        <v/>
      </c>
      <c r="IA79" s="1" t="str">
        <f t="shared" si="41"/>
        <v/>
      </c>
      <c r="IB79" s="1" t="str">
        <f t="shared" si="41"/>
        <v/>
      </c>
      <c r="IC79" s="1" t="str">
        <f t="shared" si="41"/>
        <v/>
      </c>
      <c r="ID79" s="1" t="str">
        <f t="shared" si="41"/>
        <v/>
      </c>
      <c r="IE79" s="1" t="str">
        <f t="shared" si="41"/>
        <v/>
      </c>
      <c r="IF79" s="1" t="str">
        <f t="shared" si="41"/>
        <v/>
      </c>
      <c r="IG79" s="1" t="str">
        <f t="shared" si="41"/>
        <v/>
      </c>
      <c r="IH79" s="1" t="str">
        <f t="shared" si="41"/>
        <v/>
      </c>
      <c r="II79" s="1" t="str">
        <f t="shared" si="41"/>
        <v/>
      </c>
      <c r="IJ79" s="1" t="str">
        <f t="shared" si="41"/>
        <v/>
      </c>
      <c r="IK79" s="1" t="str">
        <f t="shared" si="41"/>
        <v/>
      </c>
      <c r="IL79" s="1" t="str">
        <f t="shared" si="41"/>
        <v/>
      </c>
      <c r="IM79" s="1" t="str">
        <f t="shared" si="42"/>
        <v/>
      </c>
      <c r="IN79" s="1" t="str">
        <f t="shared" si="42"/>
        <v/>
      </c>
      <c r="IO79" s="1" t="str">
        <f t="shared" si="42"/>
        <v/>
      </c>
      <c r="IP79" s="1" t="str">
        <f t="shared" si="42"/>
        <v/>
      </c>
      <c r="IQ79" s="1" t="str">
        <f t="shared" si="42"/>
        <v/>
      </c>
      <c r="IR79" s="1" t="str">
        <f t="shared" si="42"/>
        <v/>
      </c>
      <c r="IS79" s="1" t="str">
        <f t="shared" si="42"/>
        <v/>
      </c>
      <c r="IT79" s="1" t="str">
        <f t="shared" si="42"/>
        <v/>
      </c>
      <c r="IU79" s="1" t="str">
        <f t="shared" si="42"/>
        <v/>
      </c>
      <c r="IV79" s="1" t="str">
        <f t="shared" si="42"/>
        <v/>
      </c>
      <c r="IW79" s="1" t="str">
        <f t="shared" si="42"/>
        <v/>
      </c>
      <c r="IX79" s="1" t="str">
        <f t="shared" si="42"/>
        <v/>
      </c>
      <c r="IY79" s="1" t="str">
        <f t="shared" si="42"/>
        <v/>
      </c>
      <c r="IZ79" s="1" t="str">
        <f t="shared" si="42"/>
        <v/>
      </c>
      <c r="JA79" s="1" t="str">
        <f t="shared" si="42"/>
        <v/>
      </c>
      <c r="JB79" s="1" t="str">
        <f t="shared" si="42"/>
        <v/>
      </c>
      <c r="JC79" s="1" t="str">
        <f t="shared" si="43"/>
        <v/>
      </c>
      <c r="JD79" s="1" t="str">
        <f t="shared" si="43"/>
        <v/>
      </c>
      <c r="JE79" s="1" t="str">
        <f t="shared" si="43"/>
        <v/>
      </c>
      <c r="JF79" s="1" t="str">
        <f t="shared" si="43"/>
        <v/>
      </c>
      <c r="JG79" s="1" t="str">
        <f t="shared" si="37"/>
        <v/>
      </c>
      <c r="JH79" s="1" t="str">
        <f t="shared" si="37"/>
        <v/>
      </c>
      <c r="JI79" s="1" t="str">
        <f t="shared" si="37"/>
        <v/>
      </c>
      <c r="JJ79" s="1" t="str">
        <f t="shared" si="30"/>
        <v/>
      </c>
      <c r="JK79" s="1" t="str">
        <f t="shared" si="30"/>
        <v/>
      </c>
      <c r="JL79" s="1" t="str">
        <f t="shared" si="24"/>
        <v/>
      </c>
      <c r="JM79" s="1" t="str">
        <f t="shared" si="24"/>
        <v/>
      </c>
      <c r="JN79" s="1" t="str">
        <f t="shared" si="24"/>
        <v/>
      </c>
      <c r="JO79" s="1" t="str">
        <f t="shared" si="24"/>
        <v/>
      </c>
    </row>
    <row r="80" spans="1:275" ht="14.5" x14ac:dyDescent="0.35">
      <c r="A80" s="59" t="str">
        <f>IF('Data input'!A80&lt;&gt;"",'Data input'!A80,"")</f>
        <v/>
      </c>
      <c r="B80" s="15" t="str">
        <f>IF('Data input'!B80&lt;&gt;"",'Data input'!B80,"")</f>
        <v/>
      </c>
      <c r="C80" s="16" t="str">
        <f>IF('Data input'!C80="","",4*('Data input'!C80-'Data input'!C$108)/('Data input'!C$109-'Data input'!C$108)+1)</f>
        <v/>
      </c>
      <c r="D80" s="16" t="str">
        <f>IF('Data input'!D80="","",4*('Data input'!D80-'Data input'!D$108)/('Data input'!D$109-'Data input'!D$108)+1)</f>
        <v/>
      </c>
      <c r="E80" s="16" t="str">
        <f>IF('Data input'!E80="","",4*('Data input'!E80-'Data input'!E$108)/('Data input'!E$109-'Data input'!E$108)+1)</f>
        <v/>
      </c>
      <c r="F80" s="16" t="str">
        <f>IF('Data input'!F80="","",4*('Data input'!F80-'Data input'!F$108)/('Data input'!F$109-'Data input'!F$108)+1)</f>
        <v/>
      </c>
      <c r="G80" s="16" t="str">
        <f>IF('Data input'!G80="","",4*('Data input'!G80-'Data input'!G$108)/('Data input'!G$109-'Data input'!G$108)+1)</f>
        <v/>
      </c>
      <c r="H80" s="16" t="str">
        <f>IF('Data input'!H80="","",4*('Data input'!H80-'Data input'!H$108)/('Data input'!H$109-'Data input'!H$108)+1)</f>
        <v/>
      </c>
      <c r="I80" s="19" t="str">
        <f>IF('Data input'!I80="","",4*('Data input'!I80-'Data input'!I$108)/('Data input'!I$109-'Data input'!I$108)+1)</f>
        <v/>
      </c>
      <c r="J80" s="19" t="str">
        <f>IF('Data input'!J80="","",4*('Data input'!J80-'Data input'!J$108)/('Data input'!J$109-'Data input'!J$108)+1)</f>
        <v/>
      </c>
      <c r="K80" s="19" t="str">
        <f>IF('Data input'!K80="","",4*('Data input'!K80-'Data input'!K$108)/('Data input'!K$109-'Data input'!K$108)+1)</f>
        <v/>
      </c>
      <c r="L80" s="19" t="str">
        <f>IF('Data input'!L80="","",4*('Data input'!L80-'Data input'!L$108)/('Data input'!L$109-'Data input'!L$108)+1)</f>
        <v/>
      </c>
      <c r="M80" s="16" t="str">
        <f>IF('Data input'!M80="","",4*('Data input'!M80-'Data input'!M$108)/('Data input'!M$109-'Data input'!M$108)+1)</f>
        <v/>
      </c>
      <c r="N80" s="16" t="str">
        <f>IF('Data input'!N80="","",4*('Data input'!N80-'Data input'!N$108)/('Data input'!N$109-'Data input'!N$108)+1)</f>
        <v/>
      </c>
      <c r="O80" s="16" t="str">
        <f>IF('Data input'!O80="","",4*('Data input'!O80-'Data input'!O$108)/('Data input'!O$109-'Data input'!O$108)+1)</f>
        <v/>
      </c>
      <c r="P80" s="16" t="str">
        <f>IF('Data input'!P80="","",4*('Data input'!P80-'Data input'!P$108)/('Data input'!P$109-'Data input'!P$108)+1)</f>
        <v/>
      </c>
      <c r="Q80" s="16" t="str">
        <f>IF('Data input'!Q80="","",4*('Data input'!Q80-'Data input'!Q$108)/('Data input'!Q$109-'Data input'!Q$108)+1)</f>
        <v/>
      </c>
      <c r="R80" s="16" t="str">
        <f>IF('Data input'!R80="","",4*('Data input'!R80-'Data input'!R$108)/('Data input'!R$109-'Data input'!R$108)+1)</f>
        <v/>
      </c>
      <c r="S80" s="16" t="str">
        <f>IF('Data input'!S80="","",4*('Data input'!S80-'Data input'!S$108)/('Data input'!S$109-'Data input'!S$108)+1)</f>
        <v/>
      </c>
      <c r="T80" s="16" t="str">
        <f>IF('Data input'!T80="","",4*('Data input'!T80-'Data input'!T$108)/('Data input'!T$109-'Data input'!T$108)+1)</f>
        <v/>
      </c>
      <c r="U80" s="16" t="str">
        <f>IF('Data input'!U80="","",4*('Data input'!U80-'Data input'!U$108)/('Data input'!U$109-'Data input'!U$108)+1)</f>
        <v/>
      </c>
      <c r="V80" s="16" t="str">
        <f>IF('Data input'!V80="","",4*('Data input'!V80-'Data input'!V$108)/('Data input'!V$109-'Data input'!V$108)+1)</f>
        <v/>
      </c>
      <c r="W80" s="16" t="str">
        <f>IF('Data input'!W80="","",4*('Data input'!W80-'Data input'!W$108)/('Data input'!W$109-'Data input'!W$108)+1)</f>
        <v/>
      </c>
      <c r="X80" s="16" t="str">
        <f>IF('Data input'!X80="","",4*('Data input'!X80-'Data input'!X$108)/('Data input'!X$109-'Data input'!X$108)+1)</f>
        <v/>
      </c>
      <c r="Y80" s="16" t="str">
        <f>IF('Data input'!Y80="","",4*('Data input'!Y80-'Data input'!Y$108)/('Data input'!Y$109-'Data input'!Y$108)+1)</f>
        <v/>
      </c>
      <c r="Z80" s="16" t="str">
        <f>IF('Data input'!Z80="","",4*('Data input'!Z80-'Data input'!Z$108)/('Data input'!Z$109-'Data input'!Z$108)+1)</f>
        <v/>
      </c>
      <c r="AA80" s="62" t="str">
        <f>IF('Data input'!AA80="","",4*('Data input'!AA80-'Data input'!AA$108)/('Data input'!AA$109-'Data input'!AA$108)+1)</f>
        <v/>
      </c>
      <c r="AB80" s="78"/>
      <c r="AC80" s="79">
        <v>0</v>
      </c>
      <c r="AD80" s="80" t="e">
        <f t="shared" si="48"/>
        <v>#DIV/0!</v>
      </c>
      <c r="AE80" s="4"/>
      <c r="AF80" s="59" t="str">
        <f t="shared" si="40"/>
        <v/>
      </c>
      <c r="AG80" s="60" t="str">
        <f t="shared" si="40"/>
        <v/>
      </c>
      <c r="AH80"/>
      <c r="AI80"/>
      <c r="AJ80"/>
      <c r="AK80"/>
      <c r="AL80"/>
      <c r="AM80"/>
      <c r="AN80"/>
      <c r="AO80"/>
      <c r="AP80"/>
      <c r="AQ80"/>
      <c r="AR80"/>
      <c r="AS80" s="71" t="str">
        <f t="shared" si="44"/>
        <v/>
      </c>
      <c r="AT80" s="71" t="str">
        <f t="shared" si="44"/>
        <v/>
      </c>
      <c r="AU80" s="71" t="str">
        <f t="shared" si="44"/>
        <v/>
      </c>
      <c r="AV80" s="71" t="str">
        <f t="shared" si="44"/>
        <v/>
      </c>
      <c r="AW80" s="71" t="str">
        <f t="shared" si="44"/>
        <v/>
      </c>
      <c r="AX80" s="71" t="str">
        <f t="shared" si="45"/>
        <v/>
      </c>
      <c r="AY80" s="71" t="str">
        <f t="shared" si="45"/>
        <v/>
      </c>
      <c r="AZ80" s="71" t="str">
        <f t="shared" si="45"/>
        <v/>
      </c>
      <c r="BA80" s="71" t="str">
        <f t="shared" si="45"/>
        <v/>
      </c>
      <c r="BB80" s="71" t="str">
        <f t="shared" si="45"/>
        <v/>
      </c>
      <c r="BC80" s="18" t="str">
        <f>IF(C80&lt;&gt;"",(('Data input'!C$109-'Data input'!C$108)*(AS80-1)/4)+'Data input'!C$108,"")</f>
        <v/>
      </c>
      <c r="BD80" s="18" t="str">
        <f>IF(D80&lt;&gt;"",(('Data input'!D$109-'Data input'!D$108)*(AT80-1)/4)+'Data input'!D$108,"")</f>
        <v/>
      </c>
      <c r="BE80" s="18" t="str">
        <f>IF(E80&lt;&gt;"",(('Data input'!E$109-'Data input'!E$108)*(AU80-1)/4)+'Data input'!E$108,"")</f>
        <v/>
      </c>
      <c r="BF80" s="18" t="str">
        <f>IF(F80&lt;&gt;"",(('Data input'!F$109-'Data input'!F$108)*(AV80-1)/4)+'Data input'!F$108,"")</f>
        <v/>
      </c>
      <c r="BG80" s="18" t="str">
        <f>IF(G80&lt;&gt;"",(('Data input'!G$109-'Data input'!G$108)*(AW80-1)/4)+'Data input'!G$108,"")</f>
        <v/>
      </c>
      <c r="BH80" s="19" t="str">
        <f>IF(H80&lt;&gt;"",(('Data input'!H$109-'Data input'!H$108)*(AX80-1)/4)+'Data input'!H$108,"")</f>
        <v/>
      </c>
      <c r="BI80" s="18" t="str">
        <f>IF(I80&lt;&gt;"",(('Data input'!I$109-'Data input'!I$108)*(AY80-1)/4)+'Data input'!I$108,"")</f>
        <v/>
      </c>
      <c r="BJ80" s="19" t="str">
        <f>IF(J80&lt;&gt;"",(('Data input'!J$109-'Data input'!J$108)*(AZ80-1)/4)+'Data input'!J$108,"")</f>
        <v/>
      </c>
      <c r="BK80" s="19" t="str">
        <f>IF(K80&lt;&gt;"",(('Data input'!K$109-'Data input'!K$108)*(BA80-1)/4)+'Data input'!K$108,"")</f>
        <v/>
      </c>
      <c r="BL80" s="19" t="str">
        <f>IF(L80&lt;&gt;"",(('Data input'!L$109-'Data input'!L$108)*(BB80-1)/4)+'Data input'!L$108,"")</f>
        <v/>
      </c>
      <c r="BM80" s="18" t="str">
        <f>IF(C80&lt;&gt;"",BC80-'Data input'!C80,"")</f>
        <v/>
      </c>
      <c r="BN80" s="18" t="str">
        <f>IF(D80&lt;&gt;"",BD80-'Data input'!D80,"")</f>
        <v/>
      </c>
      <c r="BO80" s="18" t="str">
        <f>IF(E80&lt;&gt;"",BE80-'Data input'!E80,"")</f>
        <v/>
      </c>
      <c r="BP80" s="18" t="str">
        <f>IF(F80&lt;&gt;"",BF80-'Data input'!F80,"")</f>
        <v/>
      </c>
      <c r="BQ80" s="18" t="str">
        <f>IF(G80&lt;&gt;"",BG80-'Data input'!G80,"")</f>
        <v/>
      </c>
      <c r="BR80" s="19" t="str">
        <f>IF(H80&lt;&gt;"",BH80-'Data input'!H80,"")</f>
        <v/>
      </c>
      <c r="BS80" s="18" t="str">
        <f>IF(I80&lt;&gt;"",BI80-'Data input'!I80,"")</f>
        <v/>
      </c>
      <c r="BT80" s="18" t="str">
        <f>IF(J80&lt;&gt;"",BJ80-'Data input'!J80,"")</f>
        <v/>
      </c>
      <c r="BU80" s="18" t="str">
        <f>IF(K80&lt;&gt;"",BK80-'Data input'!K80,"")</f>
        <v/>
      </c>
      <c r="BV80" s="72" t="str">
        <f>IF(L80&lt;&gt;"",BL80-'Data input'!L80,"")</f>
        <v/>
      </c>
      <c r="BW80" s="121" t="str">
        <f t="shared" si="49"/>
        <v/>
      </c>
      <c r="FT80" s="1" t="str">
        <f t="shared" si="46"/>
        <v/>
      </c>
      <c r="FU80" s="1" t="str">
        <f t="shared" si="46"/>
        <v/>
      </c>
      <c r="FV80" s="1" t="str">
        <f t="shared" si="46"/>
        <v/>
      </c>
      <c r="FW80" s="1" t="str">
        <f t="shared" si="46"/>
        <v/>
      </c>
      <c r="FX80" s="1" t="str">
        <f t="shared" si="46"/>
        <v/>
      </c>
      <c r="FY80" s="1" t="str">
        <f t="shared" si="46"/>
        <v/>
      </c>
      <c r="FZ80" s="1" t="str">
        <f t="shared" si="46"/>
        <v/>
      </c>
      <c r="GA80" s="1" t="str">
        <f t="shared" si="46"/>
        <v/>
      </c>
      <c r="GB80" s="1" t="str">
        <f t="shared" si="46"/>
        <v/>
      </c>
      <c r="GC80" s="1" t="str">
        <f t="shared" si="46"/>
        <v/>
      </c>
      <c r="GD80" s="1" t="str">
        <f t="shared" si="46"/>
        <v/>
      </c>
      <c r="GE80" s="1" t="str">
        <f t="shared" si="46"/>
        <v/>
      </c>
      <c r="GF80" s="1" t="str">
        <f t="shared" si="46"/>
        <v/>
      </c>
      <c r="GG80" s="1" t="str">
        <f t="shared" si="46"/>
        <v/>
      </c>
      <c r="GH80" s="1" t="str">
        <f t="shared" si="46"/>
        <v/>
      </c>
      <c r="GI80" s="1" t="str">
        <f t="shared" si="46"/>
        <v/>
      </c>
      <c r="GJ80" s="1" t="str">
        <f t="shared" si="51"/>
        <v/>
      </c>
      <c r="GK80" s="1" t="str">
        <f t="shared" si="51"/>
        <v/>
      </c>
      <c r="GL80" s="1" t="str">
        <f t="shared" si="51"/>
        <v/>
      </c>
      <c r="GM80" s="1" t="str">
        <f t="shared" si="51"/>
        <v/>
      </c>
      <c r="GN80" s="1" t="str">
        <f t="shared" si="51"/>
        <v/>
      </c>
      <c r="GO80" s="1" t="str">
        <f t="shared" si="51"/>
        <v/>
      </c>
      <c r="GP80" s="1" t="str">
        <f t="shared" si="51"/>
        <v/>
      </c>
      <c r="GQ80" s="1" t="str">
        <f t="shared" si="51"/>
        <v/>
      </c>
      <c r="GR80" s="1" t="str">
        <f t="shared" si="51"/>
        <v/>
      </c>
      <c r="GS80" s="1" t="str">
        <f t="shared" si="51"/>
        <v/>
      </c>
      <c r="GT80" s="1" t="str">
        <f t="shared" si="50"/>
        <v/>
      </c>
      <c r="GU80" s="1" t="str">
        <f t="shared" si="50"/>
        <v/>
      </c>
      <c r="GV80" s="1" t="str">
        <f t="shared" si="50"/>
        <v/>
      </c>
      <c r="GW80" s="1" t="str">
        <f t="shared" si="50"/>
        <v/>
      </c>
      <c r="GX80" s="1" t="str">
        <f t="shared" si="50"/>
        <v/>
      </c>
      <c r="GY80" s="1" t="str">
        <f t="shared" si="39"/>
        <v/>
      </c>
      <c r="GZ80" s="1" t="str">
        <f t="shared" si="39"/>
        <v/>
      </c>
      <c r="HA80" s="1" t="str">
        <f t="shared" si="39"/>
        <v/>
      </c>
      <c r="HB80" s="1" t="str">
        <f t="shared" si="39"/>
        <v/>
      </c>
      <c r="HC80" s="1" t="str">
        <f t="shared" si="39"/>
        <v/>
      </c>
      <c r="HD80" s="1" t="str">
        <f t="shared" si="39"/>
        <v/>
      </c>
      <c r="HE80" s="1" t="str">
        <f t="shared" si="39"/>
        <v/>
      </c>
      <c r="HF80" s="1" t="str">
        <f t="shared" si="39"/>
        <v/>
      </c>
      <c r="HG80" s="1" t="str">
        <f t="shared" si="39"/>
        <v/>
      </c>
      <c r="HH80" s="1" t="str">
        <f t="shared" si="39"/>
        <v/>
      </c>
      <c r="HI80" s="1" t="str">
        <f t="shared" si="39"/>
        <v/>
      </c>
      <c r="HJ80" s="1" t="str">
        <f t="shared" si="39"/>
        <v/>
      </c>
      <c r="HK80" s="1" t="str">
        <f t="shared" si="39"/>
        <v/>
      </c>
      <c r="HL80" s="1" t="str">
        <f t="shared" si="39"/>
        <v/>
      </c>
      <c r="HM80" s="1" t="str">
        <f t="shared" si="39"/>
        <v/>
      </c>
      <c r="HN80" s="1" t="str">
        <f t="shared" si="39"/>
        <v/>
      </c>
      <c r="HO80" s="1" t="str">
        <f t="shared" si="52"/>
        <v/>
      </c>
      <c r="HP80" s="1" t="str">
        <f t="shared" si="47"/>
        <v/>
      </c>
      <c r="HQ80" s="1" t="str">
        <f t="shared" si="47"/>
        <v/>
      </c>
      <c r="HR80" s="1" t="str">
        <f t="shared" si="47"/>
        <v/>
      </c>
      <c r="HS80" s="1" t="str">
        <f t="shared" si="47"/>
        <v/>
      </c>
      <c r="HT80" s="1" t="str">
        <f t="shared" si="47"/>
        <v/>
      </c>
      <c r="HU80" s="1" t="str">
        <f t="shared" si="47"/>
        <v/>
      </c>
      <c r="HV80" s="1" t="str">
        <f t="shared" si="47"/>
        <v/>
      </c>
      <c r="HW80" s="1" t="str">
        <f t="shared" si="41"/>
        <v/>
      </c>
      <c r="HX80" s="1" t="str">
        <f t="shared" si="41"/>
        <v/>
      </c>
      <c r="HY80" s="1" t="str">
        <f t="shared" si="41"/>
        <v/>
      </c>
      <c r="HZ80" s="1" t="str">
        <f t="shared" si="41"/>
        <v/>
      </c>
      <c r="IA80" s="1" t="str">
        <f t="shared" si="41"/>
        <v/>
      </c>
      <c r="IB80" s="1" t="str">
        <f t="shared" si="41"/>
        <v/>
      </c>
      <c r="IC80" s="1" t="str">
        <f t="shared" si="41"/>
        <v/>
      </c>
      <c r="ID80" s="1" t="str">
        <f t="shared" si="41"/>
        <v/>
      </c>
      <c r="IE80" s="1" t="str">
        <f t="shared" si="41"/>
        <v/>
      </c>
      <c r="IF80" s="1" t="str">
        <f t="shared" si="41"/>
        <v/>
      </c>
      <c r="IG80" s="1" t="str">
        <f t="shared" si="41"/>
        <v/>
      </c>
      <c r="IH80" s="1" t="str">
        <f t="shared" si="41"/>
        <v/>
      </c>
      <c r="II80" s="1" t="str">
        <f t="shared" si="41"/>
        <v/>
      </c>
      <c r="IJ80" s="1" t="str">
        <f t="shared" si="41"/>
        <v/>
      </c>
      <c r="IK80" s="1" t="str">
        <f t="shared" si="41"/>
        <v/>
      </c>
      <c r="IL80" s="1" t="str">
        <f t="shared" si="41"/>
        <v/>
      </c>
      <c r="IM80" s="1" t="str">
        <f t="shared" si="42"/>
        <v/>
      </c>
      <c r="IN80" s="1" t="str">
        <f t="shared" si="42"/>
        <v/>
      </c>
      <c r="IO80" s="1" t="str">
        <f t="shared" si="42"/>
        <v/>
      </c>
      <c r="IP80" s="1" t="str">
        <f t="shared" si="42"/>
        <v/>
      </c>
      <c r="IQ80" s="1" t="str">
        <f t="shared" si="42"/>
        <v/>
      </c>
      <c r="IR80" s="1" t="str">
        <f t="shared" si="42"/>
        <v/>
      </c>
      <c r="IS80" s="1" t="str">
        <f t="shared" si="42"/>
        <v/>
      </c>
      <c r="IT80" s="1" t="str">
        <f t="shared" si="42"/>
        <v/>
      </c>
      <c r="IU80" s="1" t="str">
        <f t="shared" si="42"/>
        <v/>
      </c>
      <c r="IV80" s="1" t="str">
        <f t="shared" si="42"/>
        <v/>
      </c>
      <c r="IW80" s="1" t="str">
        <f t="shared" si="42"/>
        <v/>
      </c>
      <c r="IX80" s="1" t="str">
        <f t="shared" si="42"/>
        <v/>
      </c>
      <c r="IY80" s="1" t="str">
        <f t="shared" si="42"/>
        <v/>
      </c>
      <c r="IZ80" s="1" t="str">
        <f t="shared" si="42"/>
        <v/>
      </c>
      <c r="JA80" s="1" t="str">
        <f t="shared" si="42"/>
        <v/>
      </c>
      <c r="JB80" s="1" t="str">
        <f t="shared" si="42"/>
        <v/>
      </c>
      <c r="JC80" s="1" t="str">
        <f t="shared" si="43"/>
        <v/>
      </c>
      <c r="JD80" s="1" t="str">
        <f t="shared" si="43"/>
        <v/>
      </c>
      <c r="JE80" s="1" t="str">
        <f t="shared" si="43"/>
        <v/>
      </c>
      <c r="JF80" s="1" t="str">
        <f t="shared" si="43"/>
        <v/>
      </c>
      <c r="JG80" s="1" t="str">
        <f t="shared" si="37"/>
        <v/>
      </c>
      <c r="JH80" s="1" t="str">
        <f t="shared" si="37"/>
        <v/>
      </c>
      <c r="JI80" s="1" t="str">
        <f t="shared" si="37"/>
        <v/>
      </c>
      <c r="JJ80" s="1" t="str">
        <f t="shared" si="30"/>
        <v/>
      </c>
      <c r="JK80" s="1" t="str">
        <f t="shared" si="30"/>
        <v/>
      </c>
      <c r="JL80" s="1" t="str">
        <f t="shared" si="24"/>
        <v/>
      </c>
      <c r="JM80" s="1" t="str">
        <f t="shared" si="24"/>
        <v/>
      </c>
      <c r="JN80" s="1" t="str">
        <f t="shared" si="24"/>
        <v/>
      </c>
      <c r="JO80" s="1" t="str">
        <f t="shared" si="24"/>
        <v/>
      </c>
    </row>
    <row r="81" spans="1:275" ht="14.5" x14ac:dyDescent="0.35">
      <c r="A81" s="59" t="str">
        <f>IF('Data input'!A81&lt;&gt;"",'Data input'!A81,"")</f>
        <v/>
      </c>
      <c r="B81" s="15" t="str">
        <f>IF('Data input'!B81&lt;&gt;"",'Data input'!B81,"")</f>
        <v/>
      </c>
      <c r="C81" s="16" t="str">
        <f>IF('Data input'!C81="","",4*('Data input'!C81-'Data input'!C$108)/('Data input'!C$109-'Data input'!C$108)+1)</f>
        <v/>
      </c>
      <c r="D81" s="16" t="str">
        <f>IF('Data input'!D81="","",4*('Data input'!D81-'Data input'!D$108)/('Data input'!D$109-'Data input'!D$108)+1)</f>
        <v/>
      </c>
      <c r="E81" s="16" t="str">
        <f>IF('Data input'!E81="","",4*('Data input'!E81-'Data input'!E$108)/('Data input'!E$109-'Data input'!E$108)+1)</f>
        <v/>
      </c>
      <c r="F81" s="16" t="str">
        <f>IF('Data input'!F81="","",4*('Data input'!F81-'Data input'!F$108)/('Data input'!F$109-'Data input'!F$108)+1)</f>
        <v/>
      </c>
      <c r="G81" s="16" t="str">
        <f>IF('Data input'!G81="","",4*('Data input'!G81-'Data input'!G$108)/('Data input'!G$109-'Data input'!G$108)+1)</f>
        <v/>
      </c>
      <c r="H81" s="16" t="str">
        <f>IF('Data input'!H81="","",4*('Data input'!H81-'Data input'!H$108)/('Data input'!H$109-'Data input'!H$108)+1)</f>
        <v/>
      </c>
      <c r="I81" s="19" t="str">
        <f>IF('Data input'!I81="","",4*('Data input'!I81-'Data input'!I$108)/('Data input'!I$109-'Data input'!I$108)+1)</f>
        <v/>
      </c>
      <c r="J81" s="19" t="str">
        <f>IF('Data input'!J81="","",4*('Data input'!J81-'Data input'!J$108)/('Data input'!J$109-'Data input'!J$108)+1)</f>
        <v/>
      </c>
      <c r="K81" s="19" t="str">
        <f>IF('Data input'!K81="","",4*('Data input'!K81-'Data input'!K$108)/('Data input'!K$109-'Data input'!K$108)+1)</f>
        <v/>
      </c>
      <c r="L81" s="19" t="str">
        <f>IF('Data input'!L81="","",4*('Data input'!L81-'Data input'!L$108)/('Data input'!L$109-'Data input'!L$108)+1)</f>
        <v/>
      </c>
      <c r="M81" s="16" t="str">
        <f>IF('Data input'!M81="","",4*('Data input'!M81-'Data input'!M$108)/('Data input'!M$109-'Data input'!M$108)+1)</f>
        <v/>
      </c>
      <c r="N81" s="16" t="str">
        <f>IF('Data input'!N81="","",4*('Data input'!N81-'Data input'!N$108)/('Data input'!N$109-'Data input'!N$108)+1)</f>
        <v/>
      </c>
      <c r="O81" s="16" t="str">
        <f>IF('Data input'!O81="","",4*('Data input'!O81-'Data input'!O$108)/('Data input'!O$109-'Data input'!O$108)+1)</f>
        <v/>
      </c>
      <c r="P81" s="16" t="str">
        <f>IF('Data input'!P81="","",4*('Data input'!P81-'Data input'!P$108)/('Data input'!P$109-'Data input'!P$108)+1)</f>
        <v/>
      </c>
      <c r="Q81" s="16" t="str">
        <f>IF('Data input'!Q81="","",4*('Data input'!Q81-'Data input'!Q$108)/('Data input'!Q$109-'Data input'!Q$108)+1)</f>
        <v/>
      </c>
      <c r="R81" s="16" t="str">
        <f>IF('Data input'!R81="","",4*('Data input'!R81-'Data input'!R$108)/('Data input'!R$109-'Data input'!R$108)+1)</f>
        <v/>
      </c>
      <c r="S81" s="16" t="str">
        <f>IF('Data input'!S81="","",4*('Data input'!S81-'Data input'!S$108)/('Data input'!S$109-'Data input'!S$108)+1)</f>
        <v/>
      </c>
      <c r="T81" s="16" t="str">
        <f>IF('Data input'!T81="","",4*('Data input'!T81-'Data input'!T$108)/('Data input'!T$109-'Data input'!T$108)+1)</f>
        <v/>
      </c>
      <c r="U81" s="16" t="str">
        <f>IF('Data input'!U81="","",4*('Data input'!U81-'Data input'!U$108)/('Data input'!U$109-'Data input'!U$108)+1)</f>
        <v/>
      </c>
      <c r="V81" s="16" t="str">
        <f>IF('Data input'!V81="","",4*('Data input'!V81-'Data input'!V$108)/('Data input'!V$109-'Data input'!V$108)+1)</f>
        <v/>
      </c>
      <c r="W81" s="16" t="str">
        <f>IF('Data input'!W81="","",4*('Data input'!W81-'Data input'!W$108)/('Data input'!W$109-'Data input'!W$108)+1)</f>
        <v/>
      </c>
      <c r="X81" s="16" t="str">
        <f>IF('Data input'!X81="","",4*('Data input'!X81-'Data input'!X$108)/('Data input'!X$109-'Data input'!X$108)+1)</f>
        <v/>
      </c>
      <c r="Y81" s="16" t="str">
        <f>IF('Data input'!Y81="","",4*('Data input'!Y81-'Data input'!Y$108)/('Data input'!Y$109-'Data input'!Y$108)+1)</f>
        <v/>
      </c>
      <c r="Z81" s="16" t="str">
        <f>IF('Data input'!Z81="","",4*('Data input'!Z81-'Data input'!Z$108)/('Data input'!Z$109-'Data input'!Z$108)+1)</f>
        <v/>
      </c>
      <c r="AA81" s="62" t="str">
        <f>IF('Data input'!AA81="","",4*('Data input'!AA81-'Data input'!AA$108)/('Data input'!AA$109-'Data input'!AA$108)+1)</f>
        <v/>
      </c>
      <c r="AB81" s="78"/>
      <c r="AC81" s="79">
        <v>0</v>
      </c>
      <c r="AD81" s="80" t="e">
        <f t="shared" si="48"/>
        <v>#DIV/0!</v>
      </c>
      <c r="AE81" s="4"/>
      <c r="AF81" s="59" t="str">
        <f t="shared" si="40"/>
        <v/>
      </c>
      <c r="AG81" s="60" t="str">
        <f t="shared" si="40"/>
        <v/>
      </c>
      <c r="AH81"/>
      <c r="AI81"/>
      <c r="AJ81"/>
      <c r="AK81"/>
      <c r="AL81"/>
      <c r="AM81"/>
      <c r="AN81"/>
      <c r="AO81"/>
      <c r="AP81"/>
      <c r="AQ81"/>
      <c r="AR81"/>
      <c r="AS81" s="71" t="str">
        <f t="shared" si="44"/>
        <v/>
      </c>
      <c r="AT81" s="71" t="str">
        <f t="shared" si="44"/>
        <v/>
      </c>
      <c r="AU81" s="71" t="str">
        <f t="shared" si="44"/>
        <v/>
      </c>
      <c r="AV81" s="71" t="str">
        <f t="shared" si="44"/>
        <v/>
      </c>
      <c r="AW81" s="71" t="str">
        <f t="shared" si="44"/>
        <v/>
      </c>
      <c r="AX81" s="71" t="str">
        <f t="shared" si="45"/>
        <v/>
      </c>
      <c r="AY81" s="71" t="str">
        <f t="shared" si="45"/>
        <v/>
      </c>
      <c r="AZ81" s="71" t="str">
        <f t="shared" si="45"/>
        <v/>
      </c>
      <c r="BA81" s="71" t="str">
        <f t="shared" si="45"/>
        <v/>
      </c>
      <c r="BB81" s="71" t="str">
        <f t="shared" si="45"/>
        <v/>
      </c>
      <c r="BC81" s="18" t="str">
        <f>IF(C81&lt;&gt;"",(('Data input'!C$109-'Data input'!C$108)*(AS81-1)/4)+'Data input'!C$108,"")</f>
        <v/>
      </c>
      <c r="BD81" s="18" t="str">
        <f>IF(D81&lt;&gt;"",(('Data input'!D$109-'Data input'!D$108)*(AT81-1)/4)+'Data input'!D$108,"")</f>
        <v/>
      </c>
      <c r="BE81" s="18" t="str">
        <f>IF(E81&lt;&gt;"",(('Data input'!E$109-'Data input'!E$108)*(AU81-1)/4)+'Data input'!E$108,"")</f>
        <v/>
      </c>
      <c r="BF81" s="18" t="str">
        <f>IF(F81&lt;&gt;"",(('Data input'!F$109-'Data input'!F$108)*(AV81-1)/4)+'Data input'!F$108,"")</f>
        <v/>
      </c>
      <c r="BG81" s="18" t="str">
        <f>IF(G81&lt;&gt;"",(('Data input'!G$109-'Data input'!G$108)*(AW81-1)/4)+'Data input'!G$108,"")</f>
        <v/>
      </c>
      <c r="BH81" s="19" t="str">
        <f>IF(H81&lt;&gt;"",(('Data input'!H$109-'Data input'!H$108)*(AX81-1)/4)+'Data input'!H$108,"")</f>
        <v/>
      </c>
      <c r="BI81" s="18" t="str">
        <f>IF(I81&lt;&gt;"",(('Data input'!I$109-'Data input'!I$108)*(AY81-1)/4)+'Data input'!I$108,"")</f>
        <v/>
      </c>
      <c r="BJ81" s="19" t="str">
        <f>IF(J81&lt;&gt;"",(('Data input'!J$109-'Data input'!J$108)*(AZ81-1)/4)+'Data input'!J$108,"")</f>
        <v/>
      </c>
      <c r="BK81" s="19" t="str">
        <f>IF(K81&lt;&gt;"",(('Data input'!K$109-'Data input'!K$108)*(BA81-1)/4)+'Data input'!K$108,"")</f>
        <v/>
      </c>
      <c r="BL81" s="19" t="str">
        <f>IF(L81&lt;&gt;"",(('Data input'!L$109-'Data input'!L$108)*(BB81-1)/4)+'Data input'!L$108,"")</f>
        <v/>
      </c>
      <c r="BM81" s="18" t="str">
        <f>IF(C81&lt;&gt;"",BC81-'Data input'!C81,"")</f>
        <v/>
      </c>
      <c r="BN81" s="18" t="str">
        <f>IF(D81&lt;&gt;"",BD81-'Data input'!D81,"")</f>
        <v/>
      </c>
      <c r="BO81" s="18" t="str">
        <f>IF(E81&lt;&gt;"",BE81-'Data input'!E81,"")</f>
        <v/>
      </c>
      <c r="BP81" s="18" t="str">
        <f>IF(F81&lt;&gt;"",BF81-'Data input'!F81,"")</f>
        <v/>
      </c>
      <c r="BQ81" s="18" t="str">
        <f>IF(G81&lt;&gt;"",BG81-'Data input'!G81,"")</f>
        <v/>
      </c>
      <c r="BR81" s="19" t="str">
        <f>IF(H81&lt;&gt;"",BH81-'Data input'!H81,"")</f>
        <v/>
      </c>
      <c r="BS81" s="18" t="str">
        <f>IF(I81&lt;&gt;"",BI81-'Data input'!I81,"")</f>
        <v/>
      </c>
      <c r="BT81" s="18" t="str">
        <f>IF(J81&lt;&gt;"",BJ81-'Data input'!J81,"")</f>
        <v/>
      </c>
      <c r="BU81" s="18" t="str">
        <f>IF(K81&lt;&gt;"",BK81-'Data input'!K81,"")</f>
        <v/>
      </c>
      <c r="BV81" s="72" t="str">
        <f>IF(L81&lt;&gt;"",BL81-'Data input'!L81,"")</f>
        <v/>
      </c>
      <c r="BW81" s="121" t="str">
        <f t="shared" si="49"/>
        <v/>
      </c>
      <c r="FT81" s="1" t="str">
        <f t="shared" si="46"/>
        <v/>
      </c>
      <c r="FU81" s="1" t="str">
        <f t="shared" si="46"/>
        <v/>
      </c>
      <c r="FV81" s="1" t="str">
        <f t="shared" si="46"/>
        <v/>
      </c>
      <c r="FW81" s="1" t="str">
        <f t="shared" si="46"/>
        <v/>
      </c>
      <c r="FX81" s="1" t="str">
        <f t="shared" si="46"/>
        <v/>
      </c>
      <c r="FY81" s="1" t="str">
        <f t="shared" si="46"/>
        <v/>
      </c>
      <c r="FZ81" s="1" t="str">
        <f t="shared" si="46"/>
        <v/>
      </c>
      <c r="GA81" s="1" t="str">
        <f t="shared" si="46"/>
        <v/>
      </c>
      <c r="GB81" s="1" t="str">
        <f t="shared" si="46"/>
        <v/>
      </c>
      <c r="GC81" s="1" t="str">
        <f t="shared" si="46"/>
        <v/>
      </c>
      <c r="GD81" s="1" t="str">
        <f t="shared" si="46"/>
        <v/>
      </c>
      <c r="GE81" s="1" t="str">
        <f t="shared" si="46"/>
        <v/>
      </c>
      <c r="GF81" s="1" t="str">
        <f t="shared" si="46"/>
        <v/>
      </c>
      <c r="GG81" s="1" t="str">
        <f t="shared" si="46"/>
        <v/>
      </c>
      <c r="GH81" s="1" t="str">
        <f t="shared" si="46"/>
        <v/>
      </c>
      <c r="GI81" s="1" t="str">
        <f t="shared" si="46"/>
        <v/>
      </c>
      <c r="GJ81" s="1" t="str">
        <f t="shared" si="51"/>
        <v/>
      </c>
      <c r="GK81" s="1" t="str">
        <f t="shared" si="51"/>
        <v/>
      </c>
      <c r="GL81" s="1" t="str">
        <f t="shared" si="51"/>
        <v/>
      </c>
      <c r="GM81" s="1" t="str">
        <f t="shared" si="51"/>
        <v/>
      </c>
      <c r="GN81" s="1" t="str">
        <f t="shared" si="51"/>
        <v/>
      </c>
      <c r="GO81" s="1" t="str">
        <f t="shared" si="51"/>
        <v/>
      </c>
      <c r="GP81" s="1" t="str">
        <f t="shared" si="51"/>
        <v/>
      </c>
      <c r="GQ81" s="1" t="str">
        <f t="shared" si="51"/>
        <v/>
      </c>
      <c r="GR81" s="1" t="str">
        <f t="shared" si="51"/>
        <v/>
      </c>
      <c r="GS81" s="1" t="str">
        <f t="shared" si="51"/>
        <v/>
      </c>
      <c r="GT81" s="1" t="str">
        <f t="shared" si="50"/>
        <v/>
      </c>
      <c r="GU81" s="1" t="str">
        <f t="shared" si="50"/>
        <v/>
      </c>
      <c r="GV81" s="1" t="str">
        <f t="shared" si="50"/>
        <v/>
      </c>
      <c r="GW81" s="1" t="str">
        <f t="shared" si="50"/>
        <v/>
      </c>
      <c r="GX81" s="1" t="str">
        <f t="shared" si="50"/>
        <v/>
      </c>
      <c r="GY81" s="1" t="str">
        <f t="shared" si="39"/>
        <v/>
      </c>
      <c r="GZ81" s="1" t="str">
        <f t="shared" si="39"/>
        <v/>
      </c>
      <c r="HA81" s="1" t="str">
        <f t="shared" si="39"/>
        <v/>
      </c>
      <c r="HB81" s="1" t="str">
        <f t="shared" si="39"/>
        <v/>
      </c>
      <c r="HC81" s="1" t="str">
        <f t="shared" si="39"/>
        <v/>
      </c>
      <c r="HD81" s="1" t="str">
        <f t="shared" si="39"/>
        <v/>
      </c>
      <c r="HE81" s="1" t="str">
        <f t="shared" si="39"/>
        <v/>
      </c>
      <c r="HF81" s="1" t="str">
        <f t="shared" si="39"/>
        <v/>
      </c>
      <c r="HG81" s="1" t="str">
        <f t="shared" si="39"/>
        <v/>
      </c>
      <c r="HH81" s="1" t="str">
        <f t="shared" si="39"/>
        <v/>
      </c>
      <c r="HI81" s="1" t="str">
        <f t="shared" si="39"/>
        <v/>
      </c>
      <c r="HJ81" s="1" t="str">
        <f t="shared" si="39"/>
        <v/>
      </c>
      <c r="HK81" s="1" t="str">
        <f t="shared" si="39"/>
        <v/>
      </c>
      <c r="HL81" s="1" t="str">
        <f t="shared" si="39"/>
        <v/>
      </c>
      <c r="HM81" s="1" t="str">
        <f t="shared" si="39"/>
        <v/>
      </c>
      <c r="HN81" s="1" t="str">
        <f t="shared" si="39"/>
        <v/>
      </c>
      <c r="HO81" s="1" t="str">
        <f t="shared" si="52"/>
        <v/>
      </c>
      <c r="HP81" s="1" t="str">
        <f t="shared" si="47"/>
        <v/>
      </c>
      <c r="HQ81" s="1" t="str">
        <f t="shared" si="47"/>
        <v/>
      </c>
      <c r="HR81" s="1" t="str">
        <f t="shared" si="47"/>
        <v/>
      </c>
      <c r="HS81" s="1" t="str">
        <f t="shared" si="47"/>
        <v/>
      </c>
      <c r="HT81" s="1" t="str">
        <f t="shared" si="47"/>
        <v/>
      </c>
      <c r="HU81" s="1" t="str">
        <f t="shared" si="47"/>
        <v/>
      </c>
      <c r="HV81" s="1" t="str">
        <f t="shared" si="47"/>
        <v/>
      </c>
      <c r="HW81" s="1" t="str">
        <f t="shared" si="41"/>
        <v/>
      </c>
      <c r="HX81" s="1" t="str">
        <f t="shared" si="41"/>
        <v/>
      </c>
      <c r="HY81" s="1" t="str">
        <f t="shared" si="41"/>
        <v/>
      </c>
      <c r="HZ81" s="1" t="str">
        <f t="shared" si="41"/>
        <v/>
      </c>
      <c r="IA81" s="1" t="str">
        <f t="shared" si="41"/>
        <v/>
      </c>
      <c r="IB81" s="1" t="str">
        <f t="shared" si="41"/>
        <v/>
      </c>
      <c r="IC81" s="1" t="str">
        <f t="shared" si="41"/>
        <v/>
      </c>
      <c r="ID81" s="1" t="str">
        <f t="shared" si="41"/>
        <v/>
      </c>
      <c r="IE81" s="1" t="str">
        <f t="shared" si="41"/>
        <v/>
      </c>
      <c r="IF81" s="1" t="str">
        <f t="shared" si="41"/>
        <v/>
      </c>
      <c r="IG81" s="1" t="str">
        <f t="shared" si="41"/>
        <v/>
      </c>
      <c r="IH81" s="1" t="str">
        <f t="shared" si="41"/>
        <v/>
      </c>
      <c r="II81" s="1" t="str">
        <f t="shared" si="41"/>
        <v/>
      </c>
      <c r="IJ81" s="1" t="str">
        <f t="shared" si="41"/>
        <v/>
      </c>
      <c r="IK81" s="1" t="str">
        <f t="shared" si="41"/>
        <v/>
      </c>
      <c r="IL81" s="1" t="str">
        <f t="shared" si="41"/>
        <v/>
      </c>
      <c r="IM81" s="1" t="str">
        <f t="shared" si="42"/>
        <v/>
      </c>
      <c r="IN81" s="1" t="str">
        <f t="shared" si="42"/>
        <v/>
      </c>
      <c r="IO81" s="1" t="str">
        <f t="shared" si="42"/>
        <v/>
      </c>
      <c r="IP81" s="1" t="str">
        <f t="shared" si="42"/>
        <v/>
      </c>
      <c r="IQ81" s="1" t="str">
        <f t="shared" si="42"/>
        <v/>
      </c>
      <c r="IR81" s="1" t="str">
        <f t="shared" si="42"/>
        <v/>
      </c>
      <c r="IS81" s="1" t="str">
        <f t="shared" si="42"/>
        <v/>
      </c>
      <c r="IT81" s="1" t="str">
        <f t="shared" si="42"/>
        <v/>
      </c>
      <c r="IU81" s="1" t="str">
        <f t="shared" si="42"/>
        <v/>
      </c>
      <c r="IV81" s="1" t="str">
        <f t="shared" si="42"/>
        <v/>
      </c>
      <c r="IW81" s="1" t="str">
        <f t="shared" si="42"/>
        <v/>
      </c>
      <c r="IX81" s="1" t="str">
        <f t="shared" si="42"/>
        <v/>
      </c>
      <c r="IY81" s="1" t="str">
        <f t="shared" si="42"/>
        <v/>
      </c>
      <c r="IZ81" s="1" t="str">
        <f t="shared" si="42"/>
        <v/>
      </c>
      <c r="JA81" s="1" t="str">
        <f t="shared" si="42"/>
        <v/>
      </c>
      <c r="JB81" s="1" t="str">
        <f t="shared" si="42"/>
        <v/>
      </c>
      <c r="JC81" s="1" t="str">
        <f t="shared" si="43"/>
        <v/>
      </c>
      <c r="JD81" s="1" t="str">
        <f t="shared" si="43"/>
        <v/>
      </c>
      <c r="JE81" s="1" t="str">
        <f t="shared" si="43"/>
        <v/>
      </c>
      <c r="JF81" s="1" t="str">
        <f t="shared" si="43"/>
        <v/>
      </c>
      <c r="JG81" s="1" t="str">
        <f t="shared" si="37"/>
        <v/>
      </c>
      <c r="JH81" s="1" t="str">
        <f t="shared" si="37"/>
        <v/>
      </c>
      <c r="JI81" s="1" t="str">
        <f t="shared" si="37"/>
        <v/>
      </c>
      <c r="JJ81" s="1" t="str">
        <f t="shared" si="30"/>
        <v/>
      </c>
      <c r="JK81" s="1" t="str">
        <f t="shared" si="30"/>
        <v/>
      </c>
      <c r="JL81" s="1" t="str">
        <f t="shared" si="24"/>
        <v/>
      </c>
      <c r="JM81" s="1" t="str">
        <f t="shared" si="24"/>
        <v/>
      </c>
      <c r="JN81" s="1" t="str">
        <f t="shared" si="24"/>
        <v/>
      </c>
      <c r="JO81" s="1" t="str">
        <f t="shared" si="24"/>
        <v/>
      </c>
    </row>
    <row r="82" spans="1:275" ht="14.5" x14ac:dyDescent="0.35">
      <c r="A82" s="59" t="str">
        <f>IF('Data input'!A82&lt;&gt;"",'Data input'!A82,"")</f>
        <v/>
      </c>
      <c r="B82" s="15" t="str">
        <f>IF('Data input'!B82&lt;&gt;"",'Data input'!B82,"")</f>
        <v/>
      </c>
      <c r="C82" s="16" t="str">
        <f>IF('Data input'!C82="","",4*('Data input'!C82-'Data input'!C$108)/('Data input'!C$109-'Data input'!C$108)+1)</f>
        <v/>
      </c>
      <c r="D82" s="16" t="str">
        <f>IF('Data input'!D82="","",4*('Data input'!D82-'Data input'!D$108)/('Data input'!D$109-'Data input'!D$108)+1)</f>
        <v/>
      </c>
      <c r="E82" s="16" t="str">
        <f>IF('Data input'!E82="","",4*('Data input'!E82-'Data input'!E$108)/('Data input'!E$109-'Data input'!E$108)+1)</f>
        <v/>
      </c>
      <c r="F82" s="16" t="str">
        <f>IF('Data input'!F82="","",4*('Data input'!F82-'Data input'!F$108)/('Data input'!F$109-'Data input'!F$108)+1)</f>
        <v/>
      </c>
      <c r="G82" s="16" t="str">
        <f>IF('Data input'!G82="","",4*('Data input'!G82-'Data input'!G$108)/('Data input'!G$109-'Data input'!G$108)+1)</f>
        <v/>
      </c>
      <c r="H82" s="16" t="str">
        <f>IF('Data input'!H82="","",4*('Data input'!H82-'Data input'!H$108)/('Data input'!H$109-'Data input'!H$108)+1)</f>
        <v/>
      </c>
      <c r="I82" s="19" t="str">
        <f>IF('Data input'!I82="","",4*('Data input'!I82-'Data input'!I$108)/('Data input'!I$109-'Data input'!I$108)+1)</f>
        <v/>
      </c>
      <c r="J82" s="19" t="str">
        <f>IF('Data input'!J82="","",4*('Data input'!J82-'Data input'!J$108)/('Data input'!J$109-'Data input'!J$108)+1)</f>
        <v/>
      </c>
      <c r="K82" s="19" t="str">
        <f>IF('Data input'!K82="","",4*('Data input'!K82-'Data input'!K$108)/('Data input'!K$109-'Data input'!K$108)+1)</f>
        <v/>
      </c>
      <c r="L82" s="19" t="str">
        <f>IF('Data input'!L82="","",4*('Data input'!L82-'Data input'!L$108)/('Data input'!L$109-'Data input'!L$108)+1)</f>
        <v/>
      </c>
      <c r="M82" s="16" t="str">
        <f>IF('Data input'!M82="","",4*('Data input'!M82-'Data input'!M$108)/('Data input'!M$109-'Data input'!M$108)+1)</f>
        <v/>
      </c>
      <c r="N82" s="16" t="str">
        <f>IF('Data input'!N82="","",4*('Data input'!N82-'Data input'!N$108)/('Data input'!N$109-'Data input'!N$108)+1)</f>
        <v/>
      </c>
      <c r="O82" s="16" t="str">
        <f>IF('Data input'!O82="","",4*('Data input'!O82-'Data input'!O$108)/('Data input'!O$109-'Data input'!O$108)+1)</f>
        <v/>
      </c>
      <c r="P82" s="16" t="str">
        <f>IF('Data input'!P82="","",4*('Data input'!P82-'Data input'!P$108)/('Data input'!P$109-'Data input'!P$108)+1)</f>
        <v/>
      </c>
      <c r="Q82" s="16" t="str">
        <f>IF('Data input'!Q82="","",4*('Data input'!Q82-'Data input'!Q$108)/('Data input'!Q$109-'Data input'!Q$108)+1)</f>
        <v/>
      </c>
      <c r="R82" s="16" t="str">
        <f>IF('Data input'!R82="","",4*('Data input'!R82-'Data input'!R$108)/('Data input'!R$109-'Data input'!R$108)+1)</f>
        <v/>
      </c>
      <c r="S82" s="16" t="str">
        <f>IF('Data input'!S82="","",4*('Data input'!S82-'Data input'!S$108)/('Data input'!S$109-'Data input'!S$108)+1)</f>
        <v/>
      </c>
      <c r="T82" s="16" t="str">
        <f>IF('Data input'!T82="","",4*('Data input'!T82-'Data input'!T$108)/('Data input'!T$109-'Data input'!T$108)+1)</f>
        <v/>
      </c>
      <c r="U82" s="16" t="str">
        <f>IF('Data input'!U82="","",4*('Data input'!U82-'Data input'!U$108)/('Data input'!U$109-'Data input'!U$108)+1)</f>
        <v/>
      </c>
      <c r="V82" s="16" t="str">
        <f>IF('Data input'!V82="","",4*('Data input'!V82-'Data input'!V$108)/('Data input'!V$109-'Data input'!V$108)+1)</f>
        <v/>
      </c>
      <c r="W82" s="16" t="str">
        <f>IF('Data input'!W82="","",4*('Data input'!W82-'Data input'!W$108)/('Data input'!W$109-'Data input'!W$108)+1)</f>
        <v/>
      </c>
      <c r="X82" s="16" t="str">
        <f>IF('Data input'!X82="","",4*('Data input'!X82-'Data input'!X$108)/('Data input'!X$109-'Data input'!X$108)+1)</f>
        <v/>
      </c>
      <c r="Y82" s="16" t="str">
        <f>IF('Data input'!Y82="","",4*('Data input'!Y82-'Data input'!Y$108)/('Data input'!Y$109-'Data input'!Y$108)+1)</f>
        <v/>
      </c>
      <c r="Z82" s="16" t="str">
        <f>IF('Data input'!Z82="","",4*('Data input'!Z82-'Data input'!Z$108)/('Data input'!Z$109-'Data input'!Z$108)+1)</f>
        <v/>
      </c>
      <c r="AA82" s="62" t="str">
        <f>IF('Data input'!AA82="","",4*('Data input'!AA82-'Data input'!AA$108)/('Data input'!AA$109-'Data input'!AA$108)+1)</f>
        <v/>
      </c>
      <c r="AB82" s="78"/>
      <c r="AC82" s="79">
        <v>0</v>
      </c>
      <c r="AD82" s="80" t="e">
        <f t="shared" si="48"/>
        <v>#DIV/0!</v>
      </c>
      <c r="AE82" s="4"/>
      <c r="AF82" s="59" t="str">
        <f t="shared" si="40"/>
        <v/>
      </c>
      <c r="AG82" s="60" t="str">
        <f t="shared" si="40"/>
        <v/>
      </c>
      <c r="AH82"/>
      <c r="AI82"/>
      <c r="AJ82"/>
      <c r="AK82"/>
      <c r="AL82"/>
      <c r="AM82"/>
      <c r="AN82"/>
      <c r="AO82"/>
      <c r="AP82"/>
      <c r="AQ82"/>
      <c r="AR82"/>
      <c r="AS82" s="71" t="str">
        <f t="shared" si="44"/>
        <v/>
      </c>
      <c r="AT82" s="71" t="str">
        <f t="shared" si="44"/>
        <v/>
      </c>
      <c r="AU82" s="71" t="str">
        <f t="shared" si="44"/>
        <v/>
      </c>
      <c r="AV82" s="71" t="str">
        <f t="shared" si="44"/>
        <v/>
      </c>
      <c r="AW82" s="71" t="str">
        <f t="shared" si="44"/>
        <v/>
      </c>
      <c r="AX82" s="71" t="str">
        <f t="shared" si="45"/>
        <v/>
      </c>
      <c r="AY82" s="71" t="str">
        <f t="shared" si="45"/>
        <v/>
      </c>
      <c r="AZ82" s="71" t="str">
        <f t="shared" si="45"/>
        <v/>
      </c>
      <c r="BA82" s="71" t="str">
        <f t="shared" si="45"/>
        <v/>
      </c>
      <c r="BB82" s="71" t="str">
        <f t="shared" si="45"/>
        <v/>
      </c>
      <c r="BC82" s="18" t="str">
        <f>IF(C82&lt;&gt;"",(('Data input'!C$109-'Data input'!C$108)*(AS82-1)/4)+'Data input'!C$108,"")</f>
        <v/>
      </c>
      <c r="BD82" s="18" t="str">
        <f>IF(D82&lt;&gt;"",(('Data input'!D$109-'Data input'!D$108)*(AT82-1)/4)+'Data input'!D$108,"")</f>
        <v/>
      </c>
      <c r="BE82" s="18" t="str">
        <f>IF(E82&lt;&gt;"",(('Data input'!E$109-'Data input'!E$108)*(AU82-1)/4)+'Data input'!E$108,"")</f>
        <v/>
      </c>
      <c r="BF82" s="18" t="str">
        <f>IF(F82&lt;&gt;"",(('Data input'!F$109-'Data input'!F$108)*(AV82-1)/4)+'Data input'!F$108,"")</f>
        <v/>
      </c>
      <c r="BG82" s="18" t="str">
        <f>IF(G82&lt;&gt;"",(('Data input'!G$109-'Data input'!G$108)*(AW82-1)/4)+'Data input'!G$108,"")</f>
        <v/>
      </c>
      <c r="BH82" s="19" t="str">
        <f>IF(H82&lt;&gt;"",(('Data input'!H$109-'Data input'!H$108)*(AX82-1)/4)+'Data input'!H$108,"")</f>
        <v/>
      </c>
      <c r="BI82" s="18" t="str">
        <f>IF(I82&lt;&gt;"",(('Data input'!I$109-'Data input'!I$108)*(AY82-1)/4)+'Data input'!I$108,"")</f>
        <v/>
      </c>
      <c r="BJ82" s="19" t="str">
        <f>IF(J82&lt;&gt;"",(('Data input'!J$109-'Data input'!J$108)*(AZ82-1)/4)+'Data input'!J$108,"")</f>
        <v/>
      </c>
      <c r="BK82" s="19" t="str">
        <f>IF(K82&lt;&gt;"",(('Data input'!K$109-'Data input'!K$108)*(BA82-1)/4)+'Data input'!K$108,"")</f>
        <v/>
      </c>
      <c r="BL82" s="19" t="str">
        <f>IF(L82&lt;&gt;"",(('Data input'!L$109-'Data input'!L$108)*(BB82-1)/4)+'Data input'!L$108,"")</f>
        <v/>
      </c>
      <c r="BM82" s="18" t="str">
        <f>IF(C82&lt;&gt;"",BC82-'Data input'!C82,"")</f>
        <v/>
      </c>
      <c r="BN82" s="18" t="str">
        <f>IF(D82&lt;&gt;"",BD82-'Data input'!D82,"")</f>
        <v/>
      </c>
      <c r="BO82" s="18" t="str">
        <f>IF(E82&lt;&gt;"",BE82-'Data input'!E82,"")</f>
        <v/>
      </c>
      <c r="BP82" s="18" t="str">
        <f>IF(F82&lt;&gt;"",BF82-'Data input'!F82,"")</f>
        <v/>
      </c>
      <c r="BQ82" s="18" t="str">
        <f>IF(G82&lt;&gt;"",BG82-'Data input'!G82,"")</f>
        <v/>
      </c>
      <c r="BR82" s="19" t="str">
        <f>IF(H82&lt;&gt;"",BH82-'Data input'!H82,"")</f>
        <v/>
      </c>
      <c r="BS82" s="18" t="str">
        <f>IF(I82&lt;&gt;"",BI82-'Data input'!I82,"")</f>
        <v/>
      </c>
      <c r="BT82" s="18" t="str">
        <f>IF(J82&lt;&gt;"",BJ82-'Data input'!J82,"")</f>
        <v/>
      </c>
      <c r="BU82" s="18" t="str">
        <f>IF(K82&lt;&gt;"",BK82-'Data input'!K82,"")</f>
        <v/>
      </c>
      <c r="BV82" s="72" t="str">
        <f>IF(L82&lt;&gt;"",BL82-'Data input'!L82,"")</f>
        <v/>
      </c>
      <c r="BW82" s="121" t="str">
        <f t="shared" si="49"/>
        <v/>
      </c>
      <c r="FT82" s="1" t="str">
        <f t="shared" si="46"/>
        <v/>
      </c>
      <c r="FU82" s="1" t="str">
        <f t="shared" si="46"/>
        <v/>
      </c>
      <c r="FV82" s="1" t="str">
        <f t="shared" si="46"/>
        <v/>
      </c>
      <c r="FW82" s="1" t="str">
        <f t="shared" si="46"/>
        <v/>
      </c>
      <c r="FX82" s="1" t="str">
        <f t="shared" si="46"/>
        <v/>
      </c>
      <c r="FY82" s="1" t="str">
        <f t="shared" si="46"/>
        <v/>
      </c>
      <c r="FZ82" s="1" t="str">
        <f t="shared" si="46"/>
        <v/>
      </c>
      <c r="GA82" s="1" t="str">
        <f t="shared" si="46"/>
        <v/>
      </c>
      <c r="GB82" s="1" t="str">
        <f t="shared" si="46"/>
        <v/>
      </c>
      <c r="GC82" s="1" t="str">
        <f t="shared" si="46"/>
        <v/>
      </c>
      <c r="GD82" s="1" t="str">
        <f t="shared" si="46"/>
        <v/>
      </c>
      <c r="GE82" s="1" t="str">
        <f t="shared" si="46"/>
        <v/>
      </c>
      <c r="GF82" s="1" t="str">
        <f t="shared" si="46"/>
        <v/>
      </c>
      <c r="GG82" s="1" t="str">
        <f t="shared" si="46"/>
        <v/>
      </c>
      <c r="GH82" s="1" t="str">
        <f t="shared" si="46"/>
        <v/>
      </c>
      <c r="GI82" s="1" t="str">
        <f t="shared" si="46"/>
        <v/>
      </c>
      <c r="GJ82" s="1" t="str">
        <f t="shared" si="51"/>
        <v/>
      </c>
      <c r="GK82" s="1" t="str">
        <f t="shared" si="51"/>
        <v/>
      </c>
      <c r="GL82" s="1" t="str">
        <f t="shared" si="51"/>
        <v/>
      </c>
      <c r="GM82" s="1" t="str">
        <f t="shared" si="51"/>
        <v/>
      </c>
      <c r="GN82" s="1" t="str">
        <f t="shared" si="51"/>
        <v/>
      </c>
      <c r="GO82" s="1" t="str">
        <f t="shared" si="51"/>
        <v/>
      </c>
      <c r="GP82" s="1" t="str">
        <f t="shared" si="51"/>
        <v/>
      </c>
      <c r="GQ82" s="1" t="str">
        <f t="shared" si="51"/>
        <v/>
      </c>
      <c r="GR82" s="1" t="str">
        <f t="shared" si="51"/>
        <v/>
      </c>
      <c r="GS82" s="1" t="str">
        <f t="shared" si="51"/>
        <v/>
      </c>
      <c r="GT82" s="1" t="str">
        <f t="shared" si="50"/>
        <v/>
      </c>
      <c r="GU82" s="1" t="str">
        <f t="shared" si="50"/>
        <v/>
      </c>
      <c r="GV82" s="1" t="str">
        <f t="shared" si="50"/>
        <v/>
      </c>
      <c r="GW82" s="1" t="str">
        <f t="shared" si="50"/>
        <v/>
      </c>
      <c r="GX82" s="1" t="str">
        <f t="shared" si="50"/>
        <v/>
      </c>
      <c r="GY82" s="1" t="str">
        <f t="shared" si="39"/>
        <v/>
      </c>
      <c r="GZ82" s="1" t="str">
        <f t="shared" si="39"/>
        <v/>
      </c>
      <c r="HA82" s="1" t="str">
        <f t="shared" si="39"/>
        <v/>
      </c>
      <c r="HB82" s="1" t="str">
        <f t="shared" si="39"/>
        <v/>
      </c>
      <c r="HC82" s="1" t="str">
        <f t="shared" si="39"/>
        <v/>
      </c>
      <c r="HD82" s="1" t="str">
        <f t="shared" si="39"/>
        <v/>
      </c>
      <c r="HE82" s="1" t="str">
        <f t="shared" si="39"/>
        <v/>
      </c>
      <c r="HF82" s="1" t="str">
        <f t="shared" si="39"/>
        <v/>
      </c>
      <c r="HG82" s="1" t="str">
        <f t="shared" si="39"/>
        <v/>
      </c>
      <c r="HH82" s="1" t="str">
        <f t="shared" si="39"/>
        <v/>
      </c>
      <c r="HI82" s="1" t="str">
        <f t="shared" si="39"/>
        <v/>
      </c>
      <c r="HJ82" s="1" t="str">
        <f t="shared" si="39"/>
        <v/>
      </c>
      <c r="HK82" s="1" t="str">
        <f t="shared" si="39"/>
        <v/>
      </c>
      <c r="HL82" s="1" t="str">
        <f t="shared" si="39"/>
        <v/>
      </c>
      <c r="HM82" s="1" t="str">
        <f t="shared" si="39"/>
        <v/>
      </c>
      <c r="HN82" s="1" t="str">
        <f t="shared" si="39"/>
        <v/>
      </c>
      <c r="HO82" s="1" t="str">
        <f t="shared" si="52"/>
        <v/>
      </c>
      <c r="HP82" s="1" t="str">
        <f t="shared" si="47"/>
        <v/>
      </c>
      <c r="HQ82" s="1" t="str">
        <f t="shared" si="47"/>
        <v/>
      </c>
      <c r="HR82" s="1" t="str">
        <f t="shared" si="47"/>
        <v/>
      </c>
      <c r="HS82" s="1" t="str">
        <f t="shared" si="47"/>
        <v/>
      </c>
      <c r="HT82" s="1" t="str">
        <f t="shared" si="47"/>
        <v/>
      </c>
      <c r="HU82" s="1" t="str">
        <f t="shared" si="47"/>
        <v/>
      </c>
      <c r="HV82" s="1" t="str">
        <f t="shared" si="47"/>
        <v/>
      </c>
      <c r="HW82" s="1" t="str">
        <f t="shared" si="41"/>
        <v/>
      </c>
      <c r="HX82" s="1" t="str">
        <f t="shared" si="41"/>
        <v/>
      </c>
      <c r="HY82" s="1" t="str">
        <f t="shared" si="41"/>
        <v/>
      </c>
      <c r="HZ82" s="1" t="str">
        <f t="shared" si="41"/>
        <v/>
      </c>
      <c r="IA82" s="1" t="str">
        <f t="shared" si="41"/>
        <v/>
      </c>
      <c r="IB82" s="1" t="str">
        <f t="shared" si="41"/>
        <v/>
      </c>
      <c r="IC82" s="1" t="str">
        <f t="shared" si="41"/>
        <v/>
      </c>
      <c r="ID82" s="1" t="str">
        <f t="shared" si="41"/>
        <v/>
      </c>
      <c r="IE82" s="1" t="str">
        <f t="shared" si="41"/>
        <v/>
      </c>
      <c r="IF82" s="1" t="str">
        <f t="shared" si="41"/>
        <v/>
      </c>
      <c r="IG82" s="1" t="str">
        <f t="shared" si="41"/>
        <v/>
      </c>
      <c r="IH82" s="1" t="str">
        <f t="shared" ref="IH82:IW98" si="53">IF(EL82&gt;0.0001,CONCATENATE(EL$2,"; "),"")</f>
        <v/>
      </c>
      <c r="II82" s="1" t="str">
        <f t="shared" si="53"/>
        <v/>
      </c>
      <c r="IJ82" s="1" t="str">
        <f t="shared" si="53"/>
        <v/>
      </c>
      <c r="IK82" s="1" t="str">
        <f t="shared" si="53"/>
        <v/>
      </c>
      <c r="IL82" s="1" t="str">
        <f t="shared" si="53"/>
        <v/>
      </c>
      <c r="IM82" s="1" t="str">
        <f t="shared" si="42"/>
        <v/>
      </c>
      <c r="IN82" s="1" t="str">
        <f t="shared" si="42"/>
        <v/>
      </c>
      <c r="IO82" s="1" t="str">
        <f t="shared" si="42"/>
        <v/>
      </c>
      <c r="IP82" s="1" t="str">
        <f t="shared" si="42"/>
        <v/>
      </c>
      <c r="IQ82" s="1" t="str">
        <f t="shared" si="42"/>
        <v/>
      </c>
      <c r="IR82" s="1" t="str">
        <f t="shared" si="42"/>
        <v/>
      </c>
      <c r="IS82" s="1" t="str">
        <f t="shared" si="42"/>
        <v/>
      </c>
      <c r="IT82" s="1" t="str">
        <f t="shared" si="42"/>
        <v/>
      </c>
      <c r="IU82" s="1" t="str">
        <f t="shared" si="42"/>
        <v/>
      </c>
      <c r="IV82" s="1" t="str">
        <f t="shared" si="42"/>
        <v/>
      </c>
      <c r="IW82" s="1" t="str">
        <f t="shared" si="42"/>
        <v/>
      </c>
      <c r="IX82" s="1" t="str">
        <f t="shared" ref="IX82:JB102" si="54">IF(FB82&gt;0.0001,CONCATENATE(FB$2,"; "),"")</f>
        <v/>
      </c>
      <c r="IY82" s="1" t="str">
        <f t="shared" si="54"/>
        <v/>
      </c>
      <c r="IZ82" s="1" t="str">
        <f t="shared" si="54"/>
        <v/>
      </c>
      <c r="JA82" s="1" t="str">
        <f t="shared" si="54"/>
        <v/>
      </c>
      <c r="JB82" s="1" t="str">
        <f t="shared" si="54"/>
        <v/>
      </c>
      <c r="JC82" s="1" t="str">
        <f t="shared" si="43"/>
        <v/>
      </c>
      <c r="JD82" s="1" t="str">
        <f t="shared" si="43"/>
        <v/>
      </c>
      <c r="JE82" s="1" t="str">
        <f t="shared" si="43"/>
        <v/>
      </c>
      <c r="JF82" s="1" t="str">
        <f t="shared" si="43"/>
        <v/>
      </c>
      <c r="JG82" s="1" t="str">
        <f t="shared" si="37"/>
        <v/>
      </c>
      <c r="JH82" s="1" t="str">
        <f t="shared" si="37"/>
        <v/>
      </c>
      <c r="JI82" s="1" t="str">
        <f t="shared" si="37"/>
        <v/>
      </c>
      <c r="JJ82" s="1" t="str">
        <f t="shared" si="30"/>
        <v/>
      </c>
      <c r="JK82" s="1" t="str">
        <f t="shared" si="30"/>
        <v/>
      </c>
      <c r="JL82" s="1" t="str">
        <f t="shared" si="30"/>
        <v/>
      </c>
      <c r="JM82" s="1" t="str">
        <f t="shared" si="30"/>
        <v/>
      </c>
      <c r="JN82" s="1" t="str">
        <f t="shared" si="30"/>
        <v/>
      </c>
      <c r="JO82" s="1" t="str">
        <f t="shared" si="30"/>
        <v/>
      </c>
    </row>
    <row r="83" spans="1:275" ht="14.5" x14ac:dyDescent="0.35">
      <c r="A83" s="59" t="str">
        <f>IF('Data input'!A83&lt;&gt;"",'Data input'!A83,"")</f>
        <v/>
      </c>
      <c r="B83" s="15" t="str">
        <f>IF('Data input'!B83&lt;&gt;"",'Data input'!B83,"")</f>
        <v/>
      </c>
      <c r="C83" s="16" t="str">
        <f>IF('Data input'!C83="","",4*('Data input'!C83-'Data input'!C$108)/('Data input'!C$109-'Data input'!C$108)+1)</f>
        <v/>
      </c>
      <c r="D83" s="16" t="str">
        <f>IF('Data input'!D83="","",4*('Data input'!D83-'Data input'!D$108)/('Data input'!D$109-'Data input'!D$108)+1)</f>
        <v/>
      </c>
      <c r="E83" s="16" t="str">
        <f>IF('Data input'!E83="","",4*('Data input'!E83-'Data input'!E$108)/('Data input'!E$109-'Data input'!E$108)+1)</f>
        <v/>
      </c>
      <c r="F83" s="16" t="str">
        <f>IF('Data input'!F83="","",4*('Data input'!F83-'Data input'!F$108)/('Data input'!F$109-'Data input'!F$108)+1)</f>
        <v/>
      </c>
      <c r="G83" s="16" t="str">
        <f>IF('Data input'!G83="","",4*('Data input'!G83-'Data input'!G$108)/('Data input'!G$109-'Data input'!G$108)+1)</f>
        <v/>
      </c>
      <c r="H83" s="16" t="str">
        <f>IF('Data input'!H83="","",4*('Data input'!H83-'Data input'!H$108)/('Data input'!H$109-'Data input'!H$108)+1)</f>
        <v/>
      </c>
      <c r="I83" s="19" t="str">
        <f>IF('Data input'!I83="","",4*('Data input'!I83-'Data input'!I$108)/('Data input'!I$109-'Data input'!I$108)+1)</f>
        <v/>
      </c>
      <c r="J83" s="19" t="str">
        <f>IF('Data input'!J83="","",4*('Data input'!J83-'Data input'!J$108)/('Data input'!J$109-'Data input'!J$108)+1)</f>
        <v/>
      </c>
      <c r="K83" s="19" t="str">
        <f>IF('Data input'!K83="","",4*('Data input'!K83-'Data input'!K$108)/('Data input'!K$109-'Data input'!K$108)+1)</f>
        <v/>
      </c>
      <c r="L83" s="19" t="str">
        <f>IF('Data input'!L83="","",4*('Data input'!L83-'Data input'!L$108)/('Data input'!L$109-'Data input'!L$108)+1)</f>
        <v/>
      </c>
      <c r="M83" s="16" t="str">
        <f>IF('Data input'!M83="","",4*('Data input'!M83-'Data input'!M$108)/('Data input'!M$109-'Data input'!M$108)+1)</f>
        <v/>
      </c>
      <c r="N83" s="16" t="str">
        <f>IF('Data input'!N83="","",4*('Data input'!N83-'Data input'!N$108)/('Data input'!N$109-'Data input'!N$108)+1)</f>
        <v/>
      </c>
      <c r="O83" s="16" t="str">
        <f>IF('Data input'!O83="","",4*('Data input'!O83-'Data input'!O$108)/('Data input'!O$109-'Data input'!O$108)+1)</f>
        <v/>
      </c>
      <c r="P83" s="16" t="str">
        <f>IF('Data input'!P83="","",4*('Data input'!P83-'Data input'!P$108)/('Data input'!P$109-'Data input'!P$108)+1)</f>
        <v/>
      </c>
      <c r="Q83" s="16" t="str">
        <f>IF('Data input'!Q83="","",4*('Data input'!Q83-'Data input'!Q$108)/('Data input'!Q$109-'Data input'!Q$108)+1)</f>
        <v/>
      </c>
      <c r="R83" s="16" t="str">
        <f>IF('Data input'!R83="","",4*('Data input'!R83-'Data input'!R$108)/('Data input'!R$109-'Data input'!R$108)+1)</f>
        <v/>
      </c>
      <c r="S83" s="16" t="str">
        <f>IF('Data input'!S83="","",4*('Data input'!S83-'Data input'!S$108)/('Data input'!S$109-'Data input'!S$108)+1)</f>
        <v/>
      </c>
      <c r="T83" s="16" t="str">
        <f>IF('Data input'!T83="","",4*('Data input'!T83-'Data input'!T$108)/('Data input'!T$109-'Data input'!T$108)+1)</f>
        <v/>
      </c>
      <c r="U83" s="16" t="str">
        <f>IF('Data input'!U83="","",4*('Data input'!U83-'Data input'!U$108)/('Data input'!U$109-'Data input'!U$108)+1)</f>
        <v/>
      </c>
      <c r="V83" s="16" t="str">
        <f>IF('Data input'!V83="","",4*('Data input'!V83-'Data input'!V$108)/('Data input'!V$109-'Data input'!V$108)+1)</f>
        <v/>
      </c>
      <c r="W83" s="16" t="str">
        <f>IF('Data input'!W83="","",4*('Data input'!W83-'Data input'!W$108)/('Data input'!W$109-'Data input'!W$108)+1)</f>
        <v/>
      </c>
      <c r="X83" s="16" t="str">
        <f>IF('Data input'!X83="","",4*('Data input'!X83-'Data input'!X$108)/('Data input'!X$109-'Data input'!X$108)+1)</f>
        <v/>
      </c>
      <c r="Y83" s="16" t="str">
        <f>IF('Data input'!Y83="","",4*('Data input'!Y83-'Data input'!Y$108)/('Data input'!Y$109-'Data input'!Y$108)+1)</f>
        <v/>
      </c>
      <c r="Z83" s="16" t="str">
        <f>IF('Data input'!Z83="","",4*('Data input'!Z83-'Data input'!Z$108)/('Data input'!Z$109-'Data input'!Z$108)+1)</f>
        <v/>
      </c>
      <c r="AA83" s="62" t="str">
        <f>IF('Data input'!AA83="","",4*('Data input'!AA83-'Data input'!AA$108)/('Data input'!AA$109-'Data input'!AA$108)+1)</f>
        <v/>
      </c>
      <c r="AB83" s="78"/>
      <c r="AC83" s="79">
        <v>0</v>
      </c>
      <c r="AD83" s="80" t="e">
        <f t="shared" si="48"/>
        <v>#DIV/0!</v>
      </c>
      <c r="AE83" s="4"/>
      <c r="AF83" s="59" t="str">
        <f t="shared" si="40"/>
        <v/>
      </c>
      <c r="AG83" s="60" t="str">
        <f t="shared" si="40"/>
        <v/>
      </c>
      <c r="AH83"/>
      <c r="AI83"/>
      <c r="AJ83"/>
      <c r="AK83"/>
      <c r="AL83"/>
      <c r="AM83"/>
      <c r="AN83"/>
      <c r="AO83"/>
      <c r="AP83"/>
      <c r="AQ83"/>
      <c r="AR83"/>
      <c r="AS83" s="71" t="str">
        <f t="shared" si="44"/>
        <v/>
      </c>
      <c r="AT83" s="71" t="str">
        <f t="shared" si="44"/>
        <v/>
      </c>
      <c r="AU83" s="71" t="str">
        <f t="shared" si="44"/>
        <v/>
      </c>
      <c r="AV83" s="71" t="str">
        <f t="shared" si="44"/>
        <v/>
      </c>
      <c r="AW83" s="71" t="str">
        <f t="shared" si="44"/>
        <v/>
      </c>
      <c r="AX83" s="71" t="str">
        <f t="shared" si="45"/>
        <v/>
      </c>
      <c r="AY83" s="71" t="str">
        <f t="shared" si="45"/>
        <v/>
      </c>
      <c r="AZ83" s="71" t="str">
        <f t="shared" si="45"/>
        <v/>
      </c>
      <c r="BA83" s="71" t="str">
        <f t="shared" si="45"/>
        <v/>
      </c>
      <c r="BB83" s="71" t="str">
        <f t="shared" si="45"/>
        <v/>
      </c>
      <c r="BC83" s="18" t="str">
        <f>IF(C83&lt;&gt;"",(('Data input'!C$109-'Data input'!C$108)*(AS83-1)/4)+'Data input'!C$108,"")</f>
        <v/>
      </c>
      <c r="BD83" s="18" t="str">
        <f>IF(D83&lt;&gt;"",(('Data input'!D$109-'Data input'!D$108)*(AT83-1)/4)+'Data input'!D$108,"")</f>
        <v/>
      </c>
      <c r="BE83" s="18" t="str">
        <f>IF(E83&lt;&gt;"",(('Data input'!E$109-'Data input'!E$108)*(AU83-1)/4)+'Data input'!E$108,"")</f>
        <v/>
      </c>
      <c r="BF83" s="18" t="str">
        <f>IF(F83&lt;&gt;"",(('Data input'!F$109-'Data input'!F$108)*(AV83-1)/4)+'Data input'!F$108,"")</f>
        <v/>
      </c>
      <c r="BG83" s="18" t="str">
        <f>IF(G83&lt;&gt;"",(('Data input'!G$109-'Data input'!G$108)*(AW83-1)/4)+'Data input'!G$108,"")</f>
        <v/>
      </c>
      <c r="BH83" s="19" t="str">
        <f>IF(H83&lt;&gt;"",(('Data input'!H$109-'Data input'!H$108)*(AX83-1)/4)+'Data input'!H$108,"")</f>
        <v/>
      </c>
      <c r="BI83" s="18" t="str">
        <f>IF(I83&lt;&gt;"",(('Data input'!I$109-'Data input'!I$108)*(AY83-1)/4)+'Data input'!I$108,"")</f>
        <v/>
      </c>
      <c r="BJ83" s="19" t="str">
        <f>IF(J83&lt;&gt;"",(('Data input'!J$109-'Data input'!J$108)*(AZ83-1)/4)+'Data input'!J$108,"")</f>
        <v/>
      </c>
      <c r="BK83" s="19" t="str">
        <f>IF(K83&lt;&gt;"",(('Data input'!K$109-'Data input'!K$108)*(BA83-1)/4)+'Data input'!K$108,"")</f>
        <v/>
      </c>
      <c r="BL83" s="19" t="str">
        <f>IF(L83&lt;&gt;"",(('Data input'!L$109-'Data input'!L$108)*(BB83-1)/4)+'Data input'!L$108,"")</f>
        <v/>
      </c>
      <c r="BM83" s="18" t="str">
        <f>IF(C83&lt;&gt;"",BC83-'Data input'!C83,"")</f>
        <v/>
      </c>
      <c r="BN83" s="18" t="str">
        <f>IF(D83&lt;&gt;"",BD83-'Data input'!D83,"")</f>
        <v/>
      </c>
      <c r="BO83" s="18" t="str">
        <f>IF(E83&lt;&gt;"",BE83-'Data input'!E83,"")</f>
        <v/>
      </c>
      <c r="BP83" s="18" t="str">
        <f>IF(F83&lt;&gt;"",BF83-'Data input'!F83,"")</f>
        <v/>
      </c>
      <c r="BQ83" s="18" t="str">
        <f>IF(G83&lt;&gt;"",BG83-'Data input'!G83,"")</f>
        <v/>
      </c>
      <c r="BR83" s="19" t="str">
        <f>IF(H83&lt;&gt;"",BH83-'Data input'!H83,"")</f>
        <v/>
      </c>
      <c r="BS83" s="18" t="str">
        <f>IF(I83&lt;&gt;"",BI83-'Data input'!I83,"")</f>
        <v/>
      </c>
      <c r="BT83" s="18" t="str">
        <f>IF(J83&lt;&gt;"",BJ83-'Data input'!J83,"")</f>
        <v/>
      </c>
      <c r="BU83" s="18" t="str">
        <f>IF(K83&lt;&gt;"",BK83-'Data input'!K83,"")</f>
        <v/>
      </c>
      <c r="BV83" s="72" t="str">
        <f>IF(L83&lt;&gt;"",BL83-'Data input'!L83,"")</f>
        <v/>
      </c>
      <c r="BW83" s="121" t="str">
        <f t="shared" si="49"/>
        <v/>
      </c>
      <c r="FT83" s="1" t="str">
        <f t="shared" si="46"/>
        <v/>
      </c>
      <c r="FU83" s="1" t="str">
        <f t="shared" ref="FU83:GJ99" si="55">IF(BY83&gt;0.0001,CONCATENATE(BY$2,"; "),"")</f>
        <v/>
      </c>
      <c r="FV83" s="1" t="str">
        <f t="shared" si="55"/>
        <v/>
      </c>
      <c r="FW83" s="1" t="str">
        <f t="shared" si="55"/>
        <v/>
      </c>
      <c r="FX83" s="1" t="str">
        <f t="shared" si="55"/>
        <v/>
      </c>
      <c r="FY83" s="1" t="str">
        <f t="shared" si="55"/>
        <v/>
      </c>
      <c r="FZ83" s="1" t="str">
        <f t="shared" si="55"/>
        <v/>
      </c>
      <c r="GA83" s="1" t="str">
        <f t="shared" si="55"/>
        <v/>
      </c>
      <c r="GB83" s="1" t="str">
        <f t="shared" si="55"/>
        <v/>
      </c>
      <c r="GC83" s="1" t="str">
        <f t="shared" si="55"/>
        <v/>
      </c>
      <c r="GD83" s="1" t="str">
        <f t="shared" si="55"/>
        <v/>
      </c>
      <c r="GE83" s="1" t="str">
        <f t="shared" si="55"/>
        <v/>
      </c>
      <c r="GF83" s="1" t="str">
        <f t="shared" si="55"/>
        <v/>
      </c>
      <c r="GG83" s="1" t="str">
        <f t="shared" si="55"/>
        <v/>
      </c>
      <c r="GH83" s="1" t="str">
        <f t="shared" si="55"/>
        <v/>
      </c>
      <c r="GI83" s="1" t="str">
        <f t="shared" si="55"/>
        <v/>
      </c>
      <c r="GJ83" s="1" t="str">
        <f t="shared" si="51"/>
        <v/>
      </c>
      <c r="GK83" s="1" t="str">
        <f t="shared" si="51"/>
        <v/>
      </c>
      <c r="GL83" s="1" t="str">
        <f t="shared" si="51"/>
        <v/>
      </c>
      <c r="GM83" s="1" t="str">
        <f t="shared" si="51"/>
        <v/>
      </c>
      <c r="GN83" s="1" t="str">
        <f t="shared" si="51"/>
        <v/>
      </c>
      <c r="GO83" s="1" t="str">
        <f t="shared" si="51"/>
        <v/>
      </c>
      <c r="GP83" s="1" t="str">
        <f t="shared" si="51"/>
        <v/>
      </c>
      <c r="GQ83" s="1" t="str">
        <f t="shared" si="51"/>
        <v/>
      </c>
      <c r="GR83" s="1" t="str">
        <f t="shared" si="51"/>
        <v/>
      </c>
      <c r="GS83" s="1" t="str">
        <f t="shared" si="51"/>
        <v/>
      </c>
      <c r="GT83" s="1" t="str">
        <f t="shared" si="50"/>
        <v/>
      </c>
      <c r="GU83" s="1" t="str">
        <f t="shared" si="50"/>
        <v/>
      </c>
      <c r="GV83" s="1" t="str">
        <f t="shared" si="50"/>
        <v/>
      </c>
      <c r="GW83" s="1" t="str">
        <f t="shared" si="50"/>
        <v/>
      </c>
      <c r="GX83" s="1" t="str">
        <f t="shared" si="50"/>
        <v/>
      </c>
      <c r="GY83" s="1" t="str">
        <f t="shared" si="39"/>
        <v/>
      </c>
      <c r="GZ83" s="1" t="str">
        <f t="shared" si="39"/>
        <v/>
      </c>
      <c r="HA83" s="1" t="str">
        <f t="shared" si="39"/>
        <v/>
      </c>
      <c r="HB83" s="1" t="str">
        <f t="shared" si="39"/>
        <v/>
      </c>
      <c r="HC83" s="1" t="str">
        <f t="shared" si="39"/>
        <v/>
      </c>
      <c r="HD83" s="1" t="str">
        <f t="shared" si="39"/>
        <v/>
      </c>
      <c r="HE83" s="1" t="str">
        <f t="shared" si="39"/>
        <v/>
      </c>
      <c r="HF83" s="1" t="str">
        <f t="shared" si="39"/>
        <v/>
      </c>
      <c r="HG83" s="1" t="str">
        <f t="shared" si="39"/>
        <v/>
      </c>
      <c r="HH83" s="1" t="str">
        <f t="shared" si="39"/>
        <v/>
      </c>
      <c r="HI83" s="1" t="str">
        <f t="shared" si="39"/>
        <v/>
      </c>
      <c r="HJ83" s="1" t="str">
        <f t="shared" si="39"/>
        <v/>
      </c>
      <c r="HK83" s="1" t="str">
        <f t="shared" si="39"/>
        <v/>
      </c>
      <c r="HL83" s="1" t="str">
        <f t="shared" si="39"/>
        <v/>
      </c>
      <c r="HM83" s="1" t="str">
        <f t="shared" si="39"/>
        <v/>
      </c>
      <c r="HN83" s="1" t="str">
        <f t="shared" si="39"/>
        <v/>
      </c>
      <c r="HO83" s="1" t="str">
        <f t="shared" si="52"/>
        <v/>
      </c>
      <c r="HP83" s="1" t="str">
        <f t="shared" si="47"/>
        <v/>
      </c>
      <c r="HQ83" s="1" t="str">
        <f t="shared" si="47"/>
        <v/>
      </c>
      <c r="HR83" s="1" t="str">
        <f t="shared" si="47"/>
        <v/>
      </c>
      <c r="HS83" s="1" t="str">
        <f t="shared" si="47"/>
        <v/>
      </c>
      <c r="HT83" s="1" t="str">
        <f t="shared" si="47"/>
        <v/>
      </c>
      <c r="HU83" s="1" t="str">
        <f t="shared" si="47"/>
        <v/>
      </c>
      <c r="HV83" s="1" t="str">
        <f t="shared" si="47"/>
        <v/>
      </c>
      <c r="HW83" s="1" t="str">
        <f t="shared" si="47"/>
        <v/>
      </c>
      <c r="HX83" s="1" t="str">
        <f t="shared" si="47"/>
        <v/>
      </c>
      <c r="HY83" s="1" t="str">
        <f t="shared" si="47"/>
        <v/>
      </c>
      <c r="HZ83" s="1" t="str">
        <f t="shared" si="47"/>
        <v/>
      </c>
      <c r="IA83" s="1" t="str">
        <f t="shared" si="47"/>
        <v/>
      </c>
      <c r="IB83" s="1" t="str">
        <f t="shared" si="47"/>
        <v/>
      </c>
      <c r="IC83" s="1" t="str">
        <f t="shared" si="47"/>
        <v/>
      </c>
      <c r="ID83" s="1" t="str">
        <f t="shared" si="47"/>
        <v/>
      </c>
      <c r="IE83" s="1" t="str">
        <f t="shared" si="47"/>
        <v/>
      </c>
      <c r="IF83" s="1" t="str">
        <f t="shared" ref="IF83:IQ102" si="56">IF(EJ83&gt;0.0001,CONCATENATE(EJ$2,"; "),"")</f>
        <v/>
      </c>
      <c r="IG83" s="1" t="str">
        <f t="shared" si="56"/>
        <v/>
      </c>
      <c r="IH83" s="1" t="str">
        <f t="shared" si="53"/>
        <v/>
      </c>
      <c r="II83" s="1" t="str">
        <f t="shared" si="53"/>
        <v/>
      </c>
      <c r="IJ83" s="1" t="str">
        <f t="shared" si="53"/>
        <v/>
      </c>
      <c r="IK83" s="1" t="str">
        <f t="shared" si="53"/>
        <v/>
      </c>
      <c r="IL83" s="1" t="str">
        <f t="shared" si="53"/>
        <v/>
      </c>
      <c r="IM83" s="1" t="str">
        <f t="shared" si="53"/>
        <v/>
      </c>
      <c r="IN83" s="1" t="str">
        <f t="shared" si="53"/>
        <v/>
      </c>
      <c r="IO83" s="1" t="str">
        <f t="shared" si="53"/>
        <v/>
      </c>
      <c r="IP83" s="1" t="str">
        <f t="shared" si="53"/>
        <v/>
      </c>
      <c r="IQ83" s="1" t="str">
        <f t="shared" si="53"/>
        <v/>
      </c>
      <c r="IR83" s="1" t="str">
        <f t="shared" si="53"/>
        <v/>
      </c>
      <c r="IS83" s="1" t="str">
        <f t="shared" si="53"/>
        <v/>
      </c>
      <c r="IT83" s="1" t="str">
        <f t="shared" si="53"/>
        <v/>
      </c>
      <c r="IU83" s="1" t="str">
        <f t="shared" si="53"/>
        <v/>
      </c>
      <c r="IV83" s="1" t="str">
        <f t="shared" si="53"/>
        <v/>
      </c>
      <c r="IW83" s="1" t="str">
        <f t="shared" si="53"/>
        <v/>
      </c>
      <c r="IX83" s="1" t="str">
        <f t="shared" si="54"/>
        <v/>
      </c>
      <c r="IY83" s="1" t="str">
        <f t="shared" si="54"/>
        <v/>
      </c>
      <c r="IZ83" s="1" t="str">
        <f t="shared" si="54"/>
        <v/>
      </c>
      <c r="JA83" s="1" t="str">
        <f t="shared" si="54"/>
        <v/>
      </c>
      <c r="JB83" s="1" t="str">
        <f t="shared" si="54"/>
        <v/>
      </c>
      <c r="JC83" s="1" t="str">
        <f t="shared" si="43"/>
        <v/>
      </c>
      <c r="JD83" s="1" t="str">
        <f t="shared" si="43"/>
        <v/>
      </c>
      <c r="JE83" s="1" t="str">
        <f t="shared" si="43"/>
        <v/>
      </c>
      <c r="JF83" s="1" t="str">
        <f t="shared" si="43"/>
        <v/>
      </c>
      <c r="JG83" s="1" t="str">
        <f t="shared" si="37"/>
        <v/>
      </c>
      <c r="JH83" s="1" t="str">
        <f t="shared" si="37"/>
        <v/>
      </c>
      <c r="JI83" s="1" t="str">
        <f t="shared" si="37"/>
        <v/>
      </c>
      <c r="JJ83" s="1" t="str">
        <f t="shared" si="30"/>
        <v/>
      </c>
      <c r="JK83" s="1" t="str">
        <f t="shared" si="30"/>
        <v/>
      </c>
      <c r="JL83" s="1" t="str">
        <f t="shared" si="30"/>
        <v/>
      </c>
      <c r="JM83" s="1" t="str">
        <f t="shared" si="30"/>
        <v/>
      </c>
      <c r="JN83" s="1" t="str">
        <f t="shared" si="30"/>
        <v/>
      </c>
      <c r="JO83" s="1" t="str">
        <f t="shared" si="30"/>
        <v/>
      </c>
    </row>
    <row r="84" spans="1:275" ht="14.5" x14ac:dyDescent="0.35">
      <c r="A84" s="59" t="str">
        <f>IF('Data input'!A84&lt;&gt;"",'Data input'!A84,"")</f>
        <v/>
      </c>
      <c r="B84" s="15" t="str">
        <f>IF('Data input'!B84&lt;&gt;"",'Data input'!B84,"")</f>
        <v/>
      </c>
      <c r="C84" s="16" t="str">
        <f>IF('Data input'!C84="","",4*('Data input'!C84-'Data input'!C$108)/('Data input'!C$109-'Data input'!C$108)+1)</f>
        <v/>
      </c>
      <c r="D84" s="16" t="str">
        <f>IF('Data input'!D84="","",4*('Data input'!D84-'Data input'!D$108)/('Data input'!D$109-'Data input'!D$108)+1)</f>
        <v/>
      </c>
      <c r="E84" s="16" t="str">
        <f>IF('Data input'!E84="","",4*('Data input'!E84-'Data input'!E$108)/('Data input'!E$109-'Data input'!E$108)+1)</f>
        <v/>
      </c>
      <c r="F84" s="16" t="str">
        <f>IF('Data input'!F84="","",4*('Data input'!F84-'Data input'!F$108)/('Data input'!F$109-'Data input'!F$108)+1)</f>
        <v/>
      </c>
      <c r="G84" s="16" t="str">
        <f>IF('Data input'!G84="","",4*('Data input'!G84-'Data input'!G$108)/('Data input'!G$109-'Data input'!G$108)+1)</f>
        <v/>
      </c>
      <c r="H84" s="16" t="str">
        <f>IF('Data input'!H84="","",4*('Data input'!H84-'Data input'!H$108)/('Data input'!H$109-'Data input'!H$108)+1)</f>
        <v/>
      </c>
      <c r="I84" s="19" t="str">
        <f>IF('Data input'!I84="","",4*('Data input'!I84-'Data input'!I$108)/('Data input'!I$109-'Data input'!I$108)+1)</f>
        <v/>
      </c>
      <c r="J84" s="19" t="str">
        <f>IF('Data input'!J84="","",4*('Data input'!J84-'Data input'!J$108)/('Data input'!J$109-'Data input'!J$108)+1)</f>
        <v/>
      </c>
      <c r="K84" s="19" t="str">
        <f>IF('Data input'!K84="","",4*('Data input'!K84-'Data input'!K$108)/('Data input'!K$109-'Data input'!K$108)+1)</f>
        <v/>
      </c>
      <c r="L84" s="19" t="str">
        <f>IF('Data input'!L84="","",4*('Data input'!L84-'Data input'!L$108)/('Data input'!L$109-'Data input'!L$108)+1)</f>
        <v/>
      </c>
      <c r="M84" s="16" t="str">
        <f>IF('Data input'!M84="","",4*('Data input'!M84-'Data input'!M$108)/('Data input'!M$109-'Data input'!M$108)+1)</f>
        <v/>
      </c>
      <c r="N84" s="16" t="str">
        <f>IF('Data input'!N84="","",4*('Data input'!N84-'Data input'!N$108)/('Data input'!N$109-'Data input'!N$108)+1)</f>
        <v/>
      </c>
      <c r="O84" s="16" t="str">
        <f>IF('Data input'!O84="","",4*('Data input'!O84-'Data input'!O$108)/('Data input'!O$109-'Data input'!O$108)+1)</f>
        <v/>
      </c>
      <c r="P84" s="16" t="str">
        <f>IF('Data input'!P84="","",4*('Data input'!P84-'Data input'!P$108)/('Data input'!P$109-'Data input'!P$108)+1)</f>
        <v/>
      </c>
      <c r="Q84" s="16" t="str">
        <f>IF('Data input'!Q84="","",4*('Data input'!Q84-'Data input'!Q$108)/('Data input'!Q$109-'Data input'!Q$108)+1)</f>
        <v/>
      </c>
      <c r="R84" s="16" t="str">
        <f>IF('Data input'!R84="","",4*('Data input'!R84-'Data input'!R$108)/('Data input'!R$109-'Data input'!R$108)+1)</f>
        <v/>
      </c>
      <c r="S84" s="16" t="str">
        <f>IF('Data input'!S84="","",4*('Data input'!S84-'Data input'!S$108)/('Data input'!S$109-'Data input'!S$108)+1)</f>
        <v/>
      </c>
      <c r="T84" s="16" t="str">
        <f>IF('Data input'!T84="","",4*('Data input'!T84-'Data input'!T$108)/('Data input'!T$109-'Data input'!T$108)+1)</f>
        <v/>
      </c>
      <c r="U84" s="16" t="str">
        <f>IF('Data input'!U84="","",4*('Data input'!U84-'Data input'!U$108)/('Data input'!U$109-'Data input'!U$108)+1)</f>
        <v/>
      </c>
      <c r="V84" s="16" t="str">
        <f>IF('Data input'!V84="","",4*('Data input'!V84-'Data input'!V$108)/('Data input'!V$109-'Data input'!V$108)+1)</f>
        <v/>
      </c>
      <c r="W84" s="16" t="str">
        <f>IF('Data input'!W84="","",4*('Data input'!W84-'Data input'!W$108)/('Data input'!W$109-'Data input'!W$108)+1)</f>
        <v/>
      </c>
      <c r="X84" s="16" t="str">
        <f>IF('Data input'!X84="","",4*('Data input'!X84-'Data input'!X$108)/('Data input'!X$109-'Data input'!X$108)+1)</f>
        <v/>
      </c>
      <c r="Y84" s="16" t="str">
        <f>IF('Data input'!Y84="","",4*('Data input'!Y84-'Data input'!Y$108)/('Data input'!Y$109-'Data input'!Y$108)+1)</f>
        <v/>
      </c>
      <c r="Z84" s="16" t="str">
        <f>IF('Data input'!Z84="","",4*('Data input'!Z84-'Data input'!Z$108)/('Data input'!Z$109-'Data input'!Z$108)+1)</f>
        <v/>
      </c>
      <c r="AA84" s="62" t="str">
        <f>IF('Data input'!AA84="","",4*('Data input'!AA84-'Data input'!AA$108)/('Data input'!AA$109-'Data input'!AA$108)+1)</f>
        <v/>
      </c>
      <c r="AB84" s="78"/>
      <c r="AC84" s="79">
        <v>0</v>
      </c>
      <c r="AD84" s="80" t="e">
        <f t="shared" si="48"/>
        <v>#DIV/0!</v>
      </c>
      <c r="AE84" s="4"/>
      <c r="AF84" s="59" t="str">
        <f t="shared" si="40"/>
        <v/>
      </c>
      <c r="AG84" s="60" t="str">
        <f t="shared" si="40"/>
        <v/>
      </c>
      <c r="AH84"/>
      <c r="AI84"/>
      <c r="AJ84"/>
      <c r="AK84"/>
      <c r="AL84"/>
      <c r="AM84"/>
      <c r="AN84"/>
      <c r="AO84"/>
      <c r="AP84"/>
      <c r="AQ84"/>
      <c r="AR84"/>
      <c r="AS84" s="71" t="str">
        <f t="shared" si="44"/>
        <v/>
      </c>
      <c r="AT84" s="71" t="str">
        <f t="shared" si="44"/>
        <v/>
      </c>
      <c r="AU84" s="71" t="str">
        <f t="shared" si="44"/>
        <v/>
      </c>
      <c r="AV84" s="71" t="str">
        <f t="shared" si="44"/>
        <v/>
      </c>
      <c r="AW84" s="71" t="str">
        <f t="shared" si="44"/>
        <v/>
      </c>
      <c r="AX84" s="71" t="str">
        <f t="shared" si="45"/>
        <v/>
      </c>
      <c r="AY84" s="71" t="str">
        <f t="shared" si="45"/>
        <v/>
      </c>
      <c r="AZ84" s="71" t="str">
        <f t="shared" si="45"/>
        <v/>
      </c>
      <c r="BA84" s="71" t="str">
        <f t="shared" si="45"/>
        <v/>
      </c>
      <c r="BB84" s="71" t="str">
        <f t="shared" si="45"/>
        <v/>
      </c>
      <c r="BC84" s="18" t="str">
        <f>IF(C84&lt;&gt;"",(('Data input'!C$109-'Data input'!C$108)*(AS84-1)/4)+'Data input'!C$108,"")</f>
        <v/>
      </c>
      <c r="BD84" s="18" t="str">
        <f>IF(D84&lt;&gt;"",(('Data input'!D$109-'Data input'!D$108)*(AT84-1)/4)+'Data input'!D$108,"")</f>
        <v/>
      </c>
      <c r="BE84" s="18" t="str">
        <f>IF(E84&lt;&gt;"",(('Data input'!E$109-'Data input'!E$108)*(AU84-1)/4)+'Data input'!E$108,"")</f>
        <v/>
      </c>
      <c r="BF84" s="18" t="str">
        <f>IF(F84&lt;&gt;"",(('Data input'!F$109-'Data input'!F$108)*(AV84-1)/4)+'Data input'!F$108,"")</f>
        <v/>
      </c>
      <c r="BG84" s="18" t="str">
        <f>IF(G84&lt;&gt;"",(('Data input'!G$109-'Data input'!G$108)*(AW84-1)/4)+'Data input'!G$108,"")</f>
        <v/>
      </c>
      <c r="BH84" s="19" t="str">
        <f>IF(H84&lt;&gt;"",(('Data input'!H$109-'Data input'!H$108)*(AX84-1)/4)+'Data input'!H$108,"")</f>
        <v/>
      </c>
      <c r="BI84" s="18" t="str">
        <f>IF(I84&lt;&gt;"",(('Data input'!I$109-'Data input'!I$108)*(AY84-1)/4)+'Data input'!I$108,"")</f>
        <v/>
      </c>
      <c r="BJ84" s="19" t="str">
        <f>IF(J84&lt;&gt;"",(('Data input'!J$109-'Data input'!J$108)*(AZ84-1)/4)+'Data input'!J$108,"")</f>
        <v/>
      </c>
      <c r="BK84" s="19" t="str">
        <f>IF(K84&lt;&gt;"",(('Data input'!K$109-'Data input'!K$108)*(BA84-1)/4)+'Data input'!K$108,"")</f>
        <v/>
      </c>
      <c r="BL84" s="19" t="str">
        <f>IF(L84&lt;&gt;"",(('Data input'!L$109-'Data input'!L$108)*(BB84-1)/4)+'Data input'!L$108,"")</f>
        <v/>
      </c>
      <c r="BM84" s="18" t="str">
        <f>IF(C84&lt;&gt;"",BC84-'Data input'!C84,"")</f>
        <v/>
      </c>
      <c r="BN84" s="18" t="str">
        <f>IF(D84&lt;&gt;"",BD84-'Data input'!D84,"")</f>
        <v/>
      </c>
      <c r="BO84" s="18" t="str">
        <f>IF(E84&lt;&gt;"",BE84-'Data input'!E84,"")</f>
        <v/>
      </c>
      <c r="BP84" s="18" t="str">
        <f>IF(F84&lt;&gt;"",BF84-'Data input'!F84,"")</f>
        <v/>
      </c>
      <c r="BQ84" s="18" t="str">
        <f>IF(G84&lt;&gt;"",BG84-'Data input'!G84,"")</f>
        <v/>
      </c>
      <c r="BR84" s="19" t="str">
        <f>IF(H84&lt;&gt;"",BH84-'Data input'!H84,"")</f>
        <v/>
      </c>
      <c r="BS84" s="18" t="str">
        <f>IF(I84&lt;&gt;"",BI84-'Data input'!I84,"")</f>
        <v/>
      </c>
      <c r="BT84" s="18" t="str">
        <f>IF(J84&lt;&gt;"",BJ84-'Data input'!J84,"")</f>
        <v/>
      </c>
      <c r="BU84" s="18" t="str">
        <f>IF(K84&lt;&gt;"",BK84-'Data input'!K84,"")</f>
        <v/>
      </c>
      <c r="BV84" s="72" t="str">
        <f>IF(L84&lt;&gt;"",BL84-'Data input'!L84,"")</f>
        <v/>
      </c>
      <c r="BW84" s="121" t="str">
        <f t="shared" si="49"/>
        <v/>
      </c>
      <c r="FT84" s="1" t="str">
        <f t="shared" ref="FT84:GE102" si="57">IF(BX84&gt;0.0001,CONCATENATE(BX$2,"; "),"")</f>
        <v/>
      </c>
      <c r="FU84" s="1" t="str">
        <f t="shared" si="55"/>
        <v/>
      </c>
      <c r="FV84" s="1" t="str">
        <f t="shared" si="55"/>
        <v/>
      </c>
      <c r="FW84" s="1" t="str">
        <f t="shared" si="55"/>
        <v/>
      </c>
      <c r="FX84" s="1" t="str">
        <f t="shared" si="55"/>
        <v/>
      </c>
      <c r="FY84" s="1" t="str">
        <f t="shared" si="55"/>
        <v/>
      </c>
      <c r="FZ84" s="1" t="str">
        <f t="shared" si="55"/>
        <v/>
      </c>
      <c r="GA84" s="1" t="str">
        <f t="shared" si="55"/>
        <v/>
      </c>
      <c r="GB84" s="1" t="str">
        <f t="shared" si="55"/>
        <v/>
      </c>
      <c r="GC84" s="1" t="str">
        <f t="shared" si="55"/>
        <v/>
      </c>
      <c r="GD84" s="1" t="str">
        <f t="shared" si="55"/>
        <v/>
      </c>
      <c r="GE84" s="1" t="str">
        <f t="shared" si="55"/>
        <v/>
      </c>
      <c r="GF84" s="1" t="str">
        <f t="shared" si="55"/>
        <v/>
      </c>
      <c r="GG84" s="1" t="str">
        <f t="shared" si="55"/>
        <v/>
      </c>
      <c r="GH84" s="1" t="str">
        <f t="shared" si="55"/>
        <v/>
      </c>
      <c r="GI84" s="1" t="str">
        <f t="shared" si="55"/>
        <v/>
      </c>
      <c r="GJ84" s="1" t="str">
        <f t="shared" si="51"/>
        <v/>
      </c>
      <c r="GK84" s="1" t="str">
        <f t="shared" si="51"/>
        <v/>
      </c>
      <c r="GL84" s="1" t="str">
        <f t="shared" si="51"/>
        <v/>
      </c>
      <c r="GM84" s="1" t="str">
        <f t="shared" si="51"/>
        <v/>
      </c>
      <c r="GN84" s="1" t="str">
        <f t="shared" si="51"/>
        <v/>
      </c>
      <c r="GO84" s="1" t="str">
        <f t="shared" si="51"/>
        <v/>
      </c>
      <c r="GP84" s="1" t="str">
        <f t="shared" si="51"/>
        <v/>
      </c>
      <c r="GQ84" s="1" t="str">
        <f t="shared" si="51"/>
        <v/>
      </c>
      <c r="GR84" s="1" t="str">
        <f t="shared" si="51"/>
        <v/>
      </c>
      <c r="GS84" s="1" t="str">
        <f t="shared" si="51"/>
        <v/>
      </c>
      <c r="GT84" s="1" t="str">
        <f t="shared" si="50"/>
        <v/>
      </c>
      <c r="GU84" s="1" t="str">
        <f t="shared" si="50"/>
        <v/>
      </c>
      <c r="GV84" s="1" t="str">
        <f t="shared" si="50"/>
        <v/>
      </c>
      <c r="GW84" s="1" t="str">
        <f t="shared" si="50"/>
        <v/>
      </c>
      <c r="GX84" s="1" t="str">
        <f t="shared" si="50"/>
        <v/>
      </c>
      <c r="GY84" s="1" t="str">
        <f t="shared" si="39"/>
        <v/>
      </c>
      <c r="GZ84" s="1" t="str">
        <f t="shared" si="39"/>
        <v/>
      </c>
      <c r="HA84" s="1" t="str">
        <f t="shared" si="39"/>
        <v/>
      </c>
      <c r="HB84" s="1" t="str">
        <f t="shared" si="39"/>
        <v/>
      </c>
      <c r="HC84" s="1" t="str">
        <f t="shared" si="39"/>
        <v/>
      </c>
      <c r="HD84" s="1" t="str">
        <f t="shared" si="39"/>
        <v/>
      </c>
      <c r="HE84" s="1" t="str">
        <f t="shared" si="39"/>
        <v/>
      </c>
      <c r="HF84" s="1" t="str">
        <f t="shared" si="39"/>
        <v/>
      </c>
      <c r="HG84" s="1" t="str">
        <f t="shared" si="39"/>
        <v/>
      </c>
      <c r="HH84" s="1" t="str">
        <f t="shared" si="39"/>
        <v/>
      </c>
      <c r="HI84" s="1" t="str">
        <f t="shared" si="39"/>
        <v/>
      </c>
      <c r="HJ84" s="1" t="str">
        <f t="shared" si="39"/>
        <v/>
      </c>
      <c r="HK84" s="1" t="str">
        <f t="shared" si="39"/>
        <v/>
      </c>
      <c r="HL84" s="1" t="str">
        <f t="shared" si="39"/>
        <v/>
      </c>
      <c r="HM84" s="1" t="str">
        <f t="shared" si="39"/>
        <v/>
      </c>
      <c r="HN84" s="1" t="str">
        <f t="shared" si="39"/>
        <v/>
      </c>
      <c r="HO84" s="1" t="str">
        <f t="shared" si="52"/>
        <v/>
      </c>
      <c r="HP84" s="1" t="str">
        <f t="shared" si="47"/>
        <v/>
      </c>
      <c r="HQ84" s="1" t="str">
        <f t="shared" si="47"/>
        <v/>
      </c>
      <c r="HR84" s="1" t="str">
        <f t="shared" si="47"/>
        <v/>
      </c>
      <c r="HS84" s="1" t="str">
        <f t="shared" si="47"/>
        <v/>
      </c>
      <c r="HT84" s="1" t="str">
        <f t="shared" si="47"/>
        <v/>
      </c>
      <c r="HU84" s="1" t="str">
        <f t="shared" si="47"/>
        <v/>
      </c>
      <c r="HV84" s="1" t="str">
        <f t="shared" si="47"/>
        <v/>
      </c>
      <c r="HW84" s="1" t="str">
        <f t="shared" si="47"/>
        <v/>
      </c>
      <c r="HX84" s="1" t="str">
        <f t="shared" si="47"/>
        <v/>
      </c>
      <c r="HY84" s="1" t="str">
        <f t="shared" si="47"/>
        <v/>
      </c>
      <c r="HZ84" s="1" t="str">
        <f t="shared" si="47"/>
        <v/>
      </c>
      <c r="IA84" s="1" t="str">
        <f t="shared" si="47"/>
        <v/>
      </c>
      <c r="IB84" s="1" t="str">
        <f t="shared" si="47"/>
        <v/>
      </c>
      <c r="IC84" s="1" t="str">
        <f t="shared" si="47"/>
        <v/>
      </c>
      <c r="ID84" s="1" t="str">
        <f t="shared" si="47"/>
        <v/>
      </c>
      <c r="IE84" s="1" t="str">
        <f t="shared" si="47"/>
        <v/>
      </c>
      <c r="IF84" s="1" t="str">
        <f t="shared" si="56"/>
        <v/>
      </c>
      <c r="IG84" s="1" t="str">
        <f t="shared" si="56"/>
        <v/>
      </c>
      <c r="IH84" s="1" t="str">
        <f t="shared" si="53"/>
        <v/>
      </c>
      <c r="II84" s="1" t="str">
        <f t="shared" si="53"/>
        <v/>
      </c>
      <c r="IJ84" s="1" t="str">
        <f t="shared" si="53"/>
        <v/>
      </c>
      <c r="IK84" s="1" t="str">
        <f t="shared" si="53"/>
        <v/>
      </c>
      <c r="IL84" s="1" t="str">
        <f t="shared" si="53"/>
        <v/>
      </c>
      <c r="IM84" s="1" t="str">
        <f t="shared" si="53"/>
        <v/>
      </c>
      <c r="IN84" s="1" t="str">
        <f t="shared" si="53"/>
        <v/>
      </c>
      <c r="IO84" s="1" t="str">
        <f t="shared" si="53"/>
        <v/>
      </c>
      <c r="IP84" s="1" t="str">
        <f t="shared" si="53"/>
        <v/>
      </c>
      <c r="IQ84" s="1" t="str">
        <f t="shared" si="53"/>
        <v/>
      </c>
      <c r="IR84" s="1" t="str">
        <f t="shared" si="53"/>
        <v/>
      </c>
      <c r="IS84" s="1" t="str">
        <f t="shared" si="53"/>
        <v/>
      </c>
      <c r="IT84" s="1" t="str">
        <f t="shared" si="53"/>
        <v/>
      </c>
      <c r="IU84" s="1" t="str">
        <f t="shared" si="53"/>
        <v/>
      </c>
      <c r="IV84" s="1" t="str">
        <f t="shared" si="53"/>
        <v/>
      </c>
      <c r="IW84" s="1" t="str">
        <f t="shared" si="53"/>
        <v/>
      </c>
      <c r="IX84" s="1" t="str">
        <f t="shared" si="54"/>
        <v/>
      </c>
      <c r="IY84" s="1" t="str">
        <f t="shared" si="54"/>
        <v/>
      </c>
      <c r="IZ84" s="1" t="str">
        <f t="shared" si="54"/>
        <v/>
      </c>
      <c r="JA84" s="1" t="str">
        <f t="shared" si="54"/>
        <v/>
      </c>
      <c r="JB84" s="1" t="str">
        <f t="shared" si="54"/>
        <v/>
      </c>
      <c r="JC84" s="1" t="str">
        <f t="shared" si="43"/>
        <v/>
      </c>
      <c r="JD84" s="1" t="str">
        <f t="shared" si="43"/>
        <v/>
      </c>
      <c r="JE84" s="1" t="str">
        <f t="shared" si="43"/>
        <v/>
      </c>
      <c r="JF84" s="1" t="str">
        <f t="shared" si="43"/>
        <v/>
      </c>
      <c r="JG84" s="1" t="str">
        <f t="shared" si="37"/>
        <v/>
      </c>
      <c r="JH84" s="1" t="str">
        <f t="shared" si="37"/>
        <v/>
      </c>
      <c r="JI84" s="1" t="str">
        <f t="shared" si="37"/>
        <v/>
      </c>
      <c r="JJ84" s="1" t="str">
        <f t="shared" si="30"/>
        <v/>
      </c>
      <c r="JK84" s="1" t="str">
        <f t="shared" si="30"/>
        <v/>
      </c>
      <c r="JL84" s="1" t="str">
        <f t="shared" si="30"/>
        <v/>
      </c>
      <c r="JM84" s="1" t="str">
        <f t="shared" si="30"/>
        <v/>
      </c>
      <c r="JN84" s="1" t="str">
        <f t="shared" si="30"/>
        <v/>
      </c>
      <c r="JO84" s="1" t="str">
        <f t="shared" si="30"/>
        <v/>
      </c>
    </row>
    <row r="85" spans="1:275" ht="14.5" x14ac:dyDescent="0.35">
      <c r="A85" s="59" t="str">
        <f>IF('Data input'!A85&lt;&gt;"",'Data input'!A85,"")</f>
        <v/>
      </c>
      <c r="B85" s="15" t="str">
        <f>IF('Data input'!B85&lt;&gt;"",'Data input'!B85,"")</f>
        <v/>
      </c>
      <c r="C85" s="16" t="str">
        <f>IF('Data input'!C85="","",4*('Data input'!C85-'Data input'!C$108)/('Data input'!C$109-'Data input'!C$108)+1)</f>
        <v/>
      </c>
      <c r="D85" s="16" t="str">
        <f>IF('Data input'!D85="","",4*('Data input'!D85-'Data input'!D$108)/('Data input'!D$109-'Data input'!D$108)+1)</f>
        <v/>
      </c>
      <c r="E85" s="16" t="str">
        <f>IF('Data input'!E85="","",4*('Data input'!E85-'Data input'!E$108)/('Data input'!E$109-'Data input'!E$108)+1)</f>
        <v/>
      </c>
      <c r="F85" s="16" t="str">
        <f>IF('Data input'!F85="","",4*('Data input'!F85-'Data input'!F$108)/('Data input'!F$109-'Data input'!F$108)+1)</f>
        <v/>
      </c>
      <c r="G85" s="16" t="str">
        <f>IF('Data input'!G85="","",4*('Data input'!G85-'Data input'!G$108)/('Data input'!G$109-'Data input'!G$108)+1)</f>
        <v/>
      </c>
      <c r="H85" s="16" t="str">
        <f>IF('Data input'!H85="","",4*('Data input'!H85-'Data input'!H$108)/('Data input'!H$109-'Data input'!H$108)+1)</f>
        <v/>
      </c>
      <c r="I85" s="19" t="str">
        <f>IF('Data input'!I85="","",4*('Data input'!I85-'Data input'!I$108)/('Data input'!I$109-'Data input'!I$108)+1)</f>
        <v/>
      </c>
      <c r="J85" s="19" t="str">
        <f>IF('Data input'!J85="","",4*('Data input'!J85-'Data input'!J$108)/('Data input'!J$109-'Data input'!J$108)+1)</f>
        <v/>
      </c>
      <c r="K85" s="19" t="str">
        <f>IF('Data input'!K85="","",4*('Data input'!K85-'Data input'!K$108)/('Data input'!K$109-'Data input'!K$108)+1)</f>
        <v/>
      </c>
      <c r="L85" s="19" t="str">
        <f>IF('Data input'!L85="","",4*('Data input'!L85-'Data input'!L$108)/('Data input'!L$109-'Data input'!L$108)+1)</f>
        <v/>
      </c>
      <c r="M85" s="16" t="str">
        <f>IF('Data input'!M85="","",4*('Data input'!M85-'Data input'!M$108)/('Data input'!M$109-'Data input'!M$108)+1)</f>
        <v/>
      </c>
      <c r="N85" s="16" t="str">
        <f>IF('Data input'!N85="","",4*('Data input'!N85-'Data input'!N$108)/('Data input'!N$109-'Data input'!N$108)+1)</f>
        <v/>
      </c>
      <c r="O85" s="16" t="str">
        <f>IF('Data input'!O85="","",4*('Data input'!O85-'Data input'!O$108)/('Data input'!O$109-'Data input'!O$108)+1)</f>
        <v/>
      </c>
      <c r="P85" s="16" t="str">
        <f>IF('Data input'!P85="","",4*('Data input'!P85-'Data input'!P$108)/('Data input'!P$109-'Data input'!P$108)+1)</f>
        <v/>
      </c>
      <c r="Q85" s="16" t="str">
        <f>IF('Data input'!Q85="","",4*('Data input'!Q85-'Data input'!Q$108)/('Data input'!Q$109-'Data input'!Q$108)+1)</f>
        <v/>
      </c>
      <c r="R85" s="16" t="str">
        <f>IF('Data input'!R85="","",4*('Data input'!R85-'Data input'!R$108)/('Data input'!R$109-'Data input'!R$108)+1)</f>
        <v/>
      </c>
      <c r="S85" s="16" t="str">
        <f>IF('Data input'!S85="","",4*('Data input'!S85-'Data input'!S$108)/('Data input'!S$109-'Data input'!S$108)+1)</f>
        <v/>
      </c>
      <c r="T85" s="16" t="str">
        <f>IF('Data input'!T85="","",4*('Data input'!T85-'Data input'!T$108)/('Data input'!T$109-'Data input'!T$108)+1)</f>
        <v/>
      </c>
      <c r="U85" s="16" t="str">
        <f>IF('Data input'!U85="","",4*('Data input'!U85-'Data input'!U$108)/('Data input'!U$109-'Data input'!U$108)+1)</f>
        <v/>
      </c>
      <c r="V85" s="16" t="str">
        <f>IF('Data input'!V85="","",4*('Data input'!V85-'Data input'!V$108)/('Data input'!V$109-'Data input'!V$108)+1)</f>
        <v/>
      </c>
      <c r="W85" s="16" t="str">
        <f>IF('Data input'!W85="","",4*('Data input'!W85-'Data input'!W$108)/('Data input'!W$109-'Data input'!W$108)+1)</f>
        <v/>
      </c>
      <c r="X85" s="16" t="str">
        <f>IF('Data input'!X85="","",4*('Data input'!X85-'Data input'!X$108)/('Data input'!X$109-'Data input'!X$108)+1)</f>
        <v/>
      </c>
      <c r="Y85" s="16" t="str">
        <f>IF('Data input'!Y85="","",4*('Data input'!Y85-'Data input'!Y$108)/('Data input'!Y$109-'Data input'!Y$108)+1)</f>
        <v/>
      </c>
      <c r="Z85" s="16" t="str">
        <f>IF('Data input'!Z85="","",4*('Data input'!Z85-'Data input'!Z$108)/('Data input'!Z$109-'Data input'!Z$108)+1)</f>
        <v/>
      </c>
      <c r="AA85" s="62" t="str">
        <f>IF('Data input'!AA85="","",4*('Data input'!AA85-'Data input'!AA$108)/('Data input'!AA$109-'Data input'!AA$108)+1)</f>
        <v/>
      </c>
      <c r="AB85" s="78"/>
      <c r="AC85" s="79">
        <v>0</v>
      </c>
      <c r="AD85" s="80" t="e">
        <f t="shared" si="48"/>
        <v>#DIV/0!</v>
      </c>
      <c r="AE85" s="4"/>
      <c r="AF85" s="59" t="str">
        <f t="shared" si="40"/>
        <v/>
      </c>
      <c r="AG85" s="60" t="str">
        <f t="shared" si="40"/>
        <v/>
      </c>
      <c r="AH85"/>
      <c r="AI85"/>
      <c r="AJ85"/>
      <c r="AK85"/>
      <c r="AL85"/>
      <c r="AM85"/>
      <c r="AN85"/>
      <c r="AO85"/>
      <c r="AP85"/>
      <c r="AQ85"/>
      <c r="AR85"/>
      <c r="AS85" s="71" t="str">
        <f t="shared" si="44"/>
        <v/>
      </c>
      <c r="AT85" s="71" t="str">
        <f t="shared" si="44"/>
        <v/>
      </c>
      <c r="AU85" s="71" t="str">
        <f t="shared" si="44"/>
        <v/>
      </c>
      <c r="AV85" s="71" t="str">
        <f t="shared" si="44"/>
        <v/>
      </c>
      <c r="AW85" s="71" t="str">
        <f t="shared" si="44"/>
        <v/>
      </c>
      <c r="AX85" s="71" t="str">
        <f t="shared" si="45"/>
        <v/>
      </c>
      <c r="AY85" s="71" t="str">
        <f t="shared" si="45"/>
        <v/>
      </c>
      <c r="AZ85" s="71" t="str">
        <f t="shared" si="45"/>
        <v/>
      </c>
      <c r="BA85" s="71" t="str">
        <f t="shared" si="45"/>
        <v/>
      </c>
      <c r="BB85" s="71" t="str">
        <f t="shared" si="45"/>
        <v/>
      </c>
      <c r="BC85" s="18" t="str">
        <f>IF(C85&lt;&gt;"",(('Data input'!C$109-'Data input'!C$108)*(AS85-1)/4)+'Data input'!C$108,"")</f>
        <v/>
      </c>
      <c r="BD85" s="18" t="str">
        <f>IF(D85&lt;&gt;"",(('Data input'!D$109-'Data input'!D$108)*(AT85-1)/4)+'Data input'!D$108,"")</f>
        <v/>
      </c>
      <c r="BE85" s="18" t="str">
        <f>IF(E85&lt;&gt;"",(('Data input'!E$109-'Data input'!E$108)*(AU85-1)/4)+'Data input'!E$108,"")</f>
        <v/>
      </c>
      <c r="BF85" s="18" t="str">
        <f>IF(F85&lt;&gt;"",(('Data input'!F$109-'Data input'!F$108)*(AV85-1)/4)+'Data input'!F$108,"")</f>
        <v/>
      </c>
      <c r="BG85" s="18" t="str">
        <f>IF(G85&lt;&gt;"",(('Data input'!G$109-'Data input'!G$108)*(AW85-1)/4)+'Data input'!G$108,"")</f>
        <v/>
      </c>
      <c r="BH85" s="19" t="str">
        <f>IF(H85&lt;&gt;"",(('Data input'!H$109-'Data input'!H$108)*(AX85-1)/4)+'Data input'!H$108,"")</f>
        <v/>
      </c>
      <c r="BI85" s="18" t="str">
        <f>IF(I85&lt;&gt;"",(('Data input'!I$109-'Data input'!I$108)*(AY85-1)/4)+'Data input'!I$108,"")</f>
        <v/>
      </c>
      <c r="BJ85" s="19" t="str">
        <f>IF(J85&lt;&gt;"",(('Data input'!J$109-'Data input'!J$108)*(AZ85-1)/4)+'Data input'!J$108,"")</f>
        <v/>
      </c>
      <c r="BK85" s="19" t="str">
        <f>IF(K85&lt;&gt;"",(('Data input'!K$109-'Data input'!K$108)*(BA85-1)/4)+'Data input'!K$108,"")</f>
        <v/>
      </c>
      <c r="BL85" s="19" t="str">
        <f>IF(L85&lt;&gt;"",(('Data input'!L$109-'Data input'!L$108)*(BB85-1)/4)+'Data input'!L$108,"")</f>
        <v/>
      </c>
      <c r="BM85" s="18" t="str">
        <f>IF(C85&lt;&gt;"",BC85-'Data input'!C85,"")</f>
        <v/>
      </c>
      <c r="BN85" s="18" t="str">
        <f>IF(D85&lt;&gt;"",BD85-'Data input'!D85,"")</f>
        <v/>
      </c>
      <c r="BO85" s="18" t="str">
        <f>IF(E85&lt;&gt;"",BE85-'Data input'!E85,"")</f>
        <v/>
      </c>
      <c r="BP85" s="18" t="str">
        <f>IF(F85&lt;&gt;"",BF85-'Data input'!F85,"")</f>
        <v/>
      </c>
      <c r="BQ85" s="18" t="str">
        <f>IF(G85&lt;&gt;"",BG85-'Data input'!G85,"")</f>
        <v/>
      </c>
      <c r="BR85" s="19" t="str">
        <f>IF(H85&lt;&gt;"",BH85-'Data input'!H85,"")</f>
        <v/>
      </c>
      <c r="BS85" s="18" t="str">
        <f>IF(I85&lt;&gt;"",BI85-'Data input'!I85,"")</f>
        <v/>
      </c>
      <c r="BT85" s="18" t="str">
        <f>IF(J85&lt;&gt;"",BJ85-'Data input'!J85,"")</f>
        <v/>
      </c>
      <c r="BU85" s="18" t="str">
        <f>IF(K85&lt;&gt;"",BK85-'Data input'!K85,"")</f>
        <v/>
      </c>
      <c r="BV85" s="72" t="str">
        <f>IF(L85&lt;&gt;"",BL85-'Data input'!L85,"")</f>
        <v/>
      </c>
      <c r="BW85" s="121" t="str">
        <f t="shared" si="49"/>
        <v/>
      </c>
      <c r="FT85" s="1" t="str">
        <f t="shared" si="57"/>
        <v/>
      </c>
      <c r="FU85" s="1" t="str">
        <f t="shared" si="55"/>
        <v/>
      </c>
      <c r="FV85" s="1" t="str">
        <f t="shared" si="55"/>
        <v/>
      </c>
      <c r="FW85" s="1" t="str">
        <f t="shared" si="55"/>
        <v/>
      </c>
      <c r="FX85" s="1" t="str">
        <f t="shared" si="55"/>
        <v/>
      </c>
      <c r="FY85" s="1" t="str">
        <f t="shared" si="55"/>
        <v/>
      </c>
      <c r="FZ85" s="1" t="str">
        <f t="shared" si="55"/>
        <v/>
      </c>
      <c r="GA85" s="1" t="str">
        <f t="shared" si="55"/>
        <v/>
      </c>
      <c r="GB85" s="1" t="str">
        <f t="shared" si="55"/>
        <v/>
      </c>
      <c r="GC85" s="1" t="str">
        <f t="shared" si="55"/>
        <v/>
      </c>
      <c r="GD85" s="1" t="str">
        <f t="shared" si="55"/>
        <v/>
      </c>
      <c r="GE85" s="1" t="str">
        <f t="shared" si="55"/>
        <v/>
      </c>
      <c r="GF85" s="1" t="str">
        <f t="shared" si="55"/>
        <v/>
      </c>
      <c r="GG85" s="1" t="str">
        <f t="shared" si="55"/>
        <v/>
      </c>
      <c r="GH85" s="1" t="str">
        <f t="shared" si="55"/>
        <v/>
      </c>
      <c r="GI85" s="1" t="str">
        <f t="shared" si="55"/>
        <v/>
      </c>
      <c r="GJ85" s="1" t="str">
        <f t="shared" si="51"/>
        <v/>
      </c>
      <c r="GK85" s="1" t="str">
        <f t="shared" si="51"/>
        <v/>
      </c>
      <c r="GL85" s="1" t="str">
        <f t="shared" si="51"/>
        <v/>
      </c>
      <c r="GM85" s="1" t="str">
        <f t="shared" si="51"/>
        <v/>
      </c>
      <c r="GN85" s="1" t="str">
        <f t="shared" si="51"/>
        <v/>
      </c>
      <c r="GO85" s="1" t="str">
        <f t="shared" si="51"/>
        <v/>
      </c>
      <c r="GP85" s="1" t="str">
        <f t="shared" si="51"/>
        <v/>
      </c>
      <c r="GQ85" s="1" t="str">
        <f t="shared" si="51"/>
        <v/>
      </c>
      <c r="GR85" s="1" t="str">
        <f t="shared" si="51"/>
        <v/>
      </c>
      <c r="GS85" s="1" t="str">
        <f t="shared" si="51"/>
        <v/>
      </c>
      <c r="GT85" s="1" t="str">
        <f t="shared" si="50"/>
        <v/>
      </c>
      <c r="GU85" s="1" t="str">
        <f t="shared" si="50"/>
        <v/>
      </c>
      <c r="GV85" s="1" t="str">
        <f t="shared" si="50"/>
        <v/>
      </c>
      <c r="GW85" s="1" t="str">
        <f t="shared" si="50"/>
        <v/>
      </c>
      <c r="GX85" s="1" t="str">
        <f t="shared" si="50"/>
        <v/>
      </c>
      <c r="GY85" s="1" t="str">
        <f t="shared" si="39"/>
        <v/>
      </c>
      <c r="GZ85" s="1" t="str">
        <f t="shared" si="39"/>
        <v/>
      </c>
      <c r="HA85" s="1" t="str">
        <f t="shared" si="39"/>
        <v/>
      </c>
      <c r="HB85" s="1" t="str">
        <f t="shared" si="39"/>
        <v/>
      </c>
      <c r="HC85" s="1" t="str">
        <f t="shared" si="39"/>
        <v/>
      </c>
      <c r="HD85" s="1" t="str">
        <f t="shared" si="39"/>
        <v/>
      </c>
      <c r="HE85" s="1" t="str">
        <f t="shared" si="39"/>
        <v/>
      </c>
      <c r="HF85" s="1" t="str">
        <f t="shared" si="39"/>
        <v/>
      </c>
      <c r="HG85" s="1" t="str">
        <f t="shared" si="39"/>
        <v/>
      </c>
      <c r="HH85" s="1" t="str">
        <f t="shared" si="39"/>
        <v/>
      </c>
      <c r="HI85" s="1" t="str">
        <f t="shared" si="39"/>
        <v/>
      </c>
      <c r="HJ85" s="1" t="str">
        <f t="shared" si="39"/>
        <v/>
      </c>
      <c r="HK85" s="1" t="str">
        <f t="shared" si="39"/>
        <v/>
      </c>
      <c r="HL85" s="1" t="str">
        <f t="shared" si="39"/>
        <v/>
      </c>
      <c r="HM85" s="1" t="str">
        <f t="shared" si="39"/>
        <v/>
      </c>
      <c r="HN85" s="1" t="str">
        <f t="shared" si="39"/>
        <v/>
      </c>
      <c r="HO85" s="1" t="str">
        <f t="shared" si="52"/>
        <v/>
      </c>
      <c r="HP85" s="1" t="str">
        <f t="shared" si="47"/>
        <v/>
      </c>
      <c r="HQ85" s="1" t="str">
        <f t="shared" si="47"/>
        <v/>
      </c>
      <c r="HR85" s="1" t="str">
        <f t="shared" si="47"/>
        <v/>
      </c>
      <c r="HS85" s="1" t="str">
        <f t="shared" si="47"/>
        <v/>
      </c>
      <c r="HT85" s="1" t="str">
        <f t="shared" si="47"/>
        <v/>
      </c>
      <c r="HU85" s="1" t="str">
        <f t="shared" si="47"/>
        <v/>
      </c>
      <c r="HV85" s="1" t="str">
        <f t="shared" si="47"/>
        <v/>
      </c>
      <c r="HW85" s="1" t="str">
        <f t="shared" si="47"/>
        <v/>
      </c>
      <c r="HX85" s="1" t="str">
        <f t="shared" si="47"/>
        <v/>
      </c>
      <c r="HY85" s="1" t="str">
        <f t="shared" si="47"/>
        <v/>
      </c>
      <c r="HZ85" s="1" t="str">
        <f t="shared" si="47"/>
        <v/>
      </c>
      <c r="IA85" s="1" t="str">
        <f t="shared" si="47"/>
        <v/>
      </c>
      <c r="IB85" s="1" t="str">
        <f t="shared" si="47"/>
        <v/>
      </c>
      <c r="IC85" s="1" t="str">
        <f t="shared" si="47"/>
        <v/>
      </c>
      <c r="ID85" s="1" t="str">
        <f t="shared" si="47"/>
        <v/>
      </c>
      <c r="IE85" s="1" t="str">
        <f t="shared" si="47"/>
        <v/>
      </c>
      <c r="IF85" s="1" t="str">
        <f t="shared" si="56"/>
        <v/>
      </c>
      <c r="IG85" s="1" t="str">
        <f t="shared" si="56"/>
        <v/>
      </c>
      <c r="IH85" s="1" t="str">
        <f t="shared" si="53"/>
        <v/>
      </c>
      <c r="II85" s="1" t="str">
        <f t="shared" si="53"/>
        <v/>
      </c>
      <c r="IJ85" s="1" t="str">
        <f t="shared" si="53"/>
        <v/>
      </c>
      <c r="IK85" s="1" t="str">
        <f t="shared" si="53"/>
        <v/>
      </c>
      <c r="IL85" s="1" t="str">
        <f t="shared" si="53"/>
        <v/>
      </c>
      <c r="IM85" s="1" t="str">
        <f t="shared" si="53"/>
        <v/>
      </c>
      <c r="IN85" s="1" t="str">
        <f t="shared" si="53"/>
        <v/>
      </c>
      <c r="IO85" s="1" t="str">
        <f t="shared" si="53"/>
        <v/>
      </c>
      <c r="IP85" s="1" t="str">
        <f t="shared" si="53"/>
        <v/>
      </c>
      <c r="IQ85" s="1" t="str">
        <f t="shared" si="53"/>
        <v/>
      </c>
      <c r="IR85" s="1" t="str">
        <f t="shared" si="53"/>
        <v/>
      </c>
      <c r="IS85" s="1" t="str">
        <f t="shared" si="53"/>
        <v/>
      </c>
      <c r="IT85" s="1" t="str">
        <f t="shared" si="53"/>
        <v/>
      </c>
      <c r="IU85" s="1" t="str">
        <f t="shared" si="53"/>
        <v/>
      </c>
      <c r="IV85" s="1" t="str">
        <f t="shared" si="53"/>
        <v/>
      </c>
      <c r="IW85" s="1" t="str">
        <f t="shared" si="53"/>
        <v/>
      </c>
      <c r="IX85" s="1" t="str">
        <f t="shared" si="54"/>
        <v/>
      </c>
      <c r="IY85" s="1" t="str">
        <f t="shared" si="54"/>
        <v/>
      </c>
      <c r="IZ85" s="1" t="str">
        <f t="shared" si="54"/>
        <v/>
      </c>
      <c r="JA85" s="1" t="str">
        <f t="shared" si="54"/>
        <v/>
      </c>
      <c r="JB85" s="1" t="str">
        <f t="shared" si="54"/>
        <v/>
      </c>
      <c r="JC85" s="1" t="str">
        <f t="shared" si="43"/>
        <v/>
      </c>
      <c r="JD85" s="1" t="str">
        <f t="shared" si="43"/>
        <v/>
      </c>
      <c r="JE85" s="1" t="str">
        <f t="shared" si="43"/>
        <v/>
      </c>
      <c r="JF85" s="1" t="str">
        <f t="shared" si="43"/>
        <v/>
      </c>
      <c r="JG85" s="1" t="str">
        <f t="shared" si="37"/>
        <v/>
      </c>
      <c r="JH85" s="1" t="str">
        <f t="shared" si="37"/>
        <v/>
      </c>
      <c r="JI85" s="1" t="str">
        <f t="shared" si="37"/>
        <v/>
      </c>
      <c r="JJ85" s="1" t="str">
        <f t="shared" si="30"/>
        <v/>
      </c>
      <c r="JK85" s="1" t="str">
        <f t="shared" si="30"/>
        <v/>
      </c>
      <c r="JL85" s="1" t="str">
        <f t="shared" si="30"/>
        <v/>
      </c>
      <c r="JM85" s="1" t="str">
        <f t="shared" si="30"/>
        <v/>
      </c>
      <c r="JN85" s="1" t="str">
        <f t="shared" si="30"/>
        <v/>
      </c>
      <c r="JO85" s="1" t="str">
        <f t="shared" si="30"/>
        <v/>
      </c>
    </row>
    <row r="86" spans="1:275" ht="14.5" x14ac:dyDescent="0.35">
      <c r="A86" s="59" t="str">
        <f>IF('Data input'!A86&lt;&gt;"",'Data input'!A86,"")</f>
        <v/>
      </c>
      <c r="B86" s="15" t="str">
        <f>IF('Data input'!B86&lt;&gt;"",'Data input'!B86,"")</f>
        <v/>
      </c>
      <c r="C86" s="16" t="str">
        <f>IF('Data input'!C86="","",4*('Data input'!C86-'Data input'!C$108)/('Data input'!C$109-'Data input'!C$108)+1)</f>
        <v/>
      </c>
      <c r="D86" s="16" t="str">
        <f>IF('Data input'!D86="","",4*('Data input'!D86-'Data input'!D$108)/('Data input'!D$109-'Data input'!D$108)+1)</f>
        <v/>
      </c>
      <c r="E86" s="16" t="str">
        <f>IF('Data input'!E86="","",4*('Data input'!E86-'Data input'!E$108)/('Data input'!E$109-'Data input'!E$108)+1)</f>
        <v/>
      </c>
      <c r="F86" s="16" t="str">
        <f>IF('Data input'!F86="","",4*('Data input'!F86-'Data input'!F$108)/('Data input'!F$109-'Data input'!F$108)+1)</f>
        <v/>
      </c>
      <c r="G86" s="16" t="str">
        <f>IF('Data input'!G86="","",4*('Data input'!G86-'Data input'!G$108)/('Data input'!G$109-'Data input'!G$108)+1)</f>
        <v/>
      </c>
      <c r="H86" s="16" t="str">
        <f>IF('Data input'!H86="","",4*('Data input'!H86-'Data input'!H$108)/('Data input'!H$109-'Data input'!H$108)+1)</f>
        <v/>
      </c>
      <c r="I86" s="19" t="str">
        <f>IF('Data input'!I86="","",4*('Data input'!I86-'Data input'!I$108)/('Data input'!I$109-'Data input'!I$108)+1)</f>
        <v/>
      </c>
      <c r="J86" s="19" t="str">
        <f>IF('Data input'!J86="","",4*('Data input'!J86-'Data input'!J$108)/('Data input'!J$109-'Data input'!J$108)+1)</f>
        <v/>
      </c>
      <c r="K86" s="19" t="str">
        <f>IF('Data input'!K86="","",4*('Data input'!K86-'Data input'!K$108)/('Data input'!K$109-'Data input'!K$108)+1)</f>
        <v/>
      </c>
      <c r="L86" s="19" t="str">
        <f>IF('Data input'!L86="","",4*('Data input'!L86-'Data input'!L$108)/('Data input'!L$109-'Data input'!L$108)+1)</f>
        <v/>
      </c>
      <c r="M86" s="16" t="str">
        <f>IF('Data input'!M86="","",4*('Data input'!M86-'Data input'!M$108)/('Data input'!M$109-'Data input'!M$108)+1)</f>
        <v/>
      </c>
      <c r="N86" s="16" t="str">
        <f>IF('Data input'!N86="","",4*('Data input'!N86-'Data input'!N$108)/('Data input'!N$109-'Data input'!N$108)+1)</f>
        <v/>
      </c>
      <c r="O86" s="16" t="str">
        <f>IF('Data input'!O86="","",4*('Data input'!O86-'Data input'!O$108)/('Data input'!O$109-'Data input'!O$108)+1)</f>
        <v/>
      </c>
      <c r="P86" s="16" t="str">
        <f>IF('Data input'!P86="","",4*('Data input'!P86-'Data input'!P$108)/('Data input'!P$109-'Data input'!P$108)+1)</f>
        <v/>
      </c>
      <c r="Q86" s="16" t="str">
        <f>IF('Data input'!Q86="","",4*('Data input'!Q86-'Data input'!Q$108)/('Data input'!Q$109-'Data input'!Q$108)+1)</f>
        <v/>
      </c>
      <c r="R86" s="16" t="str">
        <f>IF('Data input'!R86="","",4*('Data input'!R86-'Data input'!R$108)/('Data input'!R$109-'Data input'!R$108)+1)</f>
        <v/>
      </c>
      <c r="S86" s="16" t="str">
        <f>IF('Data input'!S86="","",4*('Data input'!S86-'Data input'!S$108)/('Data input'!S$109-'Data input'!S$108)+1)</f>
        <v/>
      </c>
      <c r="T86" s="16" t="str">
        <f>IF('Data input'!T86="","",4*('Data input'!T86-'Data input'!T$108)/('Data input'!T$109-'Data input'!T$108)+1)</f>
        <v/>
      </c>
      <c r="U86" s="16" t="str">
        <f>IF('Data input'!U86="","",4*('Data input'!U86-'Data input'!U$108)/('Data input'!U$109-'Data input'!U$108)+1)</f>
        <v/>
      </c>
      <c r="V86" s="16" t="str">
        <f>IF('Data input'!V86="","",4*('Data input'!V86-'Data input'!V$108)/('Data input'!V$109-'Data input'!V$108)+1)</f>
        <v/>
      </c>
      <c r="W86" s="16" t="str">
        <f>IF('Data input'!W86="","",4*('Data input'!W86-'Data input'!W$108)/('Data input'!W$109-'Data input'!W$108)+1)</f>
        <v/>
      </c>
      <c r="X86" s="16" t="str">
        <f>IF('Data input'!X86="","",4*('Data input'!X86-'Data input'!X$108)/('Data input'!X$109-'Data input'!X$108)+1)</f>
        <v/>
      </c>
      <c r="Y86" s="16" t="str">
        <f>IF('Data input'!Y86="","",4*('Data input'!Y86-'Data input'!Y$108)/('Data input'!Y$109-'Data input'!Y$108)+1)</f>
        <v/>
      </c>
      <c r="Z86" s="16" t="str">
        <f>IF('Data input'!Z86="","",4*('Data input'!Z86-'Data input'!Z$108)/('Data input'!Z$109-'Data input'!Z$108)+1)</f>
        <v/>
      </c>
      <c r="AA86" s="62" t="str">
        <f>IF('Data input'!AA86="","",4*('Data input'!AA86-'Data input'!AA$108)/('Data input'!AA$109-'Data input'!AA$108)+1)</f>
        <v/>
      </c>
      <c r="AB86" s="78"/>
      <c r="AC86" s="79">
        <v>0</v>
      </c>
      <c r="AD86" s="80" t="e">
        <f t="shared" si="48"/>
        <v>#DIV/0!</v>
      </c>
      <c r="AE86" s="4"/>
      <c r="AF86" s="59" t="str">
        <f t="shared" si="40"/>
        <v/>
      </c>
      <c r="AG86" s="60" t="str">
        <f t="shared" si="40"/>
        <v/>
      </c>
      <c r="AH86"/>
      <c r="AI86"/>
      <c r="AJ86"/>
      <c r="AK86"/>
      <c r="AL86"/>
      <c r="AM86"/>
      <c r="AN86"/>
      <c r="AO86"/>
      <c r="AP86"/>
      <c r="AQ86"/>
      <c r="AR86"/>
      <c r="AS86" s="71" t="str">
        <f t="shared" si="44"/>
        <v/>
      </c>
      <c r="AT86" s="71" t="str">
        <f t="shared" si="44"/>
        <v/>
      </c>
      <c r="AU86" s="71" t="str">
        <f t="shared" si="44"/>
        <v/>
      </c>
      <c r="AV86" s="71" t="str">
        <f t="shared" si="44"/>
        <v/>
      </c>
      <c r="AW86" s="71" t="str">
        <f t="shared" si="44"/>
        <v/>
      </c>
      <c r="AX86" s="71" t="str">
        <f t="shared" si="45"/>
        <v/>
      </c>
      <c r="AY86" s="71" t="str">
        <f t="shared" si="45"/>
        <v/>
      </c>
      <c r="AZ86" s="71" t="str">
        <f t="shared" si="45"/>
        <v/>
      </c>
      <c r="BA86" s="71" t="str">
        <f t="shared" si="45"/>
        <v/>
      </c>
      <c r="BB86" s="71" t="str">
        <f t="shared" si="45"/>
        <v/>
      </c>
      <c r="BC86" s="18" t="str">
        <f>IF(C86&lt;&gt;"",(('Data input'!C$109-'Data input'!C$108)*(AS86-1)/4)+'Data input'!C$108,"")</f>
        <v/>
      </c>
      <c r="BD86" s="18" t="str">
        <f>IF(D86&lt;&gt;"",(('Data input'!D$109-'Data input'!D$108)*(AT86-1)/4)+'Data input'!D$108,"")</f>
        <v/>
      </c>
      <c r="BE86" s="18" t="str">
        <f>IF(E86&lt;&gt;"",(('Data input'!E$109-'Data input'!E$108)*(AU86-1)/4)+'Data input'!E$108,"")</f>
        <v/>
      </c>
      <c r="BF86" s="18" t="str">
        <f>IF(F86&lt;&gt;"",(('Data input'!F$109-'Data input'!F$108)*(AV86-1)/4)+'Data input'!F$108,"")</f>
        <v/>
      </c>
      <c r="BG86" s="18" t="str">
        <f>IF(G86&lt;&gt;"",(('Data input'!G$109-'Data input'!G$108)*(AW86-1)/4)+'Data input'!G$108,"")</f>
        <v/>
      </c>
      <c r="BH86" s="19" t="str">
        <f>IF(H86&lt;&gt;"",(('Data input'!H$109-'Data input'!H$108)*(AX86-1)/4)+'Data input'!H$108,"")</f>
        <v/>
      </c>
      <c r="BI86" s="18" t="str">
        <f>IF(I86&lt;&gt;"",(('Data input'!I$109-'Data input'!I$108)*(AY86-1)/4)+'Data input'!I$108,"")</f>
        <v/>
      </c>
      <c r="BJ86" s="19" t="str">
        <f>IF(J86&lt;&gt;"",(('Data input'!J$109-'Data input'!J$108)*(AZ86-1)/4)+'Data input'!J$108,"")</f>
        <v/>
      </c>
      <c r="BK86" s="19" t="str">
        <f>IF(K86&lt;&gt;"",(('Data input'!K$109-'Data input'!K$108)*(BA86-1)/4)+'Data input'!K$108,"")</f>
        <v/>
      </c>
      <c r="BL86" s="19" t="str">
        <f>IF(L86&lt;&gt;"",(('Data input'!L$109-'Data input'!L$108)*(BB86-1)/4)+'Data input'!L$108,"")</f>
        <v/>
      </c>
      <c r="BM86" s="18" t="str">
        <f>IF(C86&lt;&gt;"",BC86-'Data input'!C86,"")</f>
        <v/>
      </c>
      <c r="BN86" s="18" t="str">
        <f>IF(D86&lt;&gt;"",BD86-'Data input'!D86,"")</f>
        <v/>
      </c>
      <c r="BO86" s="18" t="str">
        <f>IF(E86&lt;&gt;"",BE86-'Data input'!E86,"")</f>
        <v/>
      </c>
      <c r="BP86" s="18" t="str">
        <f>IF(F86&lt;&gt;"",BF86-'Data input'!F86,"")</f>
        <v/>
      </c>
      <c r="BQ86" s="18" t="str">
        <f>IF(G86&lt;&gt;"",BG86-'Data input'!G86,"")</f>
        <v/>
      </c>
      <c r="BR86" s="19" t="str">
        <f>IF(H86&lt;&gt;"",BH86-'Data input'!H86,"")</f>
        <v/>
      </c>
      <c r="BS86" s="18" t="str">
        <f>IF(I86&lt;&gt;"",BI86-'Data input'!I86,"")</f>
        <v/>
      </c>
      <c r="BT86" s="18" t="str">
        <f>IF(J86&lt;&gt;"",BJ86-'Data input'!J86,"")</f>
        <v/>
      </c>
      <c r="BU86" s="18" t="str">
        <f>IF(K86&lt;&gt;"",BK86-'Data input'!K86,"")</f>
        <v/>
      </c>
      <c r="BV86" s="72" t="str">
        <f>IF(L86&lt;&gt;"",BL86-'Data input'!L86,"")</f>
        <v/>
      </c>
      <c r="BW86" s="121" t="str">
        <f t="shared" si="49"/>
        <v/>
      </c>
      <c r="FT86" s="1" t="str">
        <f t="shared" si="57"/>
        <v/>
      </c>
      <c r="FU86" s="1" t="str">
        <f t="shared" si="55"/>
        <v/>
      </c>
      <c r="FV86" s="1" t="str">
        <f t="shared" si="55"/>
        <v/>
      </c>
      <c r="FW86" s="1" t="str">
        <f t="shared" si="55"/>
        <v/>
      </c>
      <c r="FX86" s="1" t="str">
        <f t="shared" si="55"/>
        <v/>
      </c>
      <c r="FY86" s="1" t="str">
        <f t="shared" si="55"/>
        <v/>
      </c>
      <c r="FZ86" s="1" t="str">
        <f t="shared" si="55"/>
        <v/>
      </c>
      <c r="GA86" s="1" t="str">
        <f t="shared" si="55"/>
        <v/>
      </c>
      <c r="GB86" s="1" t="str">
        <f t="shared" si="55"/>
        <v/>
      </c>
      <c r="GC86" s="1" t="str">
        <f t="shared" si="55"/>
        <v/>
      </c>
      <c r="GD86" s="1" t="str">
        <f t="shared" si="55"/>
        <v/>
      </c>
      <c r="GE86" s="1" t="str">
        <f t="shared" si="55"/>
        <v/>
      </c>
      <c r="GF86" s="1" t="str">
        <f t="shared" si="55"/>
        <v/>
      </c>
      <c r="GG86" s="1" t="str">
        <f t="shared" si="55"/>
        <v/>
      </c>
      <c r="GH86" s="1" t="str">
        <f t="shared" si="55"/>
        <v/>
      </c>
      <c r="GI86" s="1" t="str">
        <f t="shared" si="55"/>
        <v/>
      </c>
      <c r="GJ86" s="1" t="str">
        <f t="shared" si="51"/>
        <v/>
      </c>
      <c r="GK86" s="1" t="str">
        <f t="shared" si="51"/>
        <v/>
      </c>
      <c r="GL86" s="1" t="str">
        <f t="shared" si="51"/>
        <v/>
      </c>
      <c r="GM86" s="1" t="str">
        <f t="shared" si="51"/>
        <v/>
      </c>
      <c r="GN86" s="1" t="str">
        <f t="shared" si="51"/>
        <v/>
      </c>
      <c r="GO86" s="1" t="str">
        <f t="shared" si="51"/>
        <v/>
      </c>
      <c r="GP86" s="1" t="str">
        <f t="shared" si="51"/>
        <v/>
      </c>
      <c r="GQ86" s="1" t="str">
        <f t="shared" si="51"/>
        <v/>
      </c>
      <c r="GR86" s="1" t="str">
        <f t="shared" si="51"/>
        <v/>
      </c>
      <c r="GS86" s="1" t="str">
        <f t="shared" si="51"/>
        <v/>
      </c>
      <c r="GT86" s="1" t="str">
        <f t="shared" si="50"/>
        <v/>
      </c>
      <c r="GU86" s="1" t="str">
        <f t="shared" si="50"/>
        <v/>
      </c>
      <c r="GV86" s="1" t="str">
        <f t="shared" si="50"/>
        <v/>
      </c>
      <c r="GW86" s="1" t="str">
        <f t="shared" si="50"/>
        <v/>
      </c>
      <c r="GX86" s="1" t="str">
        <f t="shared" si="50"/>
        <v/>
      </c>
      <c r="GY86" s="1" t="str">
        <f t="shared" si="39"/>
        <v/>
      </c>
      <c r="GZ86" s="1" t="str">
        <f t="shared" si="39"/>
        <v/>
      </c>
      <c r="HA86" s="1" t="str">
        <f t="shared" si="39"/>
        <v/>
      </c>
      <c r="HB86" s="1" t="str">
        <f t="shared" si="39"/>
        <v/>
      </c>
      <c r="HC86" s="1" t="str">
        <f t="shared" si="39"/>
        <v/>
      </c>
      <c r="HD86" s="1" t="str">
        <f t="shared" si="39"/>
        <v/>
      </c>
      <c r="HE86" s="1" t="str">
        <f t="shared" si="39"/>
        <v/>
      </c>
      <c r="HF86" s="1" t="str">
        <f t="shared" si="39"/>
        <v/>
      </c>
      <c r="HG86" s="1" t="str">
        <f t="shared" si="39"/>
        <v/>
      </c>
      <c r="HH86" s="1" t="str">
        <f t="shared" si="39"/>
        <v/>
      </c>
      <c r="HI86" s="1" t="str">
        <f t="shared" si="39"/>
        <v/>
      </c>
      <c r="HJ86" s="1" t="str">
        <f t="shared" ref="HJ86:HN102" si="58">IF(DN86&gt;0.0001,CONCATENATE(DN$2,"; "),"")</f>
        <v/>
      </c>
      <c r="HK86" s="1" t="str">
        <f t="shared" si="58"/>
        <v/>
      </c>
      <c r="HL86" s="1" t="str">
        <f t="shared" si="58"/>
        <v/>
      </c>
      <c r="HM86" s="1" t="str">
        <f t="shared" si="58"/>
        <v/>
      </c>
      <c r="HN86" s="1" t="str">
        <f t="shared" si="58"/>
        <v/>
      </c>
      <c r="HO86" s="1" t="str">
        <f t="shared" si="52"/>
        <v/>
      </c>
      <c r="HP86" s="1" t="str">
        <f t="shared" si="47"/>
        <v/>
      </c>
      <c r="HQ86" s="1" t="str">
        <f t="shared" si="47"/>
        <v/>
      </c>
      <c r="HR86" s="1" t="str">
        <f t="shared" si="47"/>
        <v/>
      </c>
      <c r="HS86" s="1" t="str">
        <f t="shared" si="47"/>
        <v/>
      </c>
      <c r="HT86" s="1" t="str">
        <f t="shared" si="47"/>
        <v/>
      </c>
      <c r="HU86" s="1" t="str">
        <f t="shared" si="47"/>
        <v/>
      </c>
      <c r="HV86" s="1" t="str">
        <f t="shared" si="47"/>
        <v/>
      </c>
      <c r="HW86" s="1" t="str">
        <f t="shared" si="47"/>
        <v/>
      </c>
      <c r="HX86" s="1" t="str">
        <f t="shared" si="47"/>
        <v/>
      </c>
      <c r="HY86" s="1" t="str">
        <f t="shared" si="47"/>
        <v/>
      </c>
      <c r="HZ86" s="1" t="str">
        <f t="shared" si="47"/>
        <v/>
      </c>
      <c r="IA86" s="1" t="str">
        <f t="shared" si="47"/>
        <v/>
      </c>
      <c r="IB86" s="1" t="str">
        <f t="shared" si="47"/>
        <v/>
      </c>
      <c r="IC86" s="1" t="str">
        <f t="shared" si="47"/>
        <v/>
      </c>
      <c r="ID86" s="1" t="str">
        <f t="shared" si="47"/>
        <v/>
      </c>
      <c r="IE86" s="1" t="str">
        <f t="shared" si="47"/>
        <v/>
      </c>
      <c r="IF86" s="1" t="str">
        <f t="shared" si="56"/>
        <v/>
      </c>
      <c r="IG86" s="1" t="str">
        <f t="shared" si="56"/>
        <v/>
      </c>
      <c r="IH86" s="1" t="str">
        <f t="shared" si="53"/>
        <v/>
      </c>
      <c r="II86" s="1" t="str">
        <f t="shared" si="53"/>
        <v/>
      </c>
      <c r="IJ86" s="1" t="str">
        <f t="shared" si="53"/>
        <v/>
      </c>
      <c r="IK86" s="1" t="str">
        <f t="shared" si="53"/>
        <v/>
      </c>
      <c r="IL86" s="1" t="str">
        <f t="shared" si="53"/>
        <v/>
      </c>
      <c r="IM86" s="1" t="str">
        <f t="shared" si="53"/>
        <v/>
      </c>
      <c r="IN86" s="1" t="str">
        <f t="shared" si="53"/>
        <v/>
      </c>
      <c r="IO86" s="1" t="str">
        <f t="shared" si="53"/>
        <v/>
      </c>
      <c r="IP86" s="1" t="str">
        <f t="shared" si="53"/>
        <v/>
      </c>
      <c r="IQ86" s="1" t="str">
        <f t="shared" si="53"/>
        <v/>
      </c>
      <c r="IR86" s="1" t="str">
        <f t="shared" si="53"/>
        <v/>
      </c>
      <c r="IS86" s="1" t="str">
        <f t="shared" si="53"/>
        <v/>
      </c>
      <c r="IT86" s="1" t="str">
        <f t="shared" si="53"/>
        <v/>
      </c>
      <c r="IU86" s="1" t="str">
        <f t="shared" si="53"/>
        <v/>
      </c>
      <c r="IV86" s="1" t="str">
        <f t="shared" si="53"/>
        <v/>
      </c>
      <c r="IW86" s="1" t="str">
        <f t="shared" si="53"/>
        <v/>
      </c>
      <c r="IX86" s="1" t="str">
        <f t="shared" si="54"/>
        <v/>
      </c>
      <c r="IY86" s="1" t="str">
        <f t="shared" si="54"/>
        <v/>
      </c>
      <c r="IZ86" s="1" t="str">
        <f t="shared" si="54"/>
        <v/>
      </c>
      <c r="JA86" s="1" t="str">
        <f t="shared" si="54"/>
        <v/>
      </c>
      <c r="JB86" s="1" t="str">
        <f t="shared" si="54"/>
        <v/>
      </c>
      <c r="JC86" s="1" t="str">
        <f t="shared" si="43"/>
        <v/>
      </c>
      <c r="JD86" s="1" t="str">
        <f t="shared" si="43"/>
        <v/>
      </c>
      <c r="JE86" s="1" t="str">
        <f t="shared" si="43"/>
        <v/>
      </c>
      <c r="JF86" s="1" t="str">
        <f t="shared" si="43"/>
        <v/>
      </c>
      <c r="JG86" s="1" t="str">
        <f t="shared" si="37"/>
        <v/>
      </c>
      <c r="JH86" s="1" t="str">
        <f t="shared" si="37"/>
        <v/>
      </c>
      <c r="JI86" s="1" t="str">
        <f t="shared" si="37"/>
        <v/>
      </c>
      <c r="JJ86" s="1" t="str">
        <f t="shared" si="30"/>
        <v/>
      </c>
      <c r="JK86" s="1" t="str">
        <f t="shared" si="30"/>
        <v/>
      </c>
      <c r="JL86" s="1" t="str">
        <f t="shared" si="30"/>
        <v/>
      </c>
      <c r="JM86" s="1" t="str">
        <f t="shared" si="30"/>
        <v/>
      </c>
      <c r="JN86" s="1" t="str">
        <f t="shared" si="30"/>
        <v/>
      </c>
      <c r="JO86" s="1" t="str">
        <f t="shared" si="30"/>
        <v/>
      </c>
    </row>
    <row r="87" spans="1:275" ht="14.5" x14ac:dyDescent="0.35">
      <c r="A87" s="59" t="str">
        <f>IF('Data input'!A87&lt;&gt;"",'Data input'!A87,"")</f>
        <v/>
      </c>
      <c r="B87" s="15" t="str">
        <f>IF('Data input'!B87&lt;&gt;"",'Data input'!B87,"")</f>
        <v/>
      </c>
      <c r="C87" s="16" t="str">
        <f>IF('Data input'!C87="","",4*('Data input'!C87-'Data input'!C$108)/('Data input'!C$109-'Data input'!C$108)+1)</f>
        <v/>
      </c>
      <c r="D87" s="16" t="str">
        <f>IF('Data input'!D87="","",4*('Data input'!D87-'Data input'!D$108)/('Data input'!D$109-'Data input'!D$108)+1)</f>
        <v/>
      </c>
      <c r="E87" s="16" t="str">
        <f>IF('Data input'!E87="","",4*('Data input'!E87-'Data input'!E$108)/('Data input'!E$109-'Data input'!E$108)+1)</f>
        <v/>
      </c>
      <c r="F87" s="16" t="str">
        <f>IF('Data input'!F87="","",4*('Data input'!F87-'Data input'!F$108)/('Data input'!F$109-'Data input'!F$108)+1)</f>
        <v/>
      </c>
      <c r="G87" s="16" t="str">
        <f>IF('Data input'!G87="","",4*('Data input'!G87-'Data input'!G$108)/('Data input'!G$109-'Data input'!G$108)+1)</f>
        <v/>
      </c>
      <c r="H87" s="16" t="str">
        <f>IF('Data input'!H87="","",4*('Data input'!H87-'Data input'!H$108)/('Data input'!H$109-'Data input'!H$108)+1)</f>
        <v/>
      </c>
      <c r="I87" s="19" t="str">
        <f>IF('Data input'!I87="","",4*('Data input'!I87-'Data input'!I$108)/('Data input'!I$109-'Data input'!I$108)+1)</f>
        <v/>
      </c>
      <c r="J87" s="19" t="str">
        <f>IF('Data input'!J87="","",4*('Data input'!J87-'Data input'!J$108)/('Data input'!J$109-'Data input'!J$108)+1)</f>
        <v/>
      </c>
      <c r="K87" s="19" t="str">
        <f>IF('Data input'!K87="","",4*('Data input'!K87-'Data input'!K$108)/('Data input'!K$109-'Data input'!K$108)+1)</f>
        <v/>
      </c>
      <c r="L87" s="19" t="str">
        <f>IF('Data input'!L87="","",4*('Data input'!L87-'Data input'!L$108)/('Data input'!L$109-'Data input'!L$108)+1)</f>
        <v/>
      </c>
      <c r="M87" s="16" t="str">
        <f>IF('Data input'!M87="","",4*('Data input'!M87-'Data input'!M$108)/('Data input'!M$109-'Data input'!M$108)+1)</f>
        <v/>
      </c>
      <c r="N87" s="16" t="str">
        <f>IF('Data input'!N87="","",4*('Data input'!N87-'Data input'!N$108)/('Data input'!N$109-'Data input'!N$108)+1)</f>
        <v/>
      </c>
      <c r="O87" s="16" t="str">
        <f>IF('Data input'!O87="","",4*('Data input'!O87-'Data input'!O$108)/('Data input'!O$109-'Data input'!O$108)+1)</f>
        <v/>
      </c>
      <c r="P87" s="16" t="str">
        <f>IF('Data input'!P87="","",4*('Data input'!P87-'Data input'!P$108)/('Data input'!P$109-'Data input'!P$108)+1)</f>
        <v/>
      </c>
      <c r="Q87" s="16" t="str">
        <f>IF('Data input'!Q87="","",4*('Data input'!Q87-'Data input'!Q$108)/('Data input'!Q$109-'Data input'!Q$108)+1)</f>
        <v/>
      </c>
      <c r="R87" s="16" t="str">
        <f>IF('Data input'!R87="","",4*('Data input'!R87-'Data input'!R$108)/('Data input'!R$109-'Data input'!R$108)+1)</f>
        <v/>
      </c>
      <c r="S87" s="16" t="str">
        <f>IF('Data input'!S87="","",4*('Data input'!S87-'Data input'!S$108)/('Data input'!S$109-'Data input'!S$108)+1)</f>
        <v/>
      </c>
      <c r="T87" s="16" t="str">
        <f>IF('Data input'!T87="","",4*('Data input'!T87-'Data input'!T$108)/('Data input'!T$109-'Data input'!T$108)+1)</f>
        <v/>
      </c>
      <c r="U87" s="16" t="str">
        <f>IF('Data input'!U87="","",4*('Data input'!U87-'Data input'!U$108)/('Data input'!U$109-'Data input'!U$108)+1)</f>
        <v/>
      </c>
      <c r="V87" s="16" t="str">
        <f>IF('Data input'!V87="","",4*('Data input'!V87-'Data input'!V$108)/('Data input'!V$109-'Data input'!V$108)+1)</f>
        <v/>
      </c>
      <c r="W87" s="16" t="str">
        <f>IF('Data input'!W87="","",4*('Data input'!W87-'Data input'!W$108)/('Data input'!W$109-'Data input'!W$108)+1)</f>
        <v/>
      </c>
      <c r="X87" s="16" t="str">
        <f>IF('Data input'!X87="","",4*('Data input'!X87-'Data input'!X$108)/('Data input'!X$109-'Data input'!X$108)+1)</f>
        <v/>
      </c>
      <c r="Y87" s="16" t="str">
        <f>IF('Data input'!Y87="","",4*('Data input'!Y87-'Data input'!Y$108)/('Data input'!Y$109-'Data input'!Y$108)+1)</f>
        <v/>
      </c>
      <c r="Z87" s="16" t="str">
        <f>IF('Data input'!Z87="","",4*('Data input'!Z87-'Data input'!Z$108)/('Data input'!Z$109-'Data input'!Z$108)+1)</f>
        <v/>
      </c>
      <c r="AA87" s="62" t="str">
        <f>IF('Data input'!AA87="","",4*('Data input'!AA87-'Data input'!AA$108)/('Data input'!AA$109-'Data input'!AA$108)+1)</f>
        <v/>
      </c>
      <c r="AB87" s="78"/>
      <c r="AC87" s="79">
        <v>0</v>
      </c>
      <c r="AD87" s="80" t="e">
        <f t="shared" si="48"/>
        <v>#DIV/0!</v>
      </c>
      <c r="AE87" s="4"/>
      <c r="AF87" s="59" t="str">
        <f t="shared" si="40"/>
        <v/>
      </c>
      <c r="AG87" s="60" t="str">
        <f t="shared" si="40"/>
        <v/>
      </c>
      <c r="AH87"/>
      <c r="AI87"/>
      <c r="AJ87"/>
      <c r="AK87"/>
      <c r="AL87"/>
      <c r="AM87"/>
      <c r="AN87"/>
      <c r="AO87"/>
      <c r="AP87"/>
      <c r="AQ87"/>
      <c r="AR87"/>
      <c r="AS87" s="71" t="str">
        <f t="shared" si="44"/>
        <v/>
      </c>
      <c r="AT87" s="71" t="str">
        <f t="shared" si="44"/>
        <v/>
      </c>
      <c r="AU87" s="71" t="str">
        <f t="shared" si="44"/>
        <v/>
      </c>
      <c r="AV87" s="71" t="str">
        <f t="shared" si="44"/>
        <v/>
      </c>
      <c r="AW87" s="71" t="str">
        <f t="shared" si="44"/>
        <v/>
      </c>
      <c r="AX87" s="71" t="str">
        <f t="shared" si="45"/>
        <v/>
      </c>
      <c r="AY87" s="71" t="str">
        <f t="shared" si="45"/>
        <v/>
      </c>
      <c r="AZ87" s="71" t="str">
        <f t="shared" si="45"/>
        <v/>
      </c>
      <c r="BA87" s="71" t="str">
        <f t="shared" si="45"/>
        <v/>
      </c>
      <c r="BB87" s="71" t="str">
        <f t="shared" si="45"/>
        <v/>
      </c>
      <c r="BC87" s="18" t="str">
        <f>IF(C87&lt;&gt;"",(('Data input'!C$109-'Data input'!C$108)*(AS87-1)/4)+'Data input'!C$108,"")</f>
        <v/>
      </c>
      <c r="BD87" s="18" t="str">
        <f>IF(D87&lt;&gt;"",(('Data input'!D$109-'Data input'!D$108)*(AT87-1)/4)+'Data input'!D$108,"")</f>
        <v/>
      </c>
      <c r="BE87" s="18" t="str">
        <f>IF(E87&lt;&gt;"",(('Data input'!E$109-'Data input'!E$108)*(AU87-1)/4)+'Data input'!E$108,"")</f>
        <v/>
      </c>
      <c r="BF87" s="18" t="str">
        <f>IF(F87&lt;&gt;"",(('Data input'!F$109-'Data input'!F$108)*(AV87-1)/4)+'Data input'!F$108,"")</f>
        <v/>
      </c>
      <c r="BG87" s="18" t="str">
        <f>IF(G87&lt;&gt;"",(('Data input'!G$109-'Data input'!G$108)*(AW87-1)/4)+'Data input'!G$108,"")</f>
        <v/>
      </c>
      <c r="BH87" s="19" t="str">
        <f>IF(H87&lt;&gt;"",(('Data input'!H$109-'Data input'!H$108)*(AX87-1)/4)+'Data input'!H$108,"")</f>
        <v/>
      </c>
      <c r="BI87" s="18" t="str">
        <f>IF(I87&lt;&gt;"",(('Data input'!I$109-'Data input'!I$108)*(AY87-1)/4)+'Data input'!I$108,"")</f>
        <v/>
      </c>
      <c r="BJ87" s="19" t="str">
        <f>IF(J87&lt;&gt;"",(('Data input'!J$109-'Data input'!J$108)*(AZ87-1)/4)+'Data input'!J$108,"")</f>
        <v/>
      </c>
      <c r="BK87" s="19" t="str">
        <f>IF(K87&lt;&gt;"",(('Data input'!K$109-'Data input'!K$108)*(BA87-1)/4)+'Data input'!K$108,"")</f>
        <v/>
      </c>
      <c r="BL87" s="19" t="str">
        <f>IF(L87&lt;&gt;"",(('Data input'!L$109-'Data input'!L$108)*(BB87-1)/4)+'Data input'!L$108,"")</f>
        <v/>
      </c>
      <c r="BM87" s="18" t="str">
        <f>IF(C87&lt;&gt;"",BC87-'Data input'!C87,"")</f>
        <v/>
      </c>
      <c r="BN87" s="18" t="str">
        <f>IF(D87&lt;&gt;"",BD87-'Data input'!D87,"")</f>
        <v/>
      </c>
      <c r="BO87" s="18" t="str">
        <f>IF(E87&lt;&gt;"",BE87-'Data input'!E87,"")</f>
        <v/>
      </c>
      <c r="BP87" s="18" t="str">
        <f>IF(F87&lt;&gt;"",BF87-'Data input'!F87,"")</f>
        <v/>
      </c>
      <c r="BQ87" s="18" t="str">
        <f>IF(G87&lt;&gt;"",BG87-'Data input'!G87,"")</f>
        <v/>
      </c>
      <c r="BR87" s="19" t="str">
        <f>IF(H87&lt;&gt;"",BH87-'Data input'!H87,"")</f>
        <v/>
      </c>
      <c r="BS87" s="18" t="str">
        <f>IF(I87&lt;&gt;"",BI87-'Data input'!I87,"")</f>
        <v/>
      </c>
      <c r="BT87" s="18" t="str">
        <f>IF(J87&lt;&gt;"",BJ87-'Data input'!J87,"")</f>
        <v/>
      </c>
      <c r="BU87" s="18" t="str">
        <f>IF(K87&lt;&gt;"",BK87-'Data input'!K87,"")</f>
        <v/>
      </c>
      <c r="BV87" s="72" t="str">
        <f>IF(L87&lt;&gt;"",BL87-'Data input'!L87,"")</f>
        <v/>
      </c>
      <c r="BW87" s="121" t="str">
        <f t="shared" si="49"/>
        <v/>
      </c>
      <c r="FT87" s="1" t="str">
        <f t="shared" si="57"/>
        <v/>
      </c>
      <c r="FU87" s="1" t="str">
        <f t="shared" si="55"/>
        <v/>
      </c>
      <c r="FV87" s="1" t="str">
        <f t="shared" si="55"/>
        <v/>
      </c>
      <c r="FW87" s="1" t="str">
        <f t="shared" si="55"/>
        <v/>
      </c>
      <c r="FX87" s="1" t="str">
        <f t="shared" si="55"/>
        <v/>
      </c>
      <c r="FY87" s="1" t="str">
        <f t="shared" si="55"/>
        <v/>
      </c>
      <c r="FZ87" s="1" t="str">
        <f t="shared" si="55"/>
        <v/>
      </c>
      <c r="GA87" s="1" t="str">
        <f t="shared" si="55"/>
        <v/>
      </c>
      <c r="GB87" s="1" t="str">
        <f t="shared" si="55"/>
        <v/>
      </c>
      <c r="GC87" s="1" t="str">
        <f t="shared" si="55"/>
        <v/>
      </c>
      <c r="GD87" s="1" t="str">
        <f t="shared" si="55"/>
        <v/>
      </c>
      <c r="GE87" s="1" t="str">
        <f t="shared" si="55"/>
        <v/>
      </c>
      <c r="GF87" s="1" t="str">
        <f t="shared" si="55"/>
        <v/>
      </c>
      <c r="GG87" s="1" t="str">
        <f t="shared" si="55"/>
        <v/>
      </c>
      <c r="GH87" s="1" t="str">
        <f t="shared" si="55"/>
        <v/>
      </c>
      <c r="GI87" s="1" t="str">
        <f t="shared" si="55"/>
        <v/>
      </c>
      <c r="GJ87" s="1" t="str">
        <f t="shared" si="51"/>
        <v/>
      </c>
      <c r="GK87" s="1" t="str">
        <f t="shared" si="51"/>
        <v/>
      </c>
      <c r="GL87" s="1" t="str">
        <f t="shared" si="51"/>
        <v/>
      </c>
      <c r="GM87" s="1" t="str">
        <f t="shared" si="51"/>
        <v/>
      </c>
      <c r="GN87" s="1" t="str">
        <f t="shared" si="51"/>
        <v/>
      </c>
      <c r="GO87" s="1" t="str">
        <f t="shared" si="51"/>
        <v/>
      </c>
      <c r="GP87" s="1" t="str">
        <f t="shared" si="51"/>
        <v/>
      </c>
      <c r="GQ87" s="1" t="str">
        <f t="shared" si="51"/>
        <v/>
      </c>
      <c r="GR87" s="1" t="str">
        <f t="shared" si="51"/>
        <v/>
      </c>
      <c r="GS87" s="1" t="str">
        <f t="shared" si="51"/>
        <v/>
      </c>
      <c r="GT87" s="1" t="str">
        <f t="shared" si="50"/>
        <v/>
      </c>
      <c r="GU87" s="1" t="str">
        <f t="shared" si="50"/>
        <v/>
      </c>
      <c r="GV87" s="1" t="str">
        <f t="shared" si="50"/>
        <v/>
      </c>
      <c r="GW87" s="1" t="str">
        <f t="shared" si="50"/>
        <v/>
      </c>
      <c r="GX87" s="1" t="str">
        <f t="shared" si="50"/>
        <v/>
      </c>
      <c r="GY87" s="1" t="str">
        <f t="shared" si="50"/>
        <v/>
      </c>
      <c r="GZ87" s="1" t="str">
        <f t="shared" si="50"/>
        <v/>
      </c>
      <c r="HA87" s="1" t="str">
        <f t="shared" si="50"/>
        <v/>
      </c>
      <c r="HB87" s="1" t="str">
        <f t="shared" si="50"/>
        <v/>
      </c>
      <c r="HC87" s="1" t="str">
        <f t="shared" si="50"/>
        <v/>
      </c>
      <c r="HD87" s="1" t="str">
        <f t="shared" si="50"/>
        <v/>
      </c>
      <c r="HE87" s="1" t="str">
        <f t="shared" si="50"/>
        <v/>
      </c>
      <c r="HF87" s="1" t="str">
        <f t="shared" si="50"/>
        <v/>
      </c>
      <c r="HG87" s="1" t="str">
        <f t="shared" si="50"/>
        <v/>
      </c>
      <c r="HH87" s="1" t="str">
        <f t="shared" si="50"/>
        <v/>
      </c>
      <c r="HI87" s="1" t="str">
        <f t="shared" si="50"/>
        <v/>
      </c>
      <c r="HJ87" s="1" t="str">
        <f t="shared" si="58"/>
        <v/>
      </c>
      <c r="HK87" s="1" t="str">
        <f t="shared" si="58"/>
        <v/>
      </c>
      <c r="HL87" s="1" t="str">
        <f t="shared" si="58"/>
        <v/>
      </c>
      <c r="HM87" s="1" t="str">
        <f t="shared" si="58"/>
        <v/>
      </c>
      <c r="HN87" s="1" t="str">
        <f t="shared" si="58"/>
        <v/>
      </c>
      <c r="HO87" s="1" t="str">
        <f t="shared" si="52"/>
        <v/>
      </c>
      <c r="HP87" s="1" t="str">
        <f t="shared" si="47"/>
        <v/>
      </c>
      <c r="HQ87" s="1" t="str">
        <f t="shared" si="47"/>
        <v/>
      </c>
      <c r="HR87" s="1" t="str">
        <f t="shared" si="47"/>
        <v/>
      </c>
      <c r="HS87" s="1" t="str">
        <f t="shared" si="47"/>
        <v/>
      </c>
      <c r="HT87" s="1" t="str">
        <f t="shared" si="47"/>
        <v/>
      </c>
      <c r="HU87" s="1" t="str">
        <f t="shared" si="47"/>
        <v/>
      </c>
      <c r="HV87" s="1" t="str">
        <f t="shared" si="47"/>
        <v/>
      </c>
      <c r="HW87" s="1" t="str">
        <f t="shared" si="47"/>
        <v/>
      </c>
      <c r="HX87" s="1" t="str">
        <f t="shared" si="47"/>
        <v/>
      </c>
      <c r="HY87" s="1" t="str">
        <f t="shared" si="47"/>
        <v/>
      </c>
      <c r="HZ87" s="1" t="str">
        <f t="shared" si="47"/>
        <v/>
      </c>
      <c r="IA87" s="1" t="str">
        <f t="shared" si="47"/>
        <v/>
      </c>
      <c r="IB87" s="1" t="str">
        <f t="shared" si="47"/>
        <v/>
      </c>
      <c r="IC87" s="1" t="str">
        <f t="shared" si="47"/>
        <v/>
      </c>
      <c r="ID87" s="1" t="str">
        <f t="shared" si="47"/>
        <v/>
      </c>
      <c r="IE87" s="1" t="str">
        <f t="shared" si="47"/>
        <v/>
      </c>
      <c r="IF87" s="1" t="str">
        <f t="shared" si="56"/>
        <v/>
      </c>
      <c r="IG87" s="1" t="str">
        <f t="shared" si="56"/>
        <v/>
      </c>
      <c r="IH87" s="1" t="str">
        <f t="shared" si="53"/>
        <v/>
      </c>
      <c r="II87" s="1" t="str">
        <f t="shared" si="53"/>
        <v/>
      </c>
      <c r="IJ87" s="1" t="str">
        <f t="shared" si="53"/>
        <v/>
      </c>
      <c r="IK87" s="1" t="str">
        <f t="shared" si="53"/>
        <v/>
      </c>
      <c r="IL87" s="1" t="str">
        <f t="shared" si="53"/>
        <v/>
      </c>
      <c r="IM87" s="1" t="str">
        <f t="shared" si="53"/>
        <v/>
      </c>
      <c r="IN87" s="1" t="str">
        <f t="shared" si="53"/>
        <v/>
      </c>
      <c r="IO87" s="1" t="str">
        <f t="shared" si="53"/>
        <v/>
      </c>
      <c r="IP87" s="1" t="str">
        <f t="shared" si="53"/>
        <v/>
      </c>
      <c r="IQ87" s="1" t="str">
        <f t="shared" si="53"/>
        <v/>
      </c>
      <c r="IR87" s="1" t="str">
        <f t="shared" si="53"/>
        <v/>
      </c>
      <c r="IS87" s="1" t="str">
        <f t="shared" si="53"/>
        <v/>
      </c>
      <c r="IT87" s="1" t="str">
        <f t="shared" si="53"/>
        <v/>
      </c>
      <c r="IU87" s="1" t="str">
        <f t="shared" si="53"/>
        <v/>
      </c>
      <c r="IV87" s="1" t="str">
        <f t="shared" si="53"/>
        <v/>
      </c>
      <c r="IW87" s="1" t="str">
        <f t="shared" si="53"/>
        <v/>
      </c>
      <c r="IX87" s="1" t="str">
        <f t="shared" si="54"/>
        <v/>
      </c>
      <c r="IY87" s="1" t="str">
        <f t="shared" si="54"/>
        <v/>
      </c>
      <c r="IZ87" s="1" t="str">
        <f t="shared" si="54"/>
        <v/>
      </c>
      <c r="JA87" s="1" t="str">
        <f t="shared" si="54"/>
        <v/>
      </c>
      <c r="JB87" s="1" t="str">
        <f t="shared" si="54"/>
        <v/>
      </c>
      <c r="JC87" s="1" t="str">
        <f t="shared" si="43"/>
        <v/>
      </c>
      <c r="JD87" s="1" t="str">
        <f t="shared" si="43"/>
        <v/>
      </c>
      <c r="JE87" s="1" t="str">
        <f t="shared" si="43"/>
        <v/>
      </c>
      <c r="JF87" s="1" t="str">
        <f t="shared" si="43"/>
        <v/>
      </c>
      <c r="JG87" s="1" t="str">
        <f t="shared" si="37"/>
        <v/>
      </c>
      <c r="JH87" s="1" t="str">
        <f t="shared" si="37"/>
        <v/>
      </c>
      <c r="JI87" s="1" t="str">
        <f t="shared" si="37"/>
        <v/>
      </c>
      <c r="JJ87" s="1" t="str">
        <f t="shared" si="30"/>
        <v/>
      </c>
      <c r="JK87" s="1" t="str">
        <f t="shared" si="30"/>
        <v/>
      </c>
      <c r="JL87" s="1" t="str">
        <f t="shared" si="30"/>
        <v/>
      </c>
      <c r="JM87" s="1" t="str">
        <f t="shared" si="30"/>
        <v/>
      </c>
      <c r="JN87" s="1" t="str">
        <f t="shared" si="30"/>
        <v/>
      </c>
      <c r="JO87" s="1" t="str">
        <f t="shared" si="30"/>
        <v/>
      </c>
    </row>
    <row r="88" spans="1:275" ht="14.5" x14ac:dyDescent="0.35">
      <c r="A88" s="59" t="str">
        <f>IF('Data input'!A88&lt;&gt;"",'Data input'!A88,"")</f>
        <v/>
      </c>
      <c r="B88" s="15" t="str">
        <f>IF('Data input'!B88&lt;&gt;"",'Data input'!B88,"")</f>
        <v/>
      </c>
      <c r="C88" s="16" t="str">
        <f>IF('Data input'!C88="","",4*('Data input'!C88-'Data input'!C$108)/('Data input'!C$109-'Data input'!C$108)+1)</f>
        <v/>
      </c>
      <c r="D88" s="16" t="str">
        <f>IF('Data input'!D88="","",4*('Data input'!D88-'Data input'!D$108)/('Data input'!D$109-'Data input'!D$108)+1)</f>
        <v/>
      </c>
      <c r="E88" s="16" t="str">
        <f>IF('Data input'!E88="","",4*('Data input'!E88-'Data input'!E$108)/('Data input'!E$109-'Data input'!E$108)+1)</f>
        <v/>
      </c>
      <c r="F88" s="16" t="str">
        <f>IF('Data input'!F88="","",4*('Data input'!F88-'Data input'!F$108)/('Data input'!F$109-'Data input'!F$108)+1)</f>
        <v/>
      </c>
      <c r="G88" s="16" t="str">
        <f>IF('Data input'!G88="","",4*('Data input'!G88-'Data input'!G$108)/('Data input'!G$109-'Data input'!G$108)+1)</f>
        <v/>
      </c>
      <c r="H88" s="16" t="str">
        <f>IF('Data input'!H88="","",4*('Data input'!H88-'Data input'!H$108)/('Data input'!H$109-'Data input'!H$108)+1)</f>
        <v/>
      </c>
      <c r="I88" s="19" t="str">
        <f>IF('Data input'!I88="","",4*('Data input'!I88-'Data input'!I$108)/('Data input'!I$109-'Data input'!I$108)+1)</f>
        <v/>
      </c>
      <c r="J88" s="19" t="str">
        <f>IF('Data input'!J88="","",4*('Data input'!J88-'Data input'!J$108)/('Data input'!J$109-'Data input'!J$108)+1)</f>
        <v/>
      </c>
      <c r="K88" s="19" t="str">
        <f>IF('Data input'!K88="","",4*('Data input'!K88-'Data input'!K$108)/('Data input'!K$109-'Data input'!K$108)+1)</f>
        <v/>
      </c>
      <c r="L88" s="19" t="str">
        <f>IF('Data input'!L88="","",4*('Data input'!L88-'Data input'!L$108)/('Data input'!L$109-'Data input'!L$108)+1)</f>
        <v/>
      </c>
      <c r="M88" s="16" t="str">
        <f>IF('Data input'!M88="","",4*('Data input'!M88-'Data input'!M$108)/('Data input'!M$109-'Data input'!M$108)+1)</f>
        <v/>
      </c>
      <c r="N88" s="16" t="str">
        <f>IF('Data input'!N88="","",4*('Data input'!N88-'Data input'!N$108)/('Data input'!N$109-'Data input'!N$108)+1)</f>
        <v/>
      </c>
      <c r="O88" s="16" t="str">
        <f>IF('Data input'!O88="","",4*('Data input'!O88-'Data input'!O$108)/('Data input'!O$109-'Data input'!O$108)+1)</f>
        <v/>
      </c>
      <c r="P88" s="16" t="str">
        <f>IF('Data input'!P88="","",4*('Data input'!P88-'Data input'!P$108)/('Data input'!P$109-'Data input'!P$108)+1)</f>
        <v/>
      </c>
      <c r="Q88" s="16" t="str">
        <f>IF('Data input'!Q88="","",4*('Data input'!Q88-'Data input'!Q$108)/('Data input'!Q$109-'Data input'!Q$108)+1)</f>
        <v/>
      </c>
      <c r="R88" s="16" t="str">
        <f>IF('Data input'!R88="","",4*('Data input'!R88-'Data input'!R$108)/('Data input'!R$109-'Data input'!R$108)+1)</f>
        <v/>
      </c>
      <c r="S88" s="16" t="str">
        <f>IF('Data input'!S88="","",4*('Data input'!S88-'Data input'!S$108)/('Data input'!S$109-'Data input'!S$108)+1)</f>
        <v/>
      </c>
      <c r="T88" s="16" t="str">
        <f>IF('Data input'!T88="","",4*('Data input'!T88-'Data input'!T$108)/('Data input'!T$109-'Data input'!T$108)+1)</f>
        <v/>
      </c>
      <c r="U88" s="16" t="str">
        <f>IF('Data input'!U88="","",4*('Data input'!U88-'Data input'!U$108)/('Data input'!U$109-'Data input'!U$108)+1)</f>
        <v/>
      </c>
      <c r="V88" s="16" t="str">
        <f>IF('Data input'!V88="","",4*('Data input'!V88-'Data input'!V$108)/('Data input'!V$109-'Data input'!V$108)+1)</f>
        <v/>
      </c>
      <c r="W88" s="16" t="str">
        <f>IF('Data input'!W88="","",4*('Data input'!W88-'Data input'!W$108)/('Data input'!W$109-'Data input'!W$108)+1)</f>
        <v/>
      </c>
      <c r="X88" s="16" t="str">
        <f>IF('Data input'!X88="","",4*('Data input'!X88-'Data input'!X$108)/('Data input'!X$109-'Data input'!X$108)+1)</f>
        <v/>
      </c>
      <c r="Y88" s="16" t="str">
        <f>IF('Data input'!Y88="","",4*('Data input'!Y88-'Data input'!Y$108)/('Data input'!Y$109-'Data input'!Y$108)+1)</f>
        <v/>
      </c>
      <c r="Z88" s="16" t="str">
        <f>IF('Data input'!Z88="","",4*('Data input'!Z88-'Data input'!Z$108)/('Data input'!Z$109-'Data input'!Z$108)+1)</f>
        <v/>
      </c>
      <c r="AA88" s="62" t="str">
        <f>IF('Data input'!AA88="","",4*('Data input'!AA88-'Data input'!AA$108)/('Data input'!AA$109-'Data input'!AA$108)+1)</f>
        <v/>
      </c>
      <c r="AB88" s="78"/>
      <c r="AC88" s="79">
        <v>0</v>
      </c>
      <c r="AD88" s="80" t="e">
        <f t="shared" si="48"/>
        <v>#DIV/0!</v>
      </c>
      <c r="AE88" s="4"/>
      <c r="AF88" s="59" t="str">
        <f t="shared" si="40"/>
        <v/>
      </c>
      <c r="AG88" s="60" t="str">
        <f t="shared" si="40"/>
        <v/>
      </c>
      <c r="AH88"/>
      <c r="AI88"/>
      <c r="AJ88"/>
      <c r="AK88"/>
      <c r="AL88"/>
      <c r="AM88"/>
      <c r="AN88"/>
      <c r="AO88"/>
      <c r="AP88"/>
      <c r="AQ88"/>
      <c r="AR88"/>
      <c r="AS88" s="71" t="str">
        <f t="shared" si="44"/>
        <v/>
      </c>
      <c r="AT88" s="71" t="str">
        <f t="shared" si="44"/>
        <v/>
      </c>
      <c r="AU88" s="71" t="str">
        <f t="shared" si="44"/>
        <v/>
      </c>
      <c r="AV88" s="71" t="str">
        <f t="shared" si="44"/>
        <v/>
      </c>
      <c r="AW88" s="71" t="str">
        <f t="shared" si="44"/>
        <v/>
      </c>
      <c r="AX88" s="71" t="str">
        <f t="shared" si="45"/>
        <v/>
      </c>
      <c r="AY88" s="71" t="str">
        <f t="shared" si="45"/>
        <v/>
      </c>
      <c r="AZ88" s="71" t="str">
        <f t="shared" si="45"/>
        <v/>
      </c>
      <c r="BA88" s="71" t="str">
        <f t="shared" si="45"/>
        <v/>
      </c>
      <c r="BB88" s="71" t="str">
        <f t="shared" si="45"/>
        <v/>
      </c>
      <c r="BC88" s="18" t="str">
        <f>IF(C88&lt;&gt;"",(('Data input'!C$109-'Data input'!C$108)*(AS88-1)/4)+'Data input'!C$108,"")</f>
        <v/>
      </c>
      <c r="BD88" s="18" t="str">
        <f>IF(D88&lt;&gt;"",(('Data input'!D$109-'Data input'!D$108)*(AT88-1)/4)+'Data input'!D$108,"")</f>
        <v/>
      </c>
      <c r="BE88" s="18" t="str">
        <f>IF(E88&lt;&gt;"",(('Data input'!E$109-'Data input'!E$108)*(AU88-1)/4)+'Data input'!E$108,"")</f>
        <v/>
      </c>
      <c r="BF88" s="18" t="str">
        <f>IF(F88&lt;&gt;"",(('Data input'!F$109-'Data input'!F$108)*(AV88-1)/4)+'Data input'!F$108,"")</f>
        <v/>
      </c>
      <c r="BG88" s="18" t="str">
        <f>IF(G88&lt;&gt;"",(('Data input'!G$109-'Data input'!G$108)*(AW88-1)/4)+'Data input'!G$108,"")</f>
        <v/>
      </c>
      <c r="BH88" s="19" t="str">
        <f>IF(H88&lt;&gt;"",(('Data input'!H$109-'Data input'!H$108)*(AX88-1)/4)+'Data input'!H$108,"")</f>
        <v/>
      </c>
      <c r="BI88" s="18" t="str">
        <f>IF(I88&lt;&gt;"",(('Data input'!I$109-'Data input'!I$108)*(AY88-1)/4)+'Data input'!I$108,"")</f>
        <v/>
      </c>
      <c r="BJ88" s="19" t="str">
        <f>IF(J88&lt;&gt;"",(('Data input'!J$109-'Data input'!J$108)*(AZ88-1)/4)+'Data input'!J$108,"")</f>
        <v/>
      </c>
      <c r="BK88" s="19" t="str">
        <f>IF(K88&lt;&gt;"",(('Data input'!K$109-'Data input'!K$108)*(BA88-1)/4)+'Data input'!K$108,"")</f>
        <v/>
      </c>
      <c r="BL88" s="19" t="str">
        <f>IF(L88&lt;&gt;"",(('Data input'!L$109-'Data input'!L$108)*(BB88-1)/4)+'Data input'!L$108,"")</f>
        <v/>
      </c>
      <c r="BM88" s="18" t="str">
        <f>IF(C88&lt;&gt;"",BC88-'Data input'!C88,"")</f>
        <v/>
      </c>
      <c r="BN88" s="18" t="str">
        <f>IF(D88&lt;&gt;"",BD88-'Data input'!D88,"")</f>
        <v/>
      </c>
      <c r="BO88" s="18" t="str">
        <f>IF(E88&lt;&gt;"",BE88-'Data input'!E88,"")</f>
        <v/>
      </c>
      <c r="BP88" s="18" t="str">
        <f>IF(F88&lt;&gt;"",BF88-'Data input'!F88,"")</f>
        <v/>
      </c>
      <c r="BQ88" s="18" t="str">
        <f>IF(G88&lt;&gt;"",BG88-'Data input'!G88,"")</f>
        <v/>
      </c>
      <c r="BR88" s="19" t="str">
        <f>IF(H88&lt;&gt;"",BH88-'Data input'!H88,"")</f>
        <v/>
      </c>
      <c r="BS88" s="18" t="str">
        <f>IF(I88&lt;&gt;"",BI88-'Data input'!I88,"")</f>
        <v/>
      </c>
      <c r="BT88" s="18" t="str">
        <f>IF(J88&lt;&gt;"",BJ88-'Data input'!J88,"")</f>
        <v/>
      </c>
      <c r="BU88" s="18" t="str">
        <f>IF(K88&lt;&gt;"",BK88-'Data input'!K88,"")</f>
        <v/>
      </c>
      <c r="BV88" s="72" t="str">
        <f>IF(L88&lt;&gt;"",BL88-'Data input'!L88,"")</f>
        <v/>
      </c>
      <c r="BW88" s="121" t="str">
        <f t="shared" si="49"/>
        <v/>
      </c>
      <c r="FT88" s="1" t="str">
        <f t="shared" si="57"/>
        <v/>
      </c>
      <c r="FU88" s="1" t="str">
        <f t="shared" si="55"/>
        <v/>
      </c>
      <c r="FV88" s="1" t="str">
        <f t="shared" si="55"/>
        <v/>
      </c>
      <c r="FW88" s="1" t="str">
        <f t="shared" si="55"/>
        <v/>
      </c>
      <c r="FX88" s="1" t="str">
        <f t="shared" si="55"/>
        <v/>
      </c>
      <c r="FY88" s="1" t="str">
        <f t="shared" si="55"/>
        <v/>
      </c>
      <c r="FZ88" s="1" t="str">
        <f t="shared" si="55"/>
        <v/>
      </c>
      <c r="GA88" s="1" t="str">
        <f t="shared" si="55"/>
        <v/>
      </c>
      <c r="GB88" s="1" t="str">
        <f t="shared" si="55"/>
        <v/>
      </c>
      <c r="GC88" s="1" t="str">
        <f t="shared" si="55"/>
        <v/>
      </c>
      <c r="GD88" s="1" t="str">
        <f t="shared" si="55"/>
        <v/>
      </c>
      <c r="GE88" s="1" t="str">
        <f t="shared" si="55"/>
        <v/>
      </c>
      <c r="GF88" s="1" t="str">
        <f t="shared" si="55"/>
        <v/>
      </c>
      <c r="GG88" s="1" t="str">
        <f t="shared" si="55"/>
        <v/>
      </c>
      <c r="GH88" s="1" t="str">
        <f t="shared" si="55"/>
        <v/>
      </c>
      <c r="GI88" s="1" t="str">
        <f t="shared" si="55"/>
        <v/>
      </c>
      <c r="GJ88" s="1" t="str">
        <f t="shared" si="51"/>
        <v/>
      </c>
      <c r="GK88" s="1" t="str">
        <f t="shared" si="51"/>
        <v/>
      </c>
      <c r="GL88" s="1" t="str">
        <f t="shared" si="51"/>
        <v/>
      </c>
      <c r="GM88" s="1" t="str">
        <f t="shared" si="51"/>
        <v/>
      </c>
      <c r="GN88" s="1" t="str">
        <f t="shared" si="51"/>
        <v/>
      </c>
      <c r="GO88" s="1" t="str">
        <f t="shared" si="51"/>
        <v/>
      </c>
      <c r="GP88" s="1" t="str">
        <f t="shared" si="51"/>
        <v/>
      </c>
      <c r="GQ88" s="1" t="str">
        <f t="shared" si="51"/>
        <v/>
      </c>
      <c r="GR88" s="1" t="str">
        <f t="shared" si="51"/>
        <v/>
      </c>
      <c r="GS88" s="1" t="str">
        <f t="shared" si="51"/>
        <v/>
      </c>
      <c r="GT88" s="1" t="str">
        <f t="shared" si="50"/>
        <v/>
      </c>
      <c r="GU88" s="1" t="str">
        <f t="shared" si="50"/>
        <v/>
      </c>
      <c r="GV88" s="1" t="str">
        <f t="shared" si="50"/>
        <v/>
      </c>
      <c r="GW88" s="1" t="str">
        <f t="shared" si="50"/>
        <v/>
      </c>
      <c r="GX88" s="1" t="str">
        <f t="shared" si="50"/>
        <v/>
      </c>
      <c r="GY88" s="1" t="str">
        <f t="shared" si="50"/>
        <v/>
      </c>
      <c r="GZ88" s="1" t="str">
        <f t="shared" si="50"/>
        <v/>
      </c>
      <c r="HA88" s="1" t="str">
        <f t="shared" si="50"/>
        <v/>
      </c>
      <c r="HB88" s="1" t="str">
        <f t="shared" si="50"/>
        <v/>
      </c>
      <c r="HC88" s="1" t="str">
        <f t="shared" si="50"/>
        <v/>
      </c>
      <c r="HD88" s="1" t="str">
        <f t="shared" si="50"/>
        <v/>
      </c>
      <c r="HE88" s="1" t="str">
        <f t="shared" si="50"/>
        <v/>
      </c>
      <c r="HF88" s="1" t="str">
        <f t="shared" si="50"/>
        <v/>
      </c>
      <c r="HG88" s="1" t="str">
        <f t="shared" si="50"/>
        <v/>
      </c>
      <c r="HH88" s="1" t="str">
        <f t="shared" si="50"/>
        <v/>
      </c>
      <c r="HI88" s="1" t="str">
        <f t="shared" si="50"/>
        <v/>
      </c>
      <c r="HJ88" s="1" t="str">
        <f t="shared" si="58"/>
        <v/>
      </c>
      <c r="HK88" s="1" t="str">
        <f t="shared" si="58"/>
        <v/>
      </c>
      <c r="HL88" s="1" t="str">
        <f t="shared" si="58"/>
        <v/>
      </c>
      <c r="HM88" s="1" t="str">
        <f t="shared" si="58"/>
        <v/>
      </c>
      <c r="HN88" s="1" t="str">
        <f t="shared" si="58"/>
        <v/>
      </c>
      <c r="HO88" s="1" t="str">
        <f t="shared" si="52"/>
        <v/>
      </c>
      <c r="HP88" s="1" t="str">
        <f t="shared" si="47"/>
        <v/>
      </c>
      <c r="HQ88" s="1" t="str">
        <f t="shared" si="47"/>
        <v/>
      </c>
      <c r="HR88" s="1" t="str">
        <f t="shared" si="47"/>
        <v/>
      </c>
      <c r="HS88" s="1" t="str">
        <f t="shared" si="47"/>
        <v/>
      </c>
      <c r="HT88" s="1" t="str">
        <f t="shared" si="47"/>
        <v/>
      </c>
      <c r="HU88" s="1" t="str">
        <f t="shared" si="47"/>
        <v/>
      </c>
      <c r="HV88" s="1" t="str">
        <f t="shared" si="47"/>
        <v/>
      </c>
      <c r="HW88" s="1" t="str">
        <f t="shared" si="47"/>
        <v/>
      </c>
      <c r="HX88" s="1" t="str">
        <f t="shared" si="47"/>
        <v/>
      </c>
      <c r="HY88" s="1" t="str">
        <f t="shared" si="47"/>
        <v/>
      </c>
      <c r="HZ88" s="1" t="str">
        <f t="shared" si="47"/>
        <v/>
      </c>
      <c r="IA88" s="1" t="str">
        <f t="shared" si="47"/>
        <v/>
      </c>
      <c r="IB88" s="1" t="str">
        <f t="shared" si="47"/>
        <v/>
      </c>
      <c r="IC88" s="1" t="str">
        <f t="shared" si="47"/>
        <v/>
      </c>
      <c r="ID88" s="1" t="str">
        <f t="shared" si="47"/>
        <v/>
      </c>
      <c r="IE88" s="1" t="str">
        <f t="shared" si="47"/>
        <v/>
      </c>
      <c r="IF88" s="1" t="str">
        <f t="shared" si="56"/>
        <v/>
      </c>
      <c r="IG88" s="1" t="str">
        <f t="shared" si="56"/>
        <v/>
      </c>
      <c r="IH88" s="1" t="str">
        <f t="shared" si="53"/>
        <v/>
      </c>
      <c r="II88" s="1" t="str">
        <f t="shared" si="53"/>
        <v/>
      </c>
      <c r="IJ88" s="1" t="str">
        <f t="shared" si="53"/>
        <v/>
      </c>
      <c r="IK88" s="1" t="str">
        <f t="shared" si="53"/>
        <v/>
      </c>
      <c r="IL88" s="1" t="str">
        <f t="shared" si="53"/>
        <v/>
      </c>
      <c r="IM88" s="1" t="str">
        <f t="shared" si="53"/>
        <v/>
      </c>
      <c r="IN88" s="1" t="str">
        <f t="shared" si="53"/>
        <v/>
      </c>
      <c r="IO88" s="1" t="str">
        <f t="shared" si="53"/>
        <v/>
      </c>
      <c r="IP88" s="1" t="str">
        <f t="shared" si="53"/>
        <v/>
      </c>
      <c r="IQ88" s="1" t="str">
        <f t="shared" si="53"/>
        <v/>
      </c>
      <c r="IR88" s="1" t="str">
        <f t="shared" si="53"/>
        <v/>
      </c>
      <c r="IS88" s="1" t="str">
        <f t="shared" si="53"/>
        <v/>
      </c>
      <c r="IT88" s="1" t="str">
        <f t="shared" si="53"/>
        <v/>
      </c>
      <c r="IU88" s="1" t="str">
        <f t="shared" si="53"/>
        <v/>
      </c>
      <c r="IV88" s="1" t="str">
        <f t="shared" si="53"/>
        <v/>
      </c>
      <c r="IW88" s="1" t="str">
        <f t="shared" si="53"/>
        <v/>
      </c>
      <c r="IX88" s="1" t="str">
        <f t="shared" si="54"/>
        <v/>
      </c>
      <c r="IY88" s="1" t="str">
        <f t="shared" si="54"/>
        <v/>
      </c>
      <c r="IZ88" s="1" t="str">
        <f t="shared" si="54"/>
        <v/>
      </c>
      <c r="JA88" s="1" t="str">
        <f t="shared" si="54"/>
        <v/>
      </c>
      <c r="JB88" s="1" t="str">
        <f t="shared" si="54"/>
        <v/>
      </c>
      <c r="JC88" s="1" t="str">
        <f t="shared" si="43"/>
        <v/>
      </c>
      <c r="JD88" s="1" t="str">
        <f t="shared" si="43"/>
        <v/>
      </c>
      <c r="JE88" s="1" t="str">
        <f t="shared" si="43"/>
        <v/>
      </c>
      <c r="JF88" s="1" t="str">
        <f t="shared" si="43"/>
        <v/>
      </c>
      <c r="JG88" s="1" t="str">
        <f t="shared" si="37"/>
        <v/>
      </c>
      <c r="JH88" s="1" t="str">
        <f t="shared" si="37"/>
        <v/>
      </c>
      <c r="JI88" s="1" t="str">
        <f t="shared" si="37"/>
        <v/>
      </c>
      <c r="JJ88" s="1" t="str">
        <f t="shared" si="30"/>
        <v/>
      </c>
      <c r="JK88" s="1" t="str">
        <f t="shared" si="30"/>
        <v/>
      </c>
      <c r="JL88" s="1" t="str">
        <f t="shared" si="30"/>
        <v/>
      </c>
      <c r="JM88" s="1" t="str">
        <f t="shared" si="30"/>
        <v/>
      </c>
      <c r="JN88" s="1" t="str">
        <f t="shared" si="30"/>
        <v/>
      </c>
      <c r="JO88" s="1" t="str">
        <f t="shared" si="30"/>
        <v/>
      </c>
    </row>
    <row r="89" spans="1:275" ht="14.5" x14ac:dyDescent="0.35">
      <c r="A89" s="59" t="str">
        <f>IF('Data input'!A89&lt;&gt;"",'Data input'!A89,"")</f>
        <v/>
      </c>
      <c r="B89" s="15" t="str">
        <f>IF('Data input'!B89&lt;&gt;"",'Data input'!B89,"")</f>
        <v/>
      </c>
      <c r="C89" s="16" t="str">
        <f>IF('Data input'!C89="","",4*('Data input'!C89-'Data input'!C$108)/('Data input'!C$109-'Data input'!C$108)+1)</f>
        <v/>
      </c>
      <c r="D89" s="16" t="str">
        <f>IF('Data input'!D89="","",4*('Data input'!D89-'Data input'!D$108)/('Data input'!D$109-'Data input'!D$108)+1)</f>
        <v/>
      </c>
      <c r="E89" s="16" t="str">
        <f>IF('Data input'!E89="","",4*('Data input'!E89-'Data input'!E$108)/('Data input'!E$109-'Data input'!E$108)+1)</f>
        <v/>
      </c>
      <c r="F89" s="16" t="str">
        <f>IF('Data input'!F89="","",4*('Data input'!F89-'Data input'!F$108)/('Data input'!F$109-'Data input'!F$108)+1)</f>
        <v/>
      </c>
      <c r="G89" s="16" t="str">
        <f>IF('Data input'!G89="","",4*('Data input'!G89-'Data input'!G$108)/('Data input'!G$109-'Data input'!G$108)+1)</f>
        <v/>
      </c>
      <c r="H89" s="16" t="str">
        <f>IF('Data input'!H89="","",4*('Data input'!H89-'Data input'!H$108)/('Data input'!H$109-'Data input'!H$108)+1)</f>
        <v/>
      </c>
      <c r="I89" s="19" t="str">
        <f>IF('Data input'!I89="","",4*('Data input'!I89-'Data input'!I$108)/('Data input'!I$109-'Data input'!I$108)+1)</f>
        <v/>
      </c>
      <c r="J89" s="19" t="str">
        <f>IF('Data input'!J89="","",4*('Data input'!J89-'Data input'!J$108)/('Data input'!J$109-'Data input'!J$108)+1)</f>
        <v/>
      </c>
      <c r="K89" s="19" t="str">
        <f>IF('Data input'!K89="","",4*('Data input'!K89-'Data input'!K$108)/('Data input'!K$109-'Data input'!K$108)+1)</f>
        <v/>
      </c>
      <c r="L89" s="19" t="str">
        <f>IF('Data input'!L89="","",4*('Data input'!L89-'Data input'!L$108)/('Data input'!L$109-'Data input'!L$108)+1)</f>
        <v/>
      </c>
      <c r="M89" s="16" t="str">
        <f>IF('Data input'!M89="","",4*('Data input'!M89-'Data input'!M$108)/('Data input'!M$109-'Data input'!M$108)+1)</f>
        <v/>
      </c>
      <c r="N89" s="16" t="str">
        <f>IF('Data input'!N89="","",4*('Data input'!N89-'Data input'!N$108)/('Data input'!N$109-'Data input'!N$108)+1)</f>
        <v/>
      </c>
      <c r="O89" s="16" t="str">
        <f>IF('Data input'!O89="","",4*('Data input'!O89-'Data input'!O$108)/('Data input'!O$109-'Data input'!O$108)+1)</f>
        <v/>
      </c>
      <c r="P89" s="16" t="str">
        <f>IF('Data input'!P89="","",4*('Data input'!P89-'Data input'!P$108)/('Data input'!P$109-'Data input'!P$108)+1)</f>
        <v/>
      </c>
      <c r="Q89" s="16" t="str">
        <f>IF('Data input'!Q89="","",4*('Data input'!Q89-'Data input'!Q$108)/('Data input'!Q$109-'Data input'!Q$108)+1)</f>
        <v/>
      </c>
      <c r="R89" s="16" t="str">
        <f>IF('Data input'!R89="","",4*('Data input'!R89-'Data input'!R$108)/('Data input'!R$109-'Data input'!R$108)+1)</f>
        <v/>
      </c>
      <c r="S89" s="16" t="str">
        <f>IF('Data input'!S89="","",4*('Data input'!S89-'Data input'!S$108)/('Data input'!S$109-'Data input'!S$108)+1)</f>
        <v/>
      </c>
      <c r="T89" s="16" t="str">
        <f>IF('Data input'!T89="","",4*('Data input'!T89-'Data input'!T$108)/('Data input'!T$109-'Data input'!T$108)+1)</f>
        <v/>
      </c>
      <c r="U89" s="16" t="str">
        <f>IF('Data input'!U89="","",4*('Data input'!U89-'Data input'!U$108)/('Data input'!U$109-'Data input'!U$108)+1)</f>
        <v/>
      </c>
      <c r="V89" s="16" t="str">
        <f>IF('Data input'!V89="","",4*('Data input'!V89-'Data input'!V$108)/('Data input'!V$109-'Data input'!V$108)+1)</f>
        <v/>
      </c>
      <c r="W89" s="16" t="str">
        <f>IF('Data input'!W89="","",4*('Data input'!W89-'Data input'!W$108)/('Data input'!W$109-'Data input'!W$108)+1)</f>
        <v/>
      </c>
      <c r="X89" s="16" t="str">
        <f>IF('Data input'!X89="","",4*('Data input'!X89-'Data input'!X$108)/('Data input'!X$109-'Data input'!X$108)+1)</f>
        <v/>
      </c>
      <c r="Y89" s="16" t="str">
        <f>IF('Data input'!Y89="","",4*('Data input'!Y89-'Data input'!Y$108)/('Data input'!Y$109-'Data input'!Y$108)+1)</f>
        <v/>
      </c>
      <c r="Z89" s="16" t="str">
        <f>IF('Data input'!Z89="","",4*('Data input'!Z89-'Data input'!Z$108)/('Data input'!Z$109-'Data input'!Z$108)+1)</f>
        <v/>
      </c>
      <c r="AA89" s="62" t="str">
        <f>IF('Data input'!AA89="","",4*('Data input'!AA89-'Data input'!AA$108)/('Data input'!AA$109-'Data input'!AA$108)+1)</f>
        <v/>
      </c>
      <c r="AB89" s="78"/>
      <c r="AC89" s="79">
        <v>0</v>
      </c>
      <c r="AD89" s="80" t="e">
        <f t="shared" si="48"/>
        <v>#DIV/0!</v>
      </c>
      <c r="AE89" s="4"/>
      <c r="AF89" s="59" t="str">
        <f t="shared" si="40"/>
        <v/>
      </c>
      <c r="AG89" s="60" t="str">
        <f t="shared" si="40"/>
        <v/>
      </c>
      <c r="AH89"/>
      <c r="AI89"/>
      <c r="AJ89"/>
      <c r="AK89"/>
      <c r="AL89"/>
      <c r="AM89"/>
      <c r="AN89"/>
      <c r="AO89"/>
      <c r="AP89"/>
      <c r="AQ89"/>
      <c r="AR89"/>
      <c r="AS89" s="71" t="str">
        <f t="shared" si="44"/>
        <v/>
      </c>
      <c r="AT89" s="71" t="str">
        <f t="shared" si="44"/>
        <v/>
      </c>
      <c r="AU89" s="71" t="str">
        <f t="shared" si="44"/>
        <v/>
      </c>
      <c r="AV89" s="71" t="str">
        <f t="shared" si="44"/>
        <v/>
      </c>
      <c r="AW89" s="71" t="str">
        <f t="shared" si="44"/>
        <v/>
      </c>
      <c r="AX89" s="71" t="str">
        <f t="shared" si="45"/>
        <v/>
      </c>
      <c r="AY89" s="71" t="str">
        <f t="shared" si="45"/>
        <v/>
      </c>
      <c r="AZ89" s="71" t="str">
        <f t="shared" si="45"/>
        <v/>
      </c>
      <c r="BA89" s="71" t="str">
        <f t="shared" si="45"/>
        <v/>
      </c>
      <c r="BB89" s="71" t="str">
        <f t="shared" si="45"/>
        <v/>
      </c>
      <c r="BC89" s="18" t="str">
        <f>IF(C89&lt;&gt;"",(('Data input'!C$109-'Data input'!C$108)*(AS89-1)/4)+'Data input'!C$108,"")</f>
        <v/>
      </c>
      <c r="BD89" s="18" t="str">
        <f>IF(D89&lt;&gt;"",(('Data input'!D$109-'Data input'!D$108)*(AT89-1)/4)+'Data input'!D$108,"")</f>
        <v/>
      </c>
      <c r="BE89" s="18" t="str">
        <f>IF(E89&lt;&gt;"",(('Data input'!E$109-'Data input'!E$108)*(AU89-1)/4)+'Data input'!E$108,"")</f>
        <v/>
      </c>
      <c r="BF89" s="18" t="str">
        <f>IF(F89&lt;&gt;"",(('Data input'!F$109-'Data input'!F$108)*(AV89-1)/4)+'Data input'!F$108,"")</f>
        <v/>
      </c>
      <c r="BG89" s="18" t="str">
        <f>IF(G89&lt;&gt;"",(('Data input'!G$109-'Data input'!G$108)*(AW89-1)/4)+'Data input'!G$108,"")</f>
        <v/>
      </c>
      <c r="BH89" s="19" t="str">
        <f>IF(H89&lt;&gt;"",(('Data input'!H$109-'Data input'!H$108)*(AX89-1)/4)+'Data input'!H$108,"")</f>
        <v/>
      </c>
      <c r="BI89" s="18" t="str">
        <f>IF(I89&lt;&gt;"",(('Data input'!I$109-'Data input'!I$108)*(AY89-1)/4)+'Data input'!I$108,"")</f>
        <v/>
      </c>
      <c r="BJ89" s="19" t="str">
        <f>IF(J89&lt;&gt;"",(('Data input'!J$109-'Data input'!J$108)*(AZ89-1)/4)+'Data input'!J$108,"")</f>
        <v/>
      </c>
      <c r="BK89" s="19" t="str">
        <f>IF(K89&lt;&gt;"",(('Data input'!K$109-'Data input'!K$108)*(BA89-1)/4)+'Data input'!K$108,"")</f>
        <v/>
      </c>
      <c r="BL89" s="19" t="str">
        <f>IF(L89&lt;&gt;"",(('Data input'!L$109-'Data input'!L$108)*(BB89-1)/4)+'Data input'!L$108,"")</f>
        <v/>
      </c>
      <c r="BM89" s="18" t="str">
        <f>IF(C89&lt;&gt;"",BC89-'Data input'!C89,"")</f>
        <v/>
      </c>
      <c r="BN89" s="18" t="str">
        <f>IF(D89&lt;&gt;"",BD89-'Data input'!D89,"")</f>
        <v/>
      </c>
      <c r="BO89" s="18" t="str">
        <f>IF(E89&lt;&gt;"",BE89-'Data input'!E89,"")</f>
        <v/>
      </c>
      <c r="BP89" s="18" t="str">
        <f>IF(F89&lt;&gt;"",BF89-'Data input'!F89,"")</f>
        <v/>
      </c>
      <c r="BQ89" s="18" t="str">
        <f>IF(G89&lt;&gt;"",BG89-'Data input'!G89,"")</f>
        <v/>
      </c>
      <c r="BR89" s="19" t="str">
        <f>IF(H89&lt;&gt;"",BH89-'Data input'!H89,"")</f>
        <v/>
      </c>
      <c r="BS89" s="18" t="str">
        <f>IF(I89&lt;&gt;"",BI89-'Data input'!I89,"")</f>
        <v/>
      </c>
      <c r="BT89" s="18" t="str">
        <f>IF(J89&lt;&gt;"",BJ89-'Data input'!J89,"")</f>
        <v/>
      </c>
      <c r="BU89" s="18" t="str">
        <f>IF(K89&lt;&gt;"",BK89-'Data input'!K89,"")</f>
        <v/>
      </c>
      <c r="BV89" s="72" t="str">
        <f>IF(L89&lt;&gt;"",BL89-'Data input'!L89,"")</f>
        <v/>
      </c>
      <c r="BW89" s="121" t="str">
        <f t="shared" si="49"/>
        <v/>
      </c>
      <c r="FT89" s="1" t="str">
        <f t="shared" si="57"/>
        <v/>
      </c>
      <c r="FU89" s="1" t="str">
        <f t="shared" si="55"/>
        <v/>
      </c>
      <c r="FV89" s="1" t="str">
        <f t="shared" si="55"/>
        <v/>
      </c>
      <c r="FW89" s="1" t="str">
        <f t="shared" si="55"/>
        <v/>
      </c>
      <c r="FX89" s="1" t="str">
        <f t="shared" si="55"/>
        <v/>
      </c>
      <c r="FY89" s="1" t="str">
        <f t="shared" si="55"/>
        <v/>
      </c>
      <c r="FZ89" s="1" t="str">
        <f t="shared" si="55"/>
        <v/>
      </c>
      <c r="GA89" s="1" t="str">
        <f t="shared" si="55"/>
        <v/>
      </c>
      <c r="GB89" s="1" t="str">
        <f t="shared" si="55"/>
        <v/>
      </c>
      <c r="GC89" s="1" t="str">
        <f t="shared" si="55"/>
        <v/>
      </c>
      <c r="GD89" s="1" t="str">
        <f t="shared" si="55"/>
        <v/>
      </c>
      <c r="GE89" s="1" t="str">
        <f t="shared" si="55"/>
        <v/>
      </c>
      <c r="GF89" s="1" t="str">
        <f t="shared" si="55"/>
        <v/>
      </c>
      <c r="GG89" s="1" t="str">
        <f t="shared" si="55"/>
        <v/>
      </c>
      <c r="GH89" s="1" t="str">
        <f t="shared" si="55"/>
        <v/>
      </c>
      <c r="GI89" s="1" t="str">
        <f t="shared" si="55"/>
        <v/>
      </c>
      <c r="GJ89" s="1" t="str">
        <f t="shared" si="51"/>
        <v/>
      </c>
      <c r="GK89" s="1" t="str">
        <f t="shared" si="51"/>
        <v/>
      </c>
      <c r="GL89" s="1" t="str">
        <f t="shared" si="51"/>
        <v/>
      </c>
      <c r="GM89" s="1" t="str">
        <f t="shared" si="51"/>
        <v/>
      </c>
      <c r="GN89" s="1" t="str">
        <f t="shared" si="51"/>
        <v/>
      </c>
      <c r="GO89" s="1" t="str">
        <f t="shared" si="51"/>
        <v/>
      </c>
      <c r="GP89" s="1" t="str">
        <f t="shared" si="51"/>
        <v/>
      </c>
      <c r="GQ89" s="1" t="str">
        <f t="shared" si="51"/>
        <v/>
      </c>
      <c r="GR89" s="1" t="str">
        <f t="shared" si="51"/>
        <v/>
      </c>
      <c r="GS89" s="1" t="str">
        <f t="shared" si="51"/>
        <v/>
      </c>
      <c r="GT89" s="1" t="str">
        <f t="shared" si="50"/>
        <v/>
      </c>
      <c r="GU89" s="1" t="str">
        <f t="shared" si="50"/>
        <v/>
      </c>
      <c r="GV89" s="1" t="str">
        <f t="shared" si="50"/>
        <v/>
      </c>
      <c r="GW89" s="1" t="str">
        <f t="shared" si="50"/>
        <v/>
      </c>
      <c r="GX89" s="1" t="str">
        <f t="shared" si="50"/>
        <v/>
      </c>
      <c r="GY89" s="1" t="str">
        <f t="shared" si="50"/>
        <v/>
      </c>
      <c r="GZ89" s="1" t="str">
        <f t="shared" si="50"/>
        <v/>
      </c>
      <c r="HA89" s="1" t="str">
        <f t="shared" si="50"/>
        <v/>
      </c>
      <c r="HB89" s="1" t="str">
        <f t="shared" si="50"/>
        <v/>
      </c>
      <c r="HC89" s="1" t="str">
        <f t="shared" si="50"/>
        <v/>
      </c>
      <c r="HD89" s="1" t="str">
        <f t="shared" si="50"/>
        <v/>
      </c>
      <c r="HE89" s="1" t="str">
        <f t="shared" si="50"/>
        <v/>
      </c>
      <c r="HF89" s="1" t="str">
        <f t="shared" si="50"/>
        <v/>
      </c>
      <c r="HG89" s="1" t="str">
        <f t="shared" si="50"/>
        <v/>
      </c>
      <c r="HH89" s="1" t="str">
        <f t="shared" si="50"/>
        <v/>
      </c>
      <c r="HI89" s="1" t="str">
        <f t="shared" si="50"/>
        <v/>
      </c>
      <c r="HJ89" s="1" t="str">
        <f t="shared" si="58"/>
        <v/>
      </c>
      <c r="HK89" s="1" t="str">
        <f t="shared" si="58"/>
        <v/>
      </c>
      <c r="HL89" s="1" t="str">
        <f t="shared" si="58"/>
        <v/>
      </c>
      <c r="HM89" s="1" t="str">
        <f t="shared" si="58"/>
        <v/>
      </c>
      <c r="HN89" s="1" t="str">
        <f t="shared" si="58"/>
        <v/>
      </c>
      <c r="HO89" s="1" t="str">
        <f t="shared" si="52"/>
        <v/>
      </c>
      <c r="HP89" s="1" t="str">
        <f t="shared" si="47"/>
        <v/>
      </c>
      <c r="HQ89" s="1" t="str">
        <f t="shared" si="47"/>
        <v/>
      </c>
      <c r="HR89" s="1" t="str">
        <f t="shared" si="47"/>
        <v/>
      </c>
      <c r="HS89" s="1" t="str">
        <f t="shared" si="47"/>
        <v/>
      </c>
      <c r="HT89" s="1" t="str">
        <f t="shared" si="47"/>
        <v/>
      </c>
      <c r="HU89" s="1" t="str">
        <f t="shared" si="47"/>
        <v/>
      </c>
      <c r="HV89" s="1" t="str">
        <f t="shared" si="47"/>
        <v/>
      </c>
      <c r="HW89" s="1" t="str">
        <f t="shared" si="47"/>
        <v/>
      </c>
      <c r="HX89" s="1" t="str">
        <f t="shared" si="47"/>
        <v/>
      </c>
      <c r="HY89" s="1" t="str">
        <f t="shared" si="47"/>
        <v/>
      </c>
      <c r="HZ89" s="1" t="str">
        <f t="shared" si="47"/>
        <v/>
      </c>
      <c r="IA89" s="1" t="str">
        <f t="shared" si="47"/>
        <v/>
      </c>
      <c r="IB89" s="1" t="str">
        <f t="shared" si="47"/>
        <v/>
      </c>
      <c r="IC89" s="1" t="str">
        <f t="shared" si="47"/>
        <v/>
      </c>
      <c r="ID89" s="1" t="str">
        <f t="shared" si="47"/>
        <v/>
      </c>
      <c r="IE89" s="1" t="str">
        <f t="shared" si="47"/>
        <v/>
      </c>
      <c r="IF89" s="1" t="str">
        <f t="shared" si="56"/>
        <v/>
      </c>
      <c r="IG89" s="1" t="str">
        <f t="shared" si="56"/>
        <v/>
      </c>
      <c r="IH89" s="1" t="str">
        <f t="shared" si="53"/>
        <v/>
      </c>
      <c r="II89" s="1" t="str">
        <f t="shared" si="53"/>
        <v/>
      </c>
      <c r="IJ89" s="1" t="str">
        <f t="shared" si="53"/>
        <v/>
      </c>
      <c r="IK89" s="1" t="str">
        <f t="shared" si="53"/>
        <v/>
      </c>
      <c r="IL89" s="1" t="str">
        <f t="shared" si="53"/>
        <v/>
      </c>
      <c r="IM89" s="1" t="str">
        <f t="shared" si="53"/>
        <v/>
      </c>
      <c r="IN89" s="1" t="str">
        <f t="shared" si="53"/>
        <v/>
      </c>
      <c r="IO89" s="1" t="str">
        <f t="shared" si="53"/>
        <v/>
      </c>
      <c r="IP89" s="1" t="str">
        <f t="shared" si="53"/>
        <v/>
      </c>
      <c r="IQ89" s="1" t="str">
        <f t="shared" si="53"/>
        <v/>
      </c>
      <c r="IR89" s="1" t="str">
        <f t="shared" si="53"/>
        <v/>
      </c>
      <c r="IS89" s="1" t="str">
        <f t="shared" si="53"/>
        <v/>
      </c>
      <c r="IT89" s="1" t="str">
        <f t="shared" si="53"/>
        <v/>
      </c>
      <c r="IU89" s="1" t="str">
        <f t="shared" si="53"/>
        <v/>
      </c>
      <c r="IV89" s="1" t="str">
        <f t="shared" si="53"/>
        <v/>
      </c>
      <c r="IW89" s="1" t="str">
        <f t="shared" si="53"/>
        <v/>
      </c>
      <c r="IX89" s="1" t="str">
        <f t="shared" si="54"/>
        <v/>
      </c>
      <c r="IY89" s="1" t="str">
        <f t="shared" si="54"/>
        <v/>
      </c>
      <c r="IZ89" s="1" t="str">
        <f t="shared" si="54"/>
        <v/>
      </c>
      <c r="JA89" s="1" t="str">
        <f t="shared" si="54"/>
        <v/>
      </c>
      <c r="JB89" s="1" t="str">
        <f t="shared" si="54"/>
        <v/>
      </c>
      <c r="JC89" s="1" t="str">
        <f t="shared" si="43"/>
        <v/>
      </c>
      <c r="JD89" s="1" t="str">
        <f t="shared" si="43"/>
        <v/>
      </c>
      <c r="JE89" s="1" t="str">
        <f t="shared" si="43"/>
        <v/>
      </c>
      <c r="JF89" s="1" t="str">
        <f t="shared" si="43"/>
        <v/>
      </c>
      <c r="JG89" s="1" t="str">
        <f t="shared" si="37"/>
        <v/>
      </c>
      <c r="JH89" s="1" t="str">
        <f t="shared" si="37"/>
        <v/>
      </c>
      <c r="JI89" s="1" t="str">
        <f t="shared" si="37"/>
        <v/>
      </c>
      <c r="JJ89" s="1" t="str">
        <f t="shared" si="30"/>
        <v/>
      </c>
      <c r="JK89" s="1" t="str">
        <f t="shared" si="30"/>
        <v/>
      </c>
      <c r="JL89" s="1" t="str">
        <f t="shared" si="30"/>
        <v/>
      </c>
      <c r="JM89" s="1" t="str">
        <f t="shared" si="30"/>
        <v/>
      </c>
      <c r="JN89" s="1" t="str">
        <f t="shared" si="30"/>
        <v/>
      </c>
      <c r="JO89" s="1" t="str">
        <f t="shared" si="30"/>
        <v/>
      </c>
    </row>
    <row r="90" spans="1:275" ht="14.5" x14ac:dyDescent="0.35">
      <c r="A90" s="59" t="str">
        <f>IF('Data input'!A90&lt;&gt;"",'Data input'!A90,"")</f>
        <v/>
      </c>
      <c r="B90" s="15" t="str">
        <f>IF('Data input'!B90&lt;&gt;"",'Data input'!B90,"")</f>
        <v/>
      </c>
      <c r="C90" s="16" t="str">
        <f>IF('Data input'!C90="","",4*('Data input'!C90-'Data input'!C$108)/('Data input'!C$109-'Data input'!C$108)+1)</f>
        <v/>
      </c>
      <c r="D90" s="16" t="str">
        <f>IF('Data input'!D90="","",4*('Data input'!D90-'Data input'!D$108)/('Data input'!D$109-'Data input'!D$108)+1)</f>
        <v/>
      </c>
      <c r="E90" s="16" t="str">
        <f>IF('Data input'!E90="","",4*('Data input'!E90-'Data input'!E$108)/('Data input'!E$109-'Data input'!E$108)+1)</f>
        <v/>
      </c>
      <c r="F90" s="16" t="str">
        <f>IF('Data input'!F90="","",4*('Data input'!F90-'Data input'!F$108)/('Data input'!F$109-'Data input'!F$108)+1)</f>
        <v/>
      </c>
      <c r="G90" s="16" t="str">
        <f>IF('Data input'!G90="","",4*('Data input'!G90-'Data input'!G$108)/('Data input'!G$109-'Data input'!G$108)+1)</f>
        <v/>
      </c>
      <c r="H90" s="16" t="str">
        <f>IF('Data input'!H90="","",4*('Data input'!H90-'Data input'!H$108)/('Data input'!H$109-'Data input'!H$108)+1)</f>
        <v/>
      </c>
      <c r="I90" s="19" t="str">
        <f>IF('Data input'!I90="","",4*('Data input'!I90-'Data input'!I$108)/('Data input'!I$109-'Data input'!I$108)+1)</f>
        <v/>
      </c>
      <c r="J90" s="19" t="str">
        <f>IF('Data input'!J90="","",4*('Data input'!J90-'Data input'!J$108)/('Data input'!J$109-'Data input'!J$108)+1)</f>
        <v/>
      </c>
      <c r="K90" s="19" t="str">
        <f>IF('Data input'!K90="","",4*('Data input'!K90-'Data input'!K$108)/('Data input'!K$109-'Data input'!K$108)+1)</f>
        <v/>
      </c>
      <c r="L90" s="19" t="str">
        <f>IF('Data input'!L90="","",4*('Data input'!L90-'Data input'!L$108)/('Data input'!L$109-'Data input'!L$108)+1)</f>
        <v/>
      </c>
      <c r="M90" s="16" t="str">
        <f>IF('Data input'!M90="","",4*('Data input'!M90-'Data input'!M$108)/('Data input'!M$109-'Data input'!M$108)+1)</f>
        <v/>
      </c>
      <c r="N90" s="16" t="str">
        <f>IF('Data input'!N90="","",4*('Data input'!N90-'Data input'!N$108)/('Data input'!N$109-'Data input'!N$108)+1)</f>
        <v/>
      </c>
      <c r="O90" s="16" t="str">
        <f>IF('Data input'!O90="","",4*('Data input'!O90-'Data input'!O$108)/('Data input'!O$109-'Data input'!O$108)+1)</f>
        <v/>
      </c>
      <c r="P90" s="16" t="str">
        <f>IF('Data input'!P90="","",4*('Data input'!P90-'Data input'!P$108)/('Data input'!P$109-'Data input'!P$108)+1)</f>
        <v/>
      </c>
      <c r="Q90" s="16" t="str">
        <f>IF('Data input'!Q90="","",4*('Data input'!Q90-'Data input'!Q$108)/('Data input'!Q$109-'Data input'!Q$108)+1)</f>
        <v/>
      </c>
      <c r="R90" s="16" t="str">
        <f>IF('Data input'!R90="","",4*('Data input'!R90-'Data input'!R$108)/('Data input'!R$109-'Data input'!R$108)+1)</f>
        <v/>
      </c>
      <c r="S90" s="16" t="str">
        <f>IF('Data input'!S90="","",4*('Data input'!S90-'Data input'!S$108)/('Data input'!S$109-'Data input'!S$108)+1)</f>
        <v/>
      </c>
      <c r="T90" s="16" t="str">
        <f>IF('Data input'!T90="","",4*('Data input'!T90-'Data input'!T$108)/('Data input'!T$109-'Data input'!T$108)+1)</f>
        <v/>
      </c>
      <c r="U90" s="16" t="str">
        <f>IF('Data input'!U90="","",4*('Data input'!U90-'Data input'!U$108)/('Data input'!U$109-'Data input'!U$108)+1)</f>
        <v/>
      </c>
      <c r="V90" s="16" t="str">
        <f>IF('Data input'!V90="","",4*('Data input'!V90-'Data input'!V$108)/('Data input'!V$109-'Data input'!V$108)+1)</f>
        <v/>
      </c>
      <c r="W90" s="16" t="str">
        <f>IF('Data input'!W90="","",4*('Data input'!W90-'Data input'!W$108)/('Data input'!W$109-'Data input'!W$108)+1)</f>
        <v/>
      </c>
      <c r="X90" s="16" t="str">
        <f>IF('Data input'!X90="","",4*('Data input'!X90-'Data input'!X$108)/('Data input'!X$109-'Data input'!X$108)+1)</f>
        <v/>
      </c>
      <c r="Y90" s="16" t="str">
        <f>IF('Data input'!Y90="","",4*('Data input'!Y90-'Data input'!Y$108)/('Data input'!Y$109-'Data input'!Y$108)+1)</f>
        <v/>
      </c>
      <c r="Z90" s="16" t="str">
        <f>IF('Data input'!Z90="","",4*('Data input'!Z90-'Data input'!Z$108)/('Data input'!Z$109-'Data input'!Z$108)+1)</f>
        <v/>
      </c>
      <c r="AA90" s="62" t="str">
        <f>IF('Data input'!AA90="","",4*('Data input'!AA90-'Data input'!AA$108)/('Data input'!AA$109-'Data input'!AA$108)+1)</f>
        <v/>
      </c>
      <c r="AB90" s="78"/>
      <c r="AC90" s="79">
        <v>0</v>
      </c>
      <c r="AD90" s="80" t="e">
        <f t="shared" si="48"/>
        <v>#DIV/0!</v>
      </c>
      <c r="AE90" s="4"/>
      <c r="AF90" s="59" t="str">
        <f t="shared" si="40"/>
        <v/>
      </c>
      <c r="AG90" s="60" t="str">
        <f t="shared" si="40"/>
        <v/>
      </c>
      <c r="AH90"/>
      <c r="AI90"/>
      <c r="AJ90"/>
      <c r="AK90"/>
      <c r="AL90"/>
      <c r="AM90"/>
      <c r="AN90"/>
      <c r="AO90"/>
      <c r="AP90"/>
      <c r="AQ90"/>
      <c r="AR90"/>
      <c r="AS90" s="71" t="str">
        <f t="shared" si="44"/>
        <v/>
      </c>
      <c r="AT90" s="71" t="str">
        <f t="shared" si="44"/>
        <v/>
      </c>
      <c r="AU90" s="71" t="str">
        <f t="shared" si="44"/>
        <v/>
      </c>
      <c r="AV90" s="71" t="str">
        <f t="shared" si="44"/>
        <v/>
      </c>
      <c r="AW90" s="71" t="str">
        <f t="shared" si="44"/>
        <v/>
      </c>
      <c r="AX90" s="71" t="str">
        <f t="shared" si="45"/>
        <v/>
      </c>
      <c r="AY90" s="71" t="str">
        <f t="shared" si="45"/>
        <v/>
      </c>
      <c r="AZ90" s="71" t="str">
        <f t="shared" si="45"/>
        <v/>
      </c>
      <c r="BA90" s="71" t="str">
        <f t="shared" si="45"/>
        <v/>
      </c>
      <c r="BB90" s="71" t="str">
        <f t="shared" si="45"/>
        <v/>
      </c>
      <c r="BC90" s="18" t="str">
        <f>IF(C90&lt;&gt;"",(('Data input'!C$109-'Data input'!C$108)*(AS90-1)/4)+'Data input'!C$108,"")</f>
        <v/>
      </c>
      <c r="BD90" s="18" t="str">
        <f>IF(D90&lt;&gt;"",(('Data input'!D$109-'Data input'!D$108)*(AT90-1)/4)+'Data input'!D$108,"")</f>
        <v/>
      </c>
      <c r="BE90" s="18" t="str">
        <f>IF(E90&lt;&gt;"",(('Data input'!E$109-'Data input'!E$108)*(AU90-1)/4)+'Data input'!E$108,"")</f>
        <v/>
      </c>
      <c r="BF90" s="18" t="str">
        <f>IF(F90&lt;&gt;"",(('Data input'!F$109-'Data input'!F$108)*(AV90-1)/4)+'Data input'!F$108,"")</f>
        <v/>
      </c>
      <c r="BG90" s="18" t="str">
        <f>IF(G90&lt;&gt;"",(('Data input'!G$109-'Data input'!G$108)*(AW90-1)/4)+'Data input'!G$108,"")</f>
        <v/>
      </c>
      <c r="BH90" s="19" t="str">
        <f>IF(H90&lt;&gt;"",(('Data input'!H$109-'Data input'!H$108)*(AX90-1)/4)+'Data input'!H$108,"")</f>
        <v/>
      </c>
      <c r="BI90" s="18" t="str">
        <f>IF(I90&lt;&gt;"",(('Data input'!I$109-'Data input'!I$108)*(AY90-1)/4)+'Data input'!I$108,"")</f>
        <v/>
      </c>
      <c r="BJ90" s="19" t="str">
        <f>IF(J90&lt;&gt;"",(('Data input'!J$109-'Data input'!J$108)*(AZ90-1)/4)+'Data input'!J$108,"")</f>
        <v/>
      </c>
      <c r="BK90" s="19" t="str">
        <f>IF(K90&lt;&gt;"",(('Data input'!K$109-'Data input'!K$108)*(BA90-1)/4)+'Data input'!K$108,"")</f>
        <v/>
      </c>
      <c r="BL90" s="19" t="str">
        <f>IF(L90&lt;&gt;"",(('Data input'!L$109-'Data input'!L$108)*(BB90-1)/4)+'Data input'!L$108,"")</f>
        <v/>
      </c>
      <c r="BM90" s="18" t="str">
        <f>IF(C90&lt;&gt;"",BC90-'Data input'!C90,"")</f>
        <v/>
      </c>
      <c r="BN90" s="18" t="str">
        <f>IF(D90&lt;&gt;"",BD90-'Data input'!D90,"")</f>
        <v/>
      </c>
      <c r="BO90" s="18" t="str">
        <f>IF(E90&lt;&gt;"",BE90-'Data input'!E90,"")</f>
        <v/>
      </c>
      <c r="BP90" s="18" t="str">
        <f>IF(F90&lt;&gt;"",BF90-'Data input'!F90,"")</f>
        <v/>
      </c>
      <c r="BQ90" s="18" t="str">
        <f>IF(G90&lt;&gt;"",BG90-'Data input'!G90,"")</f>
        <v/>
      </c>
      <c r="BR90" s="19" t="str">
        <f>IF(H90&lt;&gt;"",BH90-'Data input'!H90,"")</f>
        <v/>
      </c>
      <c r="BS90" s="18" t="str">
        <f>IF(I90&lt;&gt;"",BI90-'Data input'!I90,"")</f>
        <v/>
      </c>
      <c r="BT90" s="18" t="str">
        <f>IF(J90&lt;&gt;"",BJ90-'Data input'!J90,"")</f>
        <v/>
      </c>
      <c r="BU90" s="18" t="str">
        <f>IF(K90&lt;&gt;"",BK90-'Data input'!K90,"")</f>
        <v/>
      </c>
      <c r="BV90" s="72" t="str">
        <f>IF(L90&lt;&gt;"",BL90-'Data input'!L90,"")</f>
        <v/>
      </c>
      <c r="BW90" s="121" t="str">
        <f t="shared" si="49"/>
        <v/>
      </c>
      <c r="FT90" s="1" t="str">
        <f t="shared" si="57"/>
        <v/>
      </c>
      <c r="FU90" s="1" t="str">
        <f t="shared" si="55"/>
        <v/>
      </c>
      <c r="FV90" s="1" t="str">
        <f t="shared" si="55"/>
        <v/>
      </c>
      <c r="FW90" s="1" t="str">
        <f t="shared" si="55"/>
        <v/>
      </c>
      <c r="FX90" s="1" t="str">
        <f t="shared" si="55"/>
        <v/>
      </c>
      <c r="FY90" s="1" t="str">
        <f t="shared" si="55"/>
        <v/>
      </c>
      <c r="FZ90" s="1" t="str">
        <f t="shared" si="55"/>
        <v/>
      </c>
      <c r="GA90" s="1" t="str">
        <f t="shared" si="55"/>
        <v/>
      </c>
      <c r="GB90" s="1" t="str">
        <f t="shared" si="55"/>
        <v/>
      </c>
      <c r="GC90" s="1" t="str">
        <f t="shared" si="55"/>
        <v/>
      </c>
      <c r="GD90" s="1" t="str">
        <f t="shared" si="55"/>
        <v/>
      </c>
      <c r="GE90" s="1" t="str">
        <f t="shared" si="55"/>
        <v/>
      </c>
      <c r="GF90" s="1" t="str">
        <f t="shared" si="55"/>
        <v/>
      </c>
      <c r="GG90" s="1" t="str">
        <f t="shared" si="55"/>
        <v/>
      </c>
      <c r="GH90" s="1" t="str">
        <f t="shared" si="55"/>
        <v/>
      </c>
      <c r="GI90" s="1" t="str">
        <f t="shared" si="55"/>
        <v/>
      </c>
      <c r="GJ90" s="1" t="str">
        <f t="shared" si="51"/>
        <v/>
      </c>
      <c r="GK90" s="1" t="str">
        <f t="shared" si="51"/>
        <v/>
      </c>
      <c r="GL90" s="1" t="str">
        <f t="shared" si="51"/>
        <v/>
      </c>
      <c r="GM90" s="1" t="str">
        <f t="shared" si="51"/>
        <v/>
      </c>
      <c r="GN90" s="1" t="str">
        <f t="shared" si="51"/>
        <v/>
      </c>
      <c r="GO90" s="1" t="str">
        <f t="shared" si="51"/>
        <v/>
      </c>
      <c r="GP90" s="1" t="str">
        <f t="shared" si="51"/>
        <v/>
      </c>
      <c r="GQ90" s="1" t="str">
        <f t="shared" si="51"/>
        <v/>
      </c>
      <c r="GR90" s="1" t="str">
        <f t="shared" si="51"/>
        <v/>
      </c>
      <c r="GS90" s="1" t="str">
        <f t="shared" si="51"/>
        <v/>
      </c>
      <c r="GT90" s="1" t="str">
        <f t="shared" si="50"/>
        <v/>
      </c>
      <c r="GU90" s="1" t="str">
        <f t="shared" si="50"/>
        <v/>
      </c>
      <c r="GV90" s="1" t="str">
        <f t="shared" si="50"/>
        <v/>
      </c>
      <c r="GW90" s="1" t="str">
        <f t="shared" si="50"/>
        <v/>
      </c>
      <c r="GX90" s="1" t="str">
        <f t="shared" si="50"/>
        <v/>
      </c>
      <c r="GY90" s="1" t="str">
        <f t="shared" si="50"/>
        <v/>
      </c>
      <c r="GZ90" s="1" t="str">
        <f t="shared" si="50"/>
        <v/>
      </c>
      <c r="HA90" s="1" t="str">
        <f t="shared" si="50"/>
        <v/>
      </c>
      <c r="HB90" s="1" t="str">
        <f t="shared" si="50"/>
        <v/>
      </c>
      <c r="HC90" s="1" t="str">
        <f t="shared" si="50"/>
        <v/>
      </c>
      <c r="HD90" s="1" t="str">
        <f t="shared" si="50"/>
        <v/>
      </c>
      <c r="HE90" s="1" t="str">
        <f t="shared" si="50"/>
        <v/>
      </c>
      <c r="HF90" s="1" t="str">
        <f t="shared" si="50"/>
        <v/>
      </c>
      <c r="HG90" s="1" t="str">
        <f t="shared" si="50"/>
        <v/>
      </c>
      <c r="HH90" s="1" t="str">
        <f t="shared" si="50"/>
        <v/>
      </c>
      <c r="HI90" s="1" t="str">
        <f t="shared" si="50"/>
        <v/>
      </c>
      <c r="HJ90" s="1" t="str">
        <f t="shared" si="58"/>
        <v/>
      </c>
      <c r="HK90" s="1" t="str">
        <f t="shared" si="58"/>
        <v/>
      </c>
      <c r="HL90" s="1" t="str">
        <f t="shared" si="58"/>
        <v/>
      </c>
      <c r="HM90" s="1" t="str">
        <f t="shared" si="58"/>
        <v/>
      </c>
      <c r="HN90" s="1" t="str">
        <f t="shared" si="58"/>
        <v/>
      </c>
      <c r="HO90" s="1" t="str">
        <f t="shared" si="52"/>
        <v/>
      </c>
      <c r="HP90" s="1" t="str">
        <f t="shared" si="47"/>
        <v/>
      </c>
      <c r="HQ90" s="1" t="str">
        <f t="shared" si="47"/>
        <v/>
      </c>
      <c r="HR90" s="1" t="str">
        <f t="shared" si="47"/>
        <v/>
      </c>
      <c r="HS90" s="1" t="str">
        <f t="shared" si="47"/>
        <v/>
      </c>
      <c r="HT90" s="1" t="str">
        <f t="shared" si="47"/>
        <v/>
      </c>
      <c r="HU90" s="1" t="str">
        <f t="shared" si="47"/>
        <v/>
      </c>
      <c r="HV90" s="1" t="str">
        <f t="shared" si="47"/>
        <v/>
      </c>
      <c r="HW90" s="1" t="str">
        <f t="shared" si="47"/>
        <v/>
      </c>
      <c r="HX90" s="1" t="str">
        <f t="shared" si="47"/>
        <v/>
      </c>
      <c r="HY90" s="1" t="str">
        <f t="shared" si="47"/>
        <v/>
      </c>
      <c r="HZ90" s="1" t="str">
        <f t="shared" si="47"/>
        <v/>
      </c>
      <c r="IA90" s="1" t="str">
        <f t="shared" si="47"/>
        <v/>
      </c>
      <c r="IB90" s="1" t="str">
        <f t="shared" si="47"/>
        <v/>
      </c>
      <c r="IC90" s="1" t="str">
        <f t="shared" si="47"/>
        <v/>
      </c>
      <c r="ID90" s="1" t="str">
        <f t="shared" si="47"/>
        <v/>
      </c>
      <c r="IE90" s="1" t="str">
        <f t="shared" si="47"/>
        <v/>
      </c>
      <c r="IF90" s="1" t="str">
        <f t="shared" si="56"/>
        <v/>
      </c>
      <c r="IG90" s="1" t="str">
        <f t="shared" si="56"/>
        <v/>
      </c>
      <c r="IH90" s="1" t="str">
        <f t="shared" si="53"/>
        <v/>
      </c>
      <c r="II90" s="1" t="str">
        <f t="shared" si="53"/>
        <v/>
      </c>
      <c r="IJ90" s="1" t="str">
        <f t="shared" si="53"/>
        <v/>
      </c>
      <c r="IK90" s="1" t="str">
        <f t="shared" si="53"/>
        <v/>
      </c>
      <c r="IL90" s="1" t="str">
        <f t="shared" si="53"/>
        <v/>
      </c>
      <c r="IM90" s="1" t="str">
        <f t="shared" si="53"/>
        <v/>
      </c>
      <c r="IN90" s="1" t="str">
        <f t="shared" si="53"/>
        <v/>
      </c>
      <c r="IO90" s="1" t="str">
        <f t="shared" si="53"/>
        <v/>
      </c>
      <c r="IP90" s="1" t="str">
        <f t="shared" si="53"/>
        <v/>
      </c>
      <c r="IQ90" s="1" t="str">
        <f t="shared" si="53"/>
        <v/>
      </c>
      <c r="IR90" s="1" t="str">
        <f t="shared" si="53"/>
        <v/>
      </c>
      <c r="IS90" s="1" t="str">
        <f t="shared" si="53"/>
        <v/>
      </c>
      <c r="IT90" s="1" t="str">
        <f t="shared" si="53"/>
        <v/>
      </c>
      <c r="IU90" s="1" t="str">
        <f t="shared" si="53"/>
        <v/>
      </c>
      <c r="IV90" s="1" t="str">
        <f t="shared" si="53"/>
        <v/>
      </c>
      <c r="IW90" s="1" t="str">
        <f t="shared" si="53"/>
        <v/>
      </c>
      <c r="IX90" s="1" t="str">
        <f t="shared" si="54"/>
        <v/>
      </c>
      <c r="IY90" s="1" t="str">
        <f t="shared" si="54"/>
        <v/>
      </c>
      <c r="IZ90" s="1" t="str">
        <f t="shared" si="54"/>
        <v/>
      </c>
      <c r="JA90" s="1" t="str">
        <f t="shared" si="54"/>
        <v/>
      </c>
      <c r="JB90" s="1" t="str">
        <f t="shared" si="54"/>
        <v/>
      </c>
      <c r="JC90" s="1" t="str">
        <f t="shared" si="43"/>
        <v/>
      </c>
      <c r="JD90" s="1" t="str">
        <f t="shared" si="43"/>
        <v/>
      </c>
      <c r="JE90" s="1" t="str">
        <f t="shared" si="43"/>
        <v/>
      </c>
      <c r="JF90" s="1" t="str">
        <f t="shared" si="43"/>
        <v/>
      </c>
      <c r="JG90" s="1" t="str">
        <f t="shared" si="37"/>
        <v/>
      </c>
      <c r="JH90" s="1" t="str">
        <f t="shared" si="37"/>
        <v/>
      </c>
      <c r="JI90" s="1" t="str">
        <f t="shared" si="37"/>
        <v/>
      </c>
      <c r="JJ90" s="1" t="str">
        <f t="shared" si="30"/>
        <v/>
      </c>
      <c r="JK90" s="1" t="str">
        <f t="shared" si="30"/>
        <v/>
      </c>
      <c r="JL90" s="1" t="str">
        <f t="shared" si="30"/>
        <v/>
      </c>
      <c r="JM90" s="1" t="str">
        <f t="shared" si="30"/>
        <v/>
      </c>
      <c r="JN90" s="1" t="str">
        <f t="shared" si="30"/>
        <v/>
      </c>
      <c r="JO90" s="1" t="str">
        <f t="shared" si="30"/>
        <v/>
      </c>
    </row>
    <row r="91" spans="1:275" ht="14.5" x14ac:dyDescent="0.35">
      <c r="A91" s="59" t="str">
        <f>IF('Data input'!A91&lt;&gt;"",'Data input'!A91,"")</f>
        <v/>
      </c>
      <c r="B91" s="15" t="str">
        <f>IF('Data input'!B91&lt;&gt;"",'Data input'!B91,"")</f>
        <v/>
      </c>
      <c r="C91" s="16" t="str">
        <f>IF('Data input'!C91="","",4*('Data input'!C91-'Data input'!C$108)/('Data input'!C$109-'Data input'!C$108)+1)</f>
        <v/>
      </c>
      <c r="D91" s="16" t="str">
        <f>IF('Data input'!D91="","",4*('Data input'!D91-'Data input'!D$108)/('Data input'!D$109-'Data input'!D$108)+1)</f>
        <v/>
      </c>
      <c r="E91" s="16" t="str">
        <f>IF('Data input'!E91="","",4*('Data input'!E91-'Data input'!E$108)/('Data input'!E$109-'Data input'!E$108)+1)</f>
        <v/>
      </c>
      <c r="F91" s="16" t="str">
        <f>IF('Data input'!F91="","",4*('Data input'!F91-'Data input'!F$108)/('Data input'!F$109-'Data input'!F$108)+1)</f>
        <v/>
      </c>
      <c r="G91" s="16" t="str">
        <f>IF('Data input'!G91="","",4*('Data input'!G91-'Data input'!G$108)/('Data input'!G$109-'Data input'!G$108)+1)</f>
        <v/>
      </c>
      <c r="H91" s="16" t="str">
        <f>IF('Data input'!H91="","",4*('Data input'!H91-'Data input'!H$108)/('Data input'!H$109-'Data input'!H$108)+1)</f>
        <v/>
      </c>
      <c r="I91" s="19" t="str">
        <f>IF('Data input'!I91="","",4*('Data input'!I91-'Data input'!I$108)/('Data input'!I$109-'Data input'!I$108)+1)</f>
        <v/>
      </c>
      <c r="J91" s="19" t="str">
        <f>IF('Data input'!J91="","",4*('Data input'!J91-'Data input'!J$108)/('Data input'!J$109-'Data input'!J$108)+1)</f>
        <v/>
      </c>
      <c r="K91" s="19" t="str">
        <f>IF('Data input'!K91="","",4*('Data input'!K91-'Data input'!K$108)/('Data input'!K$109-'Data input'!K$108)+1)</f>
        <v/>
      </c>
      <c r="L91" s="19" t="str">
        <f>IF('Data input'!L91="","",4*('Data input'!L91-'Data input'!L$108)/('Data input'!L$109-'Data input'!L$108)+1)</f>
        <v/>
      </c>
      <c r="M91" s="16" t="str">
        <f>IF('Data input'!M91="","",4*('Data input'!M91-'Data input'!M$108)/('Data input'!M$109-'Data input'!M$108)+1)</f>
        <v/>
      </c>
      <c r="N91" s="16" t="str">
        <f>IF('Data input'!N91="","",4*('Data input'!N91-'Data input'!N$108)/('Data input'!N$109-'Data input'!N$108)+1)</f>
        <v/>
      </c>
      <c r="O91" s="16" t="str">
        <f>IF('Data input'!O91="","",4*('Data input'!O91-'Data input'!O$108)/('Data input'!O$109-'Data input'!O$108)+1)</f>
        <v/>
      </c>
      <c r="P91" s="16" t="str">
        <f>IF('Data input'!P91="","",4*('Data input'!P91-'Data input'!P$108)/('Data input'!P$109-'Data input'!P$108)+1)</f>
        <v/>
      </c>
      <c r="Q91" s="16" t="str">
        <f>IF('Data input'!Q91="","",4*('Data input'!Q91-'Data input'!Q$108)/('Data input'!Q$109-'Data input'!Q$108)+1)</f>
        <v/>
      </c>
      <c r="R91" s="16" t="str">
        <f>IF('Data input'!R91="","",4*('Data input'!R91-'Data input'!R$108)/('Data input'!R$109-'Data input'!R$108)+1)</f>
        <v/>
      </c>
      <c r="S91" s="16" t="str">
        <f>IF('Data input'!S91="","",4*('Data input'!S91-'Data input'!S$108)/('Data input'!S$109-'Data input'!S$108)+1)</f>
        <v/>
      </c>
      <c r="T91" s="16" t="str">
        <f>IF('Data input'!T91="","",4*('Data input'!T91-'Data input'!T$108)/('Data input'!T$109-'Data input'!T$108)+1)</f>
        <v/>
      </c>
      <c r="U91" s="16" t="str">
        <f>IF('Data input'!U91="","",4*('Data input'!U91-'Data input'!U$108)/('Data input'!U$109-'Data input'!U$108)+1)</f>
        <v/>
      </c>
      <c r="V91" s="16" t="str">
        <f>IF('Data input'!V91="","",4*('Data input'!V91-'Data input'!V$108)/('Data input'!V$109-'Data input'!V$108)+1)</f>
        <v/>
      </c>
      <c r="W91" s="16" t="str">
        <f>IF('Data input'!W91="","",4*('Data input'!W91-'Data input'!W$108)/('Data input'!W$109-'Data input'!W$108)+1)</f>
        <v/>
      </c>
      <c r="X91" s="16" t="str">
        <f>IF('Data input'!X91="","",4*('Data input'!X91-'Data input'!X$108)/('Data input'!X$109-'Data input'!X$108)+1)</f>
        <v/>
      </c>
      <c r="Y91" s="16" t="str">
        <f>IF('Data input'!Y91="","",4*('Data input'!Y91-'Data input'!Y$108)/('Data input'!Y$109-'Data input'!Y$108)+1)</f>
        <v/>
      </c>
      <c r="Z91" s="16" t="str">
        <f>IF('Data input'!Z91="","",4*('Data input'!Z91-'Data input'!Z$108)/('Data input'!Z$109-'Data input'!Z$108)+1)</f>
        <v/>
      </c>
      <c r="AA91" s="62" t="str">
        <f>IF('Data input'!AA91="","",4*('Data input'!AA91-'Data input'!AA$108)/('Data input'!AA$109-'Data input'!AA$108)+1)</f>
        <v/>
      </c>
      <c r="AB91" s="78"/>
      <c r="AC91" s="79">
        <v>0</v>
      </c>
      <c r="AD91" s="80" t="e">
        <f t="shared" si="48"/>
        <v>#DIV/0!</v>
      </c>
      <c r="AE91" s="4"/>
      <c r="AF91" s="59" t="str">
        <f t="shared" si="40"/>
        <v/>
      </c>
      <c r="AG91" s="60" t="str">
        <f t="shared" si="40"/>
        <v/>
      </c>
      <c r="AH91"/>
      <c r="AI91"/>
      <c r="AJ91"/>
      <c r="AK91"/>
      <c r="AL91"/>
      <c r="AM91"/>
      <c r="AN91"/>
      <c r="AO91"/>
      <c r="AP91"/>
      <c r="AQ91"/>
      <c r="AR91"/>
      <c r="AS91" s="71" t="str">
        <f t="shared" si="44"/>
        <v/>
      </c>
      <c r="AT91" s="71" t="str">
        <f t="shared" si="44"/>
        <v/>
      </c>
      <c r="AU91" s="71" t="str">
        <f t="shared" si="44"/>
        <v/>
      </c>
      <c r="AV91" s="71" t="str">
        <f t="shared" si="44"/>
        <v/>
      </c>
      <c r="AW91" s="71" t="str">
        <f t="shared" si="44"/>
        <v/>
      </c>
      <c r="AX91" s="71" t="str">
        <f t="shared" si="45"/>
        <v/>
      </c>
      <c r="AY91" s="71" t="str">
        <f t="shared" si="45"/>
        <v/>
      </c>
      <c r="AZ91" s="71" t="str">
        <f t="shared" si="45"/>
        <v/>
      </c>
      <c r="BA91" s="71" t="str">
        <f t="shared" si="45"/>
        <v/>
      </c>
      <c r="BB91" s="71" t="str">
        <f t="shared" si="45"/>
        <v/>
      </c>
      <c r="BC91" s="18" t="str">
        <f>IF(C91&lt;&gt;"",(('Data input'!C$109-'Data input'!C$108)*(AS91-1)/4)+'Data input'!C$108,"")</f>
        <v/>
      </c>
      <c r="BD91" s="18" t="str">
        <f>IF(D91&lt;&gt;"",(('Data input'!D$109-'Data input'!D$108)*(AT91-1)/4)+'Data input'!D$108,"")</f>
        <v/>
      </c>
      <c r="BE91" s="18" t="str">
        <f>IF(E91&lt;&gt;"",(('Data input'!E$109-'Data input'!E$108)*(AU91-1)/4)+'Data input'!E$108,"")</f>
        <v/>
      </c>
      <c r="BF91" s="18" t="str">
        <f>IF(F91&lt;&gt;"",(('Data input'!F$109-'Data input'!F$108)*(AV91-1)/4)+'Data input'!F$108,"")</f>
        <v/>
      </c>
      <c r="BG91" s="18" t="str">
        <f>IF(G91&lt;&gt;"",(('Data input'!G$109-'Data input'!G$108)*(AW91-1)/4)+'Data input'!G$108,"")</f>
        <v/>
      </c>
      <c r="BH91" s="19" t="str">
        <f>IF(H91&lt;&gt;"",(('Data input'!H$109-'Data input'!H$108)*(AX91-1)/4)+'Data input'!H$108,"")</f>
        <v/>
      </c>
      <c r="BI91" s="18" t="str">
        <f>IF(I91&lt;&gt;"",(('Data input'!I$109-'Data input'!I$108)*(AY91-1)/4)+'Data input'!I$108,"")</f>
        <v/>
      </c>
      <c r="BJ91" s="19" t="str">
        <f>IF(J91&lt;&gt;"",(('Data input'!J$109-'Data input'!J$108)*(AZ91-1)/4)+'Data input'!J$108,"")</f>
        <v/>
      </c>
      <c r="BK91" s="19" t="str">
        <f>IF(K91&lt;&gt;"",(('Data input'!K$109-'Data input'!K$108)*(BA91-1)/4)+'Data input'!K$108,"")</f>
        <v/>
      </c>
      <c r="BL91" s="19" t="str">
        <f>IF(L91&lt;&gt;"",(('Data input'!L$109-'Data input'!L$108)*(BB91-1)/4)+'Data input'!L$108,"")</f>
        <v/>
      </c>
      <c r="BM91" s="18" t="str">
        <f>IF(C91&lt;&gt;"",BC91-'Data input'!C91,"")</f>
        <v/>
      </c>
      <c r="BN91" s="18" t="str">
        <f>IF(D91&lt;&gt;"",BD91-'Data input'!D91,"")</f>
        <v/>
      </c>
      <c r="BO91" s="18" t="str">
        <f>IF(E91&lt;&gt;"",BE91-'Data input'!E91,"")</f>
        <v/>
      </c>
      <c r="BP91" s="18" t="str">
        <f>IF(F91&lt;&gt;"",BF91-'Data input'!F91,"")</f>
        <v/>
      </c>
      <c r="BQ91" s="18" t="str">
        <f>IF(G91&lt;&gt;"",BG91-'Data input'!G91,"")</f>
        <v/>
      </c>
      <c r="BR91" s="19" t="str">
        <f>IF(H91&lt;&gt;"",BH91-'Data input'!H91,"")</f>
        <v/>
      </c>
      <c r="BS91" s="18" t="str">
        <f>IF(I91&lt;&gt;"",BI91-'Data input'!I91,"")</f>
        <v/>
      </c>
      <c r="BT91" s="18" t="str">
        <f>IF(J91&lt;&gt;"",BJ91-'Data input'!J91,"")</f>
        <v/>
      </c>
      <c r="BU91" s="18" t="str">
        <f>IF(K91&lt;&gt;"",BK91-'Data input'!K91,"")</f>
        <v/>
      </c>
      <c r="BV91" s="72" t="str">
        <f>IF(L91&lt;&gt;"",BL91-'Data input'!L91,"")</f>
        <v/>
      </c>
      <c r="BW91" s="121" t="str">
        <f t="shared" si="49"/>
        <v/>
      </c>
      <c r="FT91" s="1" t="str">
        <f t="shared" si="57"/>
        <v/>
      </c>
      <c r="FU91" s="1" t="str">
        <f t="shared" si="55"/>
        <v/>
      </c>
      <c r="FV91" s="1" t="str">
        <f t="shared" si="55"/>
        <v/>
      </c>
      <c r="FW91" s="1" t="str">
        <f t="shared" si="55"/>
        <v/>
      </c>
      <c r="FX91" s="1" t="str">
        <f t="shared" si="55"/>
        <v/>
      </c>
      <c r="FY91" s="1" t="str">
        <f t="shared" si="55"/>
        <v/>
      </c>
      <c r="FZ91" s="1" t="str">
        <f t="shared" si="55"/>
        <v/>
      </c>
      <c r="GA91" s="1" t="str">
        <f t="shared" si="55"/>
        <v/>
      </c>
      <c r="GB91" s="1" t="str">
        <f t="shared" si="55"/>
        <v/>
      </c>
      <c r="GC91" s="1" t="str">
        <f t="shared" si="55"/>
        <v/>
      </c>
      <c r="GD91" s="1" t="str">
        <f t="shared" si="55"/>
        <v/>
      </c>
      <c r="GE91" s="1" t="str">
        <f t="shared" si="55"/>
        <v/>
      </c>
      <c r="GF91" s="1" t="str">
        <f t="shared" si="55"/>
        <v/>
      </c>
      <c r="GG91" s="1" t="str">
        <f t="shared" si="55"/>
        <v/>
      </c>
      <c r="GH91" s="1" t="str">
        <f t="shared" si="55"/>
        <v/>
      </c>
      <c r="GI91" s="1" t="str">
        <f t="shared" si="55"/>
        <v/>
      </c>
      <c r="GJ91" s="1" t="str">
        <f t="shared" si="51"/>
        <v/>
      </c>
      <c r="GK91" s="1" t="str">
        <f t="shared" si="51"/>
        <v/>
      </c>
      <c r="GL91" s="1" t="str">
        <f t="shared" si="51"/>
        <v/>
      </c>
      <c r="GM91" s="1" t="str">
        <f t="shared" si="51"/>
        <v/>
      </c>
      <c r="GN91" s="1" t="str">
        <f t="shared" si="51"/>
        <v/>
      </c>
      <c r="GO91" s="1" t="str">
        <f t="shared" si="51"/>
        <v/>
      </c>
      <c r="GP91" s="1" t="str">
        <f t="shared" si="51"/>
        <v/>
      </c>
      <c r="GQ91" s="1" t="str">
        <f t="shared" si="51"/>
        <v/>
      </c>
      <c r="GR91" s="1" t="str">
        <f t="shared" si="51"/>
        <v/>
      </c>
      <c r="GS91" s="1" t="str">
        <f t="shared" si="51"/>
        <v/>
      </c>
      <c r="GT91" s="1" t="str">
        <f t="shared" si="50"/>
        <v/>
      </c>
      <c r="GU91" s="1" t="str">
        <f t="shared" si="50"/>
        <v/>
      </c>
      <c r="GV91" s="1" t="str">
        <f t="shared" si="50"/>
        <v/>
      </c>
      <c r="GW91" s="1" t="str">
        <f t="shared" si="50"/>
        <v/>
      </c>
      <c r="GX91" s="1" t="str">
        <f t="shared" si="50"/>
        <v/>
      </c>
      <c r="GY91" s="1" t="str">
        <f t="shared" si="50"/>
        <v/>
      </c>
      <c r="GZ91" s="1" t="str">
        <f t="shared" si="50"/>
        <v/>
      </c>
      <c r="HA91" s="1" t="str">
        <f t="shared" si="50"/>
        <v/>
      </c>
      <c r="HB91" s="1" t="str">
        <f t="shared" si="50"/>
        <v/>
      </c>
      <c r="HC91" s="1" t="str">
        <f t="shared" si="50"/>
        <v/>
      </c>
      <c r="HD91" s="1" t="str">
        <f t="shared" si="50"/>
        <v/>
      </c>
      <c r="HE91" s="1" t="str">
        <f t="shared" si="50"/>
        <v/>
      </c>
      <c r="HF91" s="1" t="str">
        <f t="shared" si="50"/>
        <v/>
      </c>
      <c r="HG91" s="1" t="str">
        <f t="shared" si="50"/>
        <v/>
      </c>
      <c r="HH91" s="1" t="str">
        <f t="shared" si="50"/>
        <v/>
      </c>
      <c r="HI91" s="1" t="str">
        <f t="shared" si="50"/>
        <v/>
      </c>
      <c r="HJ91" s="1" t="str">
        <f t="shared" si="58"/>
        <v/>
      </c>
      <c r="HK91" s="1" t="str">
        <f t="shared" si="58"/>
        <v/>
      </c>
      <c r="HL91" s="1" t="str">
        <f t="shared" si="58"/>
        <v/>
      </c>
      <c r="HM91" s="1" t="str">
        <f t="shared" si="58"/>
        <v/>
      </c>
      <c r="HN91" s="1" t="str">
        <f t="shared" si="58"/>
        <v/>
      </c>
      <c r="HO91" s="1" t="str">
        <f t="shared" si="52"/>
        <v/>
      </c>
      <c r="HP91" s="1" t="str">
        <f t="shared" si="47"/>
        <v/>
      </c>
      <c r="HQ91" s="1" t="str">
        <f t="shared" si="47"/>
        <v/>
      </c>
      <c r="HR91" s="1" t="str">
        <f t="shared" si="47"/>
        <v/>
      </c>
      <c r="HS91" s="1" t="str">
        <f t="shared" si="47"/>
        <v/>
      </c>
      <c r="HT91" s="1" t="str">
        <f t="shared" si="47"/>
        <v/>
      </c>
      <c r="HU91" s="1" t="str">
        <f t="shared" si="47"/>
        <v/>
      </c>
      <c r="HV91" s="1" t="str">
        <f t="shared" si="47"/>
        <v/>
      </c>
      <c r="HW91" s="1" t="str">
        <f t="shared" si="47"/>
        <v/>
      </c>
      <c r="HX91" s="1" t="str">
        <f t="shared" si="47"/>
        <v/>
      </c>
      <c r="HY91" s="1" t="str">
        <f t="shared" si="47"/>
        <v/>
      </c>
      <c r="HZ91" s="1" t="str">
        <f t="shared" si="47"/>
        <v/>
      </c>
      <c r="IA91" s="1" t="str">
        <f t="shared" si="47"/>
        <v/>
      </c>
      <c r="IB91" s="1" t="str">
        <f t="shared" si="47"/>
        <v/>
      </c>
      <c r="IC91" s="1" t="str">
        <f t="shared" si="47"/>
        <v/>
      </c>
      <c r="ID91" s="1" t="str">
        <f t="shared" si="47"/>
        <v/>
      </c>
      <c r="IE91" s="1" t="str">
        <f t="shared" ref="IE91:IE102" si="59">IF(EI91&gt;0.0001,CONCATENATE(EI$2,"; "),"")</f>
        <v/>
      </c>
      <c r="IF91" s="1" t="str">
        <f t="shared" si="56"/>
        <v/>
      </c>
      <c r="IG91" s="1" t="str">
        <f t="shared" si="56"/>
        <v/>
      </c>
      <c r="IH91" s="1" t="str">
        <f t="shared" si="53"/>
        <v/>
      </c>
      <c r="II91" s="1" t="str">
        <f t="shared" si="53"/>
        <v/>
      </c>
      <c r="IJ91" s="1" t="str">
        <f t="shared" si="53"/>
        <v/>
      </c>
      <c r="IK91" s="1" t="str">
        <f t="shared" si="53"/>
        <v/>
      </c>
      <c r="IL91" s="1" t="str">
        <f t="shared" si="53"/>
        <v/>
      </c>
      <c r="IM91" s="1" t="str">
        <f t="shared" si="53"/>
        <v/>
      </c>
      <c r="IN91" s="1" t="str">
        <f t="shared" si="53"/>
        <v/>
      </c>
      <c r="IO91" s="1" t="str">
        <f t="shared" si="53"/>
        <v/>
      </c>
      <c r="IP91" s="1" t="str">
        <f t="shared" si="53"/>
        <v/>
      </c>
      <c r="IQ91" s="1" t="str">
        <f t="shared" si="53"/>
        <v/>
      </c>
      <c r="IR91" s="1" t="str">
        <f t="shared" si="53"/>
        <v/>
      </c>
      <c r="IS91" s="1" t="str">
        <f t="shared" si="53"/>
        <v/>
      </c>
      <c r="IT91" s="1" t="str">
        <f t="shared" si="53"/>
        <v/>
      </c>
      <c r="IU91" s="1" t="str">
        <f t="shared" si="53"/>
        <v/>
      </c>
      <c r="IV91" s="1" t="str">
        <f t="shared" si="53"/>
        <v/>
      </c>
      <c r="IW91" s="1" t="str">
        <f t="shared" si="53"/>
        <v/>
      </c>
      <c r="IX91" s="1" t="str">
        <f t="shared" si="54"/>
        <v/>
      </c>
      <c r="IY91" s="1" t="str">
        <f t="shared" si="54"/>
        <v/>
      </c>
      <c r="IZ91" s="1" t="str">
        <f t="shared" si="54"/>
        <v/>
      </c>
      <c r="JA91" s="1" t="str">
        <f t="shared" si="54"/>
        <v/>
      </c>
      <c r="JB91" s="1" t="str">
        <f t="shared" si="54"/>
        <v/>
      </c>
      <c r="JC91" s="1" t="str">
        <f t="shared" si="43"/>
        <v/>
      </c>
      <c r="JD91" s="1" t="str">
        <f t="shared" si="43"/>
        <v/>
      </c>
      <c r="JE91" s="1" t="str">
        <f t="shared" si="43"/>
        <v/>
      </c>
      <c r="JF91" s="1" t="str">
        <f t="shared" si="43"/>
        <v/>
      </c>
      <c r="JG91" s="1" t="str">
        <f t="shared" si="37"/>
        <v/>
      </c>
      <c r="JH91" s="1" t="str">
        <f t="shared" si="37"/>
        <v/>
      </c>
      <c r="JI91" s="1" t="str">
        <f t="shared" si="37"/>
        <v/>
      </c>
      <c r="JJ91" s="1" t="str">
        <f t="shared" si="30"/>
        <v/>
      </c>
      <c r="JK91" s="1" t="str">
        <f t="shared" si="30"/>
        <v/>
      </c>
      <c r="JL91" s="1" t="str">
        <f t="shared" si="30"/>
        <v/>
      </c>
      <c r="JM91" s="1" t="str">
        <f t="shared" si="30"/>
        <v/>
      </c>
      <c r="JN91" s="1" t="str">
        <f t="shared" si="30"/>
        <v/>
      </c>
      <c r="JO91" s="1" t="str">
        <f t="shared" si="30"/>
        <v/>
      </c>
    </row>
    <row r="92" spans="1:275" ht="14.5" x14ac:dyDescent="0.35">
      <c r="A92" s="59" t="str">
        <f>IF('Data input'!A92&lt;&gt;"",'Data input'!A92,"")</f>
        <v/>
      </c>
      <c r="B92" s="15" t="str">
        <f>IF('Data input'!B92&lt;&gt;"",'Data input'!B92,"")</f>
        <v/>
      </c>
      <c r="C92" s="16" t="str">
        <f>IF('Data input'!C92="","",4*('Data input'!C92-'Data input'!C$108)/('Data input'!C$109-'Data input'!C$108)+1)</f>
        <v/>
      </c>
      <c r="D92" s="16" t="str">
        <f>IF('Data input'!D92="","",4*('Data input'!D92-'Data input'!D$108)/('Data input'!D$109-'Data input'!D$108)+1)</f>
        <v/>
      </c>
      <c r="E92" s="16" t="str">
        <f>IF('Data input'!E92="","",4*('Data input'!E92-'Data input'!E$108)/('Data input'!E$109-'Data input'!E$108)+1)</f>
        <v/>
      </c>
      <c r="F92" s="16" t="str">
        <f>IF('Data input'!F92="","",4*('Data input'!F92-'Data input'!F$108)/('Data input'!F$109-'Data input'!F$108)+1)</f>
        <v/>
      </c>
      <c r="G92" s="16" t="str">
        <f>IF('Data input'!G92="","",4*('Data input'!G92-'Data input'!G$108)/('Data input'!G$109-'Data input'!G$108)+1)</f>
        <v/>
      </c>
      <c r="H92" s="16" t="str">
        <f>IF('Data input'!H92="","",4*('Data input'!H92-'Data input'!H$108)/('Data input'!H$109-'Data input'!H$108)+1)</f>
        <v/>
      </c>
      <c r="I92" s="19" t="str">
        <f>IF('Data input'!I92="","",4*('Data input'!I92-'Data input'!I$108)/('Data input'!I$109-'Data input'!I$108)+1)</f>
        <v/>
      </c>
      <c r="J92" s="19" t="str">
        <f>IF('Data input'!J92="","",4*('Data input'!J92-'Data input'!J$108)/('Data input'!J$109-'Data input'!J$108)+1)</f>
        <v/>
      </c>
      <c r="K92" s="19" t="str">
        <f>IF('Data input'!K92="","",4*('Data input'!K92-'Data input'!K$108)/('Data input'!K$109-'Data input'!K$108)+1)</f>
        <v/>
      </c>
      <c r="L92" s="19" t="str">
        <f>IF('Data input'!L92="","",4*('Data input'!L92-'Data input'!L$108)/('Data input'!L$109-'Data input'!L$108)+1)</f>
        <v/>
      </c>
      <c r="M92" s="16" t="str">
        <f>IF('Data input'!M92="","",4*('Data input'!M92-'Data input'!M$108)/('Data input'!M$109-'Data input'!M$108)+1)</f>
        <v/>
      </c>
      <c r="N92" s="16" t="str">
        <f>IF('Data input'!N92="","",4*('Data input'!N92-'Data input'!N$108)/('Data input'!N$109-'Data input'!N$108)+1)</f>
        <v/>
      </c>
      <c r="O92" s="16" t="str">
        <f>IF('Data input'!O92="","",4*('Data input'!O92-'Data input'!O$108)/('Data input'!O$109-'Data input'!O$108)+1)</f>
        <v/>
      </c>
      <c r="P92" s="16" t="str">
        <f>IF('Data input'!P92="","",4*('Data input'!P92-'Data input'!P$108)/('Data input'!P$109-'Data input'!P$108)+1)</f>
        <v/>
      </c>
      <c r="Q92" s="16" t="str">
        <f>IF('Data input'!Q92="","",4*('Data input'!Q92-'Data input'!Q$108)/('Data input'!Q$109-'Data input'!Q$108)+1)</f>
        <v/>
      </c>
      <c r="R92" s="16" t="str">
        <f>IF('Data input'!R92="","",4*('Data input'!R92-'Data input'!R$108)/('Data input'!R$109-'Data input'!R$108)+1)</f>
        <v/>
      </c>
      <c r="S92" s="16" t="str">
        <f>IF('Data input'!S92="","",4*('Data input'!S92-'Data input'!S$108)/('Data input'!S$109-'Data input'!S$108)+1)</f>
        <v/>
      </c>
      <c r="T92" s="16" t="str">
        <f>IF('Data input'!T92="","",4*('Data input'!T92-'Data input'!T$108)/('Data input'!T$109-'Data input'!T$108)+1)</f>
        <v/>
      </c>
      <c r="U92" s="16" t="str">
        <f>IF('Data input'!U92="","",4*('Data input'!U92-'Data input'!U$108)/('Data input'!U$109-'Data input'!U$108)+1)</f>
        <v/>
      </c>
      <c r="V92" s="16" t="str">
        <f>IF('Data input'!V92="","",4*('Data input'!V92-'Data input'!V$108)/('Data input'!V$109-'Data input'!V$108)+1)</f>
        <v/>
      </c>
      <c r="W92" s="16" t="str">
        <f>IF('Data input'!W92="","",4*('Data input'!W92-'Data input'!W$108)/('Data input'!W$109-'Data input'!W$108)+1)</f>
        <v/>
      </c>
      <c r="X92" s="16" t="str">
        <f>IF('Data input'!X92="","",4*('Data input'!X92-'Data input'!X$108)/('Data input'!X$109-'Data input'!X$108)+1)</f>
        <v/>
      </c>
      <c r="Y92" s="16" t="str">
        <f>IF('Data input'!Y92="","",4*('Data input'!Y92-'Data input'!Y$108)/('Data input'!Y$109-'Data input'!Y$108)+1)</f>
        <v/>
      </c>
      <c r="Z92" s="16" t="str">
        <f>IF('Data input'!Z92="","",4*('Data input'!Z92-'Data input'!Z$108)/('Data input'!Z$109-'Data input'!Z$108)+1)</f>
        <v/>
      </c>
      <c r="AA92" s="62" t="str">
        <f>IF('Data input'!AA92="","",4*('Data input'!AA92-'Data input'!AA$108)/('Data input'!AA$109-'Data input'!AA$108)+1)</f>
        <v/>
      </c>
      <c r="AB92" s="78"/>
      <c r="AC92" s="79">
        <v>0</v>
      </c>
      <c r="AD92" s="80" t="e">
        <f t="shared" si="48"/>
        <v>#DIV/0!</v>
      </c>
      <c r="AE92" s="4"/>
      <c r="AF92" s="59" t="str">
        <f t="shared" si="40"/>
        <v/>
      </c>
      <c r="AG92" s="60" t="str">
        <f t="shared" si="40"/>
        <v/>
      </c>
      <c r="AH92"/>
      <c r="AI92"/>
      <c r="AJ92"/>
      <c r="AK92"/>
      <c r="AL92"/>
      <c r="AM92"/>
      <c r="AN92"/>
      <c r="AO92"/>
      <c r="AP92"/>
      <c r="AQ92"/>
      <c r="AR92"/>
      <c r="AS92" s="71" t="str">
        <f t="shared" si="44"/>
        <v/>
      </c>
      <c r="AT92" s="71" t="str">
        <f t="shared" si="44"/>
        <v/>
      </c>
      <c r="AU92" s="71" t="str">
        <f t="shared" si="44"/>
        <v/>
      </c>
      <c r="AV92" s="71" t="str">
        <f t="shared" si="44"/>
        <v/>
      </c>
      <c r="AW92" s="71" t="str">
        <f t="shared" si="44"/>
        <v/>
      </c>
      <c r="AX92" s="71" t="str">
        <f t="shared" si="45"/>
        <v/>
      </c>
      <c r="AY92" s="71" t="str">
        <f t="shared" si="45"/>
        <v/>
      </c>
      <c r="AZ92" s="71" t="str">
        <f t="shared" si="45"/>
        <v/>
      </c>
      <c r="BA92" s="71" t="str">
        <f t="shared" si="45"/>
        <v/>
      </c>
      <c r="BB92" s="71" t="str">
        <f t="shared" si="45"/>
        <v/>
      </c>
      <c r="BC92" s="18" t="str">
        <f>IF(C92&lt;&gt;"",(('Data input'!C$109-'Data input'!C$108)*(AS92-1)/4)+'Data input'!C$108,"")</f>
        <v/>
      </c>
      <c r="BD92" s="18" t="str">
        <f>IF(D92&lt;&gt;"",(('Data input'!D$109-'Data input'!D$108)*(AT92-1)/4)+'Data input'!D$108,"")</f>
        <v/>
      </c>
      <c r="BE92" s="18" t="str">
        <f>IF(E92&lt;&gt;"",(('Data input'!E$109-'Data input'!E$108)*(AU92-1)/4)+'Data input'!E$108,"")</f>
        <v/>
      </c>
      <c r="BF92" s="18" t="str">
        <f>IF(F92&lt;&gt;"",(('Data input'!F$109-'Data input'!F$108)*(AV92-1)/4)+'Data input'!F$108,"")</f>
        <v/>
      </c>
      <c r="BG92" s="18" t="str">
        <f>IF(G92&lt;&gt;"",(('Data input'!G$109-'Data input'!G$108)*(AW92-1)/4)+'Data input'!G$108,"")</f>
        <v/>
      </c>
      <c r="BH92" s="19" t="str">
        <f>IF(H92&lt;&gt;"",(('Data input'!H$109-'Data input'!H$108)*(AX92-1)/4)+'Data input'!H$108,"")</f>
        <v/>
      </c>
      <c r="BI92" s="18" t="str">
        <f>IF(I92&lt;&gt;"",(('Data input'!I$109-'Data input'!I$108)*(AY92-1)/4)+'Data input'!I$108,"")</f>
        <v/>
      </c>
      <c r="BJ92" s="19" t="str">
        <f>IF(J92&lt;&gt;"",(('Data input'!J$109-'Data input'!J$108)*(AZ92-1)/4)+'Data input'!J$108,"")</f>
        <v/>
      </c>
      <c r="BK92" s="19" t="str">
        <f>IF(K92&lt;&gt;"",(('Data input'!K$109-'Data input'!K$108)*(BA92-1)/4)+'Data input'!K$108,"")</f>
        <v/>
      </c>
      <c r="BL92" s="19" t="str">
        <f>IF(L92&lt;&gt;"",(('Data input'!L$109-'Data input'!L$108)*(BB92-1)/4)+'Data input'!L$108,"")</f>
        <v/>
      </c>
      <c r="BM92" s="18" t="str">
        <f>IF(C92&lt;&gt;"",BC92-'Data input'!C92,"")</f>
        <v/>
      </c>
      <c r="BN92" s="18" t="str">
        <f>IF(D92&lt;&gt;"",BD92-'Data input'!D92,"")</f>
        <v/>
      </c>
      <c r="BO92" s="18" t="str">
        <f>IF(E92&lt;&gt;"",BE92-'Data input'!E92,"")</f>
        <v/>
      </c>
      <c r="BP92" s="18" t="str">
        <f>IF(F92&lt;&gt;"",BF92-'Data input'!F92,"")</f>
        <v/>
      </c>
      <c r="BQ92" s="18" t="str">
        <f>IF(G92&lt;&gt;"",BG92-'Data input'!G92,"")</f>
        <v/>
      </c>
      <c r="BR92" s="19" t="str">
        <f>IF(H92&lt;&gt;"",BH92-'Data input'!H92,"")</f>
        <v/>
      </c>
      <c r="BS92" s="18" t="str">
        <f>IF(I92&lt;&gt;"",BI92-'Data input'!I92,"")</f>
        <v/>
      </c>
      <c r="BT92" s="18" t="str">
        <f>IF(J92&lt;&gt;"",BJ92-'Data input'!J92,"")</f>
        <v/>
      </c>
      <c r="BU92" s="18" t="str">
        <f>IF(K92&lt;&gt;"",BK92-'Data input'!K92,"")</f>
        <v/>
      </c>
      <c r="BV92" s="72" t="str">
        <f>IF(L92&lt;&gt;"",BL92-'Data input'!L92,"")</f>
        <v/>
      </c>
      <c r="BW92" s="121" t="str">
        <f t="shared" si="49"/>
        <v/>
      </c>
      <c r="FT92" s="1" t="str">
        <f t="shared" si="57"/>
        <v/>
      </c>
      <c r="FU92" s="1" t="str">
        <f t="shared" si="55"/>
        <v/>
      </c>
      <c r="FV92" s="1" t="str">
        <f t="shared" si="55"/>
        <v/>
      </c>
      <c r="FW92" s="1" t="str">
        <f t="shared" si="55"/>
        <v/>
      </c>
      <c r="FX92" s="1" t="str">
        <f t="shared" si="55"/>
        <v/>
      </c>
      <c r="FY92" s="1" t="str">
        <f t="shared" si="55"/>
        <v/>
      </c>
      <c r="FZ92" s="1" t="str">
        <f t="shared" si="55"/>
        <v/>
      </c>
      <c r="GA92" s="1" t="str">
        <f t="shared" si="55"/>
        <v/>
      </c>
      <c r="GB92" s="1" t="str">
        <f t="shared" si="55"/>
        <v/>
      </c>
      <c r="GC92" s="1" t="str">
        <f t="shared" si="55"/>
        <v/>
      </c>
      <c r="GD92" s="1" t="str">
        <f t="shared" si="55"/>
        <v/>
      </c>
      <c r="GE92" s="1" t="str">
        <f t="shared" si="55"/>
        <v/>
      </c>
      <c r="GF92" s="1" t="str">
        <f t="shared" si="55"/>
        <v/>
      </c>
      <c r="GG92" s="1" t="str">
        <f t="shared" si="55"/>
        <v/>
      </c>
      <c r="GH92" s="1" t="str">
        <f t="shared" si="55"/>
        <v/>
      </c>
      <c r="GI92" s="1" t="str">
        <f t="shared" si="55"/>
        <v/>
      </c>
      <c r="GJ92" s="1" t="str">
        <f t="shared" si="51"/>
        <v/>
      </c>
      <c r="GK92" s="1" t="str">
        <f t="shared" si="51"/>
        <v/>
      </c>
      <c r="GL92" s="1" t="str">
        <f t="shared" si="51"/>
        <v/>
      </c>
      <c r="GM92" s="1" t="str">
        <f t="shared" si="51"/>
        <v/>
      </c>
      <c r="GN92" s="1" t="str">
        <f t="shared" si="51"/>
        <v/>
      </c>
      <c r="GO92" s="1" t="str">
        <f t="shared" si="51"/>
        <v/>
      </c>
      <c r="GP92" s="1" t="str">
        <f t="shared" si="51"/>
        <v/>
      </c>
      <c r="GQ92" s="1" t="str">
        <f t="shared" si="51"/>
        <v/>
      </c>
      <c r="GR92" s="1" t="str">
        <f t="shared" si="51"/>
        <v/>
      </c>
      <c r="GS92" s="1" t="str">
        <f t="shared" si="51"/>
        <v/>
      </c>
      <c r="GT92" s="1" t="str">
        <f t="shared" si="50"/>
        <v/>
      </c>
      <c r="GU92" s="1" t="str">
        <f t="shared" si="50"/>
        <v/>
      </c>
      <c r="GV92" s="1" t="str">
        <f t="shared" si="50"/>
        <v/>
      </c>
      <c r="GW92" s="1" t="str">
        <f t="shared" si="50"/>
        <v/>
      </c>
      <c r="GX92" s="1" t="str">
        <f t="shared" si="50"/>
        <v/>
      </c>
      <c r="GY92" s="1" t="str">
        <f t="shared" si="50"/>
        <v/>
      </c>
      <c r="GZ92" s="1" t="str">
        <f t="shared" si="50"/>
        <v/>
      </c>
      <c r="HA92" s="1" t="str">
        <f t="shared" si="50"/>
        <v/>
      </c>
      <c r="HB92" s="1" t="str">
        <f t="shared" si="50"/>
        <v/>
      </c>
      <c r="HC92" s="1" t="str">
        <f t="shared" si="50"/>
        <v/>
      </c>
      <c r="HD92" s="1" t="str">
        <f t="shared" si="50"/>
        <v/>
      </c>
      <c r="HE92" s="1" t="str">
        <f t="shared" si="50"/>
        <v/>
      </c>
      <c r="HF92" s="1" t="str">
        <f t="shared" si="50"/>
        <v/>
      </c>
      <c r="HG92" s="1" t="str">
        <f t="shared" si="50"/>
        <v/>
      </c>
      <c r="HH92" s="1" t="str">
        <f t="shared" si="50"/>
        <v/>
      </c>
      <c r="HI92" s="1" t="str">
        <f t="shared" si="50"/>
        <v/>
      </c>
      <c r="HJ92" s="1" t="str">
        <f t="shared" si="58"/>
        <v/>
      </c>
      <c r="HK92" s="1" t="str">
        <f t="shared" si="58"/>
        <v/>
      </c>
      <c r="HL92" s="1" t="str">
        <f t="shared" si="58"/>
        <v/>
      </c>
      <c r="HM92" s="1" t="str">
        <f t="shared" si="58"/>
        <v/>
      </c>
      <c r="HN92" s="1" t="str">
        <f t="shared" si="58"/>
        <v/>
      </c>
      <c r="HO92" s="1" t="str">
        <f t="shared" si="52"/>
        <v/>
      </c>
      <c r="HP92" s="1" t="str">
        <f t="shared" si="52"/>
        <v/>
      </c>
      <c r="HQ92" s="1" t="str">
        <f t="shared" si="52"/>
        <v/>
      </c>
      <c r="HR92" s="1" t="str">
        <f t="shared" si="52"/>
        <v/>
      </c>
      <c r="HS92" s="1" t="str">
        <f t="shared" si="52"/>
        <v/>
      </c>
      <c r="HT92" s="1" t="str">
        <f t="shared" si="52"/>
        <v/>
      </c>
      <c r="HU92" s="1" t="str">
        <f t="shared" si="52"/>
        <v/>
      </c>
      <c r="HV92" s="1" t="str">
        <f t="shared" si="52"/>
        <v/>
      </c>
      <c r="HW92" s="1" t="str">
        <f t="shared" si="52"/>
        <v/>
      </c>
      <c r="HX92" s="1" t="str">
        <f t="shared" si="52"/>
        <v/>
      </c>
      <c r="HY92" s="1" t="str">
        <f t="shared" si="52"/>
        <v/>
      </c>
      <c r="HZ92" s="1" t="str">
        <f t="shared" si="52"/>
        <v/>
      </c>
      <c r="IA92" s="1" t="str">
        <f t="shared" si="52"/>
        <v/>
      </c>
      <c r="IB92" s="1" t="str">
        <f t="shared" si="52"/>
        <v/>
      </c>
      <c r="IC92" s="1" t="str">
        <f t="shared" si="52"/>
        <v/>
      </c>
      <c r="ID92" s="1" t="str">
        <f t="shared" si="52"/>
        <v/>
      </c>
      <c r="IE92" s="1" t="str">
        <f t="shared" si="59"/>
        <v/>
      </c>
      <c r="IF92" s="1" t="str">
        <f t="shared" si="56"/>
        <v/>
      </c>
      <c r="IG92" s="1" t="str">
        <f t="shared" si="56"/>
        <v/>
      </c>
      <c r="IH92" s="1" t="str">
        <f t="shared" si="53"/>
        <v/>
      </c>
      <c r="II92" s="1" t="str">
        <f t="shared" si="53"/>
        <v/>
      </c>
      <c r="IJ92" s="1" t="str">
        <f t="shared" si="53"/>
        <v/>
      </c>
      <c r="IK92" s="1" t="str">
        <f t="shared" si="53"/>
        <v/>
      </c>
      <c r="IL92" s="1" t="str">
        <f t="shared" si="53"/>
        <v/>
      </c>
      <c r="IM92" s="1" t="str">
        <f t="shared" si="53"/>
        <v/>
      </c>
      <c r="IN92" s="1" t="str">
        <f t="shared" si="53"/>
        <v/>
      </c>
      <c r="IO92" s="1" t="str">
        <f t="shared" si="53"/>
        <v/>
      </c>
      <c r="IP92" s="1" t="str">
        <f t="shared" si="53"/>
        <v/>
      </c>
      <c r="IQ92" s="1" t="str">
        <f t="shared" si="53"/>
        <v/>
      </c>
      <c r="IR92" s="1" t="str">
        <f t="shared" si="53"/>
        <v/>
      </c>
      <c r="IS92" s="1" t="str">
        <f t="shared" si="53"/>
        <v/>
      </c>
      <c r="IT92" s="1" t="str">
        <f t="shared" si="53"/>
        <v/>
      </c>
      <c r="IU92" s="1" t="str">
        <f t="shared" si="53"/>
        <v/>
      </c>
      <c r="IV92" s="1" t="str">
        <f t="shared" si="53"/>
        <v/>
      </c>
      <c r="IW92" s="1" t="str">
        <f t="shared" si="53"/>
        <v/>
      </c>
      <c r="IX92" s="1" t="str">
        <f t="shared" si="54"/>
        <v/>
      </c>
      <c r="IY92" s="1" t="str">
        <f t="shared" si="54"/>
        <v/>
      </c>
      <c r="IZ92" s="1" t="str">
        <f t="shared" si="54"/>
        <v/>
      </c>
      <c r="JA92" s="1" t="str">
        <f t="shared" si="54"/>
        <v/>
      </c>
      <c r="JB92" s="1" t="str">
        <f t="shared" si="54"/>
        <v/>
      </c>
      <c r="JC92" s="1" t="str">
        <f t="shared" si="43"/>
        <v/>
      </c>
      <c r="JD92" s="1" t="str">
        <f t="shared" si="43"/>
        <v/>
      </c>
      <c r="JE92" s="1" t="str">
        <f t="shared" si="43"/>
        <v/>
      </c>
      <c r="JF92" s="1" t="str">
        <f t="shared" si="43"/>
        <v/>
      </c>
      <c r="JG92" s="1" t="str">
        <f t="shared" si="37"/>
        <v/>
      </c>
      <c r="JH92" s="1" t="str">
        <f t="shared" si="37"/>
        <v/>
      </c>
      <c r="JI92" s="1" t="str">
        <f t="shared" si="37"/>
        <v/>
      </c>
      <c r="JJ92" s="1" t="str">
        <f t="shared" si="30"/>
        <v/>
      </c>
      <c r="JK92" s="1" t="str">
        <f t="shared" si="30"/>
        <v/>
      </c>
      <c r="JL92" s="1" t="str">
        <f t="shared" si="30"/>
        <v/>
      </c>
      <c r="JM92" s="1" t="str">
        <f t="shared" si="30"/>
        <v/>
      </c>
      <c r="JN92" s="1" t="str">
        <f t="shared" si="30"/>
        <v/>
      </c>
      <c r="JO92" s="1" t="str">
        <f t="shared" si="30"/>
        <v/>
      </c>
    </row>
    <row r="93" spans="1:275" ht="14.5" x14ac:dyDescent="0.35">
      <c r="A93" s="59" t="str">
        <f>IF('Data input'!A93&lt;&gt;"",'Data input'!A93,"")</f>
        <v/>
      </c>
      <c r="B93" s="15" t="str">
        <f>IF('Data input'!B93&lt;&gt;"",'Data input'!B93,"")</f>
        <v/>
      </c>
      <c r="C93" s="16" t="str">
        <f>IF('Data input'!C93="","",4*('Data input'!C93-'Data input'!C$108)/('Data input'!C$109-'Data input'!C$108)+1)</f>
        <v/>
      </c>
      <c r="D93" s="16" t="str">
        <f>IF('Data input'!D93="","",4*('Data input'!D93-'Data input'!D$108)/('Data input'!D$109-'Data input'!D$108)+1)</f>
        <v/>
      </c>
      <c r="E93" s="16" t="str">
        <f>IF('Data input'!E93="","",4*('Data input'!E93-'Data input'!E$108)/('Data input'!E$109-'Data input'!E$108)+1)</f>
        <v/>
      </c>
      <c r="F93" s="16" t="str">
        <f>IF('Data input'!F93="","",4*('Data input'!F93-'Data input'!F$108)/('Data input'!F$109-'Data input'!F$108)+1)</f>
        <v/>
      </c>
      <c r="G93" s="16" t="str">
        <f>IF('Data input'!G93="","",4*('Data input'!G93-'Data input'!G$108)/('Data input'!G$109-'Data input'!G$108)+1)</f>
        <v/>
      </c>
      <c r="H93" s="16" t="str">
        <f>IF('Data input'!H93="","",4*('Data input'!H93-'Data input'!H$108)/('Data input'!H$109-'Data input'!H$108)+1)</f>
        <v/>
      </c>
      <c r="I93" s="19" t="str">
        <f>IF('Data input'!I93="","",4*('Data input'!I93-'Data input'!I$108)/('Data input'!I$109-'Data input'!I$108)+1)</f>
        <v/>
      </c>
      <c r="J93" s="19" t="str">
        <f>IF('Data input'!J93="","",4*('Data input'!J93-'Data input'!J$108)/('Data input'!J$109-'Data input'!J$108)+1)</f>
        <v/>
      </c>
      <c r="K93" s="19" t="str">
        <f>IF('Data input'!K93="","",4*('Data input'!K93-'Data input'!K$108)/('Data input'!K$109-'Data input'!K$108)+1)</f>
        <v/>
      </c>
      <c r="L93" s="19" t="str">
        <f>IF('Data input'!L93="","",4*('Data input'!L93-'Data input'!L$108)/('Data input'!L$109-'Data input'!L$108)+1)</f>
        <v/>
      </c>
      <c r="M93" s="16" t="str">
        <f>IF('Data input'!M93="","",4*('Data input'!M93-'Data input'!M$108)/('Data input'!M$109-'Data input'!M$108)+1)</f>
        <v/>
      </c>
      <c r="N93" s="16" t="str">
        <f>IF('Data input'!N93="","",4*('Data input'!N93-'Data input'!N$108)/('Data input'!N$109-'Data input'!N$108)+1)</f>
        <v/>
      </c>
      <c r="O93" s="16" t="str">
        <f>IF('Data input'!O93="","",4*('Data input'!O93-'Data input'!O$108)/('Data input'!O$109-'Data input'!O$108)+1)</f>
        <v/>
      </c>
      <c r="P93" s="16" t="str">
        <f>IF('Data input'!P93="","",4*('Data input'!P93-'Data input'!P$108)/('Data input'!P$109-'Data input'!P$108)+1)</f>
        <v/>
      </c>
      <c r="Q93" s="16" t="str">
        <f>IF('Data input'!Q93="","",4*('Data input'!Q93-'Data input'!Q$108)/('Data input'!Q$109-'Data input'!Q$108)+1)</f>
        <v/>
      </c>
      <c r="R93" s="16" t="str">
        <f>IF('Data input'!R93="","",4*('Data input'!R93-'Data input'!R$108)/('Data input'!R$109-'Data input'!R$108)+1)</f>
        <v/>
      </c>
      <c r="S93" s="16" t="str">
        <f>IF('Data input'!S93="","",4*('Data input'!S93-'Data input'!S$108)/('Data input'!S$109-'Data input'!S$108)+1)</f>
        <v/>
      </c>
      <c r="T93" s="16" t="str">
        <f>IF('Data input'!T93="","",4*('Data input'!T93-'Data input'!T$108)/('Data input'!T$109-'Data input'!T$108)+1)</f>
        <v/>
      </c>
      <c r="U93" s="16" t="str">
        <f>IF('Data input'!U93="","",4*('Data input'!U93-'Data input'!U$108)/('Data input'!U$109-'Data input'!U$108)+1)</f>
        <v/>
      </c>
      <c r="V93" s="16" t="str">
        <f>IF('Data input'!V93="","",4*('Data input'!V93-'Data input'!V$108)/('Data input'!V$109-'Data input'!V$108)+1)</f>
        <v/>
      </c>
      <c r="W93" s="16" t="str">
        <f>IF('Data input'!W93="","",4*('Data input'!W93-'Data input'!W$108)/('Data input'!W$109-'Data input'!W$108)+1)</f>
        <v/>
      </c>
      <c r="X93" s="16" t="str">
        <f>IF('Data input'!X93="","",4*('Data input'!X93-'Data input'!X$108)/('Data input'!X$109-'Data input'!X$108)+1)</f>
        <v/>
      </c>
      <c r="Y93" s="16" t="str">
        <f>IF('Data input'!Y93="","",4*('Data input'!Y93-'Data input'!Y$108)/('Data input'!Y$109-'Data input'!Y$108)+1)</f>
        <v/>
      </c>
      <c r="Z93" s="16" t="str">
        <f>IF('Data input'!Z93="","",4*('Data input'!Z93-'Data input'!Z$108)/('Data input'!Z$109-'Data input'!Z$108)+1)</f>
        <v/>
      </c>
      <c r="AA93" s="62" t="str">
        <f>IF('Data input'!AA93="","",4*('Data input'!AA93-'Data input'!AA$108)/('Data input'!AA$109-'Data input'!AA$108)+1)</f>
        <v/>
      </c>
      <c r="AB93" s="78"/>
      <c r="AC93" s="79">
        <v>0</v>
      </c>
      <c r="AD93" s="80" t="e">
        <f t="shared" si="48"/>
        <v>#DIV/0!</v>
      </c>
      <c r="AE93" s="4"/>
      <c r="AF93" s="59" t="str">
        <f t="shared" si="40"/>
        <v/>
      </c>
      <c r="AG93" s="60" t="str">
        <f t="shared" si="40"/>
        <v/>
      </c>
      <c r="AH93"/>
      <c r="AI93"/>
      <c r="AJ93"/>
      <c r="AK93"/>
      <c r="AL93"/>
      <c r="AM93"/>
      <c r="AN93"/>
      <c r="AO93"/>
      <c r="AP93"/>
      <c r="AQ93"/>
      <c r="AR93"/>
      <c r="AS93" s="71" t="str">
        <f t="shared" si="44"/>
        <v/>
      </c>
      <c r="AT93" s="71" t="str">
        <f t="shared" si="44"/>
        <v/>
      </c>
      <c r="AU93" s="71" t="str">
        <f t="shared" si="44"/>
        <v/>
      </c>
      <c r="AV93" s="71" t="str">
        <f t="shared" si="44"/>
        <v/>
      </c>
      <c r="AW93" s="71" t="str">
        <f t="shared" si="44"/>
        <v/>
      </c>
      <c r="AX93" s="71" t="str">
        <f t="shared" si="45"/>
        <v/>
      </c>
      <c r="AY93" s="71" t="str">
        <f t="shared" si="45"/>
        <v/>
      </c>
      <c r="AZ93" s="71" t="str">
        <f t="shared" si="45"/>
        <v/>
      </c>
      <c r="BA93" s="71" t="str">
        <f t="shared" si="45"/>
        <v/>
      </c>
      <c r="BB93" s="71" t="str">
        <f t="shared" si="45"/>
        <v/>
      </c>
      <c r="BC93" s="18" t="str">
        <f>IF(C93&lt;&gt;"",(('Data input'!C$109-'Data input'!C$108)*(AS93-1)/4)+'Data input'!C$108,"")</f>
        <v/>
      </c>
      <c r="BD93" s="18" t="str">
        <f>IF(D93&lt;&gt;"",(('Data input'!D$109-'Data input'!D$108)*(AT93-1)/4)+'Data input'!D$108,"")</f>
        <v/>
      </c>
      <c r="BE93" s="18" t="str">
        <f>IF(E93&lt;&gt;"",(('Data input'!E$109-'Data input'!E$108)*(AU93-1)/4)+'Data input'!E$108,"")</f>
        <v/>
      </c>
      <c r="BF93" s="18" t="str">
        <f>IF(F93&lt;&gt;"",(('Data input'!F$109-'Data input'!F$108)*(AV93-1)/4)+'Data input'!F$108,"")</f>
        <v/>
      </c>
      <c r="BG93" s="18" t="str">
        <f>IF(G93&lt;&gt;"",(('Data input'!G$109-'Data input'!G$108)*(AW93-1)/4)+'Data input'!G$108,"")</f>
        <v/>
      </c>
      <c r="BH93" s="19" t="str">
        <f>IF(H93&lt;&gt;"",(('Data input'!H$109-'Data input'!H$108)*(AX93-1)/4)+'Data input'!H$108,"")</f>
        <v/>
      </c>
      <c r="BI93" s="18" t="str">
        <f>IF(I93&lt;&gt;"",(('Data input'!I$109-'Data input'!I$108)*(AY93-1)/4)+'Data input'!I$108,"")</f>
        <v/>
      </c>
      <c r="BJ93" s="19" t="str">
        <f>IF(J93&lt;&gt;"",(('Data input'!J$109-'Data input'!J$108)*(AZ93-1)/4)+'Data input'!J$108,"")</f>
        <v/>
      </c>
      <c r="BK93" s="19" t="str">
        <f>IF(K93&lt;&gt;"",(('Data input'!K$109-'Data input'!K$108)*(BA93-1)/4)+'Data input'!K$108,"")</f>
        <v/>
      </c>
      <c r="BL93" s="19" t="str">
        <f>IF(L93&lt;&gt;"",(('Data input'!L$109-'Data input'!L$108)*(BB93-1)/4)+'Data input'!L$108,"")</f>
        <v/>
      </c>
      <c r="BM93" s="18" t="str">
        <f>IF(C93&lt;&gt;"",BC93-'Data input'!C93,"")</f>
        <v/>
      </c>
      <c r="BN93" s="18" t="str">
        <f>IF(D93&lt;&gt;"",BD93-'Data input'!D93,"")</f>
        <v/>
      </c>
      <c r="BO93" s="18" t="str">
        <f>IF(E93&lt;&gt;"",BE93-'Data input'!E93,"")</f>
        <v/>
      </c>
      <c r="BP93" s="18" t="str">
        <f>IF(F93&lt;&gt;"",BF93-'Data input'!F93,"")</f>
        <v/>
      </c>
      <c r="BQ93" s="18" t="str">
        <f>IF(G93&lt;&gt;"",BG93-'Data input'!G93,"")</f>
        <v/>
      </c>
      <c r="BR93" s="19" t="str">
        <f>IF(H93&lt;&gt;"",BH93-'Data input'!H93,"")</f>
        <v/>
      </c>
      <c r="BS93" s="18" t="str">
        <f>IF(I93&lt;&gt;"",BI93-'Data input'!I93,"")</f>
        <v/>
      </c>
      <c r="BT93" s="18" t="str">
        <f>IF(J93&lt;&gt;"",BJ93-'Data input'!J93,"")</f>
        <v/>
      </c>
      <c r="BU93" s="18" t="str">
        <f>IF(K93&lt;&gt;"",BK93-'Data input'!K93,"")</f>
        <v/>
      </c>
      <c r="BV93" s="72" t="str">
        <f>IF(L93&lt;&gt;"",BL93-'Data input'!L93,"")</f>
        <v/>
      </c>
      <c r="BW93" s="121" t="str">
        <f t="shared" si="49"/>
        <v/>
      </c>
      <c r="FT93" s="1" t="str">
        <f t="shared" si="57"/>
        <v/>
      </c>
      <c r="FU93" s="1" t="str">
        <f t="shared" si="55"/>
        <v/>
      </c>
      <c r="FV93" s="1" t="str">
        <f t="shared" si="55"/>
        <v/>
      </c>
      <c r="FW93" s="1" t="str">
        <f t="shared" si="55"/>
        <v/>
      </c>
      <c r="FX93" s="1" t="str">
        <f t="shared" si="55"/>
        <v/>
      </c>
      <c r="FY93" s="1" t="str">
        <f t="shared" si="55"/>
        <v/>
      </c>
      <c r="FZ93" s="1" t="str">
        <f t="shared" si="55"/>
        <v/>
      </c>
      <c r="GA93" s="1" t="str">
        <f t="shared" si="55"/>
        <v/>
      </c>
      <c r="GB93" s="1" t="str">
        <f t="shared" si="55"/>
        <v/>
      </c>
      <c r="GC93" s="1" t="str">
        <f t="shared" si="55"/>
        <v/>
      </c>
      <c r="GD93" s="1" t="str">
        <f t="shared" si="55"/>
        <v/>
      </c>
      <c r="GE93" s="1" t="str">
        <f t="shared" si="55"/>
        <v/>
      </c>
      <c r="GF93" s="1" t="str">
        <f t="shared" si="55"/>
        <v/>
      </c>
      <c r="GG93" s="1" t="str">
        <f t="shared" si="55"/>
        <v/>
      </c>
      <c r="GH93" s="1" t="str">
        <f t="shared" si="55"/>
        <v/>
      </c>
      <c r="GI93" s="1" t="str">
        <f t="shared" si="55"/>
        <v/>
      </c>
      <c r="GJ93" s="1" t="str">
        <f t="shared" si="51"/>
        <v/>
      </c>
      <c r="GK93" s="1" t="str">
        <f t="shared" si="51"/>
        <v/>
      </c>
      <c r="GL93" s="1" t="str">
        <f t="shared" si="51"/>
        <v/>
      </c>
      <c r="GM93" s="1" t="str">
        <f t="shared" si="51"/>
        <v/>
      </c>
      <c r="GN93" s="1" t="str">
        <f t="shared" si="51"/>
        <v/>
      </c>
      <c r="GO93" s="1" t="str">
        <f t="shared" si="51"/>
        <v/>
      </c>
      <c r="GP93" s="1" t="str">
        <f t="shared" si="51"/>
        <v/>
      </c>
      <c r="GQ93" s="1" t="str">
        <f t="shared" si="51"/>
        <v/>
      </c>
      <c r="GR93" s="1" t="str">
        <f t="shared" si="51"/>
        <v/>
      </c>
      <c r="GS93" s="1" t="str">
        <f t="shared" si="51"/>
        <v/>
      </c>
      <c r="GT93" s="1" t="str">
        <f t="shared" si="50"/>
        <v/>
      </c>
      <c r="GU93" s="1" t="str">
        <f t="shared" si="50"/>
        <v/>
      </c>
      <c r="GV93" s="1" t="str">
        <f t="shared" si="50"/>
        <v/>
      </c>
      <c r="GW93" s="1" t="str">
        <f t="shared" si="50"/>
        <v/>
      </c>
      <c r="GX93" s="1" t="str">
        <f t="shared" si="50"/>
        <v/>
      </c>
      <c r="GY93" s="1" t="str">
        <f t="shared" si="50"/>
        <v/>
      </c>
      <c r="GZ93" s="1" t="str">
        <f t="shared" si="50"/>
        <v/>
      </c>
      <c r="HA93" s="1" t="str">
        <f t="shared" si="50"/>
        <v/>
      </c>
      <c r="HB93" s="1" t="str">
        <f t="shared" si="50"/>
        <v/>
      </c>
      <c r="HC93" s="1" t="str">
        <f t="shared" si="50"/>
        <v/>
      </c>
      <c r="HD93" s="1" t="str">
        <f t="shared" si="50"/>
        <v/>
      </c>
      <c r="HE93" s="1" t="str">
        <f t="shared" si="50"/>
        <v/>
      </c>
      <c r="HF93" s="1" t="str">
        <f t="shared" si="50"/>
        <v/>
      </c>
      <c r="HG93" s="1" t="str">
        <f t="shared" si="50"/>
        <v/>
      </c>
      <c r="HH93" s="1" t="str">
        <f t="shared" si="50"/>
        <v/>
      </c>
      <c r="HI93" s="1" t="str">
        <f t="shared" si="50"/>
        <v/>
      </c>
      <c r="HJ93" s="1" t="str">
        <f t="shared" si="58"/>
        <v/>
      </c>
      <c r="HK93" s="1" t="str">
        <f t="shared" si="58"/>
        <v/>
      </c>
      <c r="HL93" s="1" t="str">
        <f t="shared" si="58"/>
        <v/>
      </c>
      <c r="HM93" s="1" t="str">
        <f t="shared" si="58"/>
        <v/>
      </c>
      <c r="HN93" s="1" t="str">
        <f t="shared" si="58"/>
        <v/>
      </c>
      <c r="HO93" s="1" t="str">
        <f t="shared" si="52"/>
        <v/>
      </c>
      <c r="HP93" s="1" t="str">
        <f t="shared" si="52"/>
        <v/>
      </c>
      <c r="HQ93" s="1" t="str">
        <f t="shared" si="52"/>
        <v/>
      </c>
      <c r="HR93" s="1" t="str">
        <f t="shared" si="52"/>
        <v/>
      </c>
      <c r="HS93" s="1" t="str">
        <f t="shared" si="52"/>
        <v/>
      </c>
      <c r="HT93" s="1" t="str">
        <f t="shared" si="52"/>
        <v/>
      </c>
      <c r="HU93" s="1" t="str">
        <f t="shared" si="52"/>
        <v/>
      </c>
      <c r="HV93" s="1" t="str">
        <f t="shared" si="52"/>
        <v/>
      </c>
      <c r="HW93" s="1" t="str">
        <f t="shared" si="52"/>
        <v/>
      </c>
      <c r="HX93" s="1" t="str">
        <f t="shared" si="52"/>
        <v/>
      </c>
      <c r="HY93" s="1" t="str">
        <f t="shared" si="52"/>
        <v/>
      </c>
      <c r="HZ93" s="1" t="str">
        <f t="shared" si="52"/>
        <v/>
      </c>
      <c r="IA93" s="1" t="str">
        <f t="shared" si="52"/>
        <v/>
      </c>
      <c r="IB93" s="1" t="str">
        <f t="shared" si="52"/>
        <v/>
      </c>
      <c r="IC93" s="1" t="str">
        <f t="shared" si="52"/>
        <v/>
      </c>
      <c r="ID93" s="1" t="str">
        <f t="shared" si="52"/>
        <v/>
      </c>
      <c r="IE93" s="1" t="str">
        <f t="shared" si="59"/>
        <v/>
      </c>
      <c r="IF93" s="1" t="str">
        <f t="shared" si="56"/>
        <v/>
      </c>
      <c r="IG93" s="1" t="str">
        <f t="shared" si="56"/>
        <v/>
      </c>
      <c r="IH93" s="1" t="str">
        <f t="shared" si="53"/>
        <v/>
      </c>
      <c r="II93" s="1" t="str">
        <f t="shared" si="53"/>
        <v/>
      </c>
      <c r="IJ93" s="1" t="str">
        <f t="shared" si="53"/>
        <v/>
      </c>
      <c r="IK93" s="1" t="str">
        <f t="shared" si="53"/>
        <v/>
      </c>
      <c r="IL93" s="1" t="str">
        <f t="shared" si="53"/>
        <v/>
      </c>
      <c r="IM93" s="1" t="str">
        <f t="shared" si="53"/>
        <v/>
      </c>
      <c r="IN93" s="1" t="str">
        <f t="shared" si="53"/>
        <v/>
      </c>
      <c r="IO93" s="1" t="str">
        <f t="shared" si="53"/>
        <v/>
      </c>
      <c r="IP93" s="1" t="str">
        <f t="shared" si="53"/>
        <v/>
      </c>
      <c r="IQ93" s="1" t="str">
        <f t="shared" si="53"/>
        <v/>
      </c>
      <c r="IR93" s="1" t="str">
        <f t="shared" si="53"/>
        <v/>
      </c>
      <c r="IS93" s="1" t="str">
        <f t="shared" si="53"/>
        <v/>
      </c>
      <c r="IT93" s="1" t="str">
        <f t="shared" si="53"/>
        <v/>
      </c>
      <c r="IU93" s="1" t="str">
        <f t="shared" si="53"/>
        <v/>
      </c>
      <c r="IV93" s="1" t="str">
        <f t="shared" si="53"/>
        <v/>
      </c>
      <c r="IW93" s="1" t="str">
        <f t="shared" si="53"/>
        <v/>
      </c>
      <c r="IX93" s="1" t="str">
        <f t="shared" si="54"/>
        <v/>
      </c>
      <c r="IY93" s="1" t="str">
        <f t="shared" si="54"/>
        <v/>
      </c>
      <c r="IZ93" s="1" t="str">
        <f t="shared" si="54"/>
        <v/>
      </c>
      <c r="JA93" s="1" t="str">
        <f t="shared" si="54"/>
        <v/>
      </c>
      <c r="JB93" s="1" t="str">
        <f t="shared" si="54"/>
        <v/>
      </c>
      <c r="JC93" s="1" t="str">
        <f t="shared" si="43"/>
        <v/>
      </c>
      <c r="JD93" s="1" t="str">
        <f t="shared" si="43"/>
        <v/>
      </c>
      <c r="JE93" s="1" t="str">
        <f t="shared" si="43"/>
        <v/>
      </c>
      <c r="JF93" s="1" t="str">
        <f t="shared" si="43"/>
        <v/>
      </c>
      <c r="JG93" s="1" t="str">
        <f t="shared" si="37"/>
        <v/>
      </c>
      <c r="JH93" s="1" t="str">
        <f t="shared" si="37"/>
        <v/>
      </c>
      <c r="JI93" s="1" t="str">
        <f t="shared" si="37"/>
        <v/>
      </c>
      <c r="JJ93" s="1" t="str">
        <f t="shared" si="30"/>
        <v/>
      </c>
      <c r="JK93" s="1" t="str">
        <f t="shared" si="30"/>
        <v/>
      </c>
      <c r="JL93" s="1" t="str">
        <f t="shared" si="30"/>
        <v/>
      </c>
      <c r="JM93" s="1" t="str">
        <f t="shared" si="30"/>
        <v/>
      </c>
      <c r="JN93" s="1" t="str">
        <f t="shared" si="30"/>
        <v/>
      </c>
      <c r="JO93" s="1" t="str">
        <f t="shared" si="30"/>
        <v/>
      </c>
    </row>
    <row r="94" spans="1:275" ht="14.5" x14ac:dyDescent="0.35">
      <c r="A94" s="59" t="str">
        <f>IF('Data input'!A94&lt;&gt;"",'Data input'!A94,"")</f>
        <v/>
      </c>
      <c r="B94" s="15" t="str">
        <f>IF('Data input'!B94&lt;&gt;"",'Data input'!B94,"")</f>
        <v/>
      </c>
      <c r="C94" s="16" t="str">
        <f>IF('Data input'!C94="","",4*('Data input'!C94-'Data input'!C$108)/('Data input'!C$109-'Data input'!C$108)+1)</f>
        <v/>
      </c>
      <c r="D94" s="16" t="str">
        <f>IF('Data input'!D94="","",4*('Data input'!D94-'Data input'!D$108)/('Data input'!D$109-'Data input'!D$108)+1)</f>
        <v/>
      </c>
      <c r="E94" s="16" t="str">
        <f>IF('Data input'!E94="","",4*('Data input'!E94-'Data input'!E$108)/('Data input'!E$109-'Data input'!E$108)+1)</f>
        <v/>
      </c>
      <c r="F94" s="16" t="str">
        <f>IF('Data input'!F94="","",4*('Data input'!F94-'Data input'!F$108)/('Data input'!F$109-'Data input'!F$108)+1)</f>
        <v/>
      </c>
      <c r="G94" s="16" t="str">
        <f>IF('Data input'!G94="","",4*('Data input'!G94-'Data input'!G$108)/('Data input'!G$109-'Data input'!G$108)+1)</f>
        <v/>
      </c>
      <c r="H94" s="16" t="str">
        <f>IF('Data input'!H94="","",4*('Data input'!H94-'Data input'!H$108)/('Data input'!H$109-'Data input'!H$108)+1)</f>
        <v/>
      </c>
      <c r="I94" s="19" t="str">
        <f>IF('Data input'!I94="","",4*('Data input'!I94-'Data input'!I$108)/('Data input'!I$109-'Data input'!I$108)+1)</f>
        <v/>
      </c>
      <c r="J94" s="19" t="str">
        <f>IF('Data input'!J94="","",4*('Data input'!J94-'Data input'!J$108)/('Data input'!J$109-'Data input'!J$108)+1)</f>
        <v/>
      </c>
      <c r="K94" s="19" t="str">
        <f>IF('Data input'!K94="","",4*('Data input'!K94-'Data input'!K$108)/('Data input'!K$109-'Data input'!K$108)+1)</f>
        <v/>
      </c>
      <c r="L94" s="19" t="str">
        <f>IF('Data input'!L94="","",4*('Data input'!L94-'Data input'!L$108)/('Data input'!L$109-'Data input'!L$108)+1)</f>
        <v/>
      </c>
      <c r="M94" s="16" t="str">
        <f>IF('Data input'!M94="","",4*('Data input'!M94-'Data input'!M$108)/('Data input'!M$109-'Data input'!M$108)+1)</f>
        <v/>
      </c>
      <c r="N94" s="16" t="str">
        <f>IF('Data input'!N94="","",4*('Data input'!N94-'Data input'!N$108)/('Data input'!N$109-'Data input'!N$108)+1)</f>
        <v/>
      </c>
      <c r="O94" s="16" t="str">
        <f>IF('Data input'!O94="","",4*('Data input'!O94-'Data input'!O$108)/('Data input'!O$109-'Data input'!O$108)+1)</f>
        <v/>
      </c>
      <c r="P94" s="16" t="str">
        <f>IF('Data input'!P94="","",4*('Data input'!P94-'Data input'!P$108)/('Data input'!P$109-'Data input'!P$108)+1)</f>
        <v/>
      </c>
      <c r="Q94" s="16" t="str">
        <f>IF('Data input'!Q94="","",4*('Data input'!Q94-'Data input'!Q$108)/('Data input'!Q$109-'Data input'!Q$108)+1)</f>
        <v/>
      </c>
      <c r="R94" s="16" t="str">
        <f>IF('Data input'!R94="","",4*('Data input'!R94-'Data input'!R$108)/('Data input'!R$109-'Data input'!R$108)+1)</f>
        <v/>
      </c>
      <c r="S94" s="16" t="str">
        <f>IF('Data input'!S94="","",4*('Data input'!S94-'Data input'!S$108)/('Data input'!S$109-'Data input'!S$108)+1)</f>
        <v/>
      </c>
      <c r="T94" s="16" t="str">
        <f>IF('Data input'!T94="","",4*('Data input'!T94-'Data input'!T$108)/('Data input'!T$109-'Data input'!T$108)+1)</f>
        <v/>
      </c>
      <c r="U94" s="16" t="str">
        <f>IF('Data input'!U94="","",4*('Data input'!U94-'Data input'!U$108)/('Data input'!U$109-'Data input'!U$108)+1)</f>
        <v/>
      </c>
      <c r="V94" s="16" t="str">
        <f>IF('Data input'!V94="","",4*('Data input'!V94-'Data input'!V$108)/('Data input'!V$109-'Data input'!V$108)+1)</f>
        <v/>
      </c>
      <c r="W94" s="16" t="str">
        <f>IF('Data input'!W94="","",4*('Data input'!W94-'Data input'!W$108)/('Data input'!W$109-'Data input'!W$108)+1)</f>
        <v/>
      </c>
      <c r="X94" s="16" t="str">
        <f>IF('Data input'!X94="","",4*('Data input'!X94-'Data input'!X$108)/('Data input'!X$109-'Data input'!X$108)+1)</f>
        <v/>
      </c>
      <c r="Y94" s="16" t="str">
        <f>IF('Data input'!Y94="","",4*('Data input'!Y94-'Data input'!Y$108)/('Data input'!Y$109-'Data input'!Y$108)+1)</f>
        <v/>
      </c>
      <c r="Z94" s="16" t="str">
        <f>IF('Data input'!Z94="","",4*('Data input'!Z94-'Data input'!Z$108)/('Data input'!Z$109-'Data input'!Z$108)+1)</f>
        <v/>
      </c>
      <c r="AA94" s="62" t="str">
        <f>IF('Data input'!AA94="","",4*('Data input'!AA94-'Data input'!AA$108)/('Data input'!AA$109-'Data input'!AA$108)+1)</f>
        <v/>
      </c>
      <c r="AB94" s="78"/>
      <c r="AC94" s="79">
        <v>0</v>
      </c>
      <c r="AD94" s="80" t="e">
        <f t="shared" si="48"/>
        <v>#DIV/0!</v>
      </c>
      <c r="AE94" s="4"/>
      <c r="AF94" s="59" t="str">
        <f t="shared" si="40"/>
        <v/>
      </c>
      <c r="AG94" s="60" t="str">
        <f t="shared" si="40"/>
        <v/>
      </c>
      <c r="AH94"/>
      <c r="AI94"/>
      <c r="AJ94"/>
      <c r="AK94"/>
      <c r="AL94"/>
      <c r="AM94"/>
      <c r="AN94"/>
      <c r="AO94"/>
      <c r="AP94"/>
      <c r="AQ94"/>
      <c r="AR94"/>
      <c r="AS94" s="71" t="str">
        <f t="shared" si="44"/>
        <v/>
      </c>
      <c r="AT94" s="71" t="str">
        <f t="shared" si="44"/>
        <v/>
      </c>
      <c r="AU94" s="71" t="str">
        <f t="shared" si="44"/>
        <v/>
      </c>
      <c r="AV94" s="71" t="str">
        <f t="shared" si="44"/>
        <v/>
      </c>
      <c r="AW94" s="71" t="str">
        <f t="shared" si="44"/>
        <v/>
      </c>
      <c r="AX94" s="71" t="str">
        <f t="shared" si="45"/>
        <v/>
      </c>
      <c r="AY94" s="71" t="str">
        <f t="shared" si="45"/>
        <v/>
      </c>
      <c r="AZ94" s="71" t="str">
        <f t="shared" si="45"/>
        <v/>
      </c>
      <c r="BA94" s="71" t="str">
        <f t="shared" si="45"/>
        <v/>
      </c>
      <c r="BB94" s="71" t="str">
        <f t="shared" si="45"/>
        <v/>
      </c>
      <c r="BC94" s="18" t="str">
        <f>IF(C94&lt;&gt;"",(('Data input'!C$109-'Data input'!C$108)*(AS94-1)/4)+'Data input'!C$108,"")</f>
        <v/>
      </c>
      <c r="BD94" s="18" t="str">
        <f>IF(D94&lt;&gt;"",(('Data input'!D$109-'Data input'!D$108)*(AT94-1)/4)+'Data input'!D$108,"")</f>
        <v/>
      </c>
      <c r="BE94" s="18" t="str">
        <f>IF(E94&lt;&gt;"",(('Data input'!E$109-'Data input'!E$108)*(AU94-1)/4)+'Data input'!E$108,"")</f>
        <v/>
      </c>
      <c r="BF94" s="18" t="str">
        <f>IF(F94&lt;&gt;"",(('Data input'!F$109-'Data input'!F$108)*(AV94-1)/4)+'Data input'!F$108,"")</f>
        <v/>
      </c>
      <c r="BG94" s="18" t="str">
        <f>IF(G94&lt;&gt;"",(('Data input'!G$109-'Data input'!G$108)*(AW94-1)/4)+'Data input'!G$108,"")</f>
        <v/>
      </c>
      <c r="BH94" s="19" t="str">
        <f>IF(H94&lt;&gt;"",(('Data input'!H$109-'Data input'!H$108)*(AX94-1)/4)+'Data input'!H$108,"")</f>
        <v/>
      </c>
      <c r="BI94" s="18" t="str">
        <f>IF(I94&lt;&gt;"",(('Data input'!I$109-'Data input'!I$108)*(AY94-1)/4)+'Data input'!I$108,"")</f>
        <v/>
      </c>
      <c r="BJ94" s="19" t="str">
        <f>IF(J94&lt;&gt;"",(('Data input'!J$109-'Data input'!J$108)*(AZ94-1)/4)+'Data input'!J$108,"")</f>
        <v/>
      </c>
      <c r="BK94" s="19" t="str">
        <f>IF(K94&lt;&gt;"",(('Data input'!K$109-'Data input'!K$108)*(BA94-1)/4)+'Data input'!K$108,"")</f>
        <v/>
      </c>
      <c r="BL94" s="19" t="str">
        <f>IF(L94&lt;&gt;"",(('Data input'!L$109-'Data input'!L$108)*(BB94-1)/4)+'Data input'!L$108,"")</f>
        <v/>
      </c>
      <c r="BM94" s="18" t="str">
        <f>IF(C94&lt;&gt;"",BC94-'Data input'!C94,"")</f>
        <v/>
      </c>
      <c r="BN94" s="18" t="str">
        <f>IF(D94&lt;&gt;"",BD94-'Data input'!D94,"")</f>
        <v/>
      </c>
      <c r="BO94" s="18" t="str">
        <f>IF(E94&lt;&gt;"",BE94-'Data input'!E94,"")</f>
        <v/>
      </c>
      <c r="BP94" s="18" t="str">
        <f>IF(F94&lt;&gt;"",BF94-'Data input'!F94,"")</f>
        <v/>
      </c>
      <c r="BQ94" s="18" t="str">
        <f>IF(G94&lt;&gt;"",BG94-'Data input'!G94,"")</f>
        <v/>
      </c>
      <c r="BR94" s="19" t="str">
        <f>IF(H94&lt;&gt;"",BH94-'Data input'!H94,"")</f>
        <v/>
      </c>
      <c r="BS94" s="18" t="str">
        <f>IF(I94&lt;&gt;"",BI94-'Data input'!I94,"")</f>
        <v/>
      </c>
      <c r="BT94" s="18" t="str">
        <f>IF(J94&lt;&gt;"",BJ94-'Data input'!J94,"")</f>
        <v/>
      </c>
      <c r="BU94" s="18" t="str">
        <f>IF(K94&lt;&gt;"",BK94-'Data input'!K94,"")</f>
        <v/>
      </c>
      <c r="BV94" s="72" t="str">
        <f>IF(L94&lt;&gt;"",BL94-'Data input'!L94,"")</f>
        <v/>
      </c>
      <c r="BW94" s="121" t="str">
        <f t="shared" si="49"/>
        <v/>
      </c>
      <c r="FT94" s="1" t="str">
        <f t="shared" si="57"/>
        <v/>
      </c>
      <c r="FU94" s="1" t="str">
        <f t="shared" si="55"/>
        <v/>
      </c>
      <c r="FV94" s="1" t="str">
        <f t="shared" si="55"/>
        <v/>
      </c>
      <c r="FW94" s="1" t="str">
        <f t="shared" si="55"/>
        <v/>
      </c>
      <c r="FX94" s="1" t="str">
        <f t="shared" si="55"/>
        <v/>
      </c>
      <c r="FY94" s="1" t="str">
        <f t="shared" si="55"/>
        <v/>
      </c>
      <c r="FZ94" s="1" t="str">
        <f t="shared" si="55"/>
        <v/>
      </c>
      <c r="GA94" s="1" t="str">
        <f t="shared" si="55"/>
        <v/>
      </c>
      <c r="GB94" s="1" t="str">
        <f t="shared" si="55"/>
        <v/>
      </c>
      <c r="GC94" s="1" t="str">
        <f t="shared" si="55"/>
        <v/>
      </c>
      <c r="GD94" s="1" t="str">
        <f t="shared" si="55"/>
        <v/>
      </c>
      <c r="GE94" s="1" t="str">
        <f t="shared" si="55"/>
        <v/>
      </c>
      <c r="GF94" s="1" t="str">
        <f t="shared" si="55"/>
        <v/>
      </c>
      <c r="GG94" s="1" t="str">
        <f t="shared" si="55"/>
        <v/>
      </c>
      <c r="GH94" s="1" t="str">
        <f t="shared" si="55"/>
        <v/>
      </c>
      <c r="GI94" s="1" t="str">
        <f t="shared" si="55"/>
        <v/>
      </c>
      <c r="GJ94" s="1" t="str">
        <f t="shared" si="51"/>
        <v/>
      </c>
      <c r="GK94" s="1" t="str">
        <f t="shared" si="51"/>
        <v/>
      </c>
      <c r="GL94" s="1" t="str">
        <f t="shared" si="51"/>
        <v/>
      </c>
      <c r="GM94" s="1" t="str">
        <f t="shared" si="51"/>
        <v/>
      </c>
      <c r="GN94" s="1" t="str">
        <f t="shared" si="51"/>
        <v/>
      </c>
      <c r="GO94" s="1" t="str">
        <f t="shared" ref="GO94:HD102" si="60">IF(CS94&gt;0.0001,CONCATENATE(CS$2,"; "),"")</f>
        <v/>
      </c>
      <c r="GP94" s="1" t="str">
        <f t="shared" si="60"/>
        <v/>
      </c>
      <c r="GQ94" s="1" t="str">
        <f t="shared" si="60"/>
        <v/>
      </c>
      <c r="GR94" s="1" t="str">
        <f t="shared" si="60"/>
        <v/>
      </c>
      <c r="GS94" s="1" t="str">
        <f t="shared" si="60"/>
        <v/>
      </c>
      <c r="GT94" s="1" t="str">
        <f t="shared" si="50"/>
        <v/>
      </c>
      <c r="GU94" s="1" t="str">
        <f t="shared" si="50"/>
        <v/>
      </c>
      <c r="GV94" s="1" t="str">
        <f t="shared" si="50"/>
        <v/>
      </c>
      <c r="GW94" s="1" t="str">
        <f t="shared" si="50"/>
        <v/>
      </c>
      <c r="GX94" s="1" t="str">
        <f t="shared" si="50"/>
        <v/>
      </c>
      <c r="GY94" s="1" t="str">
        <f t="shared" si="50"/>
        <v/>
      </c>
      <c r="GZ94" s="1" t="str">
        <f t="shared" si="50"/>
        <v/>
      </c>
      <c r="HA94" s="1" t="str">
        <f t="shared" si="50"/>
        <v/>
      </c>
      <c r="HB94" s="1" t="str">
        <f t="shared" si="50"/>
        <v/>
      </c>
      <c r="HC94" s="1" t="str">
        <f t="shared" si="50"/>
        <v/>
      </c>
      <c r="HD94" s="1" t="str">
        <f t="shared" si="50"/>
        <v/>
      </c>
      <c r="HE94" s="1" t="str">
        <f t="shared" si="50"/>
        <v/>
      </c>
      <c r="HF94" s="1" t="str">
        <f t="shared" si="50"/>
        <v/>
      </c>
      <c r="HG94" s="1" t="str">
        <f t="shared" si="50"/>
        <v/>
      </c>
      <c r="HH94" s="1" t="str">
        <f t="shared" si="50"/>
        <v/>
      </c>
      <c r="HI94" s="1" t="str">
        <f t="shared" si="50"/>
        <v/>
      </c>
      <c r="HJ94" s="1" t="str">
        <f t="shared" si="58"/>
        <v/>
      </c>
      <c r="HK94" s="1" t="str">
        <f t="shared" si="58"/>
        <v/>
      </c>
      <c r="HL94" s="1" t="str">
        <f t="shared" si="58"/>
        <v/>
      </c>
      <c r="HM94" s="1" t="str">
        <f t="shared" si="58"/>
        <v/>
      </c>
      <c r="HN94" s="1" t="str">
        <f t="shared" si="58"/>
        <v/>
      </c>
      <c r="HO94" s="1" t="str">
        <f t="shared" si="52"/>
        <v/>
      </c>
      <c r="HP94" s="1" t="str">
        <f t="shared" si="52"/>
        <v/>
      </c>
      <c r="HQ94" s="1" t="str">
        <f t="shared" si="52"/>
        <v/>
      </c>
      <c r="HR94" s="1" t="str">
        <f t="shared" si="52"/>
        <v/>
      </c>
      <c r="HS94" s="1" t="str">
        <f t="shared" si="52"/>
        <v/>
      </c>
      <c r="HT94" s="1" t="str">
        <f t="shared" si="52"/>
        <v/>
      </c>
      <c r="HU94" s="1" t="str">
        <f t="shared" si="52"/>
        <v/>
      </c>
      <c r="HV94" s="1" t="str">
        <f t="shared" si="52"/>
        <v/>
      </c>
      <c r="HW94" s="1" t="str">
        <f t="shared" si="52"/>
        <v/>
      </c>
      <c r="HX94" s="1" t="str">
        <f t="shared" si="52"/>
        <v/>
      </c>
      <c r="HY94" s="1" t="str">
        <f t="shared" si="52"/>
        <v/>
      </c>
      <c r="HZ94" s="1" t="str">
        <f t="shared" si="52"/>
        <v/>
      </c>
      <c r="IA94" s="1" t="str">
        <f t="shared" si="52"/>
        <v/>
      </c>
      <c r="IB94" s="1" t="str">
        <f t="shared" si="52"/>
        <v/>
      </c>
      <c r="IC94" s="1" t="str">
        <f t="shared" si="52"/>
        <v/>
      </c>
      <c r="ID94" s="1" t="str">
        <f t="shared" si="52"/>
        <v/>
      </c>
      <c r="IE94" s="1" t="str">
        <f t="shared" si="59"/>
        <v/>
      </c>
      <c r="IF94" s="1" t="str">
        <f t="shared" si="56"/>
        <v/>
      </c>
      <c r="IG94" s="1" t="str">
        <f t="shared" si="56"/>
        <v/>
      </c>
      <c r="IH94" s="1" t="str">
        <f t="shared" si="53"/>
        <v/>
      </c>
      <c r="II94" s="1" t="str">
        <f t="shared" si="53"/>
        <v/>
      </c>
      <c r="IJ94" s="1" t="str">
        <f t="shared" si="53"/>
        <v/>
      </c>
      <c r="IK94" s="1" t="str">
        <f t="shared" si="53"/>
        <v/>
      </c>
      <c r="IL94" s="1" t="str">
        <f t="shared" si="53"/>
        <v/>
      </c>
      <c r="IM94" s="1" t="str">
        <f t="shared" si="53"/>
        <v/>
      </c>
      <c r="IN94" s="1" t="str">
        <f t="shared" si="53"/>
        <v/>
      </c>
      <c r="IO94" s="1" t="str">
        <f t="shared" si="53"/>
        <v/>
      </c>
      <c r="IP94" s="1" t="str">
        <f t="shared" si="53"/>
        <v/>
      </c>
      <c r="IQ94" s="1" t="str">
        <f t="shared" si="53"/>
        <v/>
      </c>
      <c r="IR94" s="1" t="str">
        <f t="shared" si="53"/>
        <v/>
      </c>
      <c r="IS94" s="1" t="str">
        <f t="shared" si="53"/>
        <v/>
      </c>
      <c r="IT94" s="1" t="str">
        <f t="shared" si="53"/>
        <v/>
      </c>
      <c r="IU94" s="1" t="str">
        <f t="shared" si="53"/>
        <v/>
      </c>
      <c r="IV94" s="1" t="str">
        <f t="shared" si="53"/>
        <v/>
      </c>
      <c r="IW94" s="1" t="str">
        <f t="shared" si="53"/>
        <v/>
      </c>
      <c r="IX94" s="1" t="str">
        <f t="shared" si="54"/>
        <v/>
      </c>
      <c r="IY94" s="1" t="str">
        <f t="shared" si="54"/>
        <v/>
      </c>
      <c r="IZ94" s="1" t="str">
        <f t="shared" si="54"/>
        <v/>
      </c>
      <c r="JA94" s="1" t="str">
        <f t="shared" si="54"/>
        <v/>
      </c>
      <c r="JB94" s="1" t="str">
        <f t="shared" si="54"/>
        <v/>
      </c>
      <c r="JC94" s="1" t="str">
        <f t="shared" si="43"/>
        <v/>
      </c>
      <c r="JD94" s="1" t="str">
        <f t="shared" si="43"/>
        <v/>
      </c>
      <c r="JE94" s="1" t="str">
        <f t="shared" si="43"/>
        <v/>
      </c>
      <c r="JF94" s="1" t="str">
        <f t="shared" si="43"/>
        <v/>
      </c>
      <c r="JG94" s="1" t="str">
        <f t="shared" si="37"/>
        <v/>
      </c>
      <c r="JH94" s="1" t="str">
        <f t="shared" si="37"/>
        <v/>
      </c>
      <c r="JI94" s="1" t="str">
        <f t="shared" si="37"/>
        <v/>
      </c>
      <c r="JJ94" s="1" t="str">
        <f t="shared" si="30"/>
        <v/>
      </c>
      <c r="JK94" s="1" t="str">
        <f t="shared" si="30"/>
        <v/>
      </c>
      <c r="JL94" s="1" t="str">
        <f t="shared" si="30"/>
        <v/>
      </c>
      <c r="JM94" s="1" t="str">
        <f t="shared" si="30"/>
        <v/>
      </c>
      <c r="JN94" s="1" t="str">
        <f t="shared" si="30"/>
        <v/>
      </c>
      <c r="JO94" s="1" t="str">
        <f t="shared" si="30"/>
        <v/>
      </c>
    </row>
    <row r="95" spans="1:275" ht="14.5" x14ac:dyDescent="0.35">
      <c r="A95" s="59" t="str">
        <f>IF('Data input'!A95&lt;&gt;"",'Data input'!A95,"")</f>
        <v/>
      </c>
      <c r="B95" s="15" t="str">
        <f>IF('Data input'!B95&lt;&gt;"",'Data input'!B95,"")</f>
        <v/>
      </c>
      <c r="C95" s="16" t="str">
        <f>IF('Data input'!C95="","",4*('Data input'!C95-'Data input'!C$108)/('Data input'!C$109-'Data input'!C$108)+1)</f>
        <v/>
      </c>
      <c r="D95" s="16" t="str">
        <f>IF('Data input'!D95="","",4*('Data input'!D95-'Data input'!D$108)/('Data input'!D$109-'Data input'!D$108)+1)</f>
        <v/>
      </c>
      <c r="E95" s="16" t="str">
        <f>IF('Data input'!E95="","",4*('Data input'!E95-'Data input'!E$108)/('Data input'!E$109-'Data input'!E$108)+1)</f>
        <v/>
      </c>
      <c r="F95" s="16" t="str">
        <f>IF('Data input'!F95="","",4*('Data input'!F95-'Data input'!F$108)/('Data input'!F$109-'Data input'!F$108)+1)</f>
        <v/>
      </c>
      <c r="G95" s="16" t="str">
        <f>IF('Data input'!G95="","",4*('Data input'!G95-'Data input'!G$108)/('Data input'!G$109-'Data input'!G$108)+1)</f>
        <v/>
      </c>
      <c r="H95" s="16" t="str">
        <f>IF('Data input'!H95="","",4*('Data input'!H95-'Data input'!H$108)/('Data input'!H$109-'Data input'!H$108)+1)</f>
        <v/>
      </c>
      <c r="I95" s="19" t="str">
        <f>IF('Data input'!I95="","",4*('Data input'!I95-'Data input'!I$108)/('Data input'!I$109-'Data input'!I$108)+1)</f>
        <v/>
      </c>
      <c r="J95" s="19" t="str">
        <f>IF('Data input'!J95="","",4*('Data input'!J95-'Data input'!J$108)/('Data input'!J$109-'Data input'!J$108)+1)</f>
        <v/>
      </c>
      <c r="K95" s="19" t="str">
        <f>IF('Data input'!K95="","",4*('Data input'!K95-'Data input'!K$108)/('Data input'!K$109-'Data input'!K$108)+1)</f>
        <v/>
      </c>
      <c r="L95" s="19" t="str">
        <f>IF('Data input'!L95="","",4*('Data input'!L95-'Data input'!L$108)/('Data input'!L$109-'Data input'!L$108)+1)</f>
        <v/>
      </c>
      <c r="M95" s="16" t="str">
        <f>IF('Data input'!M95="","",4*('Data input'!M95-'Data input'!M$108)/('Data input'!M$109-'Data input'!M$108)+1)</f>
        <v/>
      </c>
      <c r="N95" s="16" t="str">
        <f>IF('Data input'!N95="","",4*('Data input'!N95-'Data input'!N$108)/('Data input'!N$109-'Data input'!N$108)+1)</f>
        <v/>
      </c>
      <c r="O95" s="16" t="str">
        <f>IF('Data input'!O95="","",4*('Data input'!O95-'Data input'!O$108)/('Data input'!O$109-'Data input'!O$108)+1)</f>
        <v/>
      </c>
      <c r="P95" s="16" t="str">
        <f>IF('Data input'!P95="","",4*('Data input'!P95-'Data input'!P$108)/('Data input'!P$109-'Data input'!P$108)+1)</f>
        <v/>
      </c>
      <c r="Q95" s="16" t="str">
        <f>IF('Data input'!Q95="","",4*('Data input'!Q95-'Data input'!Q$108)/('Data input'!Q$109-'Data input'!Q$108)+1)</f>
        <v/>
      </c>
      <c r="R95" s="16" t="str">
        <f>IF('Data input'!R95="","",4*('Data input'!R95-'Data input'!R$108)/('Data input'!R$109-'Data input'!R$108)+1)</f>
        <v/>
      </c>
      <c r="S95" s="16" t="str">
        <f>IF('Data input'!S95="","",4*('Data input'!S95-'Data input'!S$108)/('Data input'!S$109-'Data input'!S$108)+1)</f>
        <v/>
      </c>
      <c r="T95" s="16" t="str">
        <f>IF('Data input'!T95="","",4*('Data input'!T95-'Data input'!T$108)/('Data input'!T$109-'Data input'!T$108)+1)</f>
        <v/>
      </c>
      <c r="U95" s="16" t="str">
        <f>IF('Data input'!U95="","",4*('Data input'!U95-'Data input'!U$108)/('Data input'!U$109-'Data input'!U$108)+1)</f>
        <v/>
      </c>
      <c r="V95" s="16" t="str">
        <f>IF('Data input'!V95="","",4*('Data input'!V95-'Data input'!V$108)/('Data input'!V$109-'Data input'!V$108)+1)</f>
        <v/>
      </c>
      <c r="W95" s="16" t="str">
        <f>IF('Data input'!W95="","",4*('Data input'!W95-'Data input'!W$108)/('Data input'!W$109-'Data input'!W$108)+1)</f>
        <v/>
      </c>
      <c r="X95" s="16" t="str">
        <f>IF('Data input'!X95="","",4*('Data input'!X95-'Data input'!X$108)/('Data input'!X$109-'Data input'!X$108)+1)</f>
        <v/>
      </c>
      <c r="Y95" s="16" t="str">
        <f>IF('Data input'!Y95="","",4*('Data input'!Y95-'Data input'!Y$108)/('Data input'!Y$109-'Data input'!Y$108)+1)</f>
        <v/>
      </c>
      <c r="Z95" s="16" t="str">
        <f>IF('Data input'!Z95="","",4*('Data input'!Z95-'Data input'!Z$108)/('Data input'!Z$109-'Data input'!Z$108)+1)</f>
        <v/>
      </c>
      <c r="AA95" s="62" t="str">
        <f>IF('Data input'!AA95="","",4*('Data input'!AA95-'Data input'!AA$108)/('Data input'!AA$109-'Data input'!AA$108)+1)</f>
        <v/>
      </c>
      <c r="AB95" s="78"/>
      <c r="AC95" s="79">
        <v>0</v>
      </c>
      <c r="AD95" s="80" t="e">
        <f t="shared" si="48"/>
        <v>#DIV/0!</v>
      </c>
      <c r="AE95" s="4"/>
      <c r="AF95" s="59" t="str">
        <f t="shared" si="40"/>
        <v/>
      </c>
      <c r="AG95" s="60" t="str">
        <f t="shared" si="40"/>
        <v/>
      </c>
      <c r="AH95"/>
      <c r="AI95"/>
      <c r="AJ95"/>
      <c r="AK95"/>
      <c r="AL95"/>
      <c r="AM95"/>
      <c r="AN95"/>
      <c r="AO95"/>
      <c r="AP95"/>
      <c r="AQ95"/>
      <c r="AR95"/>
      <c r="AS95" s="71" t="str">
        <f t="shared" si="44"/>
        <v/>
      </c>
      <c r="AT95" s="71" t="str">
        <f t="shared" si="44"/>
        <v/>
      </c>
      <c r="AU95" s="71" t="str">
        <f t="shared" si="44"/>
        <v/>
      </c>
      <c r="AV95" s="71" t="str">
        <f t="shared" si="44"/>
        <v/>
      </c>
      <c r="AW95" s="71" t="str">
        <f t="shared" si="44"/>
        <v/>
      </c>
      <c r="AX95" s="71" t="str">
        <f t="shared" si="45"/>
        <v/>
      </c>
      <c r="AY95" s="71" t="str">
        <f t="shared" si="45"/>
        <v/>
      </c>
      <c r="AZ95" s="71" t="str">
        <f t="shared" si="45"/>
        <v/>
      </c>
      <c r="BA95" s="71" t="str">
        <f t="shared" si="45"/>
        <v/>
      </c>
      <c r="BB95" s="71" t="str">
        <f t="shared" si="45"/>
        <v/>
      </c>
      <c r="BC95" s="18" t="str">
        <f>IF(C95&lt;&gt;"",(('Data input'!C$109-'Data input'!C$108)*(AS95-1)/4)+'Data input'!C$108,"")</f>
        <v/>
      </c>
      <c r="BD95" s="18" t="str">
        <f>IF(D95&lt;&gt;"",(('Data input'!D$109-'Data input'!D$108)*(AT95-1)/4)+'Data input'!D$108,"")</f>
        <v/>
      </c>
      <c r="BE95" s="18" t="str">
        <f>IF(E95&lt;&gt;"",(('Data input'!E$109-'Data input'!E$108)*(AU95-1)/4)+'Data input'!E$108,"")</f>
        <v/>
      </c>
      <c r="BF95" s="18" t="str">
        <f>IF(F95&lt;&gt;"",(('Data input'!F$109-'Data input'!F$108)*(AV95-1)/4)+'Data input'!F$108,"")</f>
        <v/>
      </c>
      <c r="BG95" s="18" t="str">
        <f>IF(G95&lt;&gt;"",(('Data input'!G$109-'Data input'!G$108)*(AW95-1)/4)+'Data input'!G$108,"")</f>
        <v/>
      </c>
      <c r="BH95" s="19" t="str">
        <f>IF(H95&lt;&gt;"",(('Data input'!H$109-'Data input'!H$108)*(AX95-1)/4)+'Data input'!H$108,"")</f>
        <v/>
      </c>
      <c r="BI95" s="18" t="str">
        <f>IF(I95&lt;&gt;"",(('Data input'!I$109-'Data input'!I$108)*(AY95-1)/4)+'Data input'!I$108,"")</f>
        <v/>
      </c>
      <c r="BJ95" s="19" t="str">
        <f>IF(J95&lt;&gt;"",(('Data input'!J$109-'Data input'!J$108)*(AZ95-1)/4)+'Data input'!J$108,"")</f>
        <v/>
      </c>
      <c r="BK95" s="19" t="str">
        <f>IF(K95&lt;&gt;"",(('Data input'!K$109-'Data input'!K$108)*(BA95-1)/4)+'Data input'!K$108,"")</f>
        <v/>
      </c>
      <c r="BL95" s="19" t="str">
        <f>IF(L95&lt;&gt;"",(('Data input'!L$109-'Data input'!L$108)*(BB95-1)/4)+'Data input'!L$108,"")</f>
        <v/>
      </c>
      <c r="BM95" s="18" t="str">
        <f>IF(C95&lt;&gt;"",BC95-'Data input'!C95,"")</f>
        <v/>
      </c>
      <c r="BN95" s="18" t="str">
        <f>IF(D95&lt;&gt;"",BD95-'Data input'!D95,"")</f>
        <v/>
      </c>
      <c r="BO95" s="18" t="str">
        <f>IF(E95&lt;&gt;"",BE95-'Data input'!E95,"")</f>
        <v/>
      </c>
      <c r="BP95" s="18" t="str">
        <f>IF(F95&lt;&gt;"",BF95-'Data input'!F95,"")</f>
        <v/>
      </c>
      <c r="BQ95" s="18" t="str">
        <f>IF(G95&lt;&gt;"",BG95-'Data input'!G95,"")</f>
        <v/>
      </c>
      <c r="BR95" s="19" t="str">
        <f>IF(H95&lt;&gt;"",BH95-'Data input'!H95,"")</f>
        <v/>
      </c>
      <c r="BS95" s="18" t="str">
        <f>IF(I95&lt;&gt;"",BI95-'Data input'!I95,"")</f>
        <v/>
      </c>
      <c r="BT95" s="18" t="str">
        <f>IF(J95&lt;&gt;"",BJ95-'Data input'!J95,"")</f>
        <v/>
      </c>
      <c r="BU95" s="18" t="str">
        <f>IF(K95&lt;&gt;"",BK95-'Data input'!K95,"")</f>
        <v/>
      </c>
      <c r="BV95" s="72" t="str">
        <f>IF(L95&lt;&gt;"",BL95-'Data input'!L95,"")</f>
        <v/>
      </c>
      <c r="BW95" s="121" t="str">
        <f t="shared" si="49"/>
        <v/>
      </c>
      <c r="FT95" s="1" t="str">
        <f t="shared" si="57"/>
        <v/>
      </c>
      <c r="FU95" s="1" t="str">
        <f t="shared" si="55"/>
        <v/>
      </c>
      <c r="FV95" s="1" t="str">
        <f t="shared" si="55"/>
        <v/>
      </c>
      <c r="FW95" s="1" t="str">
        <f t="shared" si="55"/>
        <v/>
      </c>
      <c r="FX95" s="1" t="str">
        <f t="shared" si="55"/>
        <v/>
      </c>
      <c r="FY95" s="1" t="str">
        <f t="shared" si="55"/>
        <v/>
      </c>
      <c r="FZ95" s="1" t="str">
        <f t="shared" si="55"/>
        <v/>
      </c>
      <c r="GA95" s="1" t="str">
        <f t="shared" si="55"/>
        <v/>
      </c>
      <c r="GB95" s="1" t="str">
        <f t="shared" si="55"/>
        <v/>
      </c>
      <c r="GC95" s="1" t="str">
        <f t="shared" si="55"/>
        <v/>
      </c>
      <c r="GD95" s="1" t="str">
        <f t="shared" si="55"/>
        <v/>
      </c>
      <c r="GE95" s="1" t="str">
        <f t="shared" si="55"/>
        <v/>
      </c>
      <c r="GF95" s="1" t="str">
        <f t="shared" si="55"/>
        <v/>
      </c>
      <c r="GG95" s="1" t="str">
        <f t="shared" si="55"/>
        <v/>
      </c>
      <c r="GH95" s="1" t="str">
        <f t="shared" si="55"/>
        <v/>
      </c>
      <c r="GI95" s="1" t="str">
        <f t="shared" si="55"/>
        <v/>
      </c>
      <c r="GJ95" s="1" t="str">
        <f t="shared" si="55"/>
        <v/>
      </c>
      <c r="GK95" s="1" t="str">
        <f t="shared" ref="GK95:GN102" si="61">IF(CO95&gt;0.0001,CONCATENATE(CO$2,"; "),"")</f>
        <v/>
      </c>
      <c r="GL95" s="1" t="str">
        <f t="shared" si="61"/>
        <v/>
      </c>
      <c r="GM95" s="1" t="str">
        <f t="shared" si="61"/>
        <v/>
      </c>
      <c r="GN95" s="1" t="str">
        <f t="shared" si="61"/>
        <v/>
      </c>
      <c r="GO95" s="1" t="str">
        <f t="shared" si="60"/>
        <v/>
      </c>
      <c r="GP95" s="1" t="str">
        <f t="shared" si="60"/>
        <v/>
      </c>
      <c r="GQ95" s="1" t="str">
        <f t="shared" si="60"/>
        <v/>
      </c>
      <c r="GR95" s="1" t="str">
        <f t="shared" si="60"/>
        <v/>
      </c>
      <c r="GS95" s="1" t="str">
        <f t="shared" si="60"/>
        <v/>
      </c>
      <c r="GT95" s="1" t="str">
        <f t="shared" si="50"/>
        <v/>
      </c>
      <c r="GU95" s="1" t="str">
        <f t="shared" si="50"/>
        <v/>
      </c>
      <c r="GV95" s="1" t="str">
        <f t="shared" si="50"/>
        <v/>
      </c>
      <c r="GW95" s="1" t="str">
        <f t="shared" si="50"/>
        <v/>
      </c>
      <c r="GX95" s="1" t="str">
        <f t="shared" si="50"/>
        <v/>
      </c>
      <c r="GY95" s="1" t="str">
        <f t="shared" si="50"/>
        <v/>
      </c>
      <c r="GZ95" s="1" t="str">
        <f t="shared" si="50"/>
        <v/>
      </c>
      <c r="HA95" s="1" t="str">
        <f t="shared" si="50"/>
        <v/>
      </c>
      <c r="HB95" s="1" t="str">
        <f t="shared" si="50"/>
        <v/>
      </c>
      <c r="HC95" s="1" t="str">
        <f t="shared" si="50"/>
        <v/>
      </c>
      <c r="HD95" s="1" t="str">
        <f t="shared" si="50"/>
        <v/>
      </c>
      <c r="HE95" s="1" t="str">
        <f t="shared" si="50"/>
        <v/>
      </c>
      <c r="HF95" s="1" t="str">
        <f t="shared" si="50"/>
        <v/>
      </c>
      <c r="HG95" s="1" t="str">
        <f t="shared" si="50"/>
        <v/>
      </c>
      <c r="HH95" s="1" t="str">
        <f t="shared" si="50"/>
        <v/>
      </c>
      <c r="HI95" s="1" t="str">
        <f t="shared" si="50"/>
        <v/>
      </c>
      <c r="HJ95" s="1" t="str">
        <f t="shared" si="58"/>
        <v/>
      </c>
      <c r="HK95" s="1" t="str">
        <f t="shared" si="58"/>
        <v/>
      </c>
      <c r="HL95" s="1" t="str">
        <f t="shared" si="58"/>
        <v/>
      </c>
      <c r="HM95" s="1" t="str">
        <f t="shared" si="58"/>
        <v/>
      </c>
      <c r="HN95" s="1" t="str">
        <f t="shared" si="58"/>
        <v/>
      </c>
      <c r="HO95" s="1" t="str">
        <f t="shared" si="52"/>
        <v/>
      </c>
      <c r="HP95" s="1" t="str">
        <f t="shared" si="52"/>
        <v/>
      </c>
      <c r="HQ95" s="1" t="str">
        <f t="shared" si="52"/>
        <v/>
      </c>
      <c r="HR95" s="1" t="str">
        <f t="shared" si="52"/>
        <v/>
      </c>
      <c r="HS95" s="1" t="str">
        <f t="shared" si="52"/>
        <v/>
      </c>
      <c r="HT95" s="1" t="str">
        <f t="shared" si="52"/>
        <v/>
      </c>
      <c r="HU95" s="1" t="str">
        <f t="shared" si="52"/>
        <v/>
      </c>
      <c r="HV95" s="1" t="str">
        <f t="shared" si="52"/>
        <v/>
      </c>
      <c r="HW95" s="1" t="str">
        <f t="shared" si="52"/>
        <v/>
      </c>
      <c r="HX95" s="1" t="str">
        <f t="shared" si="52"/>
        <v/>
      </c>
      <c r="HY95" s="1" t="str">
        <f t="shared" si="52"/>
        <v/>
      </c>
      <c r="HZ95" s="1" t="str">
        <f t="shared" si="52"/>
        <v/>
      </c>
      <c r="IA95" s="1" t="str">
        <f t="shared" si="52"/>
        <v/>
      </c>
      <c r="IB95" s="1" t="str">
        <f t="shared" si="52"/>
        <v/>
      </c>
      <c r="IC95" s="1" t="str">
        <f t="shared" si="52"/>
        <v/>
      </c>
      <c r="ID95" s="1" t="str">
        <f t="shared" si="52"/>
        <v/>
      </c>
      <c r="IE95" s="1" t="str">
        <f t="shared" si="59"/>
        <v/>
      </c>
      <c r="IF95" s="1" t="str">
        <f t="shared" si="56"/>
        <v/>
      </c>
      <c r="IG95" s="1" t="str">
        <f t="shared" si="56"/>
        <v/>
      </c>
      <c r="IH95" s="1" t="str">
        <f t="shared" si="53"/>
        <v/>
      </c>
      <c r="II95" s="1" t="str">
        <f t="shared" si="53"/>
        <v/>
      </c>
      <c r="IJ95" s="1" t="str">
        <f t="shared" si="53"/>
        <v/>
      </c>
      <c r="IK95" s="1" t="str">
        <f t="shared" si="53"/>
        <v/>
      </c>
      <c r="IL95" s="1" t="str">
        <f t="shared" si="53"/>
        <v/>
      </c>
      <c r="IM95" s="1" t="str">
        <f t="shared" si="53"/>
        <v/>
      </c>
      <c r="IN95" s="1" t="str">
        <f t="shared" si="53"/>
        <v/>
      </c>
      <c r="IO95" s="1" t="str">
        <f t="shared" si="53"/>
        <v/>
      </c>
      <c r="IP95" s="1" t="str">
        <f t="shared" si="53"/>
        <v/>
      </c>
      <c r="IQ95" s="1" t="str">
        <f t="shared" si="53"/>
        <v/>
      </c>
      <c r="IR95" s="1" t="str">
        <f t="shared" si="53"/>
        <v/>
      </c>
      <c r="IS95" s="1" t="str">
        <f t="shared" si="53"/>
        <v/>
      </c>
      <c r="IT95" s="1" t="str">
        <f t="shared" si="53"/>
        <v/>
      </c>
      <c r="IU95" s="1" t="str">
        <f t="shared" si="53"/>
        <v/>
      </c>
      <c r="IV95" s="1" t="str">
        <f t="shared" si="53"/>
        <v/>
      </c>
      <c r="IW95" s="1" t="str">
        <f t="shared" si="53"/>
        <v/>
      </c>
      <c r="IX95" s="1" t="str">
        <f t="shared" si="54"/>
        <v/>
      </c>
      <c r="IY95" s="1" t="str">
        <f t="shared" si="54"/>
        <v/>
      </c>
      <c r="IZ95" s="1" t="str">
        <f t="shared" si="54"/>
        <v/>
      </c>
      <c r="JA95" s="1" t="str">
        <f t="shared" si="54"/>
        <v/>
      </c>
      <c r="JB95" s="1" t="str">
        <f t="shared" si="54"/>
        <v/>
      </c>
      <c r="JC95" s="1" t="str">
        <f t="shared" si="43"/>
        <v/>
      </c>
      <c r="JD95" s="1" t="str">
        <f t="shared" si="43"/>
        <v/>
      </c>
      <c r="JE95" s="1" t="str">
        <f t="shared" si="43"/>
        <v/>
      </c>
      <c r="JF95" s="1" t="str">
        <f t="shared" si="43"/>
        <v/>
      </c>
      <c r="JG95" s="1" t="str">
        <f t="shared" si="37"/>
        <v/>
      </c>
      <c r="JH95" s="1" t="str">
        <f t="shared" si="37"/>
        <v/>
      </c>
      <c r="JI95" s="1" t="str">
        <f t="shared" si="37"/>
        <v/>
      </c>
      <c r="JJ95" s="1" t="str">
        <f t="shared" si="30"/>
        <v/>
      </c>
      <c r="JK95" s="1" t="str">
        <f t="shared" si="30"/>
        <v/>
      </c>
      <c r="JL95" s="1" t="str">
        <f t="shared" si="30"/>
        <v/>
      </c>
      <c r="JM95" s="1" t="str">
        <f t="shared" si="30"/>
        <v/>
      </c>
      <c r="JN95" s="1" t="str">
        <f t="shared" si="30"/>
        <v/>
      </c>
      <c r="JO95" s="1" t="str">
        <f t="shared" si="30"/>
        <v/>
      </c>
    </row>
    <row r="96" spans="1:275" ht="14.5" x14ac:dyDescent="0.35">
      <c r="A96" s="59" t="str">
        <f>IF('Data input'!A96&lt;&gt;"",'Data input'!A96,"")</f>
        <v/>
      </c>
      <c r="B96" s="15" t="str">
        <f>IF('Data input'!B96&lt;&gt;"",'Data input'!B96,"")</f>
        <v/>
      </c>
      <c r="C96" s="16" t="str">
        <f>IF('Data input'!C96="","",4*('Data input'!C96-'Data input'!C$108)/('Data input'!C$109-'Data input'!C$108)+1)</f>
        <v/>
      </c>
      <c r="D96" s="16" t="str">
        <f>IF('Data input'!D96="","",4*('Data input'!D96-'Data input'!D$108)/('Data input'!D$109-'Data input'!D$108)+1)</f>
        <v/>
      </c>
      <c r="E96" s="16" t="str">
        <f>IF('Data input'!E96="","",4*('Data input'!E96-'Data input'!E$108)/('Data input'!E$109-'Data input'!E$108)+1)</f>
        <v/>
      </c>
      <c r="F96" s="16" t="str">
        <f>IF('Data input'!F96="","",4*('Data input'!F96-'Data input'!F$108)/('Data input'!F$109-'Data input'!F$108)+1)</f>
        <v/>
      </c>
      <c r="G96" s="16" t="str">
        <f>IF('Data input'!G96="","",4*('Data input'!G96-'Data input'!G$108)/('Data input'!G$109-'Data input'!G$108)+1)</f>
        <v/>
      </c>
      <c r="H96" s="16" t="str">
        <f>IF('Data input'!H96="","",4*('Data input'!H96-'Data input'!H$108)/('Data input'!H$109-'Data input'!H$108)+1)</f>
        <v/>
      </c>
      <c r="I96" s="19" t="str">
        <f>IF('Data input'!I96="","",4*('Data input'!I96-'Data input'!I$108)/('Data input'!I$109-'Data input'!I$108)+1)</f>
        <v/>
      </c>
      <c r="J96" s="19" t="str">
        <f>IF('Data input'!J96="","",4*('Data input'!J96-'Data input'!J$108)/('Data input'!J$109-'Data input'!J$108)+1)</f>
        <v/>
      </c>
      <c r="K96" s="19" t="str">
        <f>IF('Data input'!K96="","",4*('Data input'!K96-'Data input'!K$108)/('Data input'!K$109-'Data input'!K$108)+1)</f>
        <v/>
      </c>
      <c r="L96" s="19" t="str">
        <f>IF('Data input'!L96="","",4*('Data input'!L96-'Data input'!L$108)/('Data input'!L$109-'Data input'!L$108)+1)</f>
        <v/>
      </c>
      <c r="M96" s="16" t="str">
        <f>IF('Data input'!M96="","",4*('Data input'!M96-'Data input'!M$108)/('Data input'!M$109-'Data input'!M$108)+1)</f>
        <v/>
      </c>
      <c r="N96" s="16" t="str">
        <f>IF('Data input'!N96="","",4*('Data input'!N96-'Data input'!N$108)/('Data input'!N$109-'Data input'!N$108)+1)</f>
        <v/>
      </c>
      <c r="O96" s="16" t="str">
        <f>IF('Data input'!O96="","",4*('Data input'!O96-'Data input'!O$108)/('Data input'!O$109-'Data input'!O$108)+1)</f>
        <v/>
      </c>
      <c r="P96" s="16" t="str">
        <f>IF('Data input'!P96="","",4*('Data input'!P96-'Data input'!P$108)/('Data input'!P$109-'Data input'!P$108)+1)</f>
        <v/>
      </c>
      <c r="Q96" s="16" t="str">
        <f>IF('Data input'!Q96="","",4*('Data input'!Q96-'Data input'!Q$108)/('Data input'!Q$109-'Data input'!Q$108)+1)</f>
        <v/>
      </c>
      <c r="R96" s="16" t="str">
        <f>IF('Data input'!R96="","",4*('Data input'!R96-'Data input'!R$108)/('Data input'!R$109-'Data input'!R$108)+1)</f>
        <v/>
      </c>
      <c r="S96" s="16" t="str">
        <f>IF('Data input'!S96="","",4*('Data input'!S96-'Data input'!S$108)/('Data input'!S$109-'Data input'!S$108)+1)</f>
        <v/>
      </c>
      <c r="T96" s="16" t="str">
        <f>IF('Data input'!T96="","",4*('Data input'!T96-'Data input'!T$108)/('Data input'!T$109-'Data input'!T$108)+1)</f>
        <v/>
      </c>
      <c r="U96" s="16" t="str">
        <f>IF('Data input'!U96="","",4*('Data input'!U96-'Data input'!U$108)/('Data input'!U$109-'Data input'!U$108)+1)</f>
        <v/>
      </c>
      <c r="V96" s="16" t="str">
        <f>IF('Data input'!V96="","",4*('Data input'!V96-'Data input'!V$108)/('Data input'!V$109-'Data input'!V$108)+1)</f>
        <v/>
      </c>
      <c r="W96" s="16" t="str">
        <f>IF('Data input'!W96="","",4*('Data input'!W96-'Data input'!W$108)/('Data input'!W$109-'Data input'!W$108)+1)</f>
        <v/>
      </c>
      <c r="X96" s="16" t="str">
        <f>IF('Data input'!X96="","",4*('Data input'!X96-'Data input'!X$108)/('Data input'!X$109-'Data input'!X$108)+1)</f>
        <v/>
      </c>
      <c r="Y96" s="16" t="str">
        <f>IF('Data input'!Y96="","",4*('Data input'!Y96-'Data input'!Y$108)/('Data input'!Y$109-'Data input'!Y$108)+1)</f>
        <v/>
      </c>
      <c r="Z96" s="16" t="str">
        <f>IF('Data input'!Z96="","",4*('Data input'!Z96-'Data input'!Z$108)/('Data input'!Z$109-'Data input'!Z$108)+1)</f>
        <v/>
      </c>
      <c r="AA96" s="62" t="str">
        <f>IF('Data input'!AA96="","",4*('Data input'!AA96-'Data input'!AA$108)/('Data input'!AA$109-'Data input'!AA$108)+1)</f>
        <v/>
      </c>
      <c r="AB96" s="78"/>
      <c r="AC96" s="79">
        <v>0</v>
      </c>
      <c r="AD96" s="80" t="e">
        <f t="shared" si="48"/>
        <v>#DIV/0!</v>
      </c>
      <c r="AE96" s="4"/>
      <c r="AF96" s="59" t="str">
        <f t="shared" si="40"/>
        <v/>
      </c>
      <c r="AG96" s="60" t="str">
        <f t="shared" si="40"/>
        <v/>
      </c>
      <c r="AH96"/>
      <c r="AI96"/>
      <c r="AJ96"/>
      <c r="AK96"/>
      <c r="AL96"/>
      <c r="AM96"/>
      <c r="AN96"/>
      <c r="AO96"/>
      <c r="AP96"/>
      <c r="AQ96"/>
      <c r="AR96"/>
      <c r="AS96" s="71" t="str">
        <f t="shared" si="44"/>
        <v/>
      </c>
      <c r="AT96" s="71" t="str">
        <f t="shared" si="44"/>
        <v/>
      </c>
      <c r="AU96" s="71" t="str">
        <f t="shared" si="44"/>
        <v/>
      </c>
      <c r="AV96" s="71" t="str">
        <f t="shared" si="44"/>
        <v/>
      </c>
      <c r="AW96" s="71" t="str">
        <f t="shared" si="44"/>
        <v/>
      </c>
      <c r="AX96" s="71" t="str">
        <f t="shared" si="45"/>
        <v/>
      </c>
      <c r="AY96" s="71" t="str">
        <f t="shared" si="45"/>
        <v/>
      </c>
      <c r="AZ96" s="71" t="str">
        <f t="shared" si="45"/>
        <v/>
      </c>
      <c r="BA96" s="71" t="str">
        <f t="shared" si="45"/>
        <v/>
      </c>
      <c r="BB96" s="71" t="str">
        <f t="shared" si="45"/>
        <v/>
      </c>
      <c r="BC96" s="18" t="str">
        <f>IF(C96&lt;&gt;"",(('Data input'!C$109-'Data input'!C$108)*(AS96-1)/4)+'Data input'!C$108,"")</f>
        <v/>
      </c>
      <c r="BD96" s="18" t="str">
        <f>IF(D96&lt;&gt;"",(('Data input'!D$109-'Data input'!D$108)*(AT96-1)/4)+'Data input'!D$108,"")</f>
        <v/>
      </c>
      <c r="BE96" s="18" t="str">
        <f>IF(E96&lt;&gt;"",(('Data input'!E$109-'Data input'!E$108)*(AU96-1)/4)+'Data input'!E$108,"")</f>
        <v/>
      </c>
      <c r="BF96" s="18" t="str">
        <f>IF(F96&lt;&gt;"",(('Data input'!F$109-'Data input'!F$108)*(AV96-1)/4)+'Data input'!F$108,"")</f>
        <v/>
      </c>
      <c r="BG96" s="18" t="str">
        <f>IF(G96&lt;&gt;"",(('Data input'!G$109-'Data input'!G$108)*(AW96-1)/4)+'Data input'!G$108,"")</f>
        <v/>
      </c>
      <c r="BH96" s="19" t="str">
        <f>IF(H96&lt;&gt;"",(('Data input'!H$109-'Data input'!H$108)*(AX96-1)/4)+'Data input'!H$108,"")</f>
        <v/>
      </c>
      <c r="BI96" s="18" t="str">
        <f>IF(I96&lt;&gt;"",(('Data input'!I$109-'Data input'!I$108)*(AY96-1)/4)+'Data input'!I$108,"")</f>
        <v/>
      </c>
      <c r="BJ96" s="19" t="str">
        <f>IF(J96&lt;&gt;"",(('Data input'!J$109-'Data input'!J$108)*(AZ96-1)/4)+'Data input'!J$108,"")</f>
        <v/>
      </c>
      <c r="BK96" s="19" t="str">
        <f>IF(K96&lt;&gt;"",(('Data input'!K$109-'Data input'!K$108)*(BA96-1)/4)+'Data input'!K$108,"")</f>
        <v/>
      </c>
      <c r="BL96" s="19" t="str">
        <f>IF(L96&lt;&gt;"",(('Data input'!L$109-'Data input'!L$108)*(BB96-1)/4)+'Data input'!L$108,"")</f>
        <v/>
      </c>
      <c r="BM96" s="18" t="str">
        <f>IF(C96&lt;&gt;"",BC96-'Data input'!C96,"")</f>
        <v/>
      </c>
      <c r="BN96" s="18" t="str">
        <f>IF(D96&lt;&gt;"",BD96-'Data input'!D96,"")</f>
        <v/>
      </c>
      <c r="BO96" s="18" t="str">
        <f>IF(E96&lt;&gt;"",BE96-'Data input'!E96,"")</f>
        <v/>
      </c>
      <c r="BP96" s="18" t="str">
        <f>IF(F96&lt;&gt;"",BF96-'Data input'!F96,"")</f>
        <v/>
      </c>
      <c r="BQ96" s="18" t="str">
        <f>IF(G96&lt;&gt;"",BG96-'Data input'!G96,"")</f>
        <v/>
      </c>
      <c r="BR96" s="19" t="str">
        <f>IF(H96&lt;&gt;"",BH96-'Data input'!H96,"")</f>
        <v/>
      </c>
      <c r="BS96" s="18" t="str">
        <f>IF(I96&lt;&gt;"",BI96-'Data input'!I96,"")</f>
        <v/>
      </c>
      <c r="BT96" s="18" t="str">
        <f>IF(J96&lt;&gt;"",BJ96-'Data input'!J96,"")</f>
        <v/>
      </c>
      <c r="BU96" s="18" t="str">
        <f>IF(K96&lt;&gt;"",BK96-'Data input'!K96,"")</f>
        <v/>
      </c>
      <c r="BV96" s="72" t="str">
        <f>IF(L96&lt;&gt;"",BL96-'Data input'!L96,"")</f>
        <v/>
      </c>
      <c r="BW96" s="121" t="str">
        <f t="shared" si="49"/>
        <v/>
      </c>
      <c r="FT96" s="1" t="str">
        <f t="shared" si="57"/>
        <v/>
      </c>
      <c r="FU96" s="1" t="str">
        <f t="shared" si="55"/>
        <v/>
      </c>
      <c r="FV96" s="1" t="str">
        <f t="shared" si="55"/>
        <v/>
      </c>
      <c r="FW96" s="1" t="str">
        <f t="shared" si="55"/>
        <v/>
      </c>
      <c r="FX96" s="1" t="str">
        <f t="shared" si="55"/>
        <v/>
      </c>
      <c r="FY96" s="1" t="str">
        <f t="shared" si="55"/>
        <v/>
      </c>
      <c r="FZ96" s="1" t="str">
        <f t="shared" si="55"/>
        <v/>
      </c>
      <c r="GA96" s="1" t="str">
        <f t="shared" si="55"/>
        <v/>
      </c>
      <c r="GB96" s="1" t="str">
        <f t="shared" si="55"/>
        <v/>
      </c>
      <c r="GC96" s="1" t="str">
        <f t="shared" si="55"/>
        <v/>
      </c>
      <c r="GD96" s="1" t="str">
        <f t="shared" si="55"/>
        <v/>
      </c>
      <c r="GE96" s="1" t="str">
        <f t="shared" si="55"/>
        <v/>
      </c>
      <c r="GF96" s="1" t="str">
        <f t="shared" si="55"/>
        <v/>
      </c>
      <c r="GG96" s="1" t="str">
        <f t="shared" si="55"/>
        <v/>
      </c>
      <c r="GH96" s="1" t="str">
        <f t="shared" si="55"/>
        <v/>
      </c>
      <c r="GI96" s="1" t="str">
        <f t="shared" si="55"/>
        <v/>
      </c>
      <c r="GJ96" s="1" t="str">
        <f t="shared" si="55"/>
        <v/>
      </c>
      <c r="GK96" s="1" t="str">
        <f t="shared" si="61"/>
        <v/>
      </c>
      <c r="GL96" s="1" t="str">
        <f t="shared" si="61"/>
        <v/>
      </c>
      <c r="GM96" s="1" t="str">
        <f t="shared" si="61"/>
        <v/>
      </c>
      <c r="GN96" s="1" t="str">
        <f t="shared" si="61"/>
        <v/>
      </c>
      <c r="GO96" s="1" t="str">
        <f t="shared" si="60"/>
        <v/>
      </c>
      <c r="GP96" s="1" t="str">
        <f t="shared" si="60"/>
        <v/>
      </c>
      <c r="GQ96" s="1" t="str">
        <f t="shared" si="60"/>
        <v/>
      </c>
      <c r="GR96" s="1" t="str">
        <f t="shared" si="60"/>
        <v/>
      </c>
      <c r="GS96" s="1" t="str">
        <f t="shared" si="60"/>
        <v/>
      </c>
      <c r="GT96" s="1" t="str">
        <f t="shared" si="50"/>
        <v/>
      </c>
      <c r="GU96" s="1" t="str">
        <f t="shared" si="50"/>
        <v/>
      </c>
      <c r="GV96" s="1" t="str">
        <f t="shared" si="50"/>
        <v/>
      </c>
      <c r="GW96" s="1" t="str">
        <f t="shared" si="50"/>
        <v/>
      </c>
      <c r="GX96" s="1" t="str">
        <f t="shared" si="50"/>
        <v/>
      </c>
      <c r="GY96" s="1" t="str">
        <f t="shared" si="50"/>
        <v/>
      </c>
      <c r="GZ96" s="1" t="str">
        <f t="shared" si="50"/>
        <v/>
      </c>
      <c r="HA96" s="1" t="str">
        <f t="shared" si="50"/>
        <v/>
      </c>
      <c r="HB96" s="1" t="str">
        <f t="shared" si="50"/>
        <v/>
      </c>
      <c r="HC96" s="1" t="str">
        <f t="shared" si="50"/>
        <v/>
      </c>
      <c r="HD96" s="1" t="str">
        <f t="shared" si="50"/>
        <v/>
      </c>
      <c r="HE96" s="1" t="str">
        <f t="shared" si="50"/>
        <v/>
      </c>
      <c r="HF96" s="1" t="str">
        <f t="shared" si="50"/>
        <v/>
      </c>
      <c r="HG96" s="1" t="str">
        <f t="shared" si="50"/>
        <v/>
      </c>
      <c r="HH96" s="1" t="str">
        <f t="shared" si="50"/>
        <v/>
      </c>
      <c r="HI96" s="1" t="str">
        <f t="shared" si="50"/>
        <v/>
      </c>
      <c r="HJ96" s="1" t="str">
        <f t="shared" si="58"/>
        <v/>
      </c>
      <c r="HK96" s="1" t="str">
        <f t="shared" si="58"/>
        <v/>
      </c>
      <c r="HL96" s="1" t="str">
        <f t="shared" si="58"/>
        <v/>
      </c>
      <c r="HM96" s="1" t="str">
        <f t="shared" si="58"/>
        <v/>
      </c>
      <c r="HN96" s="1" t="str">
        <f t="shared" si="58"/>
        <v/>
      </c>
      <c r="HO96" s="1" t="str">
        <f t="shared" si="52"/>
        <v/>
      </c>
      <c r="HP96" s="1" t="str">
        <f t="shared" si="52"/>
        <v/>
      </c>
      <c r="HQ96" s="1" t="str">
        <f t="shared" si="52"/>
        <v/>
      </c>
      <c r="HR96" s="1" t="str">
        <f t="shared" si="52"/>
        <v/>
      </c>
      <c r="HS96" s="1" t="str">
        <f t="shared" si="52"/>
        <v/>
      </c>
      <c r="HT96" s="1" t="str">
        <f t="shared" si="52"/>
        <v/>
      </c>
      <c r="HU96" s="1" t="str">
        <f t="shared" si="52"/>
        <v/>
      </c>
      <c r="HV96" s="1" t="str">
        <f t="shared" si="52"/>
        <v/>
      </c>
      <c r="HW96" s="1" t="str">
        <f t="shared" si="52"/>
        <v/>
      </c>
      <c r="HX96" s="1" t="str">
        <f t="shared" si="52"/>
        <v/>
      </c>
      <c r="HY96" s="1" t="str">
        <f t="shared" si="52"/>
        <v/>
      </c>
      <c r="HZ96" s="1" t="str">
        <f t="shared" si="52"/>
        <v/>
      </c>
      <c r="IA96" s="1" t="str">
        <f t="shared" si="52"/>
        <v/>
      </c>
      <c r="IB96" s="1" t="str">
        <f t="shared" si="52"/>
        <v/>
      </c>
      <c r="IC96" s="1" t="str">
        <f t="shared" si="52"/>
        <v/>
      </c>
      <c r="ID96" s="1" t="str">
        <f t="shared" si="52"/>
        <v/>
      </c>
      <c r="IE96" s="1" t="str">
        <f t="shared" si="59"/>
        <v/>
      </c>
      <c r="IF96" s="1" t="str">
        <f t="shared" si="56"/>
        <v/>
      </c>
      <c r="IG96" s="1" t="str">
        <f t="shared" si="56"/>
        <v/>
      </c>
      <c r="IH96" s="1" t="str">
        <f t="shared" si="53"/>
        <v/>
      </c>
      <c r="II96" s="1" t="str">
        <f t="shared" si="53"/>
        <v/>
      </c>
      <c r="IJ96" s="1" t="str">
        <f t="shared" si="53"/>
        <v/>
      </c>
      <c r="IK96" s="1" t="str">
        <f t="shared" si="53"/>
        <v/>
      </c>
      <c r="IL96" s="1" t="str">
        <f t="shared" si="53"/>
        <v/>
      </c>
      <c r="IM96" s="1" t="str">
        <f t="shared" si="53"/>
        <v/>
      </c>
      <c r="IN96" s="1" t="str">
        <f t="shared" si="53"/>
        <v/>
      </c>
      <c r="IO96" s="1" t="str">
        <f t="shared" si="53"/>
        <v/>
      </c>
      <c r="IP96" s="1" t="str">
        <f t="shared" si="53"/>
        <v/>
      </c>
      <c r="IQ96" s="1" t="str">
        <f t="shared" si="53"/>
        <v/>
      </c>
      <c r="IR96" s="1" t="str">
        <f t="shared" si="53"/>
        <v/>
      </c>
      <c r="IS96" s="1" t="str">
        <f t="shared" si="53"/>
        <v/>
      </c>
      <c r="IT96" s="1" t="str">
        <f t="shared" si="53"/>
        <v/>
      </c>
      <c r="IU96" s="1" t="str">
        <f t="shared" si="53"/>
        <v/>
      </c>
      <c r="IV96" s="1" t="str">
        <f t="shared" si="53"/>
        <v/>
      </c>
      <c r="IW96" s="1" t="str">
        <f t="shared" si="53"/>
        <v/>
      </c>
      <c r="IX96" s="1" t="str">
        <f t="shared" si="54"/>
        <v/>
      </c>
      <c r="IY96" s="1" t="str">
        <f t="shared" si="54"/>
        <v/>
      </c>
      <c r="IZ96" s="1" t="str">
        <f t="shared" si="54"/>
        <v/>
      </c>
      <c r="JA96" s="1" t="str">
        <f t="shared" si="54"/>
        <v/>
      </c>
      <c r="JB96" s="1" t="str">
        <f t="shared" si="54"/>
        <v/>
      </c>
      <c r="JC96" s="1" t="str">
        <f t="shared" si="43"/>
        <v/>
      </c>
      <c r="JD96" s="1" t="str">
        <f t="shared" si="43"/>
        <v/>
      </c>
      <c r="JE96" s="1" t="str">
        <f t="shared" si="43"/>
        <v/>
      </c>
      <c r="JF96" s="1" t="str">
        <f t="shared" si="43"/>
        <v/>
      </c>
      <c r="JG96" s="1" t="str">
        <f t="shared" si="37"/>
        <v/>
      </c>
      <c r="JH96" s="1" t="str">
        <f t="shared" si="37"/>
        <v/>
      </c>
      <c r="JI96" s="1" t="str">
        <f t="shared" si="37"/>
        <v/>
      </c>
      <c r="JJ96" s="1" t="str">
        <f t="shared" si="30"/>
        <v/>
      </c>
      <c r="JK96" s="1" t="str">
        <f t="shared" si="30"/>
        <v/>
      </c>
      <c r="JL96" s="1" t="str">
        <f t="shared" si="30"/>
        <v/>
      </c>
      <c r="JM96" s="1" t="str">
        <f t="shared" si="30"/>
        <v/>
      </c>
      <c r="JN96" s="1" t="str">
        <f t="shared" si="30"/>
        <v/>
      </c>
      <c r="JO96" s="1" t="str">
        <f t="shared" si="30"/>
        <v/>
      </c>
    </row>
    <row r="97" spans="1:275" ht="14.5" x14ac:dyDescent="0.35">
      <c r="A97" s="59" t="str">
        <f>IF('Data input'!A97&lt;&gt;"",'Data input'!A97,"")</f>
        <v/>
      </c>
      <c r="B97" s="15" t="str">
        <f>IF('Data input'!B97&lt;&gt;"",'Data input'!B97,"")</f>
        <v/>
      </c>
      <c r="C97" s="16" t="str">
        <f>IF('Data input'!C97="","",4*('Data input'!C97-'Data input'!C$108)/('Data input'!C$109-'Data input'!C$108)+1)</f>
        <v/>
      </c>
      <c r="D97" s="16" t="str">
        <f>IF('Data input'!D97="","",4*('Data input'!D97-'Data input'!D$108)/('Data input'!D$109-'Data input'!D$108)+1)</f>
        <v/>
      </c>
      <c r="E97" s="16" t="str">
        <f>IF('Data input'!E97="","",4*('Data input'!E97-'Data input'!E$108)/('Data input'!E$109-'Data input'!E$108)+1)</f>
        <v/>
      </c>
      <c r="F97" s="16" t="str">
        <f>IF('Data input'!F97="","",4*('Data input'!F97-'Data input'!F$108)/('Data input'!F$109-'Data input'!F$108)+1)</f>
        <v/>
      </c>
      <c r="G97" s="16" t="str">
        <f>IF('Data input'!G97="","",4*('Data input'!G97-'Data input'!G$108)/('Data input'!G$109-'Data input'!G$108)+1)</f>
        <v/>
      </c>
      <c r="H97" s="16" t="str">
        <f>IF('Data input'!H97="","",4*('Data input'!H97-'Data input'!H$108)/('Data input'!H$109-'Data input'!H$108)+1)</f>
        <v/>
      </c>
      <c r="I97" s="19" t="str">
        <f>IF('Data input'!I97="","",4*('Data input'!I97-'Data input'!I$108)/('Data input'!I$109-'Data input'!I$108)+1)</f>
        <v/>
      </c>
      <c r="J97" s="19" t="str">
        <f>IF('Data input'!J97="","",4*('Data input'!J97-'Data input'!J$108)/('Data input'!J$109-'Data input'!J$108)+1)</f>
        <v/>
      </c>
      <c r="K97" s="19" t="str">
        <f>IF('Data input'!K97="","",4*('Data input'!K97-'Data input'!K$108)/('Data input'!K$109-'Data input'!K$108)+1)</f>
        <v/>
      </c>
      <c r="L97" s="19" t="str">
        <f>IF('Data input'!L97="","",4*('Data input'!L97-'Data input'!L$108)/('Data input'!L$109-'Data input'!L$108)+1)</f>
        <v/>
      </c>
      <c r="M97" s="16" t="str">
        <f>IF('Data input'!M97="","",4*('Data input'!M97-'Data input'!M$108)/('Data input'!M$109-'Data input'!M$108)+1)</f>
        <v/>
      </c>
      <c r="N97" s="16" t="str">
        <f>IF('Data input'!N97="","",4*('Data input'!N97-'Data input'!N$108)/('Data input'!N$109-'Data input'!N$108)+1)</f>
        <v/>
      </c>
      <c r="O97" s="16" t="str">
        <f>IF('Data input'!O97="","",4*('Data input'!O97-'Data input'!O$108)/('Data input'!O$109-'Data input'!O$108)+1)</f>
        <v/>
      </c>
      <c r="P97" s="16" t="str">
        <f>IF('Data input'!P97="","",4*('Data input'!P97-'Data input'!P$108)/('Data input'!P$109-'Data input'!P$108)+1)</f>
        <v/>
      </c>
      <c r="Q97" s="16" t="str">
        <f>IF('Data input'!Q97="","",4*('Data input'!Q97-'Data input'!Q$108)/('Data input'!Q$109-'Data input'!Q$108)+1)</f>
        <v/>
      </c>
      <c r="R97" s="16" t="str">
        <f>IF('Data input'!R97="","",4*('Data input'!R97-'Data input'!R$108)/('Data input'!R$109-'Data input'!R$108)+1)</f>
        <v/>
      </c>
      <c r="S97" s="16" t="str">
        <f>IF('Data input'!S97="","",4*('Data input'!S97-'Data input'!S$108)/('Data input'!S$109-'Data input'!S$108)+1)</f>
        <v/>
      </c>
      <c r="T97" s="16" t="str">
        <f>IF('Data input'!T97="","",4*('Data input'!T97-'Data input'!T$108)/('Data input'!T$109-'Data input'!T$108)+1)</f>
        <v/>
      </c>
      <c r="U97" s="16" t="str">
        <f>IF('Data input'!U97="","",4*('Data input'!U97-'Data input'!U$108)/('Data input'!U$109-'Data input'!U$108)+1)</f>
        <v/>
      </c>
      <c r="V97" s="16" t="str">
        <f>IF('Data input'!V97="","",4*('Data input'!V97-'Data input'!V$108)/('Data input'!V$109-'Data input'!V$108)+1)</f>
        <v/>
      </c>
      <c r="W97" s="16" t="str">
        <f>IF('Data input'!W97="","",4*('Data input'!W97-'Data input'!W$108)/('Data input'!W$109-'Data input'!W$108)+1)</f>
        <v/>
      </c>
      <c r="X97" s="16" t="str">
        <f>IF('Data input'!X97="","",4*('Data input'!X97-'Data input'!X$108)/('Data input'!X$109-'Data input'!X$108)+1)</f>
        <v/>
      </c>
      <c r="Y97" s="16" t="str">
        <f>IF('Data input'!Y97="","",4*('Data input'!Y97-'Data input'!Y$108)/('Data input'!Y$109-'Data input'!Y$108)+1)</f>
        <v/>
      </c>
      <c r="Z97" s="16" t="str">
        <f>IF('Data input'!Z97="","",4*('Data input'!Z97-'Data input'!Z$108)/('Data input'!Z$109-'Data input'!Z$108)+1)</f>
        <v/>
      </c>
      <c r="AA97" s="62" t="str">
        <f>IF('Data input'!AA97="","",4*('Data input'!AA97-'Data input'!AA$108)/('Data input'!AA$109-'Data input'!AA$108)+1)</f>
        <v/>
      </c>
      <c r="AB97" s="78"/>
      <c r="AC97" s="79">
        <v>0</v>
      </c>
      <c r="AD97" s="80" t="e">
        <f t="shared" si="48"/>
        <v>#DIV/0!</v>
      </c>
      <c r="AE97" s="4"/>
      <c r="AF97" s="59" t="str">
        <f t="shared" si="40"/>
        <v/>
      </c>
      <c r="AG97" s="60" t="str">
        <f t="shared" si="40"/>
        <v/>
      </c>
      <c r="AH97"/>
      <c r="AI97"/>
      <c r="AJ97"/>
      <c r="AK97"/>
      <c r="AL97"/>
      <c r="AM97"/>
      <c r="AN97"/>
      <c r="AO97"/>
      <c r="AP97"/>
      <c r="AQ97"/>
      <c r="AR97"/>
      <c r="AS97" s="71" t="str">
        <f t="shared" si="44"/>
        <v/>
      </c>
      <c r="AT97" s="71" t="str">
        <f t="shared" si="44"/>
        <v/>
      </c>
      <c r="AU97" s="71" t="str">
        <f t="shared" si="44"/>
        <v/>
      </c>
      <c r="AV97" s="71" t="str">
        <f t="shared" si="44"/>
        <v/>
      </c>
      <c r="AW97" s="71" t="str">
        <f t="shared" si="44"/>
        <v/>
      </c>
      <c r="AX97" s="71" t="str">
        <f t="shared" si="45"/>
        <v/>
      </c>
      <c r="AY97" s="71" t="str">
        <f t="shared" si="45"/>
        <v/>
      </c>
      <c r="AZ97" s="71" t="str">
        <f t="shared" si="45"/>
        <v/>
      </c>
      <c r="BA97" s="71" t="str">
        <f t="shared" si="45"/>
        <v/>
      </c>
      <c r="BB97" s="71" t="str">
        <f t="shared" si="45"/>
        <v/>
      </c>
      <c r="BC97" s="18" t="str">
        <f>IF(C97&lt;&gt;"",(('Data input'!C$109-'Data input'!C$108)*(AS97-1)/4)+'Data input'!C$108,"")</f>
        <v/>
      </c>
      <c r="BD97" s="18" t="str">
        <f>IF(D97&lt;&gt;"",(('Data input'!D$109-'Data input'!D$108)*(AT97-1)/4)+'Data input'!D$108,"")</f>
        <v/>
      </c>
      <c r="BE97" s="18" t="str">
        <f>IF(E97&lt;&gt;"",(('Data input'!E$109-'Data input'!E$108)*(AU97-1)/4)+'Data input'!E$108,"")</f>
        <v/>
      </c>
      <c r="BF97" s="18" t="str">
        <f>IF(F97&lt;&gt;"",(('Data input'!F$109-'Data input'!F$108)*(AV97-1)/4)+'Data input'!F$108,"")</f>
        <v/>
      </c>
      <c r="BG97" s="18" t="str">
        <f>IF(G97&lt;&gt;"",(('Data input'!G$109-'Data input'!G$108)*(AW97-1)/4)+'Data input'!G$108,"")</f>
        <v/>
      </c>
      <c r="BH97" s="19" t="str">
        <f>IF(H97&lt;&gt;"",(('Data input'!H$109-'Data input'!H$108)*(AX97-1)/4)+'Data input'!H$108,"")</f>
        <v/>
      </c>
      <c r="BI97" s="18" t="str">
        <f>IF(I97&lt;&gt;"",(('Data input'!I$109-'Data input'!I$108)*(AY97-1)/4)+'Data input'!I$108,"")</f>
        <v/>
      </c>
      <c r="BJ97" s="19" t="str">
        <f>IF(J97&lt;&gt;"",(('Data input'!J$109-'Data input'!J$108)*(AZ97-1)/4)+'Data input'!J$108,"")</f>
        <v/>
      </c>
      <c r="BK97" s="19" t="str">
        <f>IF(K97&lt;&gt;"",(('Data input'!K$109-'Data input'!K$108)*(BA97-1)/4)+'Data input'!K$108,"")</f>
        <v/>
      </c>
      <c r="BL97" s="19" t="str">
        <f>IF(L97&lt;&gt;"",(('Data input'!L$109-'Data input'!L$108)*(BB97-1)/4)+'Data input'!L$108,"")</f>
        <v/>
      </c>
      <c r="BM97" s="18" t="str">
        <f>IF(C97&lt;&gt;"",BC97-'Data input'!C97,"")</f>
        <v/>
      </c>
      <c r="BN97" s="18" t="str">
        <f>IF(D97&lt;&gt;"",BD97-'Data input'!D97,"")</f>
        <v/>
      </c>
      <c r="BO97" s="18" t="str">
        <f>IF(E97&lt;&gt;"",BE97-'Data input'!E97,"")</f>
        <v/>
      </c>
      <c r="BP97" s="18" t="str">
        <f>IF(F97&lt;&gt;"",BF97-'Data input'!F97,"")</f>
        <v/>
      </c>
      <c r="BQ97" s="18" t="str">
        <f>IF(G97&lt;&gt;"",BG97-'Data input'!G97,"")</f>
        <v/>
      </c>
      <c r="BR97" s="19" t="str">
        <f>IF(H97&lt;&gt;"",BH97-'Data input'!H97,"")</f>
        <v/>
      </c>
      <c r="BS97" s="18" t="str">
        <f>IF(I97&lt;&gt;"",BI97-'Data input'!I97,"")</f>
        <v/>
      </c>
      <c r="BT97" s="18" t="str">
        <f>IF(J97&lt;&gt;"",BJ97-'Data input'!J97,"")</f>
        <v/>
      </c>
      <c r="BU97" s="18" t="str">
        <f>IF(K97&lt;&gt;"",BK97-'Data input'!K97,"")</f>
        <v/>
      </c>
      <c r="BV97" s="72" t="str">
        <f>IF(L97&lt;&gt;"",BL97-'Data input'!L97,"")</f>
        <v/>
      </c>
      <c r="BW97" s="121" t="str">
        <f t="shared" si="49"/>
        <v/>
      </c>
      <c r="FT97" s="1" t="str">
        <f t="shared" si="57"/>
        <v/>
      </c>
      <c r="FU97" s="1" t="str">
        <f t="shared" si="55"/>
        <v/>
      </c>
      <c r="FV97" s="1" t="str">
        <f t="shared" si="55"/>
        <v/>
      </c>
      <c r="FW97" s="1" t="str">
        <f t="shared" si="55"/>
        <v/>
      </c>
      <c r="FX97" s="1" t="str">
        <f t="shared" si="55"/>
        <v/>
      </c>
      <c r="FY97" s="1" t="str">
        <f t="shared" si="55"/>
        <v/>
      </c>
      <c r="FZ97" s="1" t="str">
        <f t="shared" si="55"/>
        <v/>
      </c>
      <c r="GA97" s="1" t="str">
        <f t="shared" si="55"/>
        <v/>
      </c>
      <c r="GB97" s="1" t="str">
        <f t="shared" si="55"/>
        <v/>
      </c>
      <c r="GC97" s="1" t="str">
        <f t="shared" si="55"/>
        <v/>
      </c>
      <c r="GD97" s="1" t="str">
        <f t="shared" si="55"/>
        <v/>
      </c>
      <c r="GE97" s="1" t="str">
        <f t="shared" si="55"/>
        <v/>
      </c>
      <c r="GF97" s="1" t="str">
        <f t="shared" si="55"/>
        <v/>
      </c>
      <c r="GG97" s="1" t="str">
        <f t="shared" si="55"/>
        <v/>
      </c>
      <c r="GH97" s="1" t="str">
        <f t="shared" si="55"/>
        <v/>
      </c>
      <c r="GI97" s="1" t="str">
        <f t="shared" si="55"/>
        <v/>
      </c>
      <c r="GJ97" s="1" t="str">
        <f t="shared" si="55"/>
        <v/>
      </c>
      <c r="GK97" s="1" t="str">
        <f t="shared" si="61"/>
        <v/>
      </c>
      <c r="GL97" s="1" t="str">
        <f t="shared" si="61"/>
        <v/>
      </c>
      <c r="GM97" s="1" t="str">
        <f t="shared" si="61"/>
        <v/>
      </c>
      <c r="GN97" s="1" t="str">
        <f t="shared" si="61"/>
        <v/>
      </c>
      <c r="GO97" s="1" t="str">
        <f t="shared" si="60"/>
        <v/>
      </c>
      <c r="GP97" s="1" t="str">
        <f t="shared" si="60"/>
        <v/>
      </c>
      <c r="GQ97" s="1" t="str">
        <f t="shared" si="60"/>
        <v/>
      </c>
      <c r="GR97" s="1" t="str">
        <f t="shared" si="60"/>
        <v/>
      </c>
      <c r="GS97" s="1" t="str">
        <f t="shared" si="60"/>
        <v/>
      </c>
      <c r="GT97" s="1" t="str">
        <f t="shared" si="60"/>
        <v/>
      </c>
      <c r="GU97" s="1" t="str">
        <f t="shared" si="60"/>
        <v/>
      </c>
      <c r="GV97" s="1" t="str">
        <f t="shared" si="60"/>
        <v/>
      </c>
      <c r="GW97" s="1" t="str">
        <f t="shared" si="60"/>
        <v/>
      </c>
      <c r="GX97" s="1" t="str">
        <f t="shared" si="60"/>
        <v/>
      </c>
      <c r="GY97" s="1" t="str">
        <f t="shared" si="60"/>
        <v/>
      </c>
      <c r="GZ97" s="1" t="str">
        <f t="shared" si="60"/>
        <v/>
      </c>
      <c r="HA97" s="1" t="str">
        <f t="shared" si="60"/>
        <v/>
      </c>
      <c r="HB97" s="1" t="str">
        <f t="shared" si="60"/>
        <v/>
      </c>
      <c r="HC97" s="1" t="str">
        <f t="shared" si="60"/>
        <v/>
      </c>
      <c r="HD97" s="1" t="str">
        <f t="shared" si="60"/>
        <v/>
      </c>
      <c r="HE97" s="1" t="str">
        <f t="shared" ref="HE97:HI102" si="62">IF(DI97&gt;0.0001,CONCATENATE(DI$2,"; "),"")</f>
        <v/>
      </c>
      <c r="HF97" s="1" t="str">
        <f t="shared" si="62"/>
        <v/>
      </c>
      <c r="HG97" s="1" t="str">
        <f t="shared" si="62"/>
        <v/>
      </c>
      <c r="HH97" s="1" t="str">
        <f t="shared" si="62"/>
        <v/>
      </c>
      <c r="HI97" s="1" t="str">
        <f t="shared" si="62"/>
        <v/>
      </c>
      <c r="HJ97" s="1" t="str">
        <f t="shared" si="58"/>
        <v/>
      </c>
      <c r="HK97" s="1" t="str">
        <f t="shared" si="58"/>
        <v/>
      </c>
      <c r="HL97" s="1" t="str">
        <f t="shared" si="58"/>
        <v/>
      </c>
      <c r="HM97" s="1" t="str">
        <f t="shared" si="58"/>
        <v/>
      </c>
      <c r="HN97" s="1" t="str">
        <f t="shared" si="58"/>
        <v/>
      </c>
      <c r="HO97" s="1" t="str">
        <f t="shared" si="52"/>
        <v/>
      </c>
      <c r="HP97" s="1" t="str">
        <f t="shared" si="52"/>
        <v/>
      </c>
      <c r="HQ97" s="1" t="str">
        <f t="shared" si="52"/>
        <v/>
      </c>
      <c r="HR97" s="1" t="str">
        <f t="shared" si="52"/>
        <v/>
      </c>
      <c r="HS97" s="1" t="str">
        <f t="shared" si="52"/>
        <v/>
      </c>
      <c r="HT97" s="1" t="str">
        <f t="shared" si="52"/>
        <v/>
      </c>
      <c r="HU97" s="1" t="str">
        <f t="shared" si="52"/>
        <v/>
      </c>
      <c r="HV97" s="1" t="str">
        <f t="shared" si="52"/>
        <v/>
      </c>
      <c r="HW97" s="1" t="str">
        <f t="shared" si="52"/>
        <v/>
      </c>
      <c r="HX97" s="1" t="str">
        <f t="shared" si="52"/>
        <v/>
      </c>
      <c r="HY97" s="1" t="str">
        <f t="shared" si="52"/>
        <v/>
      </c>
      <c r="HZ97" s="1" t="str">
        <f t="shared" si="52"/>
        <v/>
      </c>
      <c r="IA97" s="1" t="str">
        <f t="shared" si="52"/>
        <v/>
      </c>
      <c r="IB97" s="1" t="str">
        <f t="shared" si="52"/>
        <v/>
      </c>
      <c r="IC97" s="1" t="str">
        <f t="shared" si="52"/>
        <v/>
      </c>
      <c r="ID97" s="1" t="str">
        <f t="shared" si="52"/>
        <v/>
      </c>
      <c r="IE97" s="1" t="str">
        <f t="shared" si="59"/>
        <v/>
      </c>
      <c r="IF97" s="1" t="str">
        <f t="shared" si="56"/>
        <v/>
      </c>
      <c r="IG97" s="1" t="str">
        <f t="shared" si="56"/>
        <v/>
      </c>
      <c r="IH97" s="1" t="str">
        <f t="shared" si="53"/>
        <v/>
      </c>
      <c r="II97" s="1" t="str">
        <f t="shared" si="53"/>
        <v/>
      </c>
      <c r="IJ97" s="1" t="str">
        <f t="shared" si="53"/>
        <v/>
      </c>
      <c r="IK97" s="1" t="str">
        <f t="shared" si="53"/>
        <v/>
      </c>
      <c r="IL97" s="1" t="str">
        <f t="shared" si="53"/>
        <v/>
      </c>
      <c r="IM97" s="1" t="str">
        <f t="shared" si="53"/>
        <v/>
      </c>
      <c r="IN97" s="1" t="str">
        <f t="shared" si="53"/>
        <v/>
      </c>
      <c r="IO97" s="1" t="str">
        <f t="shared" si="53"/>
        <v/>
      </c>
      <c r="IP97" s="1" t="str">
        <f t="shared" si="53"/>
        <v/>
      </c>
      <c r="IQ97" s="1" t="str">
        <f t="shared" si="53"/>
        <v/>
      </c>
      <c r="IR97" s="1" t="str">
        <f t="shared" si="53"/>
        <v/>
      </c>
      <c r="IS97" s="1" t="str">
        <f t="shared" si="53"/>
        <v/>
      </c>
      <c r="IT97" s="1" t="str">
        <f t="shared" si="53"/>
        <v/>
      </c>
      <c r="IU97" s="1" t="str">
        <f t="shared" si="53"/>
        <v/>
      </c>
      <c r="IV97" s="1" t="str">
        <f t="shared" si="53"/>
        <v/>
      </c>
      <c r="IW97" s="1" t="str">
        <f t="shared" si="53"/>
        <v/>
      </c>
      <c r="IX97" s="1" t="str">
        <f t="shared" si="54"/>
        <v/>
      </c>
      <c r="IY97" s="1" t="str">
        <f t="shared" si="54"/>
        <v/>
      </c>
      <c r="IZ97" s="1" t="str">
        <f t="shared" si="54"/>
        <v/>
      </c>
      <c r="JA97" s="1" t="str">
        <f t="shared" si="54"/>
        <v/>
      </c>
      <c r="JB97" s="1" t="str">
        <f t="shared" si="54"/>
        <v/>
      </c>
      <c r="JC97" s="1" t="str">
        <f t="shared" si="43"/>
        <v/>
      </c>
      <c r="JD97" s="1" t="str">
        <f t="shared" si="43"/>
        <v/>
      </c>
      <c r="JE97" s="1" t="str">
        <f t="shared" si="43"/>
        <v/>
      </c>
      <c r="JF97" s="1" t="str">
        <f t="shared" si="43"/>
        <v/>
      </c>
      <c r="JG97" s="1" t="str">
        <f t="shared" si="37"/>
        <v/>
      </c>
      <c r="JH97" s="1" t="str">
        <f t="shared" si="37"/>
        <v/>
      </c>
      <c r="JI97" s="1" t="str">
        <f t="shared" si="37"/>
        <v/>
      </c>
      <c r="JJ97" s="1" t="str">
        <f t="shared" si="30"/>
        <v/>
      </c>
      <c r="JK97" s="1" t="str">
        <f t="shared" si="30"/>
        <v/>
      </c>
      <c r="JL97" s="1" t="str">
        <f t="shared" si="30"/>
        <v/>
      </c>
      <c r="JM97" s="1" t="str">
        <f t="shared" si="30"/>
        <v/>
      </c>
      <c r="JN97" s="1" t="str">
        <f t="shared" si="30"/>
        <v/>
      </c>
      <c r="JO97" s="1" t="str">
        <f t="shared" si="30"/>
        <v/>
      </c>
    </row>
    <row r="98" spans="1:275" ht="14.5" x14ac:dyDescent="0.35">
      <c r="A98" s="59" t="str">
        <f>IF('Data input'!A98&lt;&gt;"",'Data input'!A98,"")</f>
        <v/>
      </c>
      <c r="B98" s="15" t="str">
        <f>IF('Data input'!B98&lt;&gt;"",'Data input'!B98,"")</f>
        <v/>
      </c>
      <c r="C98" s="16" t="str">
        <f>IF('Data input'!C98="","",4*('Data input'!C98-'Data input'!C$108)/('Data input'!C$109-'Data input'!C$108)+1)</f>
        <v/>
      </c>
      <c r="D98" s="16" t="str">
        <f>IF('Data input'!D98="","",4*('Data input'!D98-'Data input'!D$108)/('Data input'!D$109-'Data input'!D$108)+1)</f>
        <v/>
      </c>
      <c r="E98" s="16" t="str">
        <f>IF('Data input'!E98="","",4*('Data input'!E98-'Data input'!E$108)/('Data input'!E$109-'Data input'!E$108)+1)</f>
        <v/>
      </c>
      <c r="F98" s="16" t="str">
        <f>IF('Data input'!F98="","",4*('Data input'!F98-'Data input'!F$108)/('Data input'!F$109-'Data input'!F$108)+1)</f>
        <v/>
      </c>
      <c r="G98" s="16" t="str">
        <f>IF('Data input'!G98="","",4*('Data input'!G98-'Data input'!G$108)/('Data input'!G$109-'Data input'!G$108)+1)</f>
        <v/>
      </c>
      <c r="H98" s="16" t="str">
        <f>IF('Data input'!H98="","",4*('Data input'!H98-'Data input'!H$108)/('Data input'!H$109-'Data input'!H$108)+1)</f>
        <v/>
      </c>
      <c r="I98" s="19" t="str">
        <f>IF('Data input'!I98="","",4*('Data input'!I98-'Data input'!I$108)/('Data input'!I$109-'Data input'!I$108)+1)</f>
        <v/>
      </c>
      <c r="J98" s="19" t="str">
        <f>IF('Data input'!J98="","",4*('Data input'!J98-'Data input'!J$108)/('Data input'!J$109-'Data input'!J$108)+1)</f>
        <v/>
      </c>
      <c r="K98" s="19" t="str">
        <f>IF('Data input'!K98="","",4*('Data input'!K98-'Data input'!K$108)/('Data input'!K$109-'Data input'!K$108)+1)</f>
        <v/>
      </c>
      <c r="L98" s="19" t="str">
        <f>IF('Data input'!L98="","",4*('Data input'!L98-'Data input'!L$108)/('Data input'!L$109-'Data input'!L$108)+1)</f>
        <v/>
      </c>
      <c r="M98" s="16" t="str">
        <f>IF('Data input'!M98="","",4*('Data input'!M98-'Data input'!M$108)/('Data input'!M$109-'Data input'!M$108)+1)</f>
        <v/>
      </c>
      <c r="N98" s="16" t="str">
        <f>IF('Data input'!N98="","",4*('Data input'!N98-'Data input'!N$108)/('Data input'!N$109-'Data input'!N$108)+1)</f>
        <v/>
      </c>
      <c r="O98" s="16" t="str">
        <f>IF('Data input'!O98="","",4*('Data input'!O98-'Data input'!O$108)/('Data input'!O$109-'Data input'!O$108)+1)</f>
        <v/>
      </c>
      <c r="P98" s="16" t="str">
        <f>IF('Data input'!P98="","",4*('Data input'!P98-'Data input'!P$108)/('Data input'!P$109-'Data input'!P$108)+1)</f>
        <v/>
      </c>
      <c r="Q98" s="16" t="str">
        <f>IF('Data input'!Q98="","",4*('Data input'!Q98-'Data input'!Q$108)/('Data input'!Q$109-'Data input'!Q$108)+1)</f>
        <v/>
      </c>
      <c r="R98" s="16" t="str">
        <f>IF('Data input'!R98="","",4*('Data input'!R98-'Data input'!R$108)/('Data input'!R$109-'Data input'!R$108)+1)</f>
        <v/>
      </c>
      <c r="S98" s="16" t="str">
        <f>IF('Data input'!S98="","",4*('Data input'!S98-'Data input'!S$108)/('Data input'!S$109-'Data input'!S$108)+1)</f>
        <v/>
      </c>
      <c r="T98" s="16" t="str">
        <f>IF('Data input'!T98="","",4*('Data input'!T98-'Data input'!T$108)/('Data input'!T$109-'Data input'!T$108)+1)</f>
        <v/>
      </c>
      <c r="U98" s="16" t="str">
        <f>IF('Data input'!U98="","",4*('Data input'!U98-'Data input'!U$108)/('Data input'!U$109-'Data input'!U$108)+1)</f>
        <v/>
      </c>
      <c r="V98" s="16" t="str">
        <f>IF('Data input'!V98="","",4*('Data input'!V98-'Data input'!V$108)/('Data input'!V$109-'Data input'!V$108)+1)</f>
        <v/>
      </c>
      <c r="W98" s="16" t="str">
        <f>IF('Data input'!W98="","",4*('Data input'!W98-'Data input'!W$108)/('Data input'!W$109-'Data input'!W$108)+1)</f>
        <v/>
      </c>
      <c r="X98" s="16" t="str">
        <f>IF('Data input'!X98="","",4*('Data input'!X98-'Data input'!X$108)/('Data input'!X$109-'Data input'!X$108)+1)</f>
        <v/>
      </c>
      <c r="Y98" s="16" t="str">
        <f>IF('Data input'!Y98="","",4*('Data input'!Y98-'Data input'!Y$108)/('Data input'!Y$109-'Data input'!Y$108)+1)</f>
        <v/>
      </c>
      <c r="Z98" s="16" t="str">
        <f>IF('Data input'!Z98="","",4*('Data input'!Z98-'Data input'!Z$108)/('Data input'!Z$109-'Data input'!Z$108)+1)</f>
        <v/>
      </c>
      <c r="AA98" s="62" t="str">
        <f>IF('Data input'!AA98="","",4*('Data input'!AA98-'Data input'!AA$108)/('Data input'!AA$109-'Data input'!AA$108)+1)</f>
        <v/>
      </c>
      <c r="AB98" s="78"/>
      <c r="AC98" s="79">
        <v>0</v>
      </c>
      <c r="AD98" s="80" t="e">
        <f t="shared" si="48"/>
        <v>#DIV/0!</v>
      </c>
      <c r="AE98" s="4"/>
      <c r="AF98" s="59" t="str">
        <f t="shared" si="40"/>
        <v/>
      </c>
      <c r="AG98" s="60" t="str">
        <f t="shared" si="40"/>
        <v/>
      </c>
      <c r="AH98"/>
      <c r="AI98"/>
      <c r="AJ98"/>
      <c r="AK98"/>
      <c r="AL98"/>
      <c r="AM98"/>
      <c r="AN98"/>
      <c r="AO98"/>
      <c r="AP98"/>
      <c r="AQ98"/>
      <c r="AR98"/>
      <c r="AS98" s="71" t="str">
        <f t="shared" si="44"/>
        <v/>
      </c>
      <c r="AT98" s="71" t="str">
        <f t="shared" si="44"/>
        <v/>
      </c>
      <c r="AU98" s="71" t="str">
        <f t="shared" si="44"/>
        <v/>
      </c>
      <c r="AV98" s="71" t="str">
        <f t="shared" si="44"/>
        <v/>
      </c>
      <c r="AW98" s="71" t="str">
        <f t="shared" si="44"/>
        <v/>
      </c>
      <c r="AX98" s="71" t="str">
        <f t="shared" si="45"/>
        <v/>
      </c>
      <c r="AY98" s="71" t="str">
        <f t="shared" si="45"/>
        <v/>
      </c>
      <c r="AZ98" s="71" t="str">
        <f t="shared" si="45"/>
        <v/>
      </c>
      <c r="BA98" s="71" t="str">
        <f t="shared" si="45"/>
        <v/>
      </c>
      <c r="BB98" s="71" t="str">
        <f t="shared" si="45"/>
        <v/>
      </c>
      <c r="BC98" s="18" t="str">
        <f>IF(C98&lt;&gt;"",(('Data input'!C$109-'Data input'!C$108)*(AS98-1)/4)+'Data input'!C$108,"")</f>
        <v/>
      </c>
      <c r="BD98" s="18" t="str">
        <f>IF(D98&lt;&gt;"",(('Data input'!D$109-'Data input'!D$108)*(AT98-1)/4)+'Data input'!D$108,"")</f>
        <v/>
      </c>
      <c r="BE98" s="18" t="str">
        <f>IF(E98&lt;&gt;"",(('Data input'!E$109-'Data input'!E$108)*(AU98-1)/4)+'Data input'!E$108,"")</f>
        <v/>
      </c>
      <c r="BF98" s="18" t="str">
        <f>IF(F98&lt;&gt;"",(('Data input'!F$109-'Data input'!F$108)*(AV98-1)/4)+'Data input'!F$108,"")</f>
        <v/>
      </c>
      <c r="BG98" s="18" t="str">
        <f>IF(G98&lt;&gt;"",(('Data input'!G$109-'Data input'!G$108)*(AW98-1)/4)+'Data input'!G$108,"")</f>
        <v/>
      </c>
      <c r="BH98" s="19" t="str">
        <f>IF(H98&lt;&gt;"",(('Data input'!H$109-'Data input'!H$108)*(AX98-1)/4)+'Data input'!H$108,"")</f>
        <v/>
      </c>
      <c r="BI98" s="18" t="str">
        <f>IF(I98&lt;&gt;"",(('Data input'!I$109-'Data input'!I$108)*(AY98-1)/4)+'Data input'!I$108,"")</f>
        <v/>
      </c>
      <c r="BJ98" s="19" t="str">
        <f>IF(J98&lt;&gt;"",(('Data input'!J$109-'Data input'!J$108)*(AZ98-1)/4)+'Data input'!J$108,"")</f>
        <v/>
      </c>
      <c r="BK98" s="19" t="str">
        <f>IF(K98&lt;&gt;"",(('Data input'!K$109-'Data input'!K$108)*(BA98-1)/4)+'Data input'!K$108,"")</f>
        <v/>
      </c>
      <c r="BL98" s="19" t="str">
        <f>IF(L98&lt;&gt;"",(('Data input'!L$109-'Data input'!L$108)*(BB98-1)/4)+'Data input'!L$108,"")</f>
        <v/>
      </c>
      <c r="BM98" s="18" t="str">
        <f>IF(C98&lt;&gt;"",BC98-'Data input'!C98,"")</f>
        <v/>
      </c>
      <c r="BN98" s="18" t="str">
        <f>IF(D98&lt;&gt;"",BD98-'Data input'!D98,"")</f>
        <v/>
      </c>
      <c r="BO98" s="18" t="str">
        <f>IF(E98&lt;&gt;"",BE98-'Data input'!E98,"")</f>
        <v/>
      </c>
      <c r="BP98" s="18" t="str">
        <f>IF(F98&lt;&gt;"",BF98-'Data input'!F98,"")</f>
        <v/>
      </c>
      <c r="BQ98" s="18" t="str">
        <f>IF(G98&lt;&gt;"",BG98-'Data input'!G98,"")</f>
        <v/>
      </c>
      <c r="BR98" s="19" t="str">
        <f>IF(H98&lt;&gt;"",BH98-'Data input'!H98,"")</f>
        <v/>
      </c>
      <c r="BS98" s="18" t="str">
        <f>IF(I98&lt;&gt;"",BI98-'Data input'!I98,"")</f>
        <v/>
      </c>
      <c r="BT98" s="18" t="str">
        <f>IF(J98&lt;&gt;"",BJ98-'Data input'!J98,"")</f>
        <v/>
      </c>
      <c r="BU98" s="18" t="str">
        <f>IF(K98&lt;&gt;"",BK98-'Data input'!K98,"")</f>
        <v/>
      </c>
      <c r="BV98" s="72" t="str">
        <f>IF(L98&lt;&gt;"",BL98-'Data input'!L98,"")</f>
        <v/>
      </c>
      <c r="BW98" s="121" t="str">
        <f t="shared" si="49"/>
        <v/>
      </c>
      <c r="FT98" s="1" t="str">
        <f t="shared" si="57"/>
        <v/>
      </c>
      <c r="FU98" s="1" t="str">
        <f t="shared" si="55"/>
        <v/>
      </c>
      <c r="FV98" s="1" t="str">
        <f t="shared" si="55"/>
        <v/>
      </c>
      <c r="FW98" s="1" t="str">
        <f t="shared" si="55"/>
        <v/>
      </c>
      <c r="FX98" s="1" t="str">
        <f t="shared" si="55"/>
        <v/>
      </c>
      <c r="FY98" s="1" t="str">
        <f t="shared" si="55"/>
        <v/>
      </c>
      <c r="FZ98" s="1" t="str">
        <f t="shared" si="55"/>
        <v/>
      </c>
      <c r="GA98" s="1" t="str">
        <f t="shared" si="55"/>
        <v/>
      </c>
      <c r="GB98" s="1" t="str">
        <f t="shared" si="55"/>
        <v/>
      </c>
      <c r="GC98" s="1" t="str">
        <f t="shared" si="55"/>
        <v/>
      </c>
      <c r="GD98" s="1" t="str">
        <f t="shared" si="55"/>
        <v/>
      </c>
      <c r="GE98" s="1" t="str">
        <f t="shared" si="55"/>
        <v/>
      </c>
      <c r="GF98" s="1" t="str">
        <f t="shared" si="55"/>
        <v/>
      </c>
      <c r="GG98" s="1" t="str">
        <f t="shared" si="55"/>
        <v/>
      </c>
      <c r="GH98" s="1" t="str">
        <f t="shared" si="55"/>
        <v/>
      </c>
      <c r="GI98" s="1" t="str">
        <f t="shared" si="55"/>
        <v/>
      </c>
      <c r="GJ98" s="1" t="str">
        <f t="shared" si="55"/>
        <v/>
      </c>
      <c r="GK98" s="1" t="str">
        <f t="shared" si="61"/>
        <v/>
      </c>
      <c r="GL98" s="1" t="str">
        <f t="shared" si="61"/>
        <v/>
      </c>
      <c r="GM98" s="1" t="str">
        <f t="shared" si="61"/>
        <v/>
      </c>
      <c r="GN98" s="1" t="str">
        <f t="shared" si="61"/>
        <v/>
      </c>
      <c r="GO98" s="1" t="str">
        <f t="shared" si="60"/>
        <v/>
      </c>
      <c r="GP98" s="1" t="str">
        <f t="shared" si="60"/>
        <v/>
      </c>
      <c r="GQ98" s="1" t="str">
        <f t="shared" si="60"/>
        <v/>
      </c>
      <c r="GR98" s="1" t="str">
        <f t="shared" si="60"/>
        <v/>
      </c>
      <c r="GS98" s="1" t="str">
        <f t="shared" si="60"/>
        <v/>
      </c>
      <c r="GT98" s="1" t="str">
        <f t="shared" si="60"/>
        <v/>
      </c>
      <c r="GU98" s="1" t="str">
        <f t="shared" si="60"/>
        <v/>
      </c>
      <c r="GV98" s="1" t="str">
        <f t="shared" si="60"/>
        <v/>
      </c>
      <c r="GW98" s="1" t="str">
        <f t="shared" si="60"/>
        <v/>
      </c>
      <c r="GX98" s="1" t="str">
        <f t="shared" si="60"/>
        <v/>
      </c>
      <c r="GY98" s="1" t="str">
        <f t="shared" si="60"/>
        <v/>
      </c>
      <c r="GZ98" s="1" t="str">
        <f t="shared" si="60"/>
        <v/>
      </c>
      <c r="HA98" s="1" t="str">
        <f t="shared" si="60"/>
        <v/>
      </c>
      <c r="HB98" s="1" t="str">
        <f t="shared" si="60"/>
        <v/>
      </c>
      <c r="HC98" s="1" t="str">
        <f t="shared" si="60"/>
        <v/>
      </c>
      <c r="HD98" s="1" t="str">
        <f t="shared" si="60"/>
        <v/>
      </c>
      <c r="HE98" s="1" t="str">
        <f t="shared" si="62"/>
        <v/>
      </c>
      <c r="HF98" s="1" t="str">
        <f t="shared" si="62"/>
        <v/>
      </c>
      <c r="HG98" s="1" t="str">
        <f t="shared" si="62"/>
        <v/>
      </c>
      <c r="HH98" s="1" t="str">
        <f t="shared" si="62"/>
        <v/>
      </c>
      <c r="HI98" s="1" t="str">
        <f t="shared" si="62"/>
        <v/>
      </c>
      <c r="HJ98" s="1" t="str">
        <f t="shared" si="58"/>
        <v/>
      </c>
      <c r="HK98" s="1" t="str">
        <f t="shared" si="58"/>
        <v/>
      </c>
      <c r="HL98" s="1" t="str">
        <f t="shared" si="58"/>
        <v/>
      </c>
      <c r="HM98" s="1" t="str">
        <f t="shared" si="58"/>
        <v/>
      </c>
      <c r="HN98" s="1" t="str">
        <f t="shared" si="58"/>
        <v/>
      </c>
      <c r="HO98" s="1" t="str">
        <f t="shared" si="52"/>
        <v/>
      </c>
      <c r="HP98" s="1" t="str">
        <f t="shared" si="52"/>
        <v/>
      </c>
      <c r="HQ98" s="1" t="str">
        <f t="shared" si="52"/>
        <v/>
      </c>
      <c r="HR98" s="1" t="str">
        <f t="shared" si="52"/>
        <v/>
      </c>
      <c r="HS98" s="1" t="str">
        <f t="shared" si="52"/>
        <v/>
      </c>
      <c r="HT98" s="1" t="str">
        <f t="shared" si="52"/>
        <v/>
      </c>
      <c r="HU98" s="1" t="str">
        <f t="shared" si="52"/>
        <v/>
      </c>
      <c r="HV98" s="1" t="str">
        <f t="shared" si="52"/>
        <v/>
      </c>
      <c r="HW98" s="1" t="str">
        <f t="shared" si="52"/>
        <v/>
      </c>
      <c r="HX98" s="1" t="str">
        <f t="shared" si="52"/>
        <v/>
      </c>
      <c r="HY98" s="1" t="str">
        <f t="shared" si="52"/>
        <v/>
      </c>
      <c r="HZ98" s="1" t="str">
        <f t="shared" si="52"/>
        <v/>
      </c>
      <c r="IA98" s="1" t="str">
        <f t="shared" si="52"/>
        <v/>
      </c>
      <c r="IB98" s="1" t="str">
        <f t="shared" si="52"/>
        <v/>
      </c>
      <c r="IC98" s="1" t="str">
        <f t="shared" si="52"/>
        <v/>
      </c>
      <c r="ID98" s="1" t="str">
        <f t="shared" si="52"/>
        <v/>
      </c>
      <c r="IE98" s="1" t="str">
        <f t="shared" si="59"/>
        <v/>
      </c>
      <c r="IF98" s="1" t="str">
        <f t="shared" si="56"/>
        <v/>
      </c>
      <c r="IG98" s="1" t="str">
        <f t="shared" si="56"/>
        <v/>
      </c>
      <c r="IH98" s="1" t="str">
        <f t="shared" si="53"/>
        <v/>
      </c>
      <c r="II98" s="1" t="str">
        <f t="shared" si="53"/>
        <v/>
      </c>
      <c r="IJ98" s="1" t="str">
        <f t="shared" si="53"/>
        <v/>
      </c>
      <c r="IK98" s="1" t="str">
        <f t="shared" si="53"/>
        <v/>
      </c>
      <c r="IL98" s="1" t="str">
        <f t="shared" si="53"/>
        <v/>
      </c>
      <c r="IM98" s="1" t="str">
        <f t="shared" si="53"/>
        <v/>
      </c>
      <c r="IN98" s="1" t="str">
        <f t="shared" si="53"/>
        <v/>
      </c>
      <c r="IO98" s="1" t="str">
        <f t="shared" si="53"/>
        <v/>
      </c>
      <c r="IP98" s="1" t="str">
        <f t="shared" si="53"/>
        <v/>
      </c>
      <c r="IQ98" s="1" t="str">
        <f t="shared" si="53"/>
        <v/>
      </c>
      <c r="IR98" s="1" t="str">
        <f t="shared" ref="IR98:IW102" si="63">IF(EV98&gt;0.0001,CONCATENATE(EV$2,"; "),"")</f>
        <v/>
      </c>
      <c r="IS98" s="1" t="str">
        <f t="shared" si="63"/>
        <v/>
      </c>
      <c r="IT98" s="1" t="str">
        <f t="shared" si="63"/>
        <v/>
      </c>
      <c r="IU98" s="1" t="str">
        <f t="shared" si="63"/>
        <v/>
      </c>
      <c r="IV98" s="1" t="str">
        <f t="shared" si="63"/>
        <v/>
      </c>
      <c r="IW98" s="1" t="str">
        <f t="shared" si="63"/>
        <v/>
      </c>
      <c r="IX98" s="1" t="str">
        <f t="shared" si="54"/>
        <v/>
      </c>
      <c r="IY98" s="1" t="str">
        <f t="shared" si="54"/>
        <v/>
      </c>
      <c r="IZ98" s="1" t="str">
        <f t="shared" si="54"/>
        <v/>
      </c>
      <c r="JA98" s="1" t="str">
        <f t="shared" si="54"/>
        <v/>
      </c>
      <c r="JB98" s="1" t="str">
        <f t="shared" si="54"/>
        <v/>
      </c>
      <c r="JC98" s="1" t="str">
        <f t="shared" si="43"/>
        <v/>
      </c>
      <c r="JD98" s="1" t="str">
        <f t="shared" si="43"/>
        <v/>
      </c>
      <c r="JE98" s="1" t="str">
        <f t="shared" si="43"/>
        <v/>
      </c>
      <c r="JF98" s="1" t="str">
        <f t="shared" si="43"/>
        <v/>
      </c>
      <c r="JG98" s="1" t="str">
        <f t="shared" si="37"/>
        <v/>
      </c>
      <c r="JH98" s="1" t="str">
        <f t="shared" si="37"/>
        <v/>
      </c>
      <c r="JI98" s="1" t="str">
        <f t="shared" si="37"/>
        <v/>
      </c>
      <c r="JJ98" s="1" t="str">
        <f t="shared" si="37"/>
        <v/>
      </c>
      <c r="JK98" s="1" t="str">
        <f t="shared" si="37"/>
        <v/>
      </c>
      <c r="JL98" s="1" t="str">
        <f t="shared" si="37"/>
        <v/>
      </c>
      <c r="JM98" s="1" t="str">
        <f t="shared" si="37"/>
        <v/>
      </c>
      <c r="JN98" s="1" t="str">
        <f t="shared" si="37"/>
        <v/>
      </c>
      <c r="JO98" s="1" t="str">
        <f t="shared" si="37"/>
        <v/>
      </c>
    </row>
    <row r="99" spans="1:275" ht="14.5" x14ac:dyDescent="0.35">
      <c r="A99" s="59" t="str">
        <f>IF('Data input'!A99&lt;&gt;"",'Data input'!A99,"")</f>
        <v/>
      </c>
      <c r="B99" s="15" t="str">
        <f>IF('Data input'!B99&lt;&gt;"",'Data input'!B99,"")</f>
        <v/>
      </c>
      <c r="C99" s="16" t="str">
        <f>IF('Data input'!C99="","",4*('Data input'!C99-'Data input'!C$108)/('Data input'!C$109-'Data input'!C$108)+1)</f>
        <v/>
      </c>
      <c r="D99" s="16" t="str">
        <f>IF('Data input'!D99="","",4*('Data input'!D99-'Data input'!D$108)/('Data input'!D$109-'Data input'!D$108)+1)</f>
        <v/>
      </c>
      <c r="E99" s="16" t="str">
        <f>IF('Data input'!E99="","",4*('Data input'!E99-'Data input'!E$108)/('Data input'!E$109-'Data input'!E$108)+1)</f>
        <v/>
      </c>
      <c r="F99" s="16" t="str">
        <f>IF('Data input'!F99="","",4*('Data input'!F99-'Data input'!F$108)/('Data input'!F$109-'Data input'!F$108)+1)</f>
        <v/>
      </c>
      <c r="G99" s="16" t="str">
        <f>IF('Data input'!G99="","",4*('Data input'!G99-'Data input'!G$108)/('Data input'!G$109-'Data input'!G$108)+1)</f>
        <v/>
      </c>
      <c r="H99" s="16" t="str">
        <f>IF('Data input'!H99="","",4*('Data input'!H99-'Data input'!H$108)/('Data input'!H$109-'Data input'!H$108)+1)</f>
        <v/>
      </c>
      <c r="I99" s="19" t="str">
        <f>IF('Data input'!I99="","",4*('Data input'!I99-'Data input'!I$108)/('Data input'!I$109-'Data input'!I$108)+1)</f>
        <v/>
      </c>
      <c r="J99" s="19" t="str">
        <f>IF('Data input'!J99="","",4*('Data input'!J99-'Data input'!J$108)/('Data input'!J$109-'Data input'!J$108)+1)</f>
        <v/>
      </c>
      <c r="K99" s="19" t="str">
        <f>IF('Data input'!K99="","",4*('Data input'!K99-'Data input'!K$108)/('Data input'!K$109-'Data input'!K$108)+1)</f>
        <v/>
      </c>
      <c r="L99" s="19" t="str">
        <f>IF('Data input'!L99="","",4*('Data input'!L99-'Data input'!L$108)/('Data input'!L$109-'Data input'!L$108)+1)</f>
        <v/>
      </c>
      <c r="M99" s="16" t="str">
        <f>IF('Data input'!M99="","",4*('Data input'!M99-'Data input'!M$108)/('Data input'!M$109-'Data input'!M$108)+1)</f>
        <v/>
      </c>
      <c r="N99" s="16" t="str">
        <f>IF('Data input'!N99="","",4*('Data input'!N99-'Data input'!N$108)/('Data input'!N$109-'Data input'!N$108)+1)</f>
        <v/>
      </c>
      <c r="O99" s="16" t="str">
        <f>IF('Data input'!O99="","",4*('Data input'!O99-'Data input'!O$108)/('Data input'!O$109-'Data input'!O$108)+1)</f>
        <v/>
      </c>
      <c r="P99" s="16" t="str">
        <f>IF('Data input'!P99="","",4*('Data input'!P99-'Data input'!P$108)/('Data input'!P$109-'Data input'!P$108)+1)</f>
        <v/>
      </c>
      <c r="Q99" s="16" t="str">
        <f>IF('Data input'!Q99="","",4*('Data input'!Q99-'Data input'!Q$108)/('Data input'!Q$109-'Data input'!Q$108)+1)</f>
        <v/>
      </c>
      <c r="R99" s="16" t="str">
        <f>IF('Data input'!R99="","",4*('Data input'!R99-'Data input'!R$108)/('Data input'!R$109-'Data input'!R$108)+1)</f>
        <v/>
      </c>
      <c r="S99" s="16" t="str">
        <f>IF('Data input'!S99="","",4*('Data input'!S99-'Data input'!S$108)/('Data input'!S$109-'Data input'!S$108)+1)</f>
        <v/>
      </c>
      <c r="T99" s="16" t="str">
        <f>IF('Data input'!T99="","",4*('Data input'!T99-'Data input'!T$108)/('Data input'!T$109-'Data input'!T$108)+1)</f>
        <v/>
      </c>
      <c r="U99" s="16" t="str">
        <f>IF('Data input'!U99="","",4*('Data input'!U99-'Data input'!U$108)/('Data input'!U$109-'Data input'!U$108)+1)</f>
        <v/>
      </c>
      <c r="V99" s="16" t="str">
        <f>IF('Data input'!V99="","",4*('Data input'!V99-'Data input'!V$108)/('Data input'!V$109-'Data input'!V$108)+1)</f>
        <v/>
      </c>
      <c r="W99" s="16" t="str">
        <f>IF('Data input'!W99="","",4*('Data input'!W99-'Data input'!W$108)/('Data input'!W$109-'Data input'!W$108)+1)</f>
        <v/>
      </c>
      <c r="X99" s="16" t="str">
        <f>IF('Data input'!X99="","",4*('Data input'!X99-'Data input'!X$108)/('Data input'!X$109-'Data input'!X$108)+1)</f>
        <v/>
      </c>
      <c r="Y99" s="16" t="str">
        <f>IF('Data input'!Y99="","",4*('Data input'!Y99-'Data input'!Y$108)/('Data input'!Y$109-'Data input'!Y$108)+1)</f>
        <v/>
      </c>
      <c r="Z99" s="16" t="str">
        <f>IF('Data input'!Z99="","",4*('Data input'!Z99-'Data input'!Z$108)/('Data input'!Z$109-'Data input'!Z$108)+1)</f>
        <v/>
      </c>
      <c r="AA99" s="62" t="str">
        <f>IF('Data input'!AA99="","",4*('Data input'!AA99-'Data input'!AA$108)/('Data input'!AA$109-'Data input'!AA$108)+1)</f>
        <v/>
      </c>
      <c r="AB99" s="78"/>
      <c r="AC99" s="79">
        <v>0</v>
      </c>
      <c r="AD99" s="80" t="e">
        <f t="shared" si="48"/>
        <v>#DIV/0!</v>
      </c>
      <c r="AE99" s="4"/>
      <c r="AF99" s="59" t="str">
        <f t="shared" si="40"/>
        <v/>
      </c>
      <c r="AG99" s="60" t="str">
        <f t="shared" si="40"/>
        <v/>
      </c>
      <c r="AH99"/>
      <c r="AI99"/>
      <c r="AJ99"/>
      <c r="AK99"/>
      <c r="AL99"/>
      <c r="AM99"/>
      <c r="AN99"/>
      <c r="AO99"/>
      <c r="AP99"/>
      <c r="AQ99"/>
      <c r="AR99"/>
      <c r="AS99" s="71" t="str">
        <f t="shared" si="44"/>
        <v/>
      </c>
      <c r="AT99" s="71" t="str">
        <f t="shared" si="44"/>
        <v/>
      </c>
      <c r="AU99" s="71" t="str">
        <f t="shared" si="44"/>
        <v/>
      </c>
      <c r="AV99" s="71" t="str">
        <f t="shared" si="44"/>
        <v/>
      </c>
      <c r="AW99" s="71" t="str">
        <f t="shared" si="44"/>
        <v/>
      </c>
      <c r="AX99" s="71" t="str">
        <f t="shared" si="45"/>
        <v/>
      </c>
      <c r="AY99" s="71" t="str">
        <f t="shared" si="45"/>
        <v/>
      </c>
      <c r="AZ99" s="71" t="str">
        <f t="shared" si="45"/>
        <v/>
      </c>
      <c r="BA99" s="71" t="str">
        <f t="shared" si="45"/>
        <v/>
      </c>
      <c r="BB99" s="71" t="str">
        <f t="shared" si="45"/>
        <v/>
      </c>
      <c r="BC99" s="18" t="str">
        <f>IF(C99&lt;&gt;"",(('Data input'!C$109-'Data input'!C$108)*(AS99-1)/4)+'Data input'!C$108,"")</f>
        <v/>
      </c>
      <c r="BD99" s="18" t="str">
        <f>IF(D99&lt;&gt;"",(('Data input'!D$109-'Data input'!D$108)*(AT99-1)/4)+'Data input'!D$108,"")</f>
        <v/>
      </c>
      <c r="BE99" s="18" t="str">
        <f>IF(E99&lt;&gt;"",(('Data input'!E$109-'Data input'!E$108)*(AU99-1)/4)+'Data input'!E$108,"")</f>
        <v/>
      </c>
      <c r="BF99" s="18" t="str">
        <f>IF(F99&lt;&gt;"",(('Data input'!F$109-'Data input'!F$108)*(AV99-1)/4)+'Data input'!F$108,"")</f>
        <v/>
      </c>
      <c r="BG99" s="18" t="str">
        <f>IF(G99&lt;&gt;"",(('Data input'!G$109-'Data input'!G$108)*(AW99-1)/4)+'Data input'!G$108,"")</f>
        <v/>
      </c>
      <c r="BH99" s="19" t="str">
        <f>IF(H99&lt;&gt;"",(('Data input'!H$109-'Data input'!H$108)*(AX99-1)/4)+'Data input'!H$108,"")</f>
        <v/>
      </c>
      <c r="BI99" s="18" t="str">
        <f>IF(I99&lt;&gt;"",(('Data input'!I$109-'Data input'!I$108)*(AY99-1)/4)+'Data input'!I$108,"")</f>
        <v/>
      </c>
      <c r="BJ99" s="19" t="str">
        <f>IF(J99&lt;&gt;"",(('Data input'!J$109-'Data input'!J$108)*(AZ99-1)/4)+'Data input'!J$108,"")</f>
        <v/>
      </c>
      <c r="BK99" s="19" t="str">
        <f>IF(K99&lt;&gt;"",(('Data input'!K$109-'Data input'!K$108)*(BA99-1)/4)+'Data input'!K$108,"")</f>
        <v/>
      </c>
      <c r="BL99" s="19" t="str">
        <f>IF(L99&lt;&gt;"",(('Data input'!L$109-'Data input'!L$108)*(BB99-1)/4)+'Data input'!L$108,"")</f>
        <v/>
      </c>
      <c r="BM99" s="18" t="str">
        <f>IF(C99&lt;&gt;"",BC99-'Data input'!C99,"")</f>
        <v/>
      </c>
      <c r="BN99" s="18" t="str">
        <f>IF(D99&lt;&gt;"",BD99-'Data input'!D99,"")</f>
        <v/>
      </c>
      <c r="BO99" s="18" t="str">
        <f>IF(E99&lt;&gt;"",BE99-'Data input'!E99,"")</f>
        <v/>
      </c>
      <c r="BP99" s="18" t="str">
        <f>IF(F99&lt;&gt;"",BF99-'Data input'!F99,"")</f>
        <v/>
      </c>
      <c r="BQ99" s="18" t="str">
        <f>IF(G99&lt;&gt;"",BG99-'Data input'!G99,"")</f>
        <v/>
      </c>
      <c r="BR99" s="19" t="str">
        <f>IF(H99&lt;&gt;"",BH99-'Data input'!H99,"")</f>
        <v/>
      </c>
      <c r="BS99" s="18" t="str">
        <f>IF(I99&lt;&gt;"",BI99-'Data input'!I99,"")</f>
        <v/>
      </c>
      <c r="BT99" s="18" t="str">
        <f>IF(J99&lt;&gt;"",BJ99-'Data input'!J99,"")</f>
        <v/>
      </c>
      <c r="BU99" s="18" t="str">
        <f>IF(K99&lt;&gt;"",BK99-'Data input'!K99,"")</f>
        <v/>
      </c>
      <c r="BV99" s="72" t="str">
        <f>IF(L99&lt;&gt;"",BL99-'Data input'!L99,"")</f>
        <v/>
      </c>
      <c r="BW99" s="121" t="str">
        <f t="shared" si="49"/>
        <v/>
      </c>
      <c r="FT99" s="1" t="str">
        <f t="shared" si="57"/>
        <v/>
      </c>
      <c r="FU99" s="1" t="str">
        <f t="shared" si="55"/>
        <v/>
      </c>
      <c r="FV99" s="1" t="str">
        <f t="shared" si="55"/>
        <v/>
      </c>
      <c r="FW99" s="1" t="str">
        <f t="shared" si="55"/>
        <v/>
      </c>
      <c r="FX99" s="1" t="str">
        <f t="shared" si="55"/>
        <v/>
      </c>
      <c r="FY99" s="1" t="str">
        <f t="shared" si="55"/>
        <v/>
      </c>
      <c r="FZ99" s="1" t="str">
        <f t="shared" si="55"/>
        <v/>
      </c>
      <c r="GA99" s="1" t="str">
        <f t="shared" si="55"/>
        <v/>
      </c>
      <c r="GB99" s="1" t="str">
        <f t="shared" si="55"/>
        <v/>
      </c>
      <c r="GC99" s="1" t="str">
        <f t="shared" si="55"/>
        <v/>
      </c>
      <c r="GD99" s="1" t="str">
        <f t="shared" si="55"/>
        <v/>
      </c>
      <c r="GE99" s="1" t="str">
        <f t="shared" si="55"/>
        <v/>
      </c>
      <c r="GF99" s="1" t="str">
        <f t="shared" ref="GF99:GJ102" si="64">IF(CJ99&gt;0.0001,CONCATENATE(CJ$2,"; "),"")</f>
        <v/>
      </c>
      <c r="GG99" s="1" t="str">
        <f t="shared" si="64"/>
        <v/>
      </c>
      <c r="GH99" s="1" t="str">
        <f t="shared" si="64"/>
        <v/>
      </c>
      <c r="GI99" s="1" t="str">
        <f t="shared" si="64"/>
        <v/>
      </c>
      <c r="GJ99" s="1" t="str">
        <f t="shared" si="64"/>
        <v/>
      </c>
      <c r="GK99" s="1" t="str">
        <f t="shared" si="61"/>
        <v/>
      </c>
      <c r="GL99" s="1" t="str">
        <f t="shared" si="61"/>
        <v/>
      </c>
      <c r="GM99" s="1" t="str">
        <f t="shared" si="61"/>
        <v/>
      </c>
      <c r="GN99" s="1" t="str">
        <f t="shared" si="61"/>
        <v/>
      </c>
      <c r="GO99" s="1" t="str">
        <f t="shared" si="60"/>
        <v/>
      </c>
      <c r="GP99" s="1" t="str">
        <f t="shared" si="60"/>
        <v/>
      </c>
      <c r="GQ99" s="1" t="str">
        <f t="shared" si="60"/>
        <v/>
      </c>
      <c r="GR99" s="1" t="str">
        <f t="shared" si="60"/>
        <v/>
      </c>
      <c r="GS99" s="1" t="str">
        <f t="shared" si="60"/>
        <v/>
      </c>
      <c r="GT99" s="1" t="str">
        <f t="shared" si="60"/>
        <v/>
      </c>
      <c r="GU99" s="1" t="str">
        <f t="shared" si="60"/>
        <v/>
      </c>
      <c r="GV99" s="1" t="str">
        <f t="shared" si="60"/>
        <v/>
      </c>
      <c r="GW99" s="1" t="str">
        <f t="shared" si="60"/>
        <v/>
      </c>
      <c r="GX99" s="1" t="str">
        <f t="shared" si="60"/>
        <v/>
      </c>
      <c r="GY99" s="1" t="str">
        <f t="shared" si="60"/>
        <v/>
      </c>
      <c r="GZ99" s="1" t="str">
        <f t="shared" si="60"/>
        <v/>
      </c>
      <c r="HA99" s="1" t="str">
        <f t="shared" si="60"/>
        <v/>
      </c>
      <c r="HB99" s="1" t="str">
        <f t="shared" si="60"/>
        <v/>
      </c>
      <c r="HC99" s="1" t="str">
        <f t="shared" si="60"/>
        <v/>
      </c>
      <c r="HD99" s="1" t="str">
        <f t="shared" si="60"/>
        <v/>
      </c>
      <c r="HE99" s="1" t="str">
        <f t="shared" si="62"/>
        <v/>
      </c>
      <c r="HF99" s="1" t="str">
        <f t="shared" si="62"/>
        <v/>
      </c>
      <c r="HG99" s="1" t="str">
        <f t="shared" si="62"/>
        <v/>
      </c>
      <c r="HH99" s="1" t="str">
        <f t="shared" si="62"/>
        <v/>
      </c>
      <c r="HI99" s="1" t="str">
        <f t="shared" si="62"/>
        <v/>
      </c>
      <c r="HJ99" s="1" t="str">
        <f t="shared" si="58"/>
        <v/>
      </c>
      <c r="HK99" s="1" t="str">
        <f t="shared" si="58"/>
        <v/>
      </c>
      <c r="HL99" s="1" t="str">
        <f t="shared" si="58"/>
        <v/>
      </c>
      <c r="HM99" s="1" t="str">
        <f t="shared" si="58"/>
        <v/>
      </c>
      <c r="HN99" s="1" t="str">
        <f t="shared" si="58"/>
        <v/>
      </c>
      <c r="HO99" s="1" t="str">
        <f t="shared" si="52"/>
        <v/>
      </c>
      <c r="HP99" s="1" t="str">
        <f t="shared" si="52"/>
        <v/>
      </c>
      <c r="HQ99" s="1" t="str">
        <f t="shared" si="52"/>
        <v/>
      </c>
      <c r="HR99" s="1" t="str">
        <f t="shared" si="52"/>
        <v/>
      </c>
      <c r="HS99" s="1" t="str">
        <f t="shared" si="52"/>
        <v/>
      </c>
      <c r="HT99" s="1" t="str">
        <f t="shared" si="52"/>
        <v/>
      </c>
      <c r="HU99" s="1" t="str">
        <f t="shared" si="52"/>
        <v/>
      </c>
      <c r="HV99" s="1" t="str">
        <f t="shared" si="52"/>
        <v/>
      </c>
      <c r="HW99" s="1" t="str">
        <f t="shared" si="52"/>
        <v/>
      </c>
      <c r="HX99" s="1" t="str">
        <f t="shared" si="52"/>
        <v/>
      </c>
      <c r="HY99" s="1" t="str">
        <f t="shared" si="52"/>
        <v/>
      </c>
      <c r="HZ99" s="1" t="str">
        <f t="shared" si="52"/>
        <v/>
      </c>
      <c r="IA99" s="1" t="str">
        <f t="shared" si="52"/>
        <v/>
      </c>
      <c r="IB99" s="1" t="str">
        <f t="shared" si="52"/>
        <v/>
      </c>
      <c r="IC99" s="1" t="str">
        <f t="shared" si="52"/>
        <v/>
      </c>
      <c r="ID99" s="1" t="str">
        <f t="shared" si="52"/>
        <v/>
      </c>
      <c r="IE99" s="1" t="str">
        <f t="shared" si="59"/>
        <v/>
      </c>
      <c r="IF99" s="1" t="str">
        <f t="shared" si="56"/>
        <v/>
      </c>
      <c r="IG99" s="1" t="str">
        <f t="shared" si="56"/>
        <v/>
      </c>
      <c r="IH99" s="1" t="str">
        <f t="shared" si="56"/>
        <v/>
      </c>
      <c r="II99" s="1" t="str">
        <f t="shared" si="56"/>
        <v/>
      </c>
      <c r="IJ99" s="1" t="str">
        <f t="shared" si="56"/>
        <v/>
      </c>
      <c r="IK99" s="1" t="str">
        <f t="shared" si="56"/>
        <v/>
      </c>
      <c r="IL99" s="1" t="str">
        <f t="shared" si="56"/>
        <v/>
      </c>
      <c r="IM99" s="1" t="str">
        <f t="shared" si="56"/>
        <v/>
      </c>
      <c r="IN99" s="1" t="str">
        <f t="shared" si="56"/>
        <v/>
      </c>
      <c r="IO99" s="1" t="str">
        <f t="shared" si="56"/>
        <v/>
      </c>
      <c r="IP99" s="1" t="str">
        <f t="shared" si="56"/>
        <v/>
      </c>
      <c r="IQ99" s="1" t="str">
        <f t="shared" si="56"/>
        <v/>
      </c>
      <c r="IR99" s="1" t="str">
        <f t="shared" si="63"/>
        <v/>
      </c>
      <c r="IS99" s="1" t="str">
        <f t="shared" si="63"/>
        <v/>
      </c>
      <c r="IT99" s="1" t="str">
        <f t="shared" si="63"/>
        <v/>
      </c>
      <c r="IU99" s="1" t="str">
        <f t="shared" si="63"/>
        <v/>
      </c>
      <c r="IV99" s="1" t="str">
        <f t="shared" si="63"/>
        <v/>
      </c>
      <c r="IW99" s="1" t="str">
        <f t="shared" si="63"/>
        <v/>
      </c>
      <c r="IX99" s="1" t="str">
        <f t="shared" si="54"/>
        <v/>
      </c>
      <c r="IY99" s="1" t="str">
        <f t="shared" si="54"/>
        <v/>
      </c>
      <c r="IZ99" s="1" t="str">
        <f t="shared" si="54"/>
        <v/>
      </c>
      <c r="JA99" s="1" t="str">
        <f t="shared" si="54"/>
        <v/>
      </c>
      <c r="JB99" s="1" t="str">
        <f t="shared" si="54"/>
        <v/>
      </c>
      <c r="JC99" s="1" t="str">
        <f t="shared" si="43"/>
        <v/>
      </c>
      <c r="JD99" s="1" t="str">
        <f t="shared" si="43"/>
        <v/>
      </c>
      <c r="JE99" s="1" t="str">
        <f t="shared" si="43"/>
        <v/>
      </c>
      <c r="JF99" s="1" t="str">
        <f t="shared" si="43"/>
        <v/>
      </c>
      <c r="JG99" s="1" t="str">
        <f t="shared" si="37"/>
        <v/>
      </c>
      <c r="JH99" s="1" t="str">
        <f t="shared" si="37"/>
        <v/>
      </c>
      <c r="JI99" s="1" t="str">
        <f t="shared" si="37"/>
        <v/>
      </c>
      <c r="JJ99" s="1" t="str">
        <f t="shared" si="37"/>
        <v/>
      </c>
      <c r="JK99" s="1" t="str">
        <f t="shared" si="37"/>
        <v/>
      </c>
      <c r="JL99" s="1" t="str">
        <f t="shared" si="37"/>
        <v/>
      </c>
      <c r="JM99" s="1" t="str">
        <f t="shared" si="37"/>
        <v/>
      </c>
      <c r="JN99" s="1" t="str">
        <f t="shared" si="37"/>
        <v/>
      </c>
      <c r="JO99" s="1" t="str">
        <f t="shared" si="37"/>
        <v/>
      </c>
    </row>
    <row r="100" spans="1:275" ht="14.5" x14ac:dyDescent="0.35">
      <c r="A100" s="59" t="str">
        <f>IF('Data input'!A100&lt;&gt;"",'Data input'!A100,"")</f>
        <v/>
      </c>
      <c r="B100" s="15" t="str">
        <f>IF('Data input'!B100&lt;&gt;"",'Data input'!B100,"")</f>
        <v/>
      </c>
      <c r="C100" s="16" t="str">
        <f>IF('Data input'!C100="","",4*('Data input'!C100-'Data input'!C$108)/('Data input'!C$109-'Data input'!C$108)+1)</f>
        <v/>
      </c>
      <c r="D100" s="16" t="str">
        <f>IF('Data input'!D100="","",4*('Data input'!D100-'Data input'!D$108)/('Data input'!D$109-'Data input'!D$108)+1)</f>
        <v/>
      </c>
      <c r="E100" s="16" t="str">
        <f>IF('Data input'!E100="","",4*('Data input'!E100-'Data input'!E$108)/('Data input'!E$109-'Data input'!E$108)+1)</f>
        <v/>
      </c>
      <c r="F100" s="16" t="str">
        <f>IF('Data input'!F100="","",4*('Data input'!F100-'Data input'!F$108)/('Data input'!F$109-'Data input'!F$108)+1)</f>
        <v/>
      </c>
      <c r="G100" s="16" t="str">
        <f>IF('Data input'!G100="","",4*('Data input'!G100-'Data input'!G$108)/('Data input'!G$109-'Data input'!G$108)+1)</f>
        <v/>
      </c>
      <c r="H100" s="16" t="str">
        <f>IF('Data input'!H100="","",4*('Data input'!H100-'Data input'!H$108)/('Data input'!H$109-'Data input'!H$108)+1)</f>
        <v/>
      </c>
      <c r="I100" s="19" t="str">
        <f>IF('Data input'!I100="","",4*('Data input'!I100-'Data input'!I$108)/('Data input'!I$109-'Data input'!I$108)+1)</f>
        <v/>
      </c>
      <c r="J100" s="19" t="str">
        <f>IF('Data input'!J100="","",4*('Data input'!J100-'Data input'!J$108)/('Data input'!J$109-'Data input'!J$108)+1)</f>
        <v/>
      </c>
      <c r="K100" s="19" t="str">
        <f>IF('Data input'!K100="","",4*('Data input'!K100-'Data input'!K$108)/('Data input'!K$109-'Data input'!K$108)+1)</f>
        <v/>
      </c>
      <c r="L100" s="19" t="str">
        <f>IF('Data input'!L100="","",4*('Data input'!L100-'Data input'!L$108)/('Data input'!L$109-'Data input'!L$108)+1)</f>
        <v/>
      </c>
      <c r="M100" s="16" t="str">
        <f>IF('Data input'!M100="","",4*('Data input'!M100-'Data input'!M$108)/('Data input'!M$109-'Data input'!M$108)+1)</f>
        <v/>
      </c>
      <c r="N100" s="16" t="str">
        <f>IF('Data input'!N100="","",4*('Data input'!N100-'Data input'!N$108)/('Data input'!N$109-'Data input'!N$108)+1)</f>
        <v/>
      </c>
      <c r="O100" s="16" t="str">
        <f>IF('Data input'!O100="","",4*('Data input'!O100-'Data input'!O$108)/('Data input'!O$109-'Data input'!O$108)+1)</f>
        <v/>
      </c>
      <c r="P100" s="16" t="str">
        <f>IF('Data input'!P100="","",4*('Data input'!P100-'Data input'!P$108)/('Data input'!P$109-'Data input'!P$108)+1)</f>
        <v/>
      </c>
      <c r="Q100" s="16" t="str">
        <f>IF('Data input'!Q100="","",4*('Data input'!Q100-'Data input'!Q$108)/('Data input'!Q$109-'Data input'!Q$108)+1)</f>
        <v/>
      </c>
      <c r="R100" s="16" t="str">
        <f>IF('Data input'!R100="","",4*('Data input'!R100-'Data input'!R$108)/('Data input'!R$109-'Data input'!R$108)+1)</f>
        <v/>
      </c>
      <c r="S100" s="16" t="str">
        <f>IF('Data input'!S100="","",4*('Data input'!S100-'Data input'!S$108)/('Data input'!S$109-'Data input'!S$108)+1)</f>
        <v/>
      </c>
      <c r="T100" s="16" t="str">
        <f>IF('Data input'!T100="","",4*('Data input'!T100-'Data input'!T$108)/('Data input'!T$109-'Data input'!T$108)+1)</f>
        <v/>
      </c>
      <c r="U100" s="16" t="str">
        <f>IF('Data input'!U100="","",4*('Data input'!U100-'Data input'!U$108)/('Data input'!U$109-'Data input'!U$108)+1)</f>
        <v/>
      </c>
      <c r="V100" s="16" t="str">
        <f>IF('Data input'!V100="","",4*('Data input'!V100-'Data input'!V$108)/('Data input'!V$109-'Data input'!V$108)+1)</f>
        <v/>
      </c>
      <c r="W100" s="16" t="str">
        <f>IF('Data input'!W100="","",4*('Data input'!W100-'Data input'!W$108)/('Data input'!W$109-'Data input'!W$108)+1)</f>
        <v/>
      </c>
      <c r="X100" s="16" t="str">
        <f>IF('Data input'!X100="","",4*('Data input'!X100-'Data input'!X$108)/('Data input'!X$109-'Data input'!X$108)+1)</f>
        <v/>
      </c>
      <c r="Y100" s="16" t="str">
        <f>IF('Data input'!Y100="","",4*('Data input'!Y100-'Data input'!Y$108)/('Data input'!Y$109-'Data input'!Y$108)+1)</f>
        <v/>
      </c>
      <c r="Z100" s="16" t="str">
        <f>IF('Data input'!Z100="","",4*('Data input'!Z100-'Data input'!Z$108)/('Data input'!Z$109-'Data input'!Z$108)+1)</f>
        <v/>
      </c>
      <c r="AA100" s="62" t="str">
        <f>IF('Data input'!AA100="","",4*('Data input'!AA100-'Data input'!AA$108)/('Data input'!AA$109-'Data input'!AA$108)+1)</f>
        <v/>
      </c>
      <c r="AB100" s="78"/>
      <c r="AC100" s="79">
        <v>0</v>
      </c>
      <c r="AD100" s="80" t="e">
        <f t="shared" si="48"/>
        <v>#DIV/0!</v>
      </c>
      <c r="AE100" s="4"/>
      <c r="AF100" s="59" t="str">
        <f t="shared" si="40"/>
        <v/>
      </c>
      <c r="AG100" s="60" t="str">
        <f t="shared" si="40"/>
        <v/>
      </c>
      <c r="AH100"/>
      <c r="AI100"/>
      <c r="AJ100"/>
      <c r="AK100"/>
      <c r="AL100"/>
      <c r="AM100"/>
      <c r="AN100"/>
      <c r="AO100"/>
      <c r="AP100"/>
      <c r="AQ100"/>
      <c r="AR100"/>
      <c r="AS100" s="71" t="str">
        <f t="shared" si="44"/>
        <v/>
      </c>
      <c r="AT100" s="71" t="str">
        <f t="shared" si="44"/>
        <v/>
      </c>
      <c r="AU100" s="71" t="str">
        <f t="shared" si="44"/>
        <v/>
      </c>
      <c r="AV100" s="71" t="str">
        <f t="shared" si="44"/>
        <v/>
      </c>
      <c r="AW100" s="71" t="str">
        <f t="shared" si="44"/>
        <v/>
      </c>
      <c r="AX100" s="71" t="str">
        <f t="shared" si="45"/>
        <v/>
      </c>
      <c r="AY100" s="71" t="str">
        <f t="shared" si="45"/>
        <v/>
      </c>
      <c r="AZ100" s="71" t="str">
        <f t="shared" si="45"/>
        <v/>
      </c>
      <c r="BA100" s="71" t="str">
        <f t="shared" si="45"/>
        <v/>
      </c>
      <c r="BB100" s="71" t="str">
        <f t="shared" si="45"/>
        <v/>
      </c>
      <c r="BC100" s="18" t="str">
        <f>IF(C100&lt;&gt;"",(('Data input'!C$109-'Data input'!C$108)*(AS100-1)/4)+'Data input'!C$108,"")</f>
        <v/>
      </c>
      <c r="BD100" s="18" t="str">
        <f>IF(D100&lt;&gt;"",(('Data input'!D$109-'Data input'!D$108)*(AT100-1)/4)+'Data input'!D$108,"")</f>
        <v/>
      </c>
      <c r="BE100" s="18" t="str">
        <f>IF(E100&lt;&gt;"",(('Data input'!E$109-'Data input'!E$108)*(AU100-1)/4)+'Data input'!E$108,"")</f>
        <v/>
      </c>
      <c r="BF100" s="18" t="str">
        <f>IF(F100&lt;&gt;"",(('Data input'!F$109-'Data input'!F$108)*(AV100-1)/4)+'Data input'!F$108,"")</f>
        <v/>
      </c>
      <c r="BG100" s="18" t="str">
        <f>IF(G100&lt;&gt;"",(('Data input'!G$109-'Data input'!G$108)*(AW100-1)/4)+'Data input'!G$108,"")</f>
        <v/>
      </c>
      <c r="BH100" s="19" t="str">
        <f>IF(H100&lt;&gt;"",(('Data input'!H$109-'Data input'!H$108)*(AX100-1)/4)+'Data input'!H$108,"")</f>
        <v/>
      </c>
      <c r="BI100" s="18" t="str">
        <f>IF(I100&lt;&gt;"",(('Data input'!I$109-'Data input'!I$108)*(AY100-1)/4)+'Data input'!I$108,"")</f>
        <v/>
      </c>
      <c r="BJ100" s="19" t="str">
        <f>IF(J100&lt;&gt;"",(('Data input'!J$109-'Data input'!J$108)*(AZ100-1)/4)+'Data input'!J$108,"")</f>
        <v/>
      </c>
      <c r="BK100" s="19" t="str">
        <f>IF(K100&lt;&gt;"",(('Data input'!K$109-'Data input'!K$108)*(BA100-1)/4)+'Data input'!K$108,"")</f>
        <v/>
      </c>
      <c r="BL100" s="19" t="str">
        <f>IF(L100&lt;&gt;"",(('Data input'!L$109-'Data input'!L$108)*(BB100-1)/4)+'Data input'!L$108,"")</f>
        <v/>
      </c>
      <c r="BM100" s="18" t="str">
        <f>IF(C100&lt;&gt;"",BC100-'Data input'!C100,"")</f>
        <v/>
      </c>
      <c r="BN100" s="18" t="str">
        <f>IF(D100&lt;&gt;"",BD100-'Data input'!D100,"")</f>
        <v/>
      </c>
      <c r="BO100" s="18" t="str">
        <f>IF(E100&lt;&gt;"",BE100-'Data input'!E100,"")</f>
        <v/>
      </c>
      <c r="BP100" s="18" t="str">
        <f>IF(F100&lt;&gt;"",BF100-'Data input'!F100,"")</f>
        <v/>
      </c>
      <c r="BQ100" s="18" t="str">
        <f>IF(G100&lt;&gt;"",BG100-'Data input'!G100,"")</f>
        <v/>
      </c>
      <c r="BR100" s="19" t="str">
        <f>IF(H100&lt;&gt;"",BH100-'Data input'!H100,"")</f>
        <v/>
      </c>
      <c r="BS100" s="18" t="str">
        <f>IF(I100&lt;&gt;"",BI100-'Data input'!I100,"")</f>
        <v/>
      </c>
      <c r="BT100" s="18" t="str">
        <f>IF(J100&lt;&gt;"",BJ100-'Data input'!J100,"")</f>
        <v/>
      </c>
      <c r="BU100" s="18" t="str">
        <f>IF(K100&lt;&gt;"",BK100-'Data input'!K100,"")</f>
        <v/>
      </c>
      <c r="BV100" s="72" t="str">
        <f>IF(L100&lt;&gt;"",BL100-'Data input'!L100,"")</f>
        <v/>
      </c>
      <c r="BW100" s="121" t="str">
        <f t="shared" si="49"/>
        <v/>
      </c>
      <c r="FT100" s="1" t="str">
        <f t="shared" si="57"/>
        <v/>
      </c>
      <c r="FU100" s="1" t="str">
        <f t="shared" si="57"/>
        <v/>
      </c>
      <c r="FV100" s="1" t="str">
        <f t="shared" si="57"/>
        <v/>
      </c>
      <c r="FW100" s="1" t="str">
        <f t="shared" si="57"/>
        <v/>
      </c>
      <c r="FX100" s="1" t="str">
        <f t="shared" si="57"/>
        <v/>
      </c>
      <c r="FY100" s="1" t="str">
        <f t="shared" si="57"/>
        <v/>
      </c>
      <c r="FZ100" s="1" t="str">
        <f t="shared" si="57"/>
        <v/>
      </c>
      <c r="GA100" s="1" t="str">
        <f t="shared" si="57"/>
        <v/>
      </c>
      <c r="GB100" s="1" t="str">
        <f t="shared" si="57"/>
        <v/>
      </c>
      <c r="GC100" s="1" t="str">
        <f t="shared" si="57"/>
        <v/>
      </c>
      <c r="GD100" s="1" t="str">
        <f t="shared" si="57"/>
        <v/>
      </c>
      <c r="GE100" s="1" t="str">
        <f t="shared" si="57"/>
        <v/>
      </c>
      <c r="GF100" s="1" t="str">
        <f t="shared" si="64"/>
        <v/>
      </c>
      <c r="GG100" s="1" t="str">
        <f t="shared" si="64"/>
        <v/>
      </c>
      <c r="GH100" s="1" t="str">
        <f t="shared" si="64"/>
        <v/>
      </c>
      <c r="GI100" s="1" t="str">
        <f t="shared" si="64"/>
        <v/>
      </c>
      <c r="GJ100" s="1" t="str">
        <f t="shared" si="64"/>
        <v/>
      </c>
      <c r="GK100" s="1" t="str">
        <f t="shared" si="61"/>
        <v/>
      </c>
      <c r="GL100" s="1" t="str">
        <f t="shared" si="61"/>
        <v/>
      </c>
      <c r="GM100" s="1" t="str">
        <f t="shared" si="61"/>
        <v/>
      </c>
      <c r="GN100" s="1" t="str">
        <f t="shared" si="61"/>
        <v/>
      </c>
      <c r="GO100" s="1" t="str">
        <f t="shared" si="60"/>
        <v/>
      </c>
      <c r="GP100" s="1" t="str">
        <f t="shared" si="60"/>
        <v/>
      </c>
      <c r="GQ100" s="1" t="str">
        <f t="shared" si="60"/>
        <v/>
      </c>
      <c r="GR100" s="1" t="str">
        <f t="shared" si="60"/>
        <v/>
      </c>
      <c r="GS100" s="1" t="str">
        <f t="shared" si="60"/>
        <v/>
      </c>
      <c r="GT100" s="1" t="str">
        <f t="shared" si="60"/>
        <v/>
      </c>
      <c r="GU100" s="1" t="str">
        <f t="shared" si="60"/>
        <v/>
      </c>
      <c r="GV100" s="1" t="str">
        <f t="shared" si="60"/>
        <v/>
      </c>
      <c r="GW100" s="1" t="str">
        <f t="shared" si="60"/>
        <v/>
      </c>
      <c r="GX100" s="1" t="str">
        <f t="shared" si="60"/>
        <v/>
      </c>
      <c r="GY100" s="1" t="str">
        <f t="shared" si="60"/>
        <v/>
      </c>
      <c r="GZ100" s="1" t="str">
        <f t="shared" si="60"/>
        <v/>
      </c>
      <c r="HA100" s="1" t="str">
        <f t="shared" si="60"/>
        <v/>
      </c>
      <c r="HB100" s="1" t="str">
        <f t="shared" si="60"/>
        <v/>
      </c>
      <c r="HC100" s="1" t="str">
        <f t="shared" si="60"/>
        <v/>
      </c>
      <c r="HD100" s="1" t="str">
        <f t="shared" si="60"/>
        <v/>
      </c>
      <c r="HE100" s="1" t="str">
        <f t="shared" si="62"/>
        <v/>
      </c>
      <c r="HF100" s="1" t="str">
        <f t="shared" si="62"/>
        <v/>
      </c>
      <c r="HG100" s="1" t="str">
        <f t="shared" si="62"/>
        <v/>
      </c>
      <c r="HH100" s="1" t="str">
        <f t="shared" si="62"/>
        <v/>
      </c>
      <c r="HI100" s="1" t="str">
        <f t="shared" si="62"/>
        <v/>
      </c>
      <c r="HJ100" s="1" t="str">
        <f t="shared" si="58"/>
        <v/>
      </c>
      <c r="HK100" s="1" t="str">
        <f t="shared" si="58"/>
        <v/>
      </c>
      <c r="HL100" s="1" t="str">
        <f t="shared" si="58"/>
        <v/>
      </c>
      <c r="HM100" s="1" t="str">
        <f t="shared" si="58"/>
        <v/>
      </c>
      <c r="HN100" s="1" t="str">
        <f t="shared" si="58"/>
        <v/>
      </c>
      <c r="HO100" s="1" t="str">
        <f t="shared" si="52"/>
        <v/>
      </c>
      <c r="HP100" s="1" t="str">
        <f t="shared" si="52"/>
        <v/>
      </c>
      <c r="HQ100" s="1" t="str">
        <f t="shared" si="52"/>
        <v/>
      </c>
      <c r="HR100" s="1" t="str">
        <f t="shared" si="52"/>
        <v/>
      </c>
      <c r="HS100" s="1" t="str">
        <f t="shared" si="52"/>
        <v/>
      </c>
      <c r="HT100" s="1" t="str">
        <f t="shared" si="52"/>
        <v/>
      </c>
      <c r="HU100" s="1" t="str">
        <f t="shared" si="52"/>
        <v/>
      </c>
      <c r="HV100" s="1" t="str">
        <f t="shared" si="52"/>
        <v/>
      </c>
      <c r="HW100" s="1" t="str">
        <f t="shared" si="52"/>
        <v/>
      </c>
      <c r="HX100" s="1" t="str">
        <f t="shared" si="52"/>
        <v/>
      </c>
      <c r="HY100" s="1" t="str">
        <f t="shared" si="52"/>
        <v/>
      </c>
      <c r="HZ100" s="1" t="str">
        <f t="shared" si="52"/>
        <v/>
      </c>
      <c r="IA100" s="1" t="str">
        <f t="shared" si="52"/>
        <v/>
      </c>
      <c r="IB100" s="1" t="str">
        <f t="shared" si="52"/>
        <v/>
      </c>
      <c r="IC100" s="1" t="str">
        <f t="shared" si="52"/>
        <v/>
      </c>
      <c r="ID100" s="1" t="str">
        <f t="shared" si="52"/>
        <v/>
      </c>
      <c r="IE100" s="1" t="str">
        <f t="shared" si="59"/>
        <v/>
      </c>
      <c r="IF100" s="1" t="str">
        <f t="shared" si="56"/>
        <v/>
      </c>
      <c r="IG100" s="1" t="str">
        <f t="shared" si="56"/>
        <v/>
      </c>
      <c r="IH100" s="1" t="str">
        <f t="shared" si="56"/>
        <v/>
      </c>
      <c r="II100" s="1" t="str">
        <f t="shared" si="56"/>
        <v/>
      </c>
      <c r="IJ100" s="1" t="str">
        <f t="shared" si="56"/>
        <v/>
      </c>
      <c r="IK100" s="1" t="str">
        <f t="shared" si="56"/>
        <v/>
      </c>
      <c r="IL100" s="1" t="str">
        <f t="shared" si="56"/>
        <v/>
      </c>
      <c r="IM100" s="1" t="str">
        <f t="shared" si="56"/>
        <v/>
      </c>
      <c r="IN100" s="1" t="str">
        <f t="shared" si="56"/>
        <v/>
      </c>
      <c r="IO100" s="1" t="str">
        <f t="shared" si="56"/>
        <v/>
      </c>
      <c r="IP100" s="1" t="str">
        <f t="shared" si="56"/>
        <v/>
      </c>
      <c r="IQ100" s="1" t="str">
        <f t="shared" si="56"/>
        <v/>
      </c>
      <c r="IR100" s="1" t="str">
        <f t="shared" si="63"/>
        <v/>
      </c>
      <c r="IS100" s="1" t="str">
        <f t="shared" si="63"/>
        <v/>
      </c>
      <c r="IT100" s="1" t="str">
        <f t="shared" si="63"/>
        <v/>
      </c>
      <c r="IU100" s="1" t="str">
        <f t="shared" si="63"/>
        <v/>
      </c>
      <c r="IV100" s="1" t="str">
        <f t="shared" si="63"/>
        <v/>
      </c>
      <c r="IW100" s="1" t="str">
        <f t="shared" si="63"/>
        <v/>
      </c>
      <c r="IX100" s="1" t="str">
        <f t="shared" si="54"/>
        <v/>
      </c>
      <c r="IY100" s="1" t="str">
        <f t="shared" si="54"/>
        <v/>
      </c>
      <c r="IZ100" s="1" t="str">
        <f t="shared" si="54"/>
        <v/>
      </c>
      <c r="JA100" s="1" t="str">
        <f t="shared" si="54"/>
        <v/>
      </c>
      <c r="JB100" s="1" t="str">
        <f t="shared" si="54"/>
        <v/>
      </c>
      <c r="JC100" s="1" t="str">
        <f t="shared" si="43"/>
        <v/>
      </c>
      <c r="JD100" s="1" t="str">
        <f t="shared" si="43"/>
        <v/>
      </c>
      <c r="JE100" s="1" t="str">
        <f t="shared" si="43"/>
        <v/>
      </c>
      <c r="JF100" s="1" t="str">
        <f t="shared" si="43"/>
        <v/>
      </c>
      <c r="JG100" s="1" t="str">
        <f t="shared" si="37"/>
        <v/>
      </c>
      <c r="JH100" s="1" t="str">
        <f t="shared" si="37"/>
        <v/>
      </c>
      <c r="JI100" s="1" t="str">
        <f t="shared" si="37"/>
        <v/>
      </c>
      <c r="JJ100" s="1" t="str">
        <f t="shared" si="37"/>
        <v/>
      </c>
      <c r="JK100" s="1" t="str">
        <f t="shared" si="37"/>
        <v/>
      </c>
      <c r="JL100" s="1" t="str">
        <f t="shared" si="37"/>
        <v/>
      </c>
      <c r="JM100" s="1" t="str">
        <f t="shared" si="37"/>
        <v/>
      </c>
      <c r="JN100" s="1" t="str">
        <f t="shared" si="37"/>
        <v/>
      </c>
      <c r="JO100" s="1" t="str">
        <f t="shared" si="37"/>
        <v/>
      </c>
    </row>
    <row r="101" spans="1:275" ht="14.5" x14ac:dyDescent="0.35">
      <c r="A101" s="59" t="str">
        <f>IF('Data input'!A101&lt;&gt;"",'Data input'!A101,"")</f>
        <v/>
      </c>
      <c r="B101" s="15" t="str">
        <f>IF('Data input'!B101&lt;&gt;"",'Data input'!B101,"")</f>
        <v/>
      </c>
      <c r="C101" s="16" t="str">
        <f>IF('Data input'!C101="","",4*('Data input'!C101-'Data input'!C$108)/('Data input'!C$109-'Data input'!C$108)+1)</f>
        <v/>
      </c>
      <c r="D101" s="16" t="str">
        <f>IF('Data input'!D101="","",4*('Data input'!D101-'Data input'!D$108)/('Data input'!D$109-'Data input'!D$108)+1)</f>
        <v/>
      </c>
      <c r="E101" s="16" t="str">
        <f>IF('Data input'!E101="","",4*('Data input'!E101-'Data input'!E$108)/('Data input'!E$109-'Data input'!E$108)+1)</f>
        <v/>
      </c>
      <c r="F101" s="16" t="str">
        <f>IF('Data input'!F101="","",4*('Data input'!F101-'Data input'!F$108)/('Data input'!F$109-'Data input'!F$108)+1)</f>
        <v/>
      </c>
      <c r="G101" s="16" t="str">
        <f>IF('Data input'!G101="","",4*('Data input'!G101-'Data input'!G$108)/('Data input'!G$109-'Data input'!G$108)+1)</f>
        <v/>
      </c>
      <c r="H101" s="16" t="str">
        <f>IF('Data input'!H101="","",4*('Data input'!H101-'Data input'!H$108)/('Data input'!H$109-'Data input'!H$108)+1)</f>
        <v/>
      </c>
      <c r="I101" s="19" t="str">
        <f>IF('Data input'!I101="","",4*('Data input'!I101-'Data input'!I$108)/('Data input'!I$109-'Data input'!I$108)+1)</f>
        <v/>
      </c>
      <c r="J101" s="19" t="str">
        <f>IF('Data input'!J101="","",4*('Data input'!J101-'Data input'!J$108)/('Data input'!J$109-'Data input'!J$108)+1)</f>
        <v/>
      </c>
      <c r="K101" s="19" t="str">
        <f>IF('Data input'!K101="","",4*('Data input'!K101-'Data input'!K$108)/('Data input'!K$109-'Data input'!K$108)+1)</f>
        <v/>
      </c>
      <c r="L101" s="19" t="str">
        <f>IF('Data input'!L101="","",4*('Data input'!L101-'Data input'!L$108)/('Data input'!L$109-'Data input'!L$108)+1)</f>
        <v/>
      </c>
      <c r="M101" s="16" t="str">
        <f>IF('Data input'!M101="","",4*('Data input'!M101-'Data input'!M$108)/('Data input'!M$109-'Data input'!M$108)+1)</f>
        <v/>
      </c>
      <c r="N101" s="16" t="str">
        <f>IF('Data input'!N101="","",4*('Data input'!N101-'Data input'!N$108)/('Data input'!N$109-'Data input'!N$108)+1)</f>
        <v/>
      </c>
      <c r="O101" s="16" t="str">
        <f>IF('Data input'!O101="","",4*('Data input'!O101-'Data input'!O$108)/('Data input'!O$109-'Data input'!O$108)+1)</f>
        <v/>
      </c>
      <c r="P101" s="16" t="str">
        <f>IF('Data input'!P101="","",4*('Data input'!P101-'Data input'!P$108)/('Data input'!P$109-'Data input'!P$108)+1)</f>
        <v/>
      </c>
      <c r="Q101" s="16" t="str">
        <f>IF('Data input'!Q101="","",4*('Data input'!Q101-'Data input'!Q$108)/('Data input'!Q$109-'Data input'!Q$108)+1)</f>
        <v/>
      </c>
      <c r="R101" s="16" t="str">
        <f>IF('Data input'!R101="","",4*('Data input'!R101-'Data input'!R$108)/('Data input'!R$109-'Data input'!R$108)+1)</f>
        <v/>
      </c>
      <c r="S101" s="16" t="str">
        <f>IF('Data input'!S101="","",4*('Data input'!S101-'Data input'!S$108)/('Data input'!S$109-'Data input'!S$108)+1)</f>
        <v/>
      </c>
      <c r="T101" s="16" t="str">
        <f>IF('Data input'!T101="","",4*('Data input'!T101-'Data input'!T$108)/('Data input'!T$109-'Data input'!T$108)+1)</f>
        <v/>
      </c>
      <c r="U101" s="16" t="str">
        <f>IF('Data input'!U101="","",4*('Data input'!U101-'Data input'!U$108)/('Data input'!U$109-'Data input'!U$108)+1)</f>
        <v/>
      </c>
      <c r="V101" s="16" t="str">
        <f>IF('Data input'!V101="","",4*('Data input'!V101-'Data input'!V$108)/('Data input'!V$109-'Data input'!V$108)+1)</f>
        <v/>
      </c>
      <c r="W101" s="16" t="str">
        <f>IF('Data input'!W101="","",4*('Data input'!W101-'Data input'!W$108)/('Data input'!W$109-'Data input'!W$108)+1)</f>
        <v/>
      </c>
      <c r="X101" s="16" t="str">
        <f>IF('Data input'!X101="","",4*('Data input'!X101-'Data input'!X$108)/('Data input'!X$109-'Data input'!X$108)+1)</f>
        <v/>
      </c>
      <c r="Y101" s="16" t="str">
        <f>IF('Data input'!Y101="","",4*('Data input'!Y101-'Data input'!Y$108)/('Data input'!Y$109-'Data input'!Y$108)+1)</f>
        <v/>
      </c>
      <c r="Z101" s="16" t="str">
        <f>IF('Data input'!Z101="","",4*('Data input'!Z101-'Data input'!Z$108)/('Data input'!Z$109-'Data input'!Z$108)+1)</f>
        <v/>
      </c>
      <c r="AA101" s="62" t="str">
        <f>IF('Data input'!AA101="","",4*('Data input'!AA101-'Data input'!AA$108)/('Data input'!AA$109-'Data input'!AA$108)+1)</f>
        <v/>
      </c>
      <c r="AB101" s="78"/>
      <c r="AC101" s="79">
        <v>0</v>
      </c>
      <c r="AD101" s="80" t="e">
        <f t="shared" si="48"/>
        <v>#DIV/0!</v>
      </c>
      <c r="AE101" s="4"/>
      <c r="AF101" s="59" t="str">
        <f t="shared" si="40"/>
        <v/>
      </c>
      <c r="AG101" s="60" t="str">
        <f t="shared" si="40"/>
        <v/>
      </c>
      <c r="AH101"/>
      <c r="AI101"/>
      <c r="AJ101"/>
      <c r="AK101"/>
      <c r="AL101"/>
      <c r="AM101"/>
      <c r="AN101"/>
      <c r="AO101"/>
      <c r="AP101"/>
      <c r="AQ101"/>
      <c r="AR101"/>
      <c r="AS101" s="71" t="str">
        <f t="shared" si="44"/>
        <v/>
      </c>
      <c r="AT101" s="71" t="str">
        <f t="shared" si="44"/>
        <v/>
      </c>
      <c r="AU101" s="71" t="str">
        <f t="shared" si="44"/>
        <v/>
      </c>
      <c r="AV101" s="71" t="str">
        <f t="shared" si="44"/>
        <v/>
      </c>
      <c r="AW101" s="71" t="str">
        <f t="shared" si="44"/>
        <v/>
      </c>
      <c r="AX101" s="71" t="str">
        <f t="shared" si="45"/>
        <v/>
      </c>
      <c r="AY101" s="71" t="str">
        <f t="shared" si="45"/>
        <v/>
      </c>
      <c r="AZ101" s="71" t="str">
        <f t="shared" si="45"/>
        <v/>
      </c>
      <c r="BA101" s="71" t="str">
        <f t="shared" si="45"/>
        <v/>
      </c>
      <c r="BB101" s="71" t="str">
        <f t="shared" si="45"/>
        <v/>
      </c>
      <c r="BC101" s="18" t="str">
        <f>IF(C101&lt;&gt;"",(('Data input'!C$109-'Data input'!C$108)*(AS101-1)/4)+'Data input'!C$108,"")</f>
        <v/>
      </c>
      <c r="BD101" s="18" t="str">
        <f>IF(D101&lt;&gt;"",(('Data input'!D$109-'Data input'!D$108)*(AT101-1)/4)+'Data input'!D$108,"")</f>
        <v/>
      </c>
      <c r="BE101" s="18" t="str">
        <f>IF(E101&lt;&gt;"",(('Data input'!E$109-'Data input'!E$108)*(AU101-1)/4)+'Data input'!E$108,"")</f>
        <v/>
      </c>
      <c r="BF101" s="18" t="str">
        <f>IF(F101&lt;&gt;"",(('Data input'!F$109-'Data input'!F$108)*(AV101-1)/4)+'Data input'!F$108,"")</f>
        <v/>
      </c>
      <c r="BG101" s="18" t="str">
        <f>IF(G101&lt;&gt;"",(('Data input'!G$109-'Data input'!G$108)*(AW101-1)/4)+'Data input'!G$108,"")</f>
        <v/>
      </c>
      <c r="BH101" s="19" t="str">
        <f>IF(H101&lt;&gt;"",(('Data input'!H$109-'Data input'!H$108)*(AX101-1)/4)+'Data input'!H$108,"")</f>
        <v/>
      </c>
      <c r="BI101" s="18" t="str">
        <f>IF(I101&lt;&gt;"",(('Data input'!I$109-'Data input'!I$108)*(AY101-1)/4)+'Data input'!I$108,"")</f>
        <v/>
      </c>
      <c r="BJ101" s="19" t="str">
        <f>IF(J101&lt;&gt;"",(('Data input'!J$109-'Data input'!J$108)*(AZ101-1)/4)+'Data input'!J$108,"")</f>
        <v/>
      </c>
      <c r="BK101" s="19" t="str">
        <f>IF(K101&lt;&gt;"",(('Data input'!K$109-'Data input'!K$108)*(BA101-1)/4)+'Data input'!K$108,"")</f>
        <v/>
      </c>
      <c r="BL101" s="19" t="str">
        <f>IF(L101&lt;&gt;"",(('Data input'!L$109-'Data input'!L$108)*(BB101-1)/4)+'Data input'!L$108,"")</f>
        <v/>
      </c>
      <c r="BM101" s="18" t="str">
        <f>IF(C101&lt;&gt;"",BC101-'Data input'!C101,"")</f>
        <v/>
      </c>
      <c r="BN101" s="18" t="str">
        <f>IF(D101&lt;&gt;"",BD101-'Data input'!D101,"")</f>
        <v/>
      </c>
      <c r="BO101" s="18" t="str">
        <f>IF(E101&lt;&gt;"",BE101-'Data input'!E101,"")</f>
        <v/>
      </c>
      <c r="BP101" s="18" t="str">
        <f>IF(F101&lt;&gt;"",BF101-'Data input'!F101,"")</f>
        <v/>
      </c>
      <c r="BQ101" s="18" t="str">
        <f>IF(G101&lt;&gt;"",BG101-'Data input'!G101,"")</f>
        <v/>
      </c>
      <c r="BR101" s="19" t="str">
        <f>IF(H101&lt;&gt;"",BH101-'Data input'!H101,"")</f>
        <v/>
      </c>
      <c r="BS101" s="18" t="str">
        <f>IF(I101&lt;&gt;"",BI101-'Data input'!I101,"")</f>
        <v/>
      </c>
      <c r="BT101" s="18" t="str">
        <f>IF(J101&lt;&gt;"",BJ101-'Data input'!J101,"")</f>
        <v/>
      </c>
      <c r="BU101" s="18" t="str">
        <f>IF(K101&lt;&gt;"",BK101-'Data input'!K101,"")</f>
        <v/>
      </c>
      <c r="BV101" s="72" t="str">
        <f>IF(L101&lt;&gt;"",BL101-'Data input'!L101,"")</f>
        <v/>
      </c>
      <c r="BW101" s="121" t="str">
        <f t="shared" si="49"/>
        <v/>
      </c>
      <c r="FT101" s="1" t="str">
        <f t="shared" si="57"/>
        <v/>
      </c>
      <c r="FU101" s="1" t="str">
        <f t="shared" si="57"/>
        <v/>
      </c>
      <c r="FV101" s="1" t="str">
        <f t="shared" si="57"/>
        <v/>
      </c>
      <c r="FW101" s="1" t="str">
        <f t="shared" si="57"/>
        <v/>
      </c>
      <c r="FX101" s="1" t="str">
        <f t="shared" si="57"/>
        <v/>
      </c>
      <c r="FY101" s="1" t="str">
        <f t="shared" si="57"/>
        <v/>
      </c>
      <c r="FZ101" s="1" t="str">
        <f t="shared" si="57"/>
        <v/>
      </c>
      <c r="GA101" s="1" t="str">
        <f t="shared" si="57"/>
        <v/>
      </c>
      <c r="GB101" s="1" t="str">
        <f t="shared" si="57"/>
        <v/>
      </c>
      <c r="GC101" s="1" t="str">
        <f t="shared" si="57"/>
        <v/>
      </c>
      <c r="GD101" s="1" t="str">
        <f t="shared" si="57"/>
        <v/>
      </c>
      <c r="GE101" s="1" t="str">
        <f t="shared" si="57"/>
        <v/>
      </c>
      <c r="GF101" s="1" t="str">
        <f t="shared" si="64"/>
        <v/>
      </c>
      <c r="GG101" s="1" t="str">
        <f t="shared" si="64"/>
        <v/>
      </c>
      <c r="GH101" s="1" t="str">
        <f t="shared" si="64"/>
        <v/>
      </c>
      <c r="GI101" s="1" t="str">
        <f t="shared" si="64"/>
        <v/>
      </c>
      <c r="GJ101" s="1" t="str">
        <f t="shared" si="64"/>
        <v/>
      </c>
      <c r="GK101" s="1" t="str">
        <f t="shared" si="61"/>
        <v/>
      </c>
      <c r="GL101" s="1" t="str">
        <f t="shared" si="61"/>
        <v/>
      </c>
      <c r="GM101" s="1" t="str">
        <f t="shared" si="61"/>
        <v/>
      </c>
      <c r="GN101" s="1" t="str">
        <f t="shared" si="61"/>
        <v/>
      </c>
      <c r="GO101" s="1" t="str">
        <f t="shared" si="60"/>
        <v/>
      </c>
      <c r="GP101" s="1" t="str">
        <f t="shared" si="60"/>
        <v/>
      </c>
      <c r="GQ101" s="1" t="str">
        <f t="shared" si="60"/>
        <v/>
      </c>
      <c r="GR101" s="1" t="str">
        <f t="shared" si="60"/>
        <v/>
      </c>
      <c r="GS101" s="1" t="str">
        <f t="shared" si="60"/>
        <v/>
      </c>
      <c r="GT101" s="1" t="str">
        <f t="shared" si="60"/>
        <v/>
      </c>
      <c r="GU101" s="1" t="str">
        <f t="shared" si="60"/>
        <v/>
      </c>
      <c r="GV101" s="1" t="str">
        <f t="shared" si="60"/>
        <v/>
      </c>
      <c r="GW101" s="1" t="str">
        <f t="shared" si="60"/>
        <v/>
      </c>
      <c r="GX101" s="1" t="str">
        <f t="shared" si="60"/>
        <v/>
      </c>
      <c r="GY101" s="1" t="str">
        <f t="shared" si="60"/>
        <v/>
      </c>
      <c r="GZ101" s="1" t="str">
        <f t="shared" si="60"/>
        <v/>
      </c>
      <c r="HA101" s="1" t="str">
        <f t="shared" si="60"/>
        <v/>
      </c>
      <c r="HB101" s="1" t="str">
        <f t="shared" si="60"/>
        <v/>
      </c>
      <c r="HC101" s="1" t="str">
        <f t="shared" si="60"/>
        <v/>
      </c>
      <c r="HD101" s="1" t="str">
        <f t="shared" si="60"/>
        <v/>
      </c>
      <c r="HE101" s="1" t="str">
        <f t="shared" si="62"/>
        <v/>
      </c>
      <c r="HF101" s="1" t="str">
        <f t="shared" si="62"/>
        <v/>
      </c>
      <c r="HG101" s="1" t="str">
        <f t="shared" si="62"/>
        <v/>
      </c>
      <c r="HH101" s="1" t="str">
        <f t="shared" si="62"/>
        <v/>
      </c>
      <c r="HI101" s="1" t="str">
        <f t="shared" si="62"/>
        <v/>
      </c>
      <c r="HJ101" s="1" t="str">
        <f t="shared" si="58"/>
        <v/>
      </c>
      <c r="HK101" s="1" t="str">
        <f t="shared" si="58"/>
        <v/>
      </c>
      <c r="HL101" s="1" t="str">
        <f t="shared" si="58"/>
        <v/>
      </c>
      <c r="HM101" s="1" t="str">
        <f t="shared" si="58"/>
        <v/>
      </c>
      <c r="HN101" s="1" t="str">
        <f t="shared" si="58"/>
        <v/>
      </c>
      <c r="HO101" s="1" t="str">
        <f t="shared" si="52"/>
        <v/>
      </c>
      <c r="HP101" s="1" t="str">
        <f t="shared" si="52"/>
        <v/>
      </c>
      <c r="HQ101" s="1" t="str">
        <f t="shared" si="52"/>
        <v/>
      </c>
      <c r="HR101" s="1" t="str">
        <f t="shared" si="52"/>
        <v/>
      </c>
      <c r="HS101" s="1" t="str">
        <f t="shared" si="52"/>
        <v/>
      </c>
      <c r="HT101" s="1" t="str">
        <f t="shared" si="52"/>
        <v/>
      </c>
      <c r="HU101" s="1" t="str">
        <f t="shared" si="52"/>
        <v/>
      </c>
      <c r="HV101" s="1" t="str">
        <f t="shared" si="52"/>
        <v/>
      </c>
      <c r="HW101" s="1" t="str">
        <f t="shared" si="52"/>
        <v/>
      </c>
      <c r="HX101" s="1" t="str">
        <f t="shared" si="52"/>
        <v/>
      </c>
      <c r="HY101" s="1" t="str">
        <f t="shared" si="52"/>
        <v/>
      </c>
      <c r="HZ101" s="1" t="str">
        <f t="shared" si="52"/>
        <v/>
      </c>
      <c r="IA101" s="1" t="str">
        <f t="shared" si="52"/>
        <v/>
      </c>
      <c r="IB101" s="1" t="str">
        <f t="shared" si="52"/>
        <v/>
      </c>
      <c r="IC101" s="1" t="str">
        <f t="shared" si="52"/>
        <v/>
      </c>
      <c r="ID101" s="1" t="str">
        <f t="shared" si="52"/>
        <v/>
      </c>
      <c r="IE101" s="1" t="str">
        <f t="shared" si="59"/>
        <v/>
      </c>
      <c r="IF101" s="1" t="str">
        <f t="shared" si="56"/>
        <v/>
      </c>
      <c r="IG101" s="1" t="str">
        <f t="shared" si="56"/>
        <v/>
      </c>
      <c r="IH101" s="1" t="str">
        <f t="shared" si="56"/>
        <v/>
      </c>
      <c r="II101" s="1" t="str">
        <f t="shared" si="56"/>
        <v/>
      </c>
      <c r="IJ101" s="1" t="str">
        <f t="shared" si="56"/>
        <v/>
      </c>
      <c r="IK101" s="1" t="str">
        <f t="shared" si="56"/>
        <v/>
      </c>
      <c r="IL101" s="1" t="str">
        <f t="shared" si="56"/>
        <v/>
      </c>
      <c r="IM101" s="1" t="str">
        <f t="shared" si="56"/>
        <v/>
      </c>
      <c r="IN101" s="1" t="str">
        <f t="shared" si="56"/>
        <v/>
      </c>
      <c r="IO101" s="1" t="str">
        <f t="shared" si="56"/>
        <v/>
      </c>
      <c r="IP101" s="1" t="str">
        <f t="shared" si="56"/>
        <v/>
      </c>
      <c r="IQ101" s="1" t="str">
        <f t="shared" si="56"/>
        <v/>
      </c>
      <c r="IR101" s="1" t="str">
        <f t="shared" si="63"/>
        <v/>
      </c>
      <c r="IS101" s="1" t="str">
        <f t="shared" si="63"/>
        <v/>
      </c>
      <c r="IT101" s="1" t="str">
        <f t="shared" si="63"/>
        <v/>
      </c>
      <c r="IU101" s="1" t="str">
        <f t="shared" si="63"/>
        <v/>
      </c>
      <c r="IV101" s="1" t="str">
        <f t="shared" si="63"/>
        <v/>
      </c>
      <c r="IW101" s="1" t="str">
        <f t="shared" si="63"/>
        <v/>
      </c>
      <c r="IX101" s="1" t="str">
        <f t="shared" si="54"/>
        <v/>
      </c>
      <c r="IY101" s="1" t="str">
        <f t="shared" si="54"/>
        <v/>
      </c>
      <c r="IZ101" s="1" t="str">
        <f t="shared" si="54"/>
        <v/>
      </c>
      <c r="JA101" s="1" t="str">
        <f t="shared" si="54"/>
        <v/>
      </c>
      <c r="JB101" s="1" t="str">
        <f t="shared" si="54"/>
        <v/>
      </c>
      <c r="JC101" s="1" t="str">
        <f t="shared" si="43"/>
        <v/>
      </c>
      <c r="JD101" s="1" t="str">
        <f t="shared" si="43"/>
        <v/>
      </c>
      <c r="JE101" s="1" t="str">
        <f t="shared" si="43"/>
        <v/>
      </c>
      <c r="JF101" s="1" t="str">
        <f t="shared" si="43"/>
        <v/>
      </c>
      <c r="JG101" s="1" t="str">
        <f t="shared" si="37"/>
        <v/>
      </c>
      <c r="JH101" s="1" t="str">
        <f t="shared" si="37"/>
        <v/>
      </c>
      <c r="JI101" s="1" t="str">
        <f t="shared" si="37"/>
        <v/>
      </c>
      <c r="JJ101" s="1" t="str">
        <f t="shared" si="37"/>
        <v/>
      </c>
      <c r="JK101" s="1" t="str">
        <f t="shared" si="37"/>
        <v/>
      </c>
      <c r="JL101" s="1" t="str">
        <f t="shared" si="37"/>
        <v/>
      </c>
      <c r="JM101" s="1" t="str">
        <f t="shared" si="37"/>
        <v/>
      </c>
      <c r="JN101" s="1" t="str">
        <f t="shared" si="37"/>
        <v/>
      </c>
      <c r="JO101" s="1" t="str">
        <f t="shared" si="37"/>
        <v/>
      </c>
    </row>
    <row r="102" spans="1:275" ht="15" thickBot="1" x14ac:dyDescent="0.4">
      <c r="A102" s="64" t="str">
        <f>IF('Data input'!A102&lt;&gt;"",'Data input'!A102,"")</f>
        <v/>
      </c>
      <c r="B102" s="67" t="str">
        <f>IF('Data input'!B102&lt;&gt;"",'Data input'!B102,"")</f>
        <v/>
      </c>
      <c r="C102" s="68" t="str">
        <f>IF('Data input'!C102="","",4*('Data input'!C102-'Data input'!C$108)/('Data input'!C$109-'Data input'!C$108)+1)</f>
        <v/>
      </c>
      <c r="D102" s="68" t="str">
        <f>IF('Data input'!D102="","",4*('Data input'!D102-'Data input'!D$108)/('Data input'!D$109-'Data input'!D$108)+1)</f>
        <v/>
      </c>
      <c r="E102" s="68" t="str">
        <f>IF('Data input'!E102="","",4*('Data input'!E102-'Data input'!E$108)/('Data input'!E$109-'Data input'!E$108)+1)</f>
        <v/>
      </c>
      <c r="F102" s="68" t="str">
        <f>IF('Data input'!F102="","",4*('Data input'!F102-'Data input'!F$108)/('Data input'!F$109-'Data input'!F$108)+1)</f>
        <v/>
      </c>
      <c r="G102" s="68" t="str">
        <f>IF('Data input'!G102="","",4*('Data input'!G102-'Data input'!G$108)/('Data input'!G$109-'Data input'!G$108)+1)</f>
        <v/>
      </c>
      <c r="H102" s="68" t="str">
        <f>IF('Data input'!H102="","",4*('Data input'!H102-'Data input'!H$108)/('Data input'!H$109-'Data input'!H$108)+1)</f>
        <v/>
      </c>
      <c r="I102" s="69" t="str">
        <f>IF('Data input'!I102="","",4*('Data input'!I102-'Data input'!I$108)/('Data input'!I$109-'Data input'!I$108)+1)</f>
        <v/>
      </c>
      <c r="J102" s="69" t="str">
        <f>IF('Data input'!J102="","",4*('Data input'!J102-'Data input'!J$108)/('Data input'!J$109-'Data input'!J$108)+1)</f>
        <v/>
      </c>
      <c r="K102" s="69" t="str">
        <f>IF('Data input'!K102="","",4*('Data input'!K102-'Data input'!K$108)/('Data input'!K$109-'Data input'!K$108)+1)</f>
        <v/>
      </c>
      <c r="L102" s="69" t="str">
        <f>IF('Data input'!L102="","",4*('Data input'!L102-'Data input'!L$108)/('Data input'!L$109-'Data input'!L$108)+1)</f>
        <v/>
      </c>
      <c r="M102" s="68" t="str">
        <f>IF('Data input'!M102="","",4*('Data input'!M102-'Data input'!M$108)/('Data input'!M$109-'Data input'!M$108)+1)</f>
        <v/>
      </c>
      <c r="N102" s="68" t="str">
        <f>IF('Data input'!N102="","",4*('Data input'!N102-'Data input'!N$108)/('Data input'!N$109-'Data input'!N$108)+1)</f>
        <v/>
      </c>
      <c r="O102" s="68" t="str">
        <f>IF('Data input'!O102="","",4*('Data input'!O102-'Data input'!O$108)/('Data input'!O$109-'Data input'!O$108)+1)</f>
        <v/>
      </c>
      <c r="P102" s="68" t="str">
        <f>IF('Data input'!P102="","",4*('Data input'!P102-'Data input'!P$108)/('Data input'!P$109-'Data input'!P$108)+1)</f>
        <v/>
      </c>
      <c r="Q102" s="68" t="str">
        <f>IF('Data input'!Q102="","",4*('Data input'!Q102-'Data input'!Q$108)/('Data input'!Q$109-'Data input'!Q$108)+1)</f>
        <v/>
      </c>
      <c r="R102" s="68" t="str">
        <f>IF('Data input'!R102="","",4*('Data input'!R102-'Data input'!R$108)/('Data input'!R$109-'Data input'!R$108)+1)</f>
        <v/>
      </c>
      <c r="S102" s="68" t="str">
        <f>IF('Data input'!S102="","",4*('Data input'!S102-'Data input'!S$108)/('Data input'!S$109-'Data input'!S$108)+1)</f>
        <v/>
      </c>
      <c r="T102" s="68" t="str">
        <f>IF('Data input'!T102="","",4*('Data input'!T102-'Data input'!T$108)/('Data input'!T$109-'Data input'!T$108)+1)</f>
        <v/>
      </c>
      <c r="U102" s="68" t="str">
        <f>IF('Data input'!U102="","",4*('Data input'!U102-'Data input'!U$108)/('Data input'!U$109-'Data input'!U$108)+1)</f>
        <v/>
      </c>
      <c r="V102" s="68" t="str">
        <f>IF('Data input'!V102="","",4*('Data input'!V102-'Data input'!V$108)/('Data input'!V$109-'Data input'!V$108)+1)</f>
        <v/>
      </c>
      <c r="W102" s="68" t="str">
        <f>IF('Data input'!W102="","",4*('Data input'!W102-'Data input'!W$108)/('Data input'!W$109-'Data input'!W$108)+1)</f>
        <v/>
      </c>
      <c r="X102" s="68" t="str">
        <f>IF('Data input'!X102="","",4*('Data input'!X102-'Data input'!X$108)/('Data input'!X$109-'Data input'!X$108)+1)</f>
        <v/>
      </c>
      <c r="Y102" s="68" t="str">
        <f>IF('Data input'!Y102="","",4*('Data input'!Y102-'Data input'!Y$108)/('Data input'!Y$109-'Data input'!Y$108)+1)</f>
        <v/>
      </c>
      <c r="Z102" s="68" t="str">
        <f>IF('Data input'!Z102="","",4*('Data input'!Z102-'Data input'!Z$108)/('Data input'!Z$109-'Data input'!Z$108)+1)</f>
        <v/>
      </c>
      <c r="AA102" s="70" t="str">
        <f>IF('Data input'!AA102="","",4*('Data input'!AA102-'Data input'!AA$108)/('Data input'!AA$109-'Data input'!AA$108)+1)</f>
        <v/>
      </c>
      <c r="AB102" s="78"/>
      <c r="AC102" s="79">
        <v>0</v>
      </c>
      <c r="AD102" s="80" t="e">
        <f t="shared" si="48"/>
        <v>#DIV/0!</v>
      </c>
      <c r="AE102" s="4"/>
      <c r="AF102" s="64" t="str">
        <f t="shared" si="40"/>
        <v/>
      </c>
      <c r="AG102" s="73" t="str">
        <f t="shared" si="40"/>
        <v/>
      </c>
      <c r="AH102"/>
      <c r="AI102"/>
      <c r="AJ102"/>
      <c r="AK102"/>
      <c r="AL102"/>
      <c r="AM102"/>
      <c r="AN102"/>
      <c r="AO102"/>
      <c r="AP102"/>
      <c r="AQ102"/>
      <c r="AR102"/>
      <c r="AS102" s="74" t="str">
        <f t="shared" si="44"/>
        <v/>
      </c>
      <c r="AT102" s="74" t="str">
        <f t="shared" si="44"/>
        <v/>
      </c>
      <c r="AU102" s="74" t="str">
        <f t="shared" si="44"/>
        <v/>
      </c>
      <c r="AV102" s="74" t="str">
        <f t="shared" si="44"/>
        <v/>
      </c>
      <c r="AW102" s="74" t="str">
        <f t="shared" si="44"/>
        <v/>
      </c>
      <c r="AX102" s="74" t="str">
        <f t="shared" si="45"/>
        <v/>
      </c>
      <c r="AY102" s="74" t="str">
        <f t="shared" si="45"/>
        <v/>
      </c>
      <c r="AZ102" s="74" t="str">
        <f t="shared" si="45"/>
        <v/>
      </c>
      <c r="BA102" s="74" t="str">
        <f t="shared" si="45"/>
        <v/>
      </c>
      <c r="BB102" s="74" t="str">
        <f t="shared" si="45"/>
        <v/>
      </c>
      <c r="BC102" s="66" t="str">
        <f>IF(C102&lt;&gt;"",(('Data input'!C$109-'Data input'!C$108)*(AS102-1)/4)+'Data input'!C$108,"")</f>
        <v/>
      </c>
      <c r="BD102" s="66" t="str">
        <f>IF(D102&lt;&gt;"",(('Data input'!D$109-'Data input'!D$108)*(AT102-1)/4)+'Data input'!D$108,"")</f>
        <v/>
      </c>
      <c r="BE102" s="66" t="str">
        <f>IF(E102&lt;&gt;"",(('Data input'!E$109-'Data input'!E$108)*(AU102-1)/4)+'Data input'!E$108,"")</f>
        <v/>
      </c>
      <c r="BF102" s="66" t="str">
        <f>IF(F102&lt;&gt;"",(('Data input'!F$109-'Data input'!F$108)*(AV102-1)/4)+'Data input'!F$108,"")</f>
        <v/>
      </c>
      <c r="BG102" s="66" t="str">
        <f>IF(G102&lt;&gt;"",(('Data input'!G$109-'Data input'!G$108)*(AW102-1)/4)+'Data input'!G$108,"")</f>
        <v/>
      </c>
      <c r="BH102" s="69" t="str">
        <f>IF(H102&lt;&gt;"",(('Data input'!H$109-'Data input'!H$108)*(AX102-1)/4)+'Data input'!H$108,"")</f>
        <v/>
      </c>
      <c r="BI102" s="66" t="str">
        <f>IF(I102&lt;&gt;"",(('Data input'!I$109-'Data input'!I$108)*(AY102-1)/4)+'Data input'!I$108,"")</f>
        <v/>
      </c>
      <c r="BJ102" s="69" t="str">
        <f>IF(J102&lt;&gt;"",(('Data input'!J$109-'Data input'!J$108)*(AZ102-1)/4)+'Data input'!J$108,"")</f>
        <v/>
      </c>
      <c r="BK102" s="69" t="str">
        <f>IF(K102&lt;&gt;"",(('Data input'!K$109-'Data input'!K$108)*(BA102-1)/4)+'Data input'!K$108,"")</f>
        <v/>
      </c>
      <c r="BL102" s="69" t="str">
        <f>IF(L102&lt;&gt;"",(('Data input'!L$109-'Data input'!L$108)*(BB102-1)/4)+'Data input'!L$108,"")</f>
        <v/>
      </c>
      <c r="BM102" s="66" t="str">
        <f>IF(C102&lt;&gt;"",BC102-'Data input'!C102,"")</f>
        <v/>
      </c>
      <c r="BN102" s="66" t="str">
        <f>IF(D102&lt;&gt;"",BD102-'Data input'!D102,"")</f>
        <v/>
      </c>
      <c r="BO102" s="66" t="str">
        <f>IF(E102&lt;&gt;"",BE102-'Data input'!E102,"")</f>
        <v/>
      </c>
      <c r="BP102" s="66" t="str">
        <f>IF(F102&lt;&gt;"",BF102-'Data input'!F102,"")</f>
        <v/>
      </c>
      <c r="BQ102" s="66" t="str">
        <f>IF(G102&lt;&gt;"",BG102-'Data input'!G102,"")</f>
        <v/>
      </c>
      <c r="BR102" s="69" t="str">
        <f>IF(H102&lt;&gt;"",BH102-'Data input'!H102,"")</f>
        <v/>
      </c>
      <c r="BS102" s="66" t="str">
        <f>IF(I102&lt;&gt;"",BI102-'Data input'!I102,"")</f>
        <v/>
      </c>
      <c r="BT102" s="66" t="str">
        <f>IF(J102&lt;&gt;"",BJ102-'Data input'!J102,"")</f>
        <v/>
      </c>
      <c r="BU102" s="66" t="str">
        <f>IF(K102&lt;&gt;"",BK102-'Data input'!K102,"")</f>
        <v/>
      </c>
      <c r="BV102" s="75" t="str">
        <f>IF(L102&lt;&gt;"",BL102-'Data input'!L102,"")</f>
        <v/>
      </c>
      <c r="BW102" s="121" t="str">
        <f t="shared" si="49"/>
        <v/>
      </c>
      <c r="FT102" s="1" t="str">
        <f t="shared" si="57"/>
        <v/>
      </c>
      <c r="FU102" s="1" t="str">
        <f t="shared" si="57"/>
        <v/>
      </c>
      <c r="FV102" s="1" t="str">
        <f t="shared" si="57"/>
        <v/>
      </c>
      <c r="FW102" s="1" t="str">
        <f t="shared" si="57"/>
        <v/>
      </c>
      <c r="FX102" s="1" t="str">
        <f t="shared" si="57"/>
        <v/>
      </c>
      <c r="FY102" s="1" t="str">
        <f t="shared" si="57"/>
        <v/>
      </c>
      <c r="FZ102" s="1" t="str">
        <f t="shared" si="57"/>
        <v/>
      </c>
      <c r="GA102" s="1" t="str">
        <f t="shared" si="57"/>
        <v/>
      </c>
      <c r="GB102" s="1" t="str">
        <f t="shared" si="57"/>
        <v/>
      </c>
      <c r="GC102" s="1" t="str">
        <f t="shared" si="57"/>
        <v/>
      </c>
      <c r="GD102" s="1" t="str">
        <f t="shared" si="57"/>
        <v/>
      </c>
      <c r="GE102" s="1" t="str">
        <f t="shared" si="57"/>
        <v/>
      </c>
      <c r="GF102" s="1" t="str">
        <f t="shared" si="64"/>
        <v/>
      </c>
      <c r="GG102" s="1" t="str">
        <f t="shared" si="64"/>
        <v/>
      </c>
      <c r="GH102" s="1" t="str">
        <f t="shared" si="64"/>
        <v/>
      </c>
      <c r="GI102" s="1" t="str">
        <f t="shared" si="64"/>
        <v/>
      </c>
      <c r="GJ102" s="1" t="str">
        <f t="shared" si="64"/>
        <v/>
      </c>
      <c r="GK102" s="1" t="str">
        <f t="shared" si="61"/>
        <v/>
      </c>
      <c r="GL102" s="1" t="str">
        <f t="shared" si="61"/>
        <v/>
      </c>
      <c r="GM102" s="1" t="str">
        <f t="shared" si="61"/>
        <v/>
      </c>
      <c r="GN102" s="1" t="str">
        <f t="shared" si="61"/>
        <v/>
      </c>
      <c r="GO102" s="1" t="str">
        <f t="shared" si="60"/>
        <v/>
      </c>
      <c r="GP102" s="1" t="str">
        <f t="shared" si="60"/>
        <v/>
      </c>
      <c r="GQ102" s="1" t="str">
        <f t="shared" si="60"/>
        <v/>
      </c>
      <c r="GR102" s="1" t="str">
        <f t="shared" si="60"/>
        <v/>
      </c>
      <c r="GS102" s="1" t="str">
        <f t="shared" si="60"/>
        <v/>
      </c>
      <c r="GT102" s="1" t="str">
        <f t="shared" si="60"/>
        <v/>
      </c>
      <c r="GU102" s="1" t="str">
        <f t="shared" si="60"/>
        <v/>
      </c>
      <c r="GV102" s="1" t="str">
        <f t="shared" si="60"/>
        <v/>
      </c>
      <c r="GW102" s="1" t="str">
        <f t="shared" si="60"/>
        <v/>
      </c>
      <c r="GX102" s="1" t="str">
        <f t="shared" si="60"/>
        <v/>
      </c>
      <c r="GY102" s="1" t="str">
        <f t="shared" si="60"/>
        <v/>
      </c>
      <c r="GZ102" s="1" t="str">
        <f t="shared" si="60"/>
        <v/>
      </c>
      <c r="HA102" s="1" t="str">
        <f t="shared" si="60"/>
        <v/>
      </c>
      <c r="HB102" s="1" t="str">
        <f t="shared" si="60"/>
        <v/>
      </c>
      <c r="HC102" s="1" t="str">
        <f t="shared" si="60"/>
        <v/>
      </c>
      <c r="HD102" s="1" t="str">
        <f t="shared" si="60"/>
        <v/>
      </c>
      <c r="HE102" s="1" t="str">
        <f t="shared" si="62"/>
        <v/>
      </c>
      <c r="HF102" s="1" t="str">
        <f t="shared" si="62"/>
        <v/>
      </c>
      <c r="HG102" s="1" t="str">
        <f t="shared" si="62"/>
        <v/>
      </c>
      <c r="HH102" s="1" t="str">
        <f t="shared" si="62"/>
        <v/>
      </c>
      <c r="HI102" s="1" t="str">
        <f t="shared" si="62"/>
        <v/>
      </c>
      <c r="HJ102" s="1" t="str">
        <f t="shared" si="58"/>
        <v/>
      </c>
      <c r="HK102" s="1" t="str">
        <f t="shared" si="58"/>
        <v/>
      </c>
      <c r="HL102" s="1" t="str">
        <f t="shared" si="58"/>
        <v/>
      </c>
      <c r="HM102" s="1" t="str">
        <f t="shared" si="58"/>
        <v/>
      </c>
      <c r="HN102" s="1" t="str">
        <f t="shared" si="58"/>
        <v/>
      </c>
      <c r="HO102" s="1" t="str">
        <f t="shared" si="52"/>
        <v/>
      </c>
      <c r="HP102" s="1" t="str">
        <f t="shared" si="52"/>
        <v/>
      </c>
      <c r="HQ102" s="1" t="str">
        <f t="shared" si="52"/>
        <v/>
      </c>
      <c r="HR102" s="1" t="str">
        <f t="shared" si="52"/>
        <v/>
      </c>
      <c r="HS102" s="1" t="str">
        <f t="shared" si="52"/>
        <v/>
      </c>
      <c r="HT102" s="1" t="str">
        <f t="shared" si="52"/>
        <v/>
      </c>
      <c r="HU102" s="1" t="str">
        <f t="shared" si="52"/>
        <v/>
      </c>
      <c r="HV102" s="1" t="str">
        <f t="shared" si="52"/>
        <v/>
      </c>
      <c r="HW102" s="1" t="str">
        <f t="shared" si="52"/>
        <v/>
      </c>
      <c r="HX102" s="1" t="str">
        <f t="shared" si="52"/>
        <v/>
      </c>
      <c r="HY102" s="1" t="str">
        <f t="shared" si="52"/>
        <v/>
      </c>
      <c r="HZ102" s="1" t="str">
        <f t="shared" si="52"/>
        <v/>
      </c>
      <c r="IA102" s="1" t="str">
        <f t="shared" si="52"/>
        <v/>
      </c>
      <c r="IB102" s="1" t="str">
        <f t="shared" si="52"/>
        <v/>
      </c>
      <c r="IC102" s="1" t="str">
        <f t="shared" si="52"/>
        <v/>
      </c>
      <c r="ID102" s="1" t="str">
        <f t="shared" si="52"/>
        <v/>
      </c>
      <c r="IE102" s="1" t="str">
        <f t="shared" si="59"/>
        <v/>
      </c>
      <c r="IF102" s="1" t="str">
        <f t="shared" si="56"/>
        <v/>
      </c>
      <c r="IG102" s="1" t="str">
        <f t="shared" si="56"/>
        <v/>
      </c>
      <c r="IH102" s="1" t="str">
        <f t="shared" si="56"/>
        <v/>
      </c>
      <c r="II102" s="1" t="str">
        <f t="shared" si="56"/>
        <v/>
      </c>
      <c r="IJ102" s="1" t="str">
        <f t="shared" si="56"/>
        <v/>
      </c>
      <c r="IK102" s="1" t="str">
        <f t="shared" si="56"/>
        <v/>
      </c>
      <c r="IL102" s="1" t="str">
        <f t="shared" si="56"/>
        <v/>
      </c>
      <c r="IM102" s="1" t="str">
        <f t="shared" si="56"/>
        <v/>
      </c>
      <c r="IN102" s="1" t="str">
        <f t="shared" si="56"/>
        <v/>
      </c>
      <c r="IO102" s="1" t="str">
        <f t="shared" si="56"/>
        <v/>
      </c>
      <c r="IP102" s="1" t="str">
        <f t="shared" si="56"/>
        <v/>
      </c>
      <c r="IQ102" s="1" t="str">
        <f t="shared" si="56"/>
        <v/>
      </c>
      <c r="IR102" s="1" t="str">
        <f t="shared" si="63"/>
        <v/>
      </c>
      <c r="IS102" s="1" t="str">
        <f t="shared" si="63"/>
        <v/>
      </c>
      <c r="IT102" s="1" t="str">
        <f t="shared" si="63"/>
        <v/>
      </c>
      <c r="IU102" s="1" t="str">
        <f t="shared" si="63"/>
        <v/>
      </c>
      <c r="IV102" s="1" t="str">
        <f t="shared" si="63"/>
        <v/>
      </c>
      <c r="IW102" s="1" t="str">
        <f t="shared" si="63"/>
        <v/>
      </c>
      <c r="IX102" s="1" t="str">
        <f t="shared" si="54"/>
        <v/>
      </c>
      <c r="IY102" s="1" t="str">
        <f t="shared" si="54"/>
        <v/>
      </c>
      <c r="IZ102" s="1" t="str">
        <f t="shared" si="54"/>
        <v/>
      </c>
      <c r="JA102" s="1" t="str">
        <f t="shared" si="54"/>
        <v/>
      </c>
      <c r="JB102" s="1" t="str">
        <f t="shared" si="54"/>
        <v/>
      </c>
      <c r="JC102" s="1" t="str">
        <f t="shared" si="43"/>
        <v/>
      </c>
      <c r="JD102" s="1" t="str">
        <f t="shared" si="43"/>
        <v/>
      </c>
      <c r="JE102" s="1" t="str">
        <f t="shared" si="43"/>
        <v/>
      </c>
      <c r="JF102" s="1" t="str">
        <f t="shared" si="43"/>
        <v/>
      </c>
      <c r="JG102" s="1" t="str">
        <f t="shared" si="37"/>
        <v/>
      </c>
      <c r="JH102" s="1" t="str">
        <f t="shared" si="37"/>
        <v/>
      </c>
      <c r="JI102" s="1" t="str">
        <f t="shared" si="37"/>
        <v/>
      </c>
      <c r="JJ102" s="1" t="str">
        <f t="shared" si="37"/>
        <v/>
      </c>
      <c r="JK102" s="1" t="str">
        <f t="shared" si="37"/>
        <v/>
      </c>
      <c r="JL102" s="1" t="str">
        <f t="shared" si="37"/>
        <v/>
      </c>
      <c r="JM102" s="1" t="str">
        <f t="shared" si="37"/>
        <v/>
      </c>
      <c r="JN102" s="1" t="str">
        <f t="shared" si="37"/>
        <v/>
      </c>
      <c r="JO102" s="1" t="str">
        <f t="shared" si="37"/>
        <v/>
      </c>
    </row>
    <row r="103" spans="1:275" x14ac:dyDescent="0.35">
      <c r="A103" s="81"/>
      <c r="B103" s="4"/>
      <c r="C103" s="4"/>
      <c r="D103" s="4"/>
      <c r="E103" s="4"/>
      <c r="F103" s="4"/>
      <c r="G103" s="4"/>
      <c r="H103" s="4"/>
      <c r="I103" s="82"/>
      <c r="J103" s="82"/>
      <c r="K103" s="82"/>
      <c r="L103" s="82"/>
      <c r="M103" s="42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83"/>
      <c r="AG103" s="8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85"/>
      <c r="BW103" s="4"/>
    </row>
    <row r="104" spans="1:275" ht="13.5" thickBot="1" x14ac:dyDescent="0.4">
      <c r="A104" s="81"/>
      <c r="B104" s="4"/>
      <c r="C104" s="4"/>
      <c r="D104" s="4"/>
      <c r="E104" s="4"/>
      <c r="F104" s="4"/>
      <c r="G104" s="4"/>
      <c r="H104" s="4"/>
      <c r="I104" s="82"/>
      <c r="J104" s="82"/>
      <c r="K104" s="82"/>
      <c r="L104" s="82"/>
      <c r="M104" s="42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83"/>
      <c r="AG104" s="8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85"/>
      <c r="BW104" s="4"/>
    </row>
    <row r="105" spans="1:275" s="5" customFormat="1" ht="52.5" customHeight="1" x14ac:dyDescent="5.0999999999999996">
      <c r="A105" s="163"/>
      <c r="B105" s="164"/>
      <c r="C105" s="97">
        <f t="shared" ref="C105:AA105" si="65">IF(C2&lt;&gt;"",SUMPRODUCT(C$3:C$102,$AC$3:$AC$102),"")</f>
        <v>0</v>
      </c>
      <c r="D105" s="97" t="str">
        <f t="shared" si="65"/>
        <v/>
      </c>
      <c r="E105" s="97" t="str">
        <f t="shared" si="65"/>
        <v/>
      </c>
      <c r="F105" s="97" t="str">
        <f t="shared" si="65"/>
        <v/>
      </c>
      <c r="G105" s="97" t="str">
        <f t="shared" si="65"/>
        <v/>
      </c>
      <c r="H105" s="97">
        <f t="shared" si="65"/>
        <v>0</v>
      </c>
      <c r="I105" s="97">
        <f t="shared" si="65"/>
        <v>0</v>
      </c>
      <c r="J105" s="97" t="str">
        <f t="shared" si="65"/>
        <v/>
      </c>
      <c r="K105" s="97" t="str">
        <f t="shared" si="65"/>
        <v/>
      </c>
      <c r="L105" s="97" t="str">
        <f t="shared" si="65"/>
        <v/>
      </c>
      <c r="M105" s="97">
        <f t="shared" si="65"/>
        <v>0</v>
      </c>
      <c r="N105" s="97" t="str">
        <f t="shared" si="65"/>
        <v/>
      </c>
      <c r="O105" s="97" t="str">
        <f t="shared" si="65"/>
        <v/>
      </c>
      <c r="P105" s="97" t="str">
        <f t="shared" si="65"/>
        <v/>
      </c>
      <c r="Q105" s="97" t="str">
        <f t="shared" si="65"/>
        <v/>
      </c>
      <c r="R105" s="97" t="str">
        <f t="shared" si="65"/>
        <v/>
      </c>
      <c r="S105" s="97" t="str">
        <f t="shared" si="65"/>
        <v/>
      </c>
      <c r="T105" s="97" t="str">
        <f t="shared" si="65"/>
        <v/>
      </c>
      <c r="U105" s="97" t="str">
        <f t="shared" si="65"/>
        <v/>
      </c>
      <c r="V105" s="97" t="str">
        <f t="shared" si="65"/>
        <v/>
      </c>
      <c r="W105" s="97" t="str">
        <f t="shared" si="65"/>
        <v/>
      </c>
      <c r="X105" s="97" t="str">
        <f t="shared" si="65"/>
        <v/>
      </c>
      <c r="Y105" s="97" t="str">
        <f t="shared" si="65"/>
        <v/>
      </c>
      <c r="Z105" s="97" t="str">
        <f t="shared" si="65"/>
        <v/>
      </c>
      <c r="AA105" s="98" t="str">
        <f t="shared" si="65"/>
        <v/>
      </c>
      <c r="AB105" s="86"/>
      <c r="AC105" s="6">
        <f>SUM(AC3:AC102)</f>
        <v>0</v>
      </c>
      <c r="AD105" s="83">
        <v>1</v>
      </c>
      <c r="AE105" s="83"/>
      <c r="AF105" s="83"/>
      <c r="AG105" s="84"/>
      <c r="AH105" s="83"/>
      <c r="AI105" s="83"/>
      <c r="AJ105" s="83"/>
      <c r="AK105" s="83"/>
      <c r="AL105" s="83"/>
      <c r="AM105" s="83"/>
      <c r="AN105" s="83"/>
      <c r="AO105" s="83"/>
      <c r="AP105" s="83"/>
      <c r="AQ105" s="83"/>
      <c r="AR105" s="83"/>
      <c r="AS105" s="83"/>
      <c r="AT105" s="83"/>
      <c r="AU105" s="83"/>
      <c r="AV105" s="83"/>
      <c r="AW105" s="83"/>
      <c r="AX105" s="83"/>
      <c r="AY105" s="83"/>
      <c r="AZ105" s="83"/>
      <c r="BA105" s="83"/>
      <c r="BB105" s="83"/>
      <c r="BC105" s="83"/>
      <c r="BD105" s="83"/>
      <c r="BE105" s="83"/>
      <c r="BF105" s="83"/>
      <c r="BG105" s="83"/>
      <c r="BH105" s="83"/>
      <c r="BI105" s="83"/>
      <c r="BJ105" s="83"/>
      <c r="BK105" s="83"/>
      <c r="BL105" s="83"/>
      <c r="BM105" s="83"/>
      <c r="BN105" s="83"/>
      <c r="BO105" s="83"/>
      <c r="BP105" s="83"/>
      <c r="BQ105" s="83"/>
      <c r="BR105" s="83"/>
      <c r="BS105" s="83"/>
      <c r="BT105" s="83"/>
      <c r="BU105" s="83"/>
      <c r="BV105" s="87"/>
      <c r="BW105" s="83"/>
    </row>
    <row r="106" spans="1:275" s="5" customFormat="1" ht="52.5" customHeight="1" x14ac:dyDescent="5.0999999999999996">
      <c r="A106" s="158"/>
      <c r="B106" s="159"/>
      <c r="C106" s="53">
        <f t="shared" ref="C106:AA106" si="66">IF(C2&lt;&gt;"",INDEX(C$3:C$102,$AE$1),"")</f>
        <v>3.1225648601169125</v>
      </c>
      <c r="D106" s="53" t="str">
        <f t="shared" si="66"/>
        <v/>
      </c>
      <c r="E106" s="53" t="str">
        <f t="shared" si="66"/>
        <v/>
      </c>
      <c r="F106" s="53" t="str">
        <f t="shared" si="66"/>
        <v/>
      </c>
      <c r="G106" s="53" t="str">
        <f t="shared" si="66"/>
        <v/>
      </c>
      <c r="H106" s="53">
        <f t="shared" si="66"/>
        <v>3.3063678655658033</v>
      </c>
      <c r="I106" s="53">
        <f t="shared" si="66"/>
        <v>2.2605265098444067</v>
      </c>
      <c r="J106" s="53" t="str">
        <f t="shared" si="66"/>
        <v/>
      </c>
      <c r="K106" s="53" t="str">
        <f t="shared" si="66"/>
        <v/>
      </c>
      <c r="L106" s="53" t="str">
        <f t="shared" si="66"/>
        <v/>
      </c>
      <c r="M106" s="53">
        <f t="shared" si="66"/>
        <v>1.3506957548042415</v>
      </c>
      <c r="N106" s="53" t="str">
        <f t="shared" si="66"/>
        <v/>
      </c>
      <c r="O106" s="53" t="str">
        <f t="shared" si="66"/>
        <v/>
      </c>
      <c r="P106" s="53" t="str">
        <f t="shared" si="66"/>
        <v/>
      </c>
      <c r="Q106" s="88" t="str">
        <f t="shared" si="66"/>
        <v/>
      </c>
      <c r="R106" s="53" t="str">
        <f t="shared" si="66"/>
        <v/>
      </c>
      <c r="S106" s="88" t="str">
        <f t="shared" si="66"/>
        <v/>
      </c>
      <c r="T106" s="88" t="str">
        <f t="shared" si="66"/>
        <v/>
      </c>
      <c r="U106" s="53" t="str">
        <f t="shared" si="66"/>
        <v/>
      </c>
      <c r="V106" s="88" t="str">
        <f t="shared" si="66"/>
        <v/>
      </c>
      <c r="W106" s="88" t="str">
        <f t="shared" si="66"/>
        <v/>
      </c>
      <c r="X106" s="88" t="str">
        <f t="shared" si="66"/>
        <v/>
      </c>
      <c r="Y106" s="88" t="str">
        <f t="shared" si="66"/>
        <v/>
      </c>
      <c r="Z106" s="88" t="str">
        <f t="shared" si="66"/>
        <v/>
      </c>
      <c r="AA106" s="99" t="str">
        <f t="shared" si="66"/>
        <v/>
      </c>
      <c r="AB106" s="86"/>
      <c r="AC106" s="4"/>
      <c r="AD106" s="83"/>
      <c r="AE106" s="83"/>
      <c r="AF106" s="83"/>
      <c r="AG106" s="83"/>
      <c r="AH106" s="83"/>
      <c r="AI106" s="83"/>
      <c r="AJ106" s="83"/>
      <c r="AK106" s="83"/>
      <c r="AL106" s="83"/>
      <c r="AM106" s="83"/>
      <c r="AN106" s="83"/>
      <c r="AO106" s="83"/>
      <c r="AP106" s="83"/>
      <c r="AQ106" s="83"/>
      <c r="AR106" s="83"/>
      <c r="AS106" s="83"/>
      <c r="AT106" s="83"/>
      <c r="AU106" s="83"/>
      <c r="AV106" s="83"/>
      <c r="AW106" s="83"/>
      <c r="AX106" s="83"/>
      <c r="AY106" s="83"/>
      <c r="AZ106" s="83"/>
      <c r="BA106" s="83"/>
      <c r="BB106" s="83"/>
      <c r="BC106" s="83"/>
      <c r="BD106" s="83"/>
      <c r="BE106" s="83"/>
      <c r="BF106" s="83"/>
      <c r="BG106" s="83"/>
      <c r="BH106" s="83"/>
      <c r="BI106" s="83"/>
      <c r="BJ106" s="83"/>
      <c r="BK106" s="83"/>
      <c r="BL106" s="83"/>
      <c r="BM106" s="83"/>
      <c r="BN106" s="83"/>
      <c r="BO106" s="83"/>
      <c r="BP106" s="83"/>
      <c r="BQ106" s="83"/>
      <c r="BR106" s="83"/>
      <c r="BS106" s="83"/>
      <c r="BT106" s="83"/>
      <c r="BU106" s="83"/>
      <c r="BV106" s="87"/>
      <c r="BW106" s="83"/>
    </row>
    <row r="107" spans="1:275" ht="52.5" customHeight="1" x14ac:dyDescent="0.35">
      <c r="A107" s="165"/>
      <c r="B107" s="166"/>
      <c r="C107" s="53">
        <f t="shared" ref="C107:AA107" si="67">IF(C2&lt;&gt;"",$AC$107*C106,"")</f>
        <v>0</v>
      </c>
      <c r="D107" s="53" t="str">
        <f t="shared" si="67"/>
        <v/>
      </c>
      <c r="E107" s="53" t="str">
        <f t="shared" si="67"/>
        <v/>
      </c>
      <c r="F107" s="53" t="str">
        <f t="shared" si="67"/>
        <v/>
      </c>
      <c r="G107" s="53" t="str">
        <f t="shared" si="67"/>
        <v/>
      </c>
      <c r="H107" s="53">
        <f t="shared" si="67"/>
        <v>0</v>
      </c>
      <c r="I107" s="53">
        <f t="shared" si="67"/>
        <v>0</v>
      </c>
      <c r="J107" s="53" t="str">
        <f t="shared" si="67"/>
        <v/>
      </c>
      <c r="K107" s="53" t="str">
        <f t="shared" si="67"/>
        <v/>
      </c>
      <c r="L107" s="53" t="str">
        <f t="shared" si="67"/>
        <v/>
      </c>
      <c r="M107" s="53">
        <f t="shared" si="67"/>
        <v>0</v>
      </c>
      <c r="N107" s="53" t="str">
        <f t="shared" si="67"/>
        <v/>
      </c>
      <c r="O107" s="53" t="str">
        <f t="shared" si="67"/>
        <v/>
      </c>
      <c r="P107" s="53" t="str">
        <f t="shared" si="67"/>
        <v/>
      </c>
      <c r="Q107" s="53" t="str">
        <f t="shared" si="67"/>
        <v/>
      </c>
      <c r="R107" s="53" t="str">
        <f t="shared" si="67"/>
        <v/>
      </c>
      <c r="S107" s="53" t="str">
        <f t="shared" si="67"/>
        <v/>
      </c>
      <c r="T107" s="53" t="str">
        <f t="shared" si="67"/>
        <v/>
      </c>
      <c r="U107" s="53" t="str">
        <f t="shared" si="67"/>
        <v/>
      </c>
      <c r="V107" s="53" t="str">
        <f t="shared" si="67"/>
        <v/>
      </c>
      <c r="W107" s="53" t="str">
        <f t="shared" si="67"/>
        <v/>
      </c>
      <c r="X107" s="53" t="str">
        <f t="shared" si="67"/>
        <v/>
      </c>
      <c r="Y107" s="53" t="str">
        <f t="shared" si="67"/>
        <v/>
      </c>
      <c r="Z107" s="53" t="str">
        <f t="shared" si="67"/>
        <v/>
      </c>
      <c r="AA107" s="100" t="str">
        <f t="shared" si="67"/>
        <v/>
      </c>
      <c r="AB107" s="89" t="s">
        <v>55</v>
      </c>
      <c r="AC107" s="90">
        <v>0</v>
      </c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85"/>
      <c r="BW107" s="4"/>
    </row>
    <row r="108" spans="1:275" ht="52.5" customHeight="1" thickBot="1" x14ac:dyDescent="0.4">
      <c r="A108" s="165"/>
      <c r="B108" s="166"/>
      <c r="C108" s="91">
        <v>0</v>
      </c>
      <c r="D108" s="91">
        <v>0</v>
      </c>
      <c r="E108" s="91">
        <v>0</v>
      </c>
      <c r="F108" s="91">
        <v>0</v>
      </c>
      <c r="G108" s="91">
        <v>0</v>
      </c>
      <c r="H108" s="91">
        <v>0</v>
      </c>
      <c r="I108" s="91">
        <v>0</v>
      </c>
      <c r="J108" s="91">
        <v>0</v>
      </c>
      <c r="K108" s="91">
        <v>0</v>
      </c>
      <c r="L108" s="91">
        <v>0</v>
      </c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85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85"/>
      <c r="BW108" s="4"/>
    </row>
    <row r="109" spans="1:275" ht="52.5" customHeight="1" thickBot="1" x14ac:dyDescent="0.4">
      <c r="A109" s="165"/>
      <c r="B109" s="166"/>
      <c r="C109" s="46" t="e">
        <f t="shared" ref="C109:L109" si="68">IF(C2&lt;&gt;"",C108/$AC$107,"")</f>
        <v>#DIV/0!</v>
      </c>
      <c r="D109" s="47" t="str">
        <f t="shared" si="68"/>
        <v/>
      </c>
      <c r="E109" s="47" t="str">
        <f t="shared" si="68"/>
        <v/>
      </c>
      <c r="F109" s="47" t="str">
        <f t="shared" si="68"/>
        <v/>
      </c>
      <c r="G109" s="47" t="str">
        <f t="shared" si="68"/>
        <v/>
      </c>
      <c r="H109" s="47" t="e">
        <f t="shared" si="68"/>
        <v>#DIV/0!</v>
      </c>
      <c r="I109" s="47" t="e">
        <f t="shared" si="68"/>
        <v>#DIV/0!</v>
      </c>
      <c r="J109" s="47" t="str">
        <f t="shared" si="68"/>
        <v/>
      </c>
      <c r="K109" s="47" t="str">
        <f t="shared" si="68"/>
        <v/>
      </c>
      <c r="L109" s="48" t="str">
        <f t="shared" si="68"/>
        <v/>
      </c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85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85"/>
      <c r="BW109" s="4"/>
    </row>
    <row r="110" spans="1:275" ht="52.5" customHeight="1" thickBot="1" x14ac:dyDescent="0.4">
      <c r="A110" s="165"/>
      <c r="B110" s="166"/>
      <c r="C110" s="88">
        <f>IF(C2&lt;&gt;"",C105-C108,"")</f>
        <v>0</v>
      </c>
      <c r="D110" s="88" t="str">
        <f>IF(D2&lt;&gt;"",D105-D108,"")</f>
        <v/>
      </c>
      <c r="E110" s="88" t="str">
        <f>IF(E2&lt;&gt;"",E105-E108,"")</f>
        <v/>
      </c>
      <c r="F110" s="88" t="str">
        <f>IF(F2&lt;&gt;"",F105-F108,"")</f>
        <v/>
      </c>
      <c r="G110" s="88" t="str">
        <f>IF(G2&lt;&gt;"",G105-G108,"")</f>
        <v/>
      </c>
      <c r="H110" s="88">
        <f>IF(H2&lt;&gt;"",H105+H108,"")</f>
        <v>0</v>
      </c>
      <c r="I110" s="88">
        <f>IF(I2&lt;&gt;"",I105+I108,"")</f>
        <v>0</v>
      </c>
      <c r="J110" s="88" t="str">
        <f>IF(J2&lt;&gt;"",J105+J108,"")</f>
        <v/>
      </c>
      <c r="K110" s="88" t="str">
        <f>IF(K2&lt;&gt;"",K105+K108,"")</f>
        <v/>
      </c>
      <c r="L110" s="88" t="str">
        <f>IF(L2&lt;&gt;"",L105+L108,"")</f>
        <v/>
      </c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85"/>
      <c r="AB110" s="92"/>
      <c r="AC110" s="11">
        <f>H112</f>
        <v>0</v>
      </c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85"/>
      <c r="BW110" s="4"/>
    </row>
    <row r="111" spans="1:275" ht="52.5" customHeight="1" x14ac:dyDescent="0.35">
      <c r="A111" s="165"/>
      <c r="B111" s="166"/>
      <c r="C111" s="88">
        <f>IF(C2&lt;&gt;"",IF('Set-ups'!C5&lt;&gt;"",'Set-ups'!C5*C108/C106,""),"")</f>
        <v>0</v>
      </c>
      <c r="D111" s="88" t="str">
        <f>IF(D2&lt;&gt;"",IF('Set-ups'!D5&lt;&gt;"",'Set-ups'!D5*D108/D106,""),"")</f>
        <v/>
      </c>
      <c r="E111" s="88" t="str">
        <f>IF(E2&lt;&gt;"",IF('Set-ups'!E5&lt;&gt;"",'Set-ups'!E5*E108/E106,""),"")</f>
        <v/>
      </c>
      <c r="F111" s="88" t="str">
        <f>IF(F2&lt;&gt;"",IF('Set-ups'!F5&lt;&gt;"",'Set-ups'!F5*F108/F106,""),"")</f>
        <v/>
      </c>
      <c r="G111" s="88" t="str">
        <f>IF(G2&lt;&gt;"",IF('Set-ups'!G5&lt;&gt;"",'Set-ups'!G5*G108/G106,""),"")</f>
        <v/>
      </c>
      <c r="H111" s="88">
        <f>IF(H2&lt;&gt;"",IF('Set-ups'!C9&lt;&gt;"",'Set-ups'!C9*H108/H106,""),"")</f>
        <v>0</v>
      </c>
      <c r="I111" s="88">
        <f>IF(I2&lt;&gt;"",IF('Set-ups'!D9&lt;&gt;"",'Set-ups'!D9*I108/I106,""),"")</f>
        <v>0</v>
      </c>
      <c r="J111" s="88" t="str">
        <f>IF(J2&lt;&gt;"",IF('Set-ups'!E9&lt;&gt;"",'Set-ups'!E9*J108/J106,""),"")</f>
        <v/>
      </c>
      <c r="K111" s="88" t="str">
        <f>IF(K2&lt;&gt;"",IF('Set-ups'!F9&lt;&gt;"",'Set-ups'!F9*K108/K106,""),"")</f>
        <v/>
      </c>
      <c r="L111" s="88" t="str">
        <f>IF(L2&lt;&gt;"",IF('Set-ups'!G9&lt;&gt;"",'Set-ups'!G9*L108/L106,""),"")</f>
        <v/>
      </c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85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85"/>
      <c r="BW111" s="4"/>
    </row>
    <row r="112" spans="1:275" ht="52.5" customHeight="1" thickBot="1" x14ac:dyDescent="0.4">
      <c r="A112" s="165"/>
      <c r="B112" s="166"/>
      <c r="C112" s="169">
        <f>$AC$107+IF(D111&lt;&gt;"",SUM(C111:D111),IF(E111&lt;&gt;"",SUM(C111:E111),IF(F111&lt;&gt;"",SUM(C111:F111),IF(G111&lt;&gt;"",SUM(C111:G111),C111))))</f>
        <v>0</v>
      </c>
      <c r="D112" s="169"/>
      <c r="E112" s="169"/>
      <c r="F112" s="169"/>
      <c r="G112" s="169"/>
      <c r="H112" s="169">
        <f>$AC$107-IF(I111&lt;&gt;"",SUM(H111:I111),IF(J111&lt;&gt;"",SUM(H111:J111),IF(K111&lt;&gt;"",SUM(H111:K111),IF(L111&lt;&gt;"",SUM(H111:L111),H111))))</f>
        <v>0</v>
      </c>
      <c r="I112" s="169"/>
      <c r="J112" s="169"/>
      <c r="K112" s="169"/>
      <c r="L112" s="169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85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85"/>
      <c r="BW112" s="4"/>
    </row>
    <row r="113" spans="1:75" ht="52.5" customHeight="1" thickBot="1" x14ac:dyDescent="0.4">
      <c r="A113" s="165"/>
      <c r="B113" s="166"/>
      <c r="C113" s="49" t="e">
        <f>IF(C2&lt;&gt;"",C105/$AC$107,"")</f>
        <v>#DIV/0!</v>
      </c>
      <c r="D113" s="50" t="str">
        <f t="shared" ref="D113:L113" si="69">IF(D2&lt;&gt;"",D105/$AC$107,"")</f>
        <v/>
      </c>
      <c r="E113" s="51" t="str">
        <f t="shared" si="69"/>
        <v/>
      </c>
      <c r="F113" s="52" t="str">
        <f t="shared" si="69"/>
        <v/>
      </c>
      <c r="G113" s="51" t="str">
        <f t="shared" si="69"/>
        <v/>
      </c>
      <c r="H113" s="51" t="e">
        <f t="shared" si="69"/>
        <v>#DIV/0!</v>
      </c>
      <c r="I113" s="51" t="e">
        <f t="shared" si="69"/>
        <v>#DIV/0!</v>
      </c>
      <c r="J113" s="51" t="str">
        <f t="shared" si="69"/>
        <v/>
      </c>
      <c r="K113" s="51" t="str">
        <f t="shared" si="69"/>
        <v/>
      </c>
      <c r="L113" s="54" t="str">
        <f t="shared" si="69"/>
        <v/>
      </c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85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85"/>
      <c r="BW113" s="4"/>
    </row>
    <row r="114" spans="1:75" ht="52.5" customHeight="1" x14ac:dyDescent="0.35">
      <c r="A114" s="165" t="s">
        <v>1</v>
      </c>
      <c r="B114" s="166"/>
      <c r="C114" s="53">
        <f>IF(C2&lt;&gt;"",(5-C106)*$AC$107,"")</f>
        <v>0</v>
      </c>
      <c r="D114" s="53" t="str">
        <f>IF(D2&lt;&gt;"",(5-D106)*$AC$107,"")</f>
        <v/>
      </c>
      <c r="E114" s="53" t="str">
        <f>IF(E2&lt;&gt;"",(5-E106)*$AC$107,"")</f>
        <v/>
      </c>
      <c r="F114" s="53" t="str">
        <f>IF(F2&lt;&gt;"",(5-F106)*$AC$107,"")</f>
        <v/>
      </c>
      <c r="G114" s="88" t="str">
        <f>IF(G2&lt;&gt;"",(5-G106)*$AC$107,"")</f>
        <v/>
      </c>
      <c r="H114" s="88">
        <f>IF(H2&lt;&gt;"",(H106-1)*$AC$107,"")</f>
        <v>0</v>
      </c>
      <c r="I114" s="88">
        <f>IF(I2&lt;&gt;"",(I106-1)*$AC$107,"")</f>
        <v>0</v>
      </c>
      <c r="J114" s="88" t="str">
        <f>IF(J2&lt;&gt;"",(J106-1)*$AC$107,"")</f>
        <v/>
      </c>
      <c r="K114" s="88" t="str">
        <f>IF(K2&lt;&gt;"",(K106-1)*$AC$107,"")</f>
        <v/>
      </c>
      <c r="L114" s="88" t="str">
        <f>IF(L2&lt;&gt;"",(L106-1)*$AC$107,"")</f>
        <v/>
      </c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85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85"/>
      <c r="BW114" s="4"/>
    </row>
    <row r="115" spans="1:75" ht="52.5" customHeight="1" thickBot="1" x14ac:dyDescent="0.4">
      <c r="A115" s="93" t="s">
        <v>68</v>
      </c>
      <c r="B115" s="94">
        <f>COUNTIF('Data input'!$B$3:$B$102,"&lt;&gt;")</f>
        <v>50</v>
      </c>
      <c r="C115" s="170">
        <f>IF(G2&lt;&gt;"",5,IF(F2&lt;&gt;"",4,IF(E2&lt;&gt;"",3,IF(D2&lt;&gt;"",2,1))))</f>
        <v>1</v>
      </c>
      <c r="D115" s="170"/>
      <c r="E115" s="170"/>
      <c r="F115" s="170"/>
      <c r="G115" s="170"/>
      <c r="H115" s="170">
        <f>IF(L2&lt;&gt;"",5,IF(K2&lt;&gt;"",4,IF(J2&lt;&gt;"",3,IF(I2&lt;&gt;"",2,1))))</f>
        <v>2</v>
      </c>
      <c r="I115" s="170"/>
      <c r="J115" s="170"/>
      <c r="K115" s="170"/>
      <c r="L115" s="170"/>
      <c r="M115" s="167">
        <f>IF(AA2&lt;&gt;"",15,IF(Z2&lt;&gt;"",14,IF(Y2&lt;&gt;"",13,IF(X2&lt;&gt;"",12,IF(W2&lt;&gt;"",11,IF(V2&lt;&gt;"",10,IF(U2&lt;&gt;"",9,IF(T2&lt;&gt;"",8,IF(S2&lt;&gt;"",7,IF(R2&lt;&gt;"",6,IF(Q2&lt;&gt;"",5,IF(P2&lt;&gt;"",4,IF(O2&lt;&gt;"",3,IF(N2&lt;&gt;"",2,1))))))))))))))</f>
        <v>1</v>
      </c>
      <c r="N115" s="167"/>
      <c r="O115" s="167"/>
      <c r="P115" s="167"/>
      <c r="Q115" s="167"/>
      <c r="R115" s="167"/>
      <c r="S115" s="167"/>
      <c r="T115" s="167"/>
      <c r="U115" s="167"/>
      <c r="V115" s="167"/>
      <c r="W115" s="167"/>
      <c r="X115" s="167"/>
      <c r="Y115" s="167"/>
      <c r="Z115" s="167"/>
      <c r="AA115" s="168"/>
      <c r="AB115" s="95"/>
      <c r="AC115" s="95"/>
      <c r="AD115" s="95"/>
      <c r="AE115" s="95"/>
      <c r="AF115" s="95"/>
      <c r="AG115" s="95"/>
      <c r="AH115" s="95"/>
      <c r="AI115" s="95"/>
      <c r="AJ115" s="95"/>
      <c r="AK115" s="95"/>
      <c r="AL115" s="95"/>
      <c r="AM115" s="95"/>
      <c r="AN115" s="95"/>
      <c r="AO115" s="95"/>
      <c r="AP115" s="95"/>
      <c r="AQ115" s="95"/>
      <c r="AR115" s="95"/>
      <c r="AS115" s="95"/>
      <c r="AT115" s="95"/>
      <c r="AU115" s="95"/>
      <c r="AV115" s="95"/>
      <c r="AW115" s="95"/>
      <c r="AX115" s="95"/>
      <c r="AY115" s="95"/>
      <c r="AZ115" s="95"/>
      <c r="BA115" s="95"/>
      <c r="BB115" s="95"/>
      <c r="BC115" s="95"/>
      <c r="BD115" s="95"/>
      <c r="BE115" s="95"/>
      <c r="BF115" s="95"/>
      <c r="BG115" s="95"/>
      <c r="BH115" s="95"/>
      <c r="BI115" s="95"/>
      <c r="BJ115" s="95"/>
      <c r="BK115" s="95"/>
      <c r="BL115" s="95"/>
      <c r="BM115" s="95"/>
      <c r="BN115" s="95"/>
      <c r="BO115" s="95"/>
      <c r="BP115" s="95"/>
      <c r="BQ115" s="95"/>
      <c r="BR115" s="95"/>
      <c r="BS115" s="95"/>
      <c r="BT115" s="95"/>
      <c r="BU115" s="95"/>
      <c r="BV115" s="96"/>
      <c r="BW115" s="4"/>
    </row>
  </sheetData>
  <autoFilter ref="C2:AA2" xr:uid="{253C3633-3142-4D6F-8B12-CF3C976B0B56}"/>
  <mergeCells count="67">
    <mergeCell ref="M115:AA115"/>
    <mergeCell ref="C112:G112"/>
    <mergeCell ref="H112:L112"/>
    <mergeCell ref="A113:B113"/>
    <mergeCell ref="A114:B114"/>
    <mergeCell ref="C115:G115"/>
    <mergeCell ref="H115:L115"/>
    <mergeCell ref="A112:B112"/>
    <mergeCell ref="A107:B107"/>
    <mergeCell ref="A108:B108"/>
    <mergeCell ref="A109:B109"/>
    <mergeCell ref="A110:B110"/>
    <mergeCell ref="A111:B111"/>
    <mergeCell ref="BT1:BT2"/>
    <mergeCell ref="BU1:BU2"/>
    <mergeCell ref="BV1:BV2"/>
    <mergeCell ref="BW1:FS1"/>
    <mergeCell ref="A105:B105"/>
    <mergeCell ref="BR1:BR2"/>
    <mergeCell ref="BS1:BS2"/>
    <mergeCell ref="BG1:BG2"/>
    <mergeCell ref="AV1:AV2"/>
    <mergeCell ref="AW1:AW2"/>
    <mergeCell ref="AX1:AX2"/>
    <mergeCell ref="AY1:AY2"/>
    <mergeCell ref="AZ1:AZ2"/>
    <mergeCell ref="BA1:BA2"/>
    <mergeCell ref="AP1:AP2"/>
    <mergeCell ref="AQ1:AQ2"/>
    <mergeCell ref="A106:B106"/>
    <mergeCell ref="BN1:BN2"/>
    <mergeCell ref="BO1:BO2"/>
    <mergeCell ref="BP1:BP2"/>
    <mergeCell ref="BQ1:BQ2"/>
    <mergeCell ref="BH1:BH2"/>
    <mergeCell ref="BI1:BI2"/>
    <mergeCell ref="BJ1:BJ2"/>
    <mergeCell ref="BK1:BK2"/>
    <mergeCell ref="BL1:BL2"/>
    <mergeCell ref="BM1:BM2"/>
    <mergeCell ref="BB1:BB2"/>
    <mergeCell ref="BC1:BC2"/>
    <mergeCell ref="BD1:BD2"/>
    <mergeCell ref="BE1:BE2"/>
    <mergeCell ref="BF1:BF2"/>
    <mergeCell ref="AR1:AR2"/>
    <mergeCell ref="AS1:AS2"/>
    <mergeCell ref="AT1:AT2"/>
    <mergeCell ref="AU1:AU2"/>
    <mergeCell ref="AJ1:AJ2"/>
    <mergeCell ref="AK1:AK2"/>
    <mergeCell ref="AL1:AL2"/>
    <mergeCell ref="AM1:AM2"/>
    <mergeCell ref="AN1:AN2"/>
    <mergeCell ref="AO1:AO2"/>
    <mergeCell ref="AI1:AI2"/>
    <mergeCell ref="A1:A2"/>
    <mergeCell ref="B1:B2"/>
    <mergeCell ref="C1:G1"/>
    <mergeCell ref="H1:L1"/>
    <mergeCell ref="M1:AA1"/>
    <mergeCell ref="AC1:AC2"/>
    <mergeCell ref="AD1:AD2"/>
    <mergeCell ref="AE1:AE2"/>
    <mergeCell ref="AF1:AF2"/>
    <mergeCell ref="AG1:AG2"/>
    <mergeCell ref="AH1:AH2"/>
  </mergeCells>
  <conditionalFormatting sqref="A3:A102 AF3:AF102">
    <cfRule type="expression" dxfId="94" priority="4">
      <formula>A3&lt;&gt;""</formula>
    </cfRule>
  </conditionalFormatting>
  <conditionalFormatting sqref="B3:B102 AG3:AG102">
    <cfRule type="expression" dxfId="93" priority="5">
      <formula>B3&lt;&gt;""</formula>
    </cfRule>
  </conditionalFormatting>
  <conditionalFormatting sqref="C3:C102 AS3:AS102 BC3:BC102 BM3:BM102">
    <cfRule type="expression" dxfId="92" priority="6">
      <formula>C3&lt;&gt;""</formula>
    </cfRule>
  </conditionalFormatting>
  <conditionalFormatting sqref="D3:D102 AT3:AT102 BD3:BD102 BN3:BN102">
    <cfRule type="expression" dxfId="91" priority="7">
      <formula>D3&lt;&gt;""</formula>
    </cfRule>
  </conditionalFormatting>
  <conditionalFormatting sqref="E3:E102">
    <cfRule type="expression" dxfId="90" priority="8">
      <formula>E3&lt;&gt;""</formula>
    </cfRule>
  </conditionalFormatting>
  <conditionalFormatting sqref="F3:F102 AV3:AV102 BF3:BF102 BP3:BP102">
    <cfRule type="expression" dxfId="89" priority="9">
      <formula>F3&lt;&gt;""</formula>
    </cfRule>
  </conditionalFormatting>
  <conditionalFormatting sqref="G3:G102 AW3:AW102 BG3:BG102 BQ3:BQ102">
    <cfRule type="expression" dxfId="88" priority="10">
      <formula>G3&lt;&gt;""</formula>
    </cfRule>
  </conditionalFormatting>
  <conditionalFormatting sqref="H3:H102 AX3:AX102 BH3:BH102 BR3:BR102">
    <cfRule type="expression" dxfId="87" priority="11">
      <formula>H3&lt;&gt;""</formula>
    </cfRule>
  </conditionalFormatting>
  <conditionalFormatting sqref="I3:I102 AY3:AY102 BI3:BI102 BS3:BS102">
    <cfRule type="expression" dxfId="86" priority="12">
      <formula>I3&lt;&gt;""</formula>
    </cfRule>
  </conditionalFormatting>
  <conditionalFormatting sqref="J3:J102 AZ3:AZ102 BJ3:BJ102 BT3:BT102">
    <cfRule type="expression" dxfId="85" priority="13">
      <formula>J3&lt;&gt;""</formula>
    </cfRule>
  </conditionalFormatting>
  <conditionalFormatting sqref="K3:K102 BA3:BA102 BK3:BK102 BU3:BU102">
    <cfRule type="expression" dxfId="84" priority="14">
      <formula>K3&lt;&gt;""</formula>
    </cfRule>
  </conditionalFormatting>
  <conditionalFormatting sqref="L3:L102 BB3:BB102 BL3:BL102 BV3:BW102">
    <cfRule type="expression" dxfId="83" priority="15">
      <formula>L3&lt;&gt;""</formula>
    </cfRule>
  </conditionalFormatting>
  <conditionalFormatting sqref="M3:M102">
    <cfRule type="expression" dxfId="82" priority="16">
      <formula>M3&lt;&gt;""</formula>
    </cfRule>
  </conditionalFormatting>
  <conditionalFormatting sqref="N3:N102">
    <cfRule type="expression" dxfId="81" priority="17">
      <formula>N3&lt;&gt;""</formula>
    </cfRule>
  </conditionalFormatting>
  <conditionalFormatting sqref="O3:O102">
    <cfRule type="expression" dxfId="80" priority="18">
      <formula>O3&lt;&gt;""</formula>
    </cfRule>
  </conditionalFormatting>
  <conditionalFormatting sqref="P3:P102">
    <cfRule type="expression" dxfId="79" priority="19">
      <formula>P3&lt;&gt;""</formula>
    </cfRule>
  </conditionalFormatting>
  <conditionalFormatting sqref="Q3:Q102">
    <cfRule type="expression" dxfId="78" priority="20">
      <formula>Q3&lt;&gt;""</formula>
    </cfRule>
  </conditionalFormatting>
  <conditionalFormatting sqref="R3:R102">
    <cfRule type="expression" dxfId="77" priority="21">
      <formula>R3&lt;&gt;""</formula>
    </cfRule>
  </conditionalFormatting>
  <conditionalFormatting sqref="S3:S102">
    <cfRule type="expression" dxfId="76" priority="22">
      <formula>S3&lt;&gt;""</formula>
    </cfRule>
  </conditionalFormatting>
  <conditionalFormatting sqref="T3:T102">
    <cfRule type="expression" dxfId="75" priority="23">
      <formula>T3&lt;&gt;""</formula>
    </cfRule>
  </conditionalFormatting>
  <conditionalFormatting sqref="U3:U102">
    <cfRule type="expression" dxfId="74" priority="24">
      <formula>U3&lt;&gt;""</formula>
    </cfRule>
  </conditionalFormatting>
  <conditionalFormatting sqref="V3:V102">
    <cfRule type="expression" dxfId="73" priority="25">
      <formula>V3&lt;&gt;""</formula>
    </cfRule>
  </conditionalFormatting>
  <conditionalFormatting sqref="W3:W102">
    <cfRule type="expression" dxfId="72" priority="26">
      <formula>W3&lt;&gt;""</formula>
    </cfRule>
  </conditionalFormatting>
  <conditionalFormatting sqref="X3:X102">
    <cfRule type="expression" dxfId="71" priority="27">
      <formula>X3&lt;&gt;""</formula>
    </cfRule>
  </conditionalFormatting>
  <conditionalFormatting sqref="Y3:Y102">
    <cfRule type="expression" dxfId="70" priority="28">
      <formula>Y3&lt;&gt;""</formula>
    </cfRule>
  </conditionalFormatting>
  <conditionalFormatting sqref="Z3:Z102">
    <cfRule type="expression" dxfId="69" priority="29">
      <formula>Z3&lt;&gt;""</formula>
    </cfRule>
  </conditionalFormatting>
  <conditionalFormatting sqref="AA3:AA102">
    <cfRule type="expression" dxfId="68" priority="30">
      <formula>AA3&lt;&gt;""</formula>
    </cfRule>
  </conditionalFormatting>
  <conditionalFormatting sqref="C2:G2">
    <cfRule type="expression" dxfId="67" priority="31">
      <formula>C2&lt;&gt;""</formula>
    </cfRule>
  </conditionalFormatting>
  <conditionalFormatting sqref="H2:L2">
    <cfRule type="expression" dxfId="66" priority="37">
      <formula>H2&lt;&gt;""</formula>
    </cfRule>
  </conditionalFormatting>
  <conditionalFormatting sqref="M2:AA2">
    <cfRule type="expression" dxfId="65" priority="43">
      <formula>M2&lt;&gt;""</formula>
    </cfRule>
  </conditionalFormatting>
  <conditionalFormatting sqref="C105:G114">
    <cfRule type="expression" dxfId="64" priority="36">
      <formula>C$2&lt;&gt;""</formula>
    </cfRule>
  </conditionalFormatting>
  <conditionalFormatting sqref="H105:L114">
    <cfRule type="expression" dxfId="63" priority="42">
      <formula>H$2&lt;&gt;""</formula>
    </cfRule>
  </conditionalFormatting>
  <conditionalFormatting sqref="M105:AA107">
    <cfRule type="expression" dxfId="62" priority="44">
      <formula>M$2&lt;&gt;""</formula>
    </cfRule>
  </conditionalFormatting>
  <conditionalFormatting sqref="AH1:AL2">
    <cfRule type="expression" dxfId="61" priority="32">
      <formula>C2&lt;&gt;""</formula>
    </cfRule>
  </conditionalFormatting>
  <conditionalFormatting sqref="AS1:AW2">
    <cfRule type="expression" dxfId="60" priority="33">
      <formula>C2&lt;&gt;""</formula>
    </cfRule>
  </conditionalFormatting>
  <conditionalFormatting sqref="BC1:BG2">
    <cfRule type="expression" dxfId="59" priority="34">
      <formula>C2&lt;&gt;""</formula>
    </cfRule>
  </conditionalFormatting>
  <conditionalFormatting sqref="BM1:BQ2">
    <cfRule type="expression" dxfId="58" priority="35">
      <formula>C2&lt;&gt;""</formula>
    </cfRule>
  </conditionalFormatting>
  <conditionalFormatting sqref="AM1:AQ2">
    <cfRule type="expression" dxfId="57" priority="38">
      <formula>H2&lt;&gt;""</formula>
    </cfRule>
  </conditionalFormatting>
  <conditionalFormatting sqref="AX1:BB2">
    <cfRule type="expression" dxfId="56" priority="39">
      <formula>H2&lt;&gt;""</formula>
    </cfRule>
  </conditionalFormatting>
  <conditionalFormatting sqref="BH1:BL2">
    <cfRule type="expression" dxfId="55" priority="40">
      <formula>H2&lt;&gt;""</formula>
    </cfRule>
  </conditionalFormatting>
  <conditionalFormatting sqref="BR2:BW2 BR1:BV1">
    <cfRule type="expression" dxfId="54" priority="41">
      <formula>H2&lt;&gt;""</formula>
    </cfRule>
  </conditionalFormatting>
  <conditionalFormatting sqref="C115:G115">
    <cfRule type="expression" dxfId="53" priority="2">
      <formula>C$2&lt;&gt;""</formula>
    </cfRule>
  </conditionalFormatting>
  <conditionalFormatting sqref="H115:L115">
    <cfRule type="expression" dxfId="52" priority="3">
      <formula>H$2&lt;&gt;""</formula>
    </cfRule>
  </conditionalFormatting>
  <conditionalFormatting sqref="M115">
    <cfRule type="expression" dxfId="51" priority="1">
      <formula>M$2&lt;&gt;""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3666" r:id="rId4" name="Individual">
          <controlPr defaultSize="0" autoLine="0" autoPict="0" r:id="rId5">
            <anchor moveWithCells="1">
              <from>
                <xdr:col>30</xdr:col>
                <xdr:colOff>38100</xdr:colOff>
                <xdr:row>5</xdr:row>
                <xdr:rowOff>88900</xdr:rowOff>
              </from>
              <to>
                <xdr:col>31</xdr:col>
                <xdr:colOff>19050</xdr:colOff>
                <xdr:row>7</xdr:row>
                <xdr:rowOff>133350</xdr:rowOff>
              </to>
            </anchor>
          </controlPr>
        </control>
      </mc:Choice>
      <mc:Fallback>
        <control shapeId="113666" r:id="rId4" name="Individual"/>
      </mc:Fallback>
    </mc:AlternateContent>
    <mc:AlternateContent xmlns:mc="http://schemas.openxmlformats.org/markup-compatibility/2006">
      <mc:Choice Requires="x14">
        <control shapeId="113665" r:id="rId6" name="All">
          <controlPr defaultSize="0" autoLine="0" r:id="rId7">
            <anchor moveWithCells="1">
              <from>
                <xdr:col>30</xdr:col>
                <xdr:colOff>38100</xdr:colOff>
                <xdr:row>2</xdr:row>
                <xdr:rowOff>57150</xdr:rowOff>
              </from>
              <to>
                <xdr:col>31</xdr:col>
                <xdr:colOff>12700</xdr:colOff>
                <xdr:row>4</xdr:row>
                <xdr:rowOff>114300</xdr:rowOff>
              </to>
            </anchor>
          </controlPr>
        </control>
      </mc:Choice>
      <mc:Fallback>
        <control shapeId="113665" r:id="rId6" name="Al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FE28A-BBC0-41F6-9997-7C13B1825AB8}">
  <sheetPr codeName="Sheet5">
    <tabColor theme="8" tint="0.39997558519241921"/>
  </sheetPr>
  <dimension ref="A1:AR102"/>
  <sheetViews>
    <sheetView workbookViewId="0">
      <selection activeCell="F19" sqref="F19"/>
    </sheetView>
  </sheetViews>
  <sheetFormatPr defaultRowHeight="14.5" x14ac:dyDescent="0.35"/>
  <cols>
    <col min="1" max="1" width="9.1796875" customWidth="1"/>
    <col min="2" max="2" width="20.453125" customWidth="1"/>
    <col min="3" max="3" width="15" customWidth="1"/>
    <col min="4" max="4" width="23.7265625" bestFit="1" customWidth="1"/>
    <col min="5" max="34" width="15" customWidth="1"/>
  </cols>
  <sheetData>
    <row r="1" spans="1:44" s="101" customFormat="1" ht="27" customHeight="1" x14ac:dyDescent="0.35">
      <c r="A1" s="152" t="str">
        <f>IF('Run VRS'!AF1&lt;&gt;"",'Run VRS'!AF1,"")</f>
        <v>Index</v>
      </c>
      <c r="B1" s="154" t="str">
        <f>IF('Run VRS'!AG1&lt;&gt;"",'Run VRS'!AG1,"")</f>
        <v>DMU</v>
      </c>
      <c r="C1" s="154" t="str">
        <f>IF('Run VRS'!AR1&lt;&gt;"",'Run VRS'!AR1,"")</f>
        <v>Performance</v>
      </c>
      <c r="D1" s="154" t="str">
        <f>'Run VRS'!BW2</f>
        <v>Group name</v>
      </c>
      <c r="E1" s="156" t="str">
        <f>IF('Run VRS'!BC1&lt;&gt;"",'Run VRS'!BC1,"")</f>
        <v>Reliability (%) (Target real value)</v>
      </c>
      <c r="F1" s="156" t="str">
        <f>IF('Run VRS'!BD1&lt;&gt;"",'Run VRS'!BD1,"")</f>
        <v/>
      </c>
      <c r="G1" s="156" t="str">
        <f>IF('Run VRS'!BE1&lt;&gt;"",'Run VRS'!BE1,"")</f>
        <v/>
      </c>
      <c r="H1" s="156" t="str">
        <f>IF('Run VRS'!BF1&lt;&gt;"",'Run VRS'!BF1,"")</f>
        <v/>
      </c>
      <c r="I1" s="156" t="str">
        <f>IF('Run VRS'!BG1&lt;&gt;"",'Run VRS'!BG1,"")</f>
        <v/>
      </c>
      <c r="J1" s="156" t="str">
        <f>IF('Run VRS'!BH1&lt;&gt;"",'Run VRS'!BH1,"")</f>
        <v>Maintenance costs (USD/m2) (Target real value)</v>
      </c>
      <c r="K1" s="156" t="str">
        <f>IF('Run VRS'!BI1&lt;&gt;"",'Run VRS'!BI1,"")</f>
        <v>Outdated data (%) (Target real value)</v>
      </c>
      <c r="L1" s="156" t="str">
        <f>IF('Run VRS'!BJ1&lt;&gt;"",'Run VRS'!BJ1,"")</f>
        <v/>
      </c>
      <c r="M1" s="156" t="str">
        <f>IF('Run VRS'!BK1&lt;&gt;"",'Run VRS'!BK1,"")</f>
        <v/>
      </c>
      <c r="N1" s="156" t="str">
        <f>IF('Run VRS'!BL1&lt;&gt;"",'Run VRS'!BL1,"")</f>
        <v/>
      </c>
      <c r="O1" s="156" t="str">
        <f>IF('Run VRS'!BM1&lt;&gt;"",'Run VRS'!BM1,"")</f>
        <v>Reliability (%) (Slacks real value)</v>
      </c>
      <c r="P1" s="156" t="str">
        <f>IF('Run VRS'!BN1&lt;&gt;"",'Run VRS'!BN1,"")</f>
        <v/>
      </c>
      <c r="Q1" s="156" t="str">
        <f>IF('Run VRS'!BO1&lt;&gt;"",'Run VRS'!BO1,"")</f>
        <v/>
      </c>
      <c r="R1" s="156" t="str">
        <f>IF('Run VRS'!BP1&lt;&gt;"",'Run VRS'!BP1,"")</f>
        <v/>
      </c>
      <c r="S1" s="156" t="str">
        <f>IF('Run VRS'!BQ1&lt;&gt;"",'Run VRS'!BQ1,"")</f>
        <v/>
      </c>
      <c r="T1" s="156" t="str">
        <f>IF('Run VRS'!BR1&lt;&gt;"",'Run VRS'!BR1,"")</f>
        <v>Maintenance costs (USD/m2) (Slacks real value)</v>
      </c>
      <c r="U1" s="156" t="str">
        <f>IF('Run VRS'!BS1&lt;&gt;"",'Run VRS'!BS1,"")</f>
        <v>Outdated data (%) (Slacks real value)</v>
      </c>
      <c r="V1" s="156" t="str">
        <f>IF('Run VRS'!BT1&lt;&gt;"",'Run VRS'!BT1,"")</f>
        <v/>
      </c>
      <c r="W1" s="156" t="str">
        <f>IF('Run VRS'!BU1&lt;&gt;"",'Run VRS'!BU1,"")</f>
        <v/>
      </c>
      <c r="X1" s="160" t="str">
        <f>IF('Run VRS'!BV1&lt;&gt;"",'Run VRS'!BV1,"")</f>
        <v/>
      </c>
      <c r="Y1" s="156" t="str">
        <f>IF('Data input'!C2&lt;&gt;"",'Data input'!C2&amp;"(% slacks to Actual)","")</f>
        <v>Reliability (%)(% slacks to Actual)</v>
      </c>
      <c r="Z1" s="156" t="str">
        <f>IF('Data input'!D2&lt;&gt;"",'Data input'!D2&amp;"(% slacks to Actual)","")</f>
        <v/>
      </c>
      <c r="AA1" s="156" t="str">
        <f>IF('Data input'!E2&lt;&gt;"",'Data input'!E2&amp;"(% slacks to Actual)","")</f>
        <v/>
      </c>
      <c r="AB1" s="156" t="str">
        <f>IF('Data input'!F2&lt;&gt;"",'Data input'!F2&amp;"(% slacks to Actual)","")</f>
        <v/>
      </c>
      <c r="AC1" s="156" t="str">
        <f>IF('Data input'!G2&lt;&gt;"",'Data input'!G2&amp;"(% slacks to Actual)","")</f>
        <v/>
      </c>
      <c r="AD1" s="156" t="str">
        <f>IF('Data input'!H2&lt;&gt;"",'Data input'!H2&amp;"(% slacks to Actual)","")</f>
        <v>Maintenance costs (USD/m2)(% slacks to Actual)</v>
      </c>
      <c r="AE1" s="156" t="str">
        <f>IF('Data input'!I2&lt;&gt;"",'Data input'!I2&amp;"(% slacks to Actual)","")</f>
        <v>Outdated data (%)(% slacks to Actual)</v>
      </c>
      <c r="AF1" s="156" t="str">
        <f>IF('Data input'!J2&lt;&gt;"",'Data input'!J2&amp;"(% slacks to Actual)","")</f>
        <v/>
      </c>
      <c r="AG1" s="156" t="str">
        <f>IF('Data input'!K2&lt;&gt;"",'Data input'!K2&amp;"(% slacks to Actual)","")</f>
        <v/>
      </c>
      <c r="AH1" s="160" t="str">
        <f>IF('Data input'!L2&lt;&gt;"",'Data input'!L2&amp;"(% slacks to Actual)","")</f>
        <v/>
      </c>
      <c r="AI1" s="156" t="str">
        <f>IF('Data input'!C2&lt;&gt;"",'Data input'!C2&amp;"(% slacks to Actual NORMALIZED)","")</f>
        <v>Reliability (%)(% slacks to Actual NORMALIZED)</v>
      </c>
      <c r="AJ1" s="156" t="str">
        <f>IF('Data input'!D2&lt;&gt;"",'Data input'!D2&amp;"(% slacks to Actual NORMALIZED)","")</f>
        <v/>
      </c>
      <c r="AK1" s="156" t="str">
        <f>IF('Data input'!E2&lt;&gt;"",'Data input'!E2&amp;"(% slacks to Actual NORMALIZED)","")</f>
        <v/>
      </c>
      <c r="AL1" s="156" t="str">
        <f>IF('Data input'!F2&lt;&gt;"",'Data input'!F2&amp;"(% slacks to Actual NORMALIZED)","")</f>
        <v/>
      </c>
      <c r="AM1" s="156" t="str">
        <f>IF('Data input'!G2&lt;&gt;"",'Data input'!G2&amp;"(% slacks to Actual NORMALIZED)","")</f>
        <v/>
      </c>
      <c r="AN1" s="156" t="str">
        <f>IF('Data input'!H2&lt;&gt;"",'Data input'!H2&amp;"(% slacks to Actual NORMALIZED)","")</f>
        <v>Maintenance costs (USD/m2)(% slacks to Actual NORMALIZED)</v>
      </c>
      <c r="AO1" s="156" t="str">
        <f>IF('Data input'!I2&lt;&gt;"",'Data input'!I2&amp;"(% slacks to Actual NORMALIZED)","")</f>
        <v>Outdated data (%)(% slacks to Actual NORMALIZED)</v>
      </c>
      <c r="AP1" s="156" t="str">
        <f>IF('Data input'!J2&lt;&gt;"",'Data input'!J2&amp;"(% slacks to Actual NORMALIZED)","")</f>
        <v/>
      </c>
      <c r="AQ1" s="156" t="str">
        <f>IF('Data input'!K2&lt;&gt;"",'Data input'!K2&amp;"(% slacks to Actual NORMALIZED)","")</f>
        <v/>
      </c>
      <c r="AR1" s="160" t="str">
        <f>IF('Data input'!L2&lt;&gt;"",'Data input'!L2&amp;"(% slacks to Actual NORMALIZED)","")</f>
        <v/>
      </c>
    </row>
    <row r="2" spans="1:44" s="101" customFormat="1" ht="27" customHeight="1" x14ac:dyDescent="0.35">
      <c r="A2" s="153"/>
      <c r="B2" s="155"/>
      <c r="C2" s="155"/>
      <c r="D2" s="155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61"/>
      <c r="Y2" s="157"/>
      <c r="Z2" s="157"/>
      <c r="AA2" s="157"/>
      <c r="AB2" s="157"/>
      <c r="AC2" s="157"/>
      <c r="AD2" s="157"/>
      <c r="AE2" s="157"/>
      <c r="AF2" s="157"/>
      <c r="AG2" s="157"/>
      <c r="AH2" s="161"/>
      <c r="AI2" s="157"/>
      <c r="AJ2" s="157"/>
      <c r="AK2" s="157"/>
      <c r="AL2" s="157"/>
      <c r="AM2" s="157"/>
      <c r="AN2" s="157"/>
      <c r="AO2" s="157"/>
      <c r="AP2" s="157"/>
      <c r="AQ2" s="157"/>
      <c r="AR2" s="161"/>
    </row>
    <row r="3" spans="1:44" x14ac:dyDescent="0.35">
      <c r="A3" s="102">
        <f>IF('Run VRS'!AF3&lt;&gt;"",'Run VRS'!AF3,"")</f>
        <v>1</v>
      </c>
      <c r="B3" s="103" t="str">
        <f>IF('Run VRS'!AG3&lt;&gt;"",'Run VRS'!AG3,"")</f>
        <v>Alabama</v>
      </c>
      <c r="C3" s="104">
        <f>IF('Run VRS'!AR3&lt;&gt;"",'Run VRS'!AR3,"")</f>
        <v>0.99999999999998668</v>
      </c>
      <c r="D3" s="104" t="str">
        <f>IF(ROUND(C3,3)=100%,"Optimal frontier",'Run VRS'!BW3)</f>
        <v>Optimal frontier</v>
      </c>
      <c r="E3" s="105">
        <f>IF('Run VRS'!BC3&lt;&gt;"",'Run VRS'!BC3,"")</f>
        <v>0.9931943920088725</v>
      </c>
      <c r="F3" s="106" t="str">
        <f>IF('Run VRS'!BD3&lt;&gt;"",'Run VRS'!BD3,"")</f>
        <v/>
      </c>
      <c r="G3" s="106" t="str">
        <f>IF('Run VRS'!BE3&lt;&gt;"",'Run VRS'!BE3,"")</f>
        <v/>
      </c>
      <c r="H3" s="106" t="str">
        <f>IF('Run VRS'!BF3&lt;&gt;"",'Run VRS'!BF3,"")</f>
        <v/>
      </c>
      <c r="I3" s="106" t="str">
        <f>IF('Run VRS'!BG3&lt;&gt;"",'Run VRS'!BG3,"")</f>
        <v/>
      </c>
      <c r="J3" s="106">
        <f>IF('Run VRS'!BH3&lt;&gt;"",'Run VRS'!BH3,"")</f>
        <v>1.6342867878832681</v>
      </c>
      <c r="K3" s="105">
        <f>IF('Run VRS'!BI3&lt;&gt;"",'Run VRS'!BI3,"")</f>
        <v>8.7329310892342957E-2</v>
      </c>
      <c r="L3" s="105" t="str">
        <f>IF('Run VRS'!BJ3&lt;&gt;"",'Run VRS'!BJ3,"")</f>
        <v/>
      </c>
      <c r="M3" s="105" t="str">
        <f>IF('Run VRS'!BK3&lt;&gt;"",'Run VRS'!BK3,"")</f>
        <v/>
      </c>
      <c r="N3" s="105" t="str">
        <f>IF('Run VRS'!BL3&lt;&gt;"",'Run VRS'!BL3,"")</f>
        <v/>
      </c>
      <c r="O3" s="105">
        <f>IF('Run VRS'!BM3&lt;&gt;"",'Run VRS'!BM3,"")</f>
        <v>0</v>
      </c>
      <c r="P3" s="106" t="str">
        <f>IF('Run VRS'!BN3&lt;&gt;"",'Run VRS'!BN3,"")</f>
        <v/>
      </c>
      <c r="Q3" s="106" t="str">
        <f>IF('Run VRS'!BO3&lt;&gt;"",'Run VRS'!BO3,"")</f>
        <v/>
      </c>
      <c r="R3" s="106" t="str">
        <f>IF('Run VRS'!BP3&lt;&gt;"",'Run VRS'!BP3,"")</f>
        <v/>
      </c>
      <c r="S3" s="106" t="str">
        <f>IF('Run VRS'!BQ3&lt;&gt;"",'Run VRS'!BQ3,"")</f>
        <v/>
      </c>
      <c r="T3" s="106">
        <f>IF('Run VRS'!BR3&lt;&gt;"",'Run VRS'!BR3,"")</f>
        <v>5.2402526762307389E-14</v>
      </c>
      <c r="U3" s="105">
        <f>IF('Run VRS'!BS3&lt;&gt;"",'Run VRS'!BS3,"")</f>
        <v>-3.8163916471489756E-15</v>
      </c>
      <c r="V3" s="105" t="str">
        <f>IF('Run VRS'!BT3&lt;&gt;"",'Run VRS'!BT3,"")</f>
        <v/>
      </c>
      <c r="W3" s="105" t="str">
        <f>IF('Run VRS'!BU3&lt;&gt;"",'Run VRS'!BU3,"")</f>
        <v/>
      </c>
      <c r="X3" s="107" t="str">
        <f>IF('Run VRS'!BV3&lt;&gt;"",'Run VRS'!BV3,"")</f>
        <v/>
      </c>
      <c r="Y3" s="114">
        <f>IF('Data input'!C3&lt;&gt;"",O3/'Data input'!C3*100%,"")</f>
        <v>0</v>
      </c>
      <c r="Z3" s="114" t="str">
        <f>IF('Data input'!D3&lt;&gt;"",P3/'Data input'!D3*100%,"")</f>
        <v/>
      </c>
      <c r="AA3" s="114" t="str">
        <f>IF('Data input'!E3&lt;&gt;"",Q3/'Data input'!E3*100%,"")</f>
        <v/>
      </c>
      <c r="AB3" s="114" t="str">
        <f>IF('Data input'!F3&lt;&gt;"",R3/'Data input'!F3*100%,"")</f>
        <v/>
      </c>
      <c r="AC3" s="114" t="str">
        <f>IF('Data input'!G3&lt;&gt;"",S3/'Data input'!G3*100%,"")</f>
        <v/>
      </c>
      <c r="AD3" s="114">
        <f>IF('Data input'!H3&lt;&gt;"",T3/'Data input'!H3*100%,"")</f>
        <v>3.2064462094918441E-14</v>
      </c>
      <c r="AE3" s="114">
        <f>IF('Data input'!I3&lt;&gt;"",U3/'Data input'!I3*100%,"")</f>
        <v>-4.3701153806807724E-14</v>
      </c>
      <c r="AF3" s="114" t="str">
        <f>IF('Data input'!J3&lt;&gt;"",V3/'Data input'!J3*100%,"")</f>
        <v/>
      </c>
      <c r="AG3" s="114" t="str">
        <f>IF('Data input'!K3&lt;&gt;"",W3/'Data input'!K3*100%,"")</f>
        <v/>
      </c>
      <c r="AH3" s="115" t="str">
        <f>IF('Data input'!L3&lt;&gt;"",X3/'Data input'!L3*100%,"")</f>
        <v/>
      </c>
      <c r="AI3" s="114">
        <f>IF('Data input'!C3&lt;&gt;"",'Run VRS'!AH3/'Run VRS'!C3,"")</f>
        <v>0</v>
      </c>
      <c r="AJ3" s="114" t="str">
        <f>IF('Data input'!D3&lt;&gt;"",'Run VRS'!AI3/'Run VRS'!D3,"")</f>
        <v/>
      </c>
      <c r="AK3" s="114" t="str">
        <f>IF('Data input'!E3&lt;&gt;"",'Run VRS'!AJ3/'Run VRS'!E3,"")</f>
        <v/>
      </c>
      <c r="AL3" s="114" t="str">
        <f>IF('Data input'!F3&lt;&gt;"",'Run VRS'!AK3/'Run VRS'!F3,"")</f>
        <v/>
      </c>
      <c r="AM3" s="114" t="str">
        <f>IF('Data input'!G3&lt;&gt;"",'Run VRS'!AL3/'Run VRS'!G3,"")</f>
        <v/>
      </c>
      <c r="AN3" s="114">
        <f>IF('Data input'!H3&lt;&gt;"",'Run VRS'!AM3/'Run VRS'!H3,"")</f>
        <v>-2.3582007936905712E-15</v>
      </c>
      <c r="AO3" s="114">
        <f>IF('Data input'!I3&lt;&gt;"",'Run VRS'!AN3/'Run VRS'!I3,"")</f>
        <v>2.9063645199495102E-14</v>
      </c>
      <c r="AP3" s="114" t="str">
        <f>IF('Data input'!J3&lt;&gt;"",'Run VRS'!AO3/'Run VRS'!J3,"")</f>
        <v/>
      </c>
      <c r="AQ3" s="114" t="str">
        <f>IF('Data input'!K3&lt;&gt;"",'Run VRS'!AP3/'Run VRS'!K3,"")</f>
        <v/>
      </c>
      <c r="AR3" s="115" t="str">
        <f>IF('Data input'!L3&lt;&gt;"",'Run VRS'!AQ3/'Run VRS'!L3,"")</f>
        <v/>
      </c>
    </row>
    <row r="4" spans="1:44" x14ac:dyDescent="0.35">
      <c r="A4" s="102">
        <f>IF('Run VRS'!AF4&lt;&gt;"",'Run VRS'!AF4,"")</f>
        <v>2</v>
      </c>
      <c r="B4" s="103" t="str">
        <f>IF('Run VRS'!AG4&lt;&gt;"",'Run VRS'!AG4,"")</f>
        <v>Alaska</v>
      </c>
      <c r="C4" s="104">
        <f>IF('Run VRS'!AR4&lt;&gt;"",'Run VRS'!AR4,"")</f>
        <v>0.9999999999999919</v>
      </c>
      <c r="D4" s="104" t="str">
        <f>IF(ROUND(C4,3)=100%,"Optimal frontier",'Run VRS'!BW4)</f>
        <v>Optimal frontier</v>
      </c>
      <c r="E4" s="105">
        <f>IF('Run VRS'!BC4&lt;&gt;"",'Run VRS'!BC4,"")</f>
        <v>0.94204953862487117</v>
      </c>
      <c r="F4" s="106" t="str">
        <f>IF('Run VRS'!BD4&lt;&gt;"",'Run VRS'!BD4,"")</f>
        <v/>
      </c>
      <c r="G4" s="106" t="str">
        <f>IF('Run VRS'!BE4&lt;&gt;"",'Run VRS'!BE4,"")</f>
        <v/>
      </c>
      <c r="H4" s="106" t="str">
        <f>IF('Run VRS'!BF4&lt;&gt;"",'Run VRS'!BF4,"")</f>
        <v/>
      </c>
      <c r="I4" s="106" t="str">
        <f>IF('Run VRS'!BG4&lt;&gt;"",'Run VRS'!BG4,"")</f>
        <v/>
      </c>
      <c r="J4" s="106">
        <f>IF('Run VRS'!BH4&lt;&gt;"",'Run VRS'!BH4,"")</f>
        <v>87.407065961313734</v>
      </c>
      <c r="K4" s="105">
        <f>IF('Run VRS'!BI4&lt;&gt;"",'Run VRS'!BI4,"")</f>
        <v>0</v>
      </c>
      <c r="L4" s="105" t="str">
        <f>IF('Run VRS'!BJ4&lt;&gt;"",'Run VRS'!BJ4,"")</f>
        <v/>
      </c>
      <c r="M4" s="105" t="str">
        <f>IF('Run VRS'!BK4&lt;&gt;"",'Run VRS'!BK4,"")</f>
        <v/>
      </c>
      <c r="N4" s="105" t="str">
        <f>IF('Run VRS'!BL4&lt;&gt;"",'Run VRS'!BL4,"")</f>
        <v/>
      </c>
      <c r="O4" s="105">
        <f>IF('Run VRS'!BM4&lt;&gt;"",'Run VRS'!BM4,"")</f>
        <v>0</v>
      </c>
      <c r="P4" s="106" t="str">
        <f>IF('Run VRS'!BN4&lt;&gt;"",'Run VRS'!BN4,"")</f>
        <v/>
      </c>
      <c r="Q4" s="106" t="str">
        <f>IF('Run VRS'!BO4&lt;&gt;"",'Run VRS'!BO4,"")</f>
        <v/>
      </c>
      <c r="R4" s="106" t="str">
        <f>IF('Run VRS'!BP4&lt;&gt;"",'Run VRS'!BP4,"")</f>
        <v/>
      </c>
      <c r="S4" s="106" t="str">
        <f>IF('Run VRS'!BQ4&lt;&gt;"",'Run VRS'!BQ4,"")</f>
        <v/>
      </c>
      <c r="T4" s="106">
        <f>IF('Run VRS'!BR4&lt;&gt;"",'Run VRS'!BR4,"")</f>
        <v>-1.7621459846850485E-12</v>
      </c>
      <c r="U4" s="105">
        <f>IF('Run VRS'!BS4&lt;&gt;"",'Run VRS'!BS4,"")</f>
        <v>0</v>
      </c>
      <c r="V4" s="105" t="str">
        <f>IF('Run VRS'!BT4&lt;&gt;"",'Run VRS'!BT4,"")</f>
        <v/>
      </c>
      <c r="W4" s="105" t="str">
        <f>IF('Run VRS'!BU4&lt;&gt;"",'Run VRS'!BU4,"")</f>
        <v/>
      </c>
      <c r="X4" s="107" t="str">
        <f>IF('Run VRS'!BV4&lt;&gt;"",'Run VRS'!BV4,"")</f>
        <v/>
      </c>
      <c r="Y4" s="114">
        <f>IF('Data input'!C4&lt;&gt;"",O4/'Data input'!C4*100%,"")</f>
        <v>0</v>
      </c>
      <c r="Z4" s="114" t="str">
        <f>IF('Data input'!D4&lt;&gt;"",P4/'Data input'!D4*100%,"")</f>
        <v/>
      </c>
      <c r="AA4" s="114" t="str">
        <f>IF('Data input'!E4&lt;&gt;"",Q4/'Data input'!E4*100%,"")</f>
        <v/>
      </c>
      <c r="AB4" s="114" t="str">
        <f>IF('Data input'!F4&lt;&gt;"",R4/'Data input'!F4*100%,"")</f>
        <v/>
      </c>
      <c r="AC4" s="114" t="str">
        <f>IF('Data input'!G4&lt;&gt;"",S4/'Data input'!G4*100%,"")</f>
        <v/>
      </c>
      <c r="AD4" s="114">
        <f>IF('Data input'!H4&lt;&gt;"",T4/'Data input'!H4*100%,"")</f>
        <v>-2.0160223493429429E-14</v>
      </c>
      <c r="AE4" s="114" t="e">
        <f>IF('Data input'!I4&lt;&gt;"",U4/'Data input'!I4*100%,"")</f>
        <v>#DIV/0!</v>
      </c>
      <c r="AF4" s="114" t="str">
        <f>IF('Data input'!J4&lt;&gt;"",V4/'Data input'!J4*100%,"")</f>
        <v/>
      </c>
      <c r="AG4" s="114" t="str">
        <f>IF('Data input'!K4&lt;&gt;"",W4/'Data input'!K4*100%,"")</f>
        <v/>
      </c>
      <c r="AH4" s="115" t="str">
        <f>IF('Data input'!L4&lt;&gt;"",X4/'Data input'!L4*100%,"")</f>
        <v/>
      </c>
      <c r="AI4" s="114">
        <f>IF('Data input'!C4&lt;&gt;"",'Run VRS'!AH4/'Run VRS'!C4,"")</f>
        <v>0</v>
      </c>
      <c r="AJ4" s="114" t="str">
        <f>IF('Data input'!D4&lt;&gt;"",'Run VRS'!AI4/'Run VRS'!D4,"")</f>
        <v/>
      </c>
      <c r="AK4" s="114" t="str">
        <f>IF('Data input'!E4&lt;&gt;"",'Run VRS'!AJ4/'Run VRS'!E4,"")</f>
        <v/>
      </c>
      <c r="AL4" s="114" t="str">
        <f>IF('Data input'!F4&lt;&gt;"",'Run VRS'!AK4/'Run VRS'!F4,"")</f>
        <v/>
      </c>
      <c r="AM4" s="114" t="str">
        <f>IF('Data input'!G4&lt;&gt;"",'Run VRS'!AL4/'Run VRS'!G4,"")</f>
        <v/>
      </c>
      <c r="AN4" s="114">
        <f>IF('Data input'!H4&lt;&gt;"",'Run VRS'!AM4/'Run VRS'!H4,"")</f>
        <v>1.6218078753647248E-14</v>
      </c>
      <c r="AO4" s="114">
        <f>IF('Data input'!I4&lt;&gt;"",'Run VRS'!AN4/'Run VRS'!I4,"")</f>
        <v>0</v>
      </c>
      <c r="AP4" s="114" t="str">
        <f>IF('Data input'!J4&lt;&gt;"",'Run VRS'!AO4/'Run VRS'!J4,"")</f>
        <v/>
      </c>
      <c r="AQ4" s="114" t="str">
        <f>IF('Data input'!K4&lt;&gt;"",'Run VRS'!AP4/'Run VRS'!K4,"")</f>
        <v/>
      </c>
      <c r="AR4" s="115" t="str">
        <f>IF('Data input'!L4&lt;&gt;"",'Run VRS'!AQ4/'Run VRS'!L4,"")</f>
        <v/>
      </c>
    </row>
    <row r="5" spans="1:44" x14ac:dyDescent="0.35">
      <c r="A5" s="102">
        <f>IF('Run VRS'!AF5&lt;&gt;"",'Run VRS'!AF5,"")</f>
        <v>3</v>
      </c>
      <c r="B5" s="103" t="str">
        <f>IF('Run VRS'!AG5&lt;&gt;"",'Run VRS'!AG5,"")</f>
        <v>Arizona</v>
      </c>
      <c r="C5" s="104">
        <f>IF('Run VRS'!AR5&lt;&gt;"",'Run VRS'!AR5,"")</f>
        <v>0.65441741642061724</v>
      </c>
      <c r="D5" s="104" t="str">
        <f>IF(ROUND(C5,3)=100%,"Optimal frontier",'Run VRS'!BW5)</f>
        <v xml:space="preserve">Texas; Utah; </v>
      </c>
      <c r="E5" s="105">
        <f>IF('Run VRS'!BC5&lt;&gt;"",'Run VRS'!BC5,"")</f>
        <v>0.98972783176683632</v>
      </c>
      <c r="F5" s="106" t="str">
        <f>IF('Run VRS'!BD5&lt;&gt;"",'Run VRS'!BD5,"")</f>
        <v/>
      </c>
      <c r="G5" s="106" t="str">
        <f>IF('Run VRS'!BE5&lt;&gt;"",'Run VRS'!BE5,"")</f>
        <v/>
      </c>
      <c r="H5" s="106" t="str">
        <f>IF('Run VRS'!BF5&lt;&gt;"",'Run VRS'!BF5,"")</f>
        <v/>
      </c>
      <c r="I5" s="106" t="str">
        <f>IF('Run VRS'!BG5&lt;&gt;"",'Run VRS'!BG5,"")</f>
        <v/>
      </c>
      <c r="J5" s="106">
        <f>IF('Run VRS'!BH5&lt;&gt;"",'Run VRS'!BH5,"")</f>
        <v>0.31340090115918351</v>
      </c>
      <c r="K5" s="105">
        <f>IF('Run VRS'!BI5&lt;&gt;"",'Run VRS'!BI5,"")</f>
        <v>1.5738541528123452E-3</v>
      </c>
      <c r="L5" s="105" t="str">
        <f>IF('Run VRS'!BJ5&lt;&gt;"",'Run VRS'!BJ5,"")</f>
        <v/>
      </c>
      <c r="M5" s="105" t="str">
        <f>IF('Run VRS'!BK5&lt;&gt;"",'Run VRS'!BK5,"")</f>
        <v/>
      </c>
      <c r="N5" s="105" t="str">
        <f>IF('Run VRS'!BL5&lt;&gt;"",'Run VRS'!BL5,"")</f>
        <v/>
      </c>
      <c r="O5" s="105">
        <f>IF('Run VRS'!BM5&lt;&gt;"",'Run VRS'!BM5,"")</f>
        <v>0</v>
      </c>
      <c r="P5" s="106" t="str">
        <f>IF('Run VRS'!BN5&lt;&gt;"",'Run VRS'!BN5,"")</f>
        <v/>
      </c>
      <c r="Q5" s="106" t="str">
        <f>IF('Run VRS'!BO5&lt;&gt;"",'Run VRS'!BO5,"")</f>
        <v/>
      </c>
      <c r="R5" s="106" t="str">
        <f>IF('Run VRS'!BP5&lt;&gt;"",'Run VRS'!BP5,"")</f>
        <v/>
      </c>
      <c r="S5" s="106" t="str">
        <f>IF('Run VRS'!BQ5&lt;&gt;"",'Run VRS'!BQ5,"")</f>
        <v/>
      </c>
      <c r="T5" s="106">
        <f>IF('Run VRS'!BR5&lt;&gt;"",'Run VRS'!BR5,"")</f>
        <v>-2.293133193837714</v>
      </c>
      <c r="U5" s="105">
        <f>IF('Run VRS'!BS5&lt;&gt;"",'Run VRS'!BS5,"")</f>
        <v>-6.7089182749788992E-2</v>
      </c>
      <c r="V5" s="105" t="str">
        <f>IF('Run VRS'!BT5&lt;&gt;"",'Run VRS'!BT5,"")</f>
        <v/>
      </c>
      <c r="W5" s="105" t="str">
        <f>IF('Run VRS'!BU5&lt;&gt;"",'Run VRS'!BU5,"")</f>
        <v/>
      </c>
      <c r="X5" s="107" t="str">
        <f>IF('Run VRS'!BV5&lt;&gt;"",'Run VRS'!BV5,"")</f>
        <v/>
      </c>
      <c r="Y5" s="114">
        <f>IF('Data input'!C5&lt;&gt;"",O5/'Data input'!C5*100%,"")</f>
        <v>0</v>
      </c>
      <c r="Z5" s="114" t="str">
        <f>IF('Data input'!D5&lt;&gt;"",P5/'Data input'!D5*100%,"")</f>
        <v/>
      </c>
      <c r="AA5" s="114" t="str">
        <f>IF('Data input'!E5&lt;&gt;"",Q5/'Data input'!E5*100%,"")</f>
        <v/>
      </c>
      <c r="AB5" s="114" t="str">
        <f>IF('Data input'!F5&lt;&gt;"",R5/'Data input'!F5*100%,"")</f>
        <v/>
      </c>
      <c r="AC5" s="114" t="str">
        <f>IF('Data input'!G5&lt;&gt;"",S5/'Data input'!G5*100%,"")</f>
        <v/>
      </c>
      <c r="AD5" s="114">
        <f>IF('Data input'!H5&lt;&gt;"",T5/'Data input'!H5*100%,"")</f>
        <v>-0.87976336017981127</v>
      </c>
      <c r="AE5" s="114">
        <f>IF('Data input'!I5&lt;&gt;"",U5/'Data input'!I5*100%,"")</f>
        <v>-0.97707858225023081</v>
      </c>
      <c r="AF5" s="114" t="str">
        <f>IF('Data input'!J5&lt;&gt;"",V5/'Data input'!J5*100%,"")</f>
        <v/>
      </c>
      <c r="AG5" s="114" t="str">
        <f>IF('Data input'!K5&lt;&gt;"",W5/'Data input'!K5*100%,"")</f>
        <v/>
      </c>
      <c r="AH5" s="115" t="str">
        <f>IF('Data input'!L5&lt;&gt;"",X5/'Data input'!L5*100%,"")</f>
        <v/>
      </c>
      <c r="AI5" s="114">
        <f>IF('Data input'!C5&lt;&gt;"",'Run VRS'!AH5/'Run VRS'!C5,"")</f>
        <v>0</v>
      </c>
      <c r="AJ5" s="114" t="str">
        <f>IF('Data input'!D5&lt;&gt;"",'Run VRS'!AI5/'Run VRS'!D5,"")</f>
        <v/>
      </c>
      <c r="AK5" s="114" t="str">
        <f>IF('Data input'!E5&lt;&gt;"",'Run VRS'!AJ5/'Run VRS'!E5,"")</f>
        <v/>
      </c>
      <c r="AL5" s="114" t="str">
        <f>IF('Data input'!F5&lt;&gt;"",'Run VRS'!AK5/'Run VRS'!F5,"")</f>
        <v/>
      </c>
      <c r="AM5" s="114" t="str">
        <f>IF('Data input'!G5&lt;&gt;"",'Run VRS'!AL5/'Run VRS'!G5,"")</f>
        <v/>
      </c>
      <c r="AN5" s="114">
        <f>IF('Data input'!H5&lt;&gt;"",'Run VRS'!AM5/'Run VRS'!H5,"")</f>
        <v>9.5195697460804501E-2</v>
      </c>
      <c r="AO5" s="114">
        <f>IF('Data input'!I5&lt;&gt;"",'Run VRS'!AN5/'Run VRS'!I5,"")</f>
        <v>0.59596946969796105</v>
      </c>
      <c r="AP5" s="114" t="str">
        <f>IF('Data input'!J5&lt;&gt;"",'Run VRS'!AO5/'Run VRS'!J5,"")</f>
        <v/>
      </c>
      <c r="AQ5" s="114" t="str">
        <f>IF('Data input'!K5&lt;&gt;"",'Run VRS'!AP5/'Run VRS'!K5,"")</f>
        <v/>
      </c>
      <c r="AR5" s="115" t="str">
        <f>IF('Data input'!L5&lt;&gt;"",'Run VRS'!AQ5/'Run VRS'!L5,"")</f>
        <v/>
      </c>
    </row>
    <row r="6" spans="1:44" x14ac:dyDescent="0.35">
      <c r="A6" s="102">
        <f>IF('Run VRS'!AF6&lt;&gt;"",'Run VRS'!AF6,"")</f>
        <v>4</v>
      </c>
      <c r="B6" s="103" t="str">
        <f>IF('Run VRS'!AG6&lt;&gt;"",'Run VRS'!AG6,"")</f>
        <v>Arkansas</v>
      </c>
      <c r="C6" s="104">
        <f>IF('Run VRS'!AR6&lt;&gt;"",'Run VRS'!AR6,"")</f>
        <v>0.76103146082559125</v>
      </c>
      <c r="D6" s="104" t="str">
        <f>IF(ROUND(C6,3)=100%,"Optimal frontier",'Run VRS'!BW6)</f>
        <v xml:space="preserve">Kansas; Louisiana; New York; Texas; </v>
      </c>
      <c r="E6" s="105">
        <f>IF('Run VRS'!BC6&lt;&gt;"",'Run VRS'!BC6,"")</f>
        <v>0.96662610449523723</v>
      </c>
      <c r="F6" s="106" t="str">
        <f>IF('Run VRS'!BD6&lt;&gt;"",'Run VRS'!BD6,"")</f>
        <v/>
      </c>
      <c r="G6" s="106" t="str">
        <f>IF('Run VRS'!BE6&lt;&gt;"",'Run VRS'!BE6,"")</f>
        <v/>
      </c>
      <c r="H6" s="106" t="str">
        <f>IF('Run VRS'!BF6&lt;&gt;"",'Run VRS'!BF6,"")</f>
        <v/>
      </c>
      <c r="I6" s="106" t="str">
        <f>IF('Run VRS'!BG6&lt;&gt;"",'Run VRS'!BG6,"")</f>
        <v/>
      </c>
      <c r="J6" s="106">
        <f>IF('Run VRS'!BH6&lt;&gt;"",'Run VRS'!BH6,"")</f>
        <v>2.5093079444908737</v>
      </c>
      <c r="K6" s="105">
        <f>IF('Run VRS'!BI6&lt;&gt;"",'Run VRS'!BI6,"")</f>
        <v>7.602052334571674E-3</v>
      </c>
      <c r="L6" s="105" t="str">
        <f>IF('Run VRS'!BJ6&lt;&gt;"",'Run VRS'!BJ6,"")</f>
        <v/>
      </c>
      <c r="M6" s="105" t="str">
        <f>IF('Run VRS'!BK6&lt;&gt;"",'Run VRS'!BK6,"")</f>
        <v/>
      </c>
      <c r="N6" s="105" t="str">
        <f>IF('Run VRS'!BL6&lt;&gt;"",'Run VRS'!BL6,"")</f>
        <v/>
      </c>
      <c r="O6" s="105">
        <f>IF('Run VRS'!BM6&lt;&gt;"",'Run VRS'!BM6,"")</f>
        <v>0</v>
      </c>
      <c r="P6" s="106" t="str">
        <f>IF('Run VRS'!BN6&lt;&gt;"",'Run VRS'!BN6,"")</f>
        <v/>
      </c>
      <c r="Q6" s="106" t="str">
        <f>IF('Run VRS'!BO6&lt;&gt;"",'Run VRS'!BO6,"")</f>
        <v/>
      </c>
      <c r="R6" s="106" t="str">
        <f>IF('Run VRS'!BP6&lt;&gt;"",'Run VRS'!BP6,"")</f>
        <v/>
      </c>
      <c r="S6" s="106" t="str">
        <f>IF('Run VRS'!BQ6&lt;&gt;"",'Run VRS'!BQ6,"")</f>
        <v/>
      </c>
      <c r="T6" s="106">
        <f>IF('Run VRS'!BR6&lt;&gt;"",'Run VRS'!BR6,"")</f>
        <v>-1.3322676295501878E-15</v>
      </c>
      <c r="U6" s="105">
        <f>IF('Run VRS'!BS6&lt;&gt;"",'Run VRS'!BS6,"")</f>
        <v>-4.7156748186940711E-2</v>
      </c>
      <c r="V6" s="105" t="str">
        <f>IF('Run VRS'!BT6&lt;&gt;"",'Run VRS'!BT6,"")</f>
        <v/>
      </c>
      <c r="W6" s="105" t="str">
        <f>IF('Run VRS'!BU6&lt;&gt;"",'Run VRS'!BU6,"")</f>
        <v/>
      </c>
      <c r="X6" s="107" t="str">
        <f>IF('Run VRS'!BV6&lt;&gt;"",'Run VRS'!BV6,"")</f>
        <v/>
      </c>
      <c r="Y6" s="114">
        <f>IF('Data input'!C6&lt;&gt;"",O6/'Data input'!C6*100%,"")</f>
        <v>0</v>
      </c>
      <c r="Z6" s="114" t="str">
        <f>IF('Data input'!D6&lt;&gt;"",P6/'Data input'!D6*100%,"")</f>
        <v/>
      </c>
      <c r="AA6" s="114" t="str">
        <f>IF('Data input'!E6&lt;&gt;"",Q6/'Data input'!E6*100%,"")</f>
        <v/>
      </c>
      <c r="AB6" s="114" t="str">
        <f>IF('Data input'!F6&lt;&gt;"",R6/'Data input'!F6*100%,"")</f>
        <v/>
      </c>
      <c r="AC6" s="114" t="str">
        <f>IF('Data input'!G6&lt;&gt;"",S6/'Data input'!G6*100%,"")</f>
        <v/>
      </c>
      <c r="AD6" s="114">
        <f>IF('Data input'!H6&lt;&gt;"",T6/'Data input'!H6*100%,"")</f>
        <v>-5.3093030390118093E-16</v>
      </c>
      <c r="AE6" s="114">
        <f>IF('Data input'!I6&lt;&gt;"",U6/'Data input'!I6*100%,"")</f>
        <v>-0.86117204427103633</v>
      </c>
      <c r="AF6" s="114" t="str">
        <f>IF('Data input'!J6&lt;&gt;"",V6/'Data input'!J6*100%,"")</f>
        <v/>
      </c>
      <c r="AG6" s="114" t="str">
        <f>IF('Data input'!K6&lt;&gt;"",W6/'Data input'!K6*100%,"")</f>
        <v/>
      </c>
      <c r="AH6" s="115" t="str">
        <f>IF('Data input'!L6&lt;&gt;"",X6/'Data input'!L6*100%,"")</f>
        <v/>
      </c>
      <c r="AI6" s="114">
        <f>IF('Data input'!C6&lt;&gt;"",'Run VRS'!AH6/'Run VRS'!C6,"")</f>
        <v>0</v>
      </c>
      <c r="AJ6" s="114" t="str">
        <f>IF('Data input'!D6&lt;&gt;"",'Run VRS'!AI6/'Run VRS'!D6,"")</f>
        <v/>
      </c>
      <c r="AK6" s="114" t="str">
        <f>IF('Data input'!E6&lt;&gt;"",'Run VRS'!AJ6/'Run VRS'!E6,"")</f>
        <v/>
      </c>
      <c r="AL6" s="114" t="str">
        <f>IF('Data input'!F6&lt;&gt;"",'Run VRS'!AK6/'Run VRS'!F6,"")</f>
        <v/>
      </c>
      <c r="AM6" s="114" t="str">
        <f>IF('Data input'!G6&lt;&gt;"",'Run VRS'!AL6/'Run VRS'!G6,"")</f>
        <v/>
      </c>
      <c r="AN6" s="114">
        <f>IF('Data input'!H6&lt;&gt;"",'Run VRS'!AM6/'Run VRS'!H6,"")</f>
        <v>0</v>
      </c>
      <c r="AO6" s="114">
        <f>IF('Data input'!I6&lt;&gt;"",'Run VRS'!AN6/'Run VRS'!I6,"")</f>
        <v>0.4779370783488176</v>
      </c>
      <c r="AP6" s="114" t="str">
        <f>IF('Data input'!J6&lt;&gt;"",'Run VRS'!AO6/'Run VRS'!J6,"")</f>
        <v/>
      </c>
      <c r="AQ6" s="114" t="str">
        <f>IF('Data input'!K6&lt;&gt;"",'Run VRS'!AP6/'Run VRS'!K6,"")</f>
        <v/>
      </c>
      <c r="AR6" s="115" t="str">
        <f>IF('Data input'!L6&lt;&gt;"",'Run VRS'!AQ6/'Run VRS'!L6,"")</f>
        <v/>
      </c>
    </row>
    <row r="7" spans="1:44" x14ac:dyDescent="0.35">
      <c r="A7" s="102">
        <f>IF('Run VRS'!AF7&lt;&gt;"",'Run VRS'!AF7,"")</f>
        <v>5</v>
      </c>
      <c r="B7" s="103" t="str">
        <f>IF('Run VRS'!AG7&lt;&gt;"",'Run VRS'!AG7,"")</f>
        <v>California</v>
      </c>
      <c r="C7" s="104">
        <f>IF('Run VRS'!AR7&lt;&gt;"",'Run VRS'!AR7,"")</f>
        <v>0.99999999999999378</v>
      </c>
      <c r="D7" s="104" t="str">
        <f>IF(ROUND(C7,3)=100%,"Optimal frontier",'Run VRS'!BW7)</f>
        <v>Optimal frontier</v>
      </c>
      <c r="E7" s="105">
        <f>IF('Run VRS'!BC7&lt;&gt;"",'Run VRS'!BC7,"")</f>
        <v>0.95268408285123241</v>
      </c>
      <c r="F7" s="106" t="str">
        <f>IF('Run VRS'!BD7&lt;&gt;"",'Run VRS'!BD7,"")</f>
        <v/>
      </c>
      <c r="G7" s="106" t="str">
        <f>IF('Run VRS'!BE7&lt;&gt;"",'Run VRS'!BE7,"")</f>
        <v/>
      </c>
      <c r="H7" s="106" t="str">
        <f>IF('Run VRS'!BF7&lt;&gt;"",'Run VRS'!BF7,"")</f>
        <v/>
      </c>
      <c r="I7" s="106" t="str">
        <f>IF('Run VRS'!BG7&lt;&gt;"",'Run VRS'!BG7,"")</f>
        <v/>
      </c>
      <c r="J7" s="106">
        <f>IF('Run VRS'!BH7&lt;&gt;"",'Run VRS'!BH7,"")</f>
        <v>1.4198688440671281</v>
      </c>
      <c r="K7" s="105">
        <f>IF('Run VRS'!BI7&lt;&gt;"",'Run VRS'!BI7,"")</f>
        <v>0.10380526021264506</v>
      </c>
      <c r="L7" s="105" t="str">
        <f>IF('Run VRS'!BJ7&lt;&gt;"",'Run VRS'!BJ7,"")</f>
        <v/>
      </c>
      <c r="M7" s="105" t="str">
        <f>IF('Run VRS'!BK7&lt;&gt;"",'Run VRS'!BK7,"")</f>
        <v/>
      </c>
      <c r="N7" s="105" t="str">
        <f>IF('Run VRS'!BL7&lt;&gt;"",'Run VRS'!BL7,"")</f>
        <v/>
      </c>
      <c r="O7" s="105">
        <f>IF('Run VRS'!BM7&lt;&gt;"",'Run VRS'!BM7,"")</f>
        <v>0</v>
      </c>
      <c r="P7" s="106" t="str">
        <f>IF('Run VRS'!BN7&lt;&gt;"",'Run VRS'!BN7,"")</f>
        <v/>
      </c>
      <c r="Q7" s="106" t="str">
        <f>IF('Run VRS'!BO7&lt;&gt;"",'Run VRS'!BO7,"")</f>
        <v/>
      </c>
      <c r="R7" s="106" t="str">
        <f>IF('Run VRS'!BP7&lt;&gt;"",'Run VRS'!BP7,"")</f>
        <v/>
      </c>
      <c r="S7" s="106" t="str">
        <f>IF('Run VRS'!BQ7&lt;&gt;"",'Run VRS'!BQ7,"")</f>
        <v/>
      </c>
      <c r="T7" s="106">
        <f>IF('Run VRS'!BR7&lt;&gt;"",'Run VRS'!BR7,"")</f>
        <v>-6.6613381477509392E-16</v>
      </c>
      <c r="U7" s="105">
        <f>IF('Run VRS'!BS7&lt;&gt;"",'Run VRS'!BS7,"")</f>
        <v>-1.8318679906315083E-15</v>
      </c>
      <c r="V7" s="105" t="str">
        <f>IF('Run VRS'!BT7&lt;&gt;"",'Run VRS'!BT7,"")</f>
        <v/>
      </c>
      <c r="W7" s="105" t="str">
        <f>IF('Run VRS'!BU7&lt;&gt;"",'Run VRS'!BU7,"")</f>
        <v/>
      </c>
      <c r="X7" s="107" t="str">
        <f>IF('Run VRS'!BV7&lt;&gt;"",'Run VRS'!BV7,"")</f>
        <v/>
      </c>
      <c r="Y7" s="114">
        <f>IF('Data input'!C7&lt;&gt;"",O7/'Data input'!C7*100%,"")</f>
        <v>0</v>
      </c>
      <c r="Z7" s="114" t="str">
        <f>IF('Data input'!D7&lt;&gt;"",P7/'Data input'!D7*100%,"")</f>
        <v/>
      </c>
      <c r="AA7" s="114" t="str">
        <f>IF('Data input'!E7&lt;&gt;"",Q7/'Data input'!E7*100%,"")</f>
        <v/>
      </c>
      <c r="AB7" s="114" t="str">
        <f>IF('Data input'!F7&lt;&gt;"",R7/'Data input'!F7*100%,"")</f>
        <v/>
      </c>
      <c r="AC7" s="114" t="str">
        <f>IF('Data input'!G7&lt;&gt;"",S7/'Data input'!G7*100%,"")</f>
        <v/>
      </c>
      <c r="AD7" s="114">
        <f>IF('Data input'!H7&lt;&gt;"",T7/'Data input'!H7*100%,"")</f>
        <v>-4.6915165267447783E-16</v>
      </c>
      <c r="AE7" s="114">
        <f>IF('Data input'!I7&lt;&gt;"",U7/'Data input'!I7*100%,"")</f>
        <v>-1.7647159564735879E-14</v>
      </c>
      <c r="AF7" s="114" t="str">
        <f>IF('Data input'!J7&lt;&gt;"",V7/'Data input'!J7*100%,"")</f>
        <v/>
      </c>
      <c r="AG7" s="114" t="str">
        <f>IF('Data input'!K7&lt;&gt;"",W7/'Data input'!K7*100%,"")</f>
        <v/>
      </c>
      <c r="AH7" s="115" t="str">
        <f>IF('Data input'!L7&lt;&gt;"",X7/'Data input'!L7*100%,"")</f>
        <v/>
      </c>
      <c r="AI7" s="114">
        <f>IF('Data input'!C7&lt;&gt;"",'Run VRS'!AH7/'Run VRS'!C7,"")</f>
        <v>0</v>
      </c>
      <c r="AJ7" s="114" t="str">
        <f>IF('Data input'!D7&lt;&gt;"",'Run VRS'!AI7/'Run VRS'!D7,"")</f>
        <v/>
      </c>
      <c r="AK7" s="114" t="str">
        <f>IF('Data input'!E7&lt;&gt;"",'Run VRS'!AJ7/'Run VRS'!E7,"")</f>
        <v/>
      </c>
      <c r="AL7" s="114" t="str">
        <f>IF('Data input'!F7&lt;&gt;"",'Run VRS'!AK7/'Run VRS'!F7,"")</f>
        <v/>
      </c>
      <c r="AM7" s="114" t="str">
        <f>IF('Data input'!G7&lt;&gt;"",'Run VRS'!AL7/'Run VRS'!G7,"")</f>
        <v/>
      </c>
      <c r="AN7" s="114">
        <f>IF('Data input'!H7&lt;&gt;"",'Run VRS'!AM7/'Run VRS'!H7,"")</f>
        <v>0</v>
      </c>
      <c r="AO7" s="114">
        <f>IF('Data input'!I7&lt;&gt;"",'Run VRS'!AN7/'Run VRS'!I7,"")</f>
        <v>1.2458534350170942E-14</v>
      </c>
      <c r="AP7" s="114" t="str">
        <f>IF('Data input'!J7&lt;&gt;"",'Run VRS'!AO7/'Run VRS'!J7,"")</f>
        <v/>
      </c>
      <c r="AQ7" s="114" t="str">
        <f>IF('Data input'!K7&lt;&gt;"",'Run VRS'!AP7/'Run VRS'!K7,"")</f>
        <v/>
      </c>
      <c r="AR7" s="115" t="str">
        <f>IF('Data input'!L7&lt;&gt;"",'Run VRS'!AQ7/'Run VRS'!L7,"")</f>
        <v/>
      </c>
    </row>
    <row r="8" spans="1:44" x14ac:dyDescent="0.35">
      <c r="A8" s="102">
        <f>IF('Run VRS'!AF8&lt;&gt;"",'Run VRS'!AF8,"")</f>
        <v>6</v>
      </c>
      <c r="B8" s="103" t="str">
        <f>IF('Run VRS'!AG8&lt;&gt;"",'Run VRS'!AG8,"")</f>
        <v>Colorado</v>
      </c>
      <c r="C8" s="104">
        <f>IF('Run VRS'!AR8&lt;&gt;"",'Run VRS'!AR8,"")</f>
        <v>0.65438851490589478</v>
      </c>
      <c r="D8" s="104" t="str">
        <f>IF(ROUND(C8,3)=100%,"Optimal frontier",'Run VRS'!BW8)</f>
        <v xml:space="preserve">New York; Texas; </v>
      </c>
      <c r="E8" s="105">
        <f>IF('Run VRS'!BC8&lt;&gt;"",'Run VRS'!BC8,"")</f>
        <v>0.9419000146597436</v>
      </c>
      <c r="F8" s="106" t="str">
        <f>IF('Run VRS'!BD8&lt;&gt;"",'Run VRS'!BD8,"")</f>
        <v/>
      </c>
      <c r="G8" s="106" t="str">
        <f>IF('Run VRS'!BE8&lt;&gt;"",'Run VRS'!BE8,"")</f>
        <v/>
      </c>
      <c r="H8" s="106" t="str">
        <f>IF('Run VRS'!BF8&lt;&gt;"",'Run VRS'!BF8,"")</f>
        <v/>
      </c>
      <c r="I8" s="106" t="str">
        <f>IF('Run VRS'!BG8&lt;&gt;"",'Run VRS'!BG8,"")</f>
        <v/>
      </c>
      <c r="J8" s="106">
        <f>IF('Run VRS'!BH8&lt;&gt;"",'Run VRS'!BH8,"")</f>
        <v>2.9490238771558963</v>
      </c>
      <c r="K8" s="105">
        <f>IF('Run VRS'!BI8&lt;&gt;"",'Run VRS'!BI8,"")</f>
        <v>1.0787413859599815E-3</v>
      </c>
      <c r="L8" s="105" t="str">
        <f>IF('Run VRS'!BJ8&lt;&gt;"",'Run VRS'!BJ8,"")</f>
        <v/>
      </c>
      <c r="M8" s="105" t="str">
        <f>IF('Run VRS'!BK8&lt;&gt;"",'Run VRS'!BK8,"")</f>
        <v/>
      </c>
      <c r="N8" s="105" t="str">
        <f>IF('Run VRS'!BL8&lt;&gt;"",'Run VRS'!BL8,"")</f>
        <v/>
      </c>
      <c r="O8" s="105">
        <f>IF('Run VRS'!BM8&lt;&gt;"",'Run VRS'!BM8,"")</f>
        <v>0</v>
      </c>
      <c r="P8" s="106" t="str">
        <f>IF('Run VRS'!BN8&lt;&gt;"",'Run VRS'!BN8,"")</f>
        <v/>
      </c>
      <c r="Q8" s="106" t="str">
        <f>IF('Run VRS'!BO8&lt;&gt;"",'Run VRS'!BO8,"")</f>
        <v/>
      </c>
      <c r="R8" s="106" t="str">
        <f>IF('Run VRS'!BP8&lt;&gt;"",'Run VRS'!BP8,"")</f>
        <v/>
      </c>
      <c r="S8" s="106" t="str">
        <f>IF('Run VRS'!BQ8&lt;&gt;"",'Run VRS'!BQ8,"")</f>
        <v/>
      </c>
      <c r="T8" s="106">
        <f>IF('Run VRS'!BR8&lt;&gt;"",'Run VRS'!BR8,"")</f>
        <v>-2.8078215564569131E-2</v>
      </c>
      <c r="U8" s="105">
        <f>IF('Run VRS'!BS8&lt;&gt;"",'Run VRS'!BS8,"")</f>
        <v>-0.10016795298502604</v>
      </c>
      <c r="V8" s="105" t="str">
        <f>IF('Run VRS'!BT8&lt;&gt;"",'Run VRS'!BT8,"")</f>
        <v/>
      </c>
      <c r="W8" s="105" t="str">
        <f>IF('Run VRS'!BU8&lt;&gt;"",'Run VRS'!BU8,"")</f>
        <v/>
      </c>
      <c r="X8" s="107" t="str">
        <f>IF('Run VRS'!BV8&lt;&gt;"",'Run VRS'!BV8,"")</f>
        <v/>
      </c>
      <c r="Y8" s="114">
        <f>IF('Data input'!C8&lt;&gt;"",O8/'Data input'!C8*100%,"")</f>
        <v>0</v>
      </c>
      <c r="Z8" s="114" t="str">
        <f>IF('Data input'!D8&lt;&gt;"",P8/'Data input'!D8*100%,"")</f>
        <v/>
      </c>
      <c r="AA8" s="114" t="str">
        <f>IF('Data input'!E8&lt;&gt;"",Q8/'Data input'!E8*100%,"")</f>
        <v/>
      </c>
      <c r="AB8" s="114" t="str">
        <f>IF('Data input'!F8&lt;&gt;"",R8/'Data input'!F8*100%,"")</f>
        <v/>
      </c>
      <c r="AC8" s="114" t="str">
        <f>IF('Data input'!G8&lt;&gt;"",S8/'Data input'!G8*100%,"")</f>
        <v/>
      </c>
      <c r="AD8" s="114">
        <f>IF('Data input'!H8&lt;&gt;"",T8/'Data input'!H8*100%,"")</f>
        <v>-9.4313915647116272E-3</v>
      </c>
      <c r="AE8" s="114">
        <f>IF('Data input'!I8&lt;&gt;"",U8/'Data input'!I8*100%,"")</f>
        <v>-0.98934541623643257</v>
      </c>
      <c r="AF8" s="114" t="str">
        <f>IF('Data input'!J8&lt;&gt;"",V8/'Data input'!J8*100%,"")</f>
        <v/>
      </c>
      <c r="AG8" s="114" t="str">
        <f>IF('Data input'!K8&lt;&gt;"",W8/'Data input'!K8*100%,"")</f>
        <v/>
      </c>
      <c r="AH8" s="115" t="str">
        <f>IF('Data input'!L8&lt;&gt;"",X8/'Data input'!L8*100%,"")</f>
        <v/>
      </c>
      <c r="AI8" s="114">
        <f>IF('Data input'!C8&lt;&gt;"",'Run VRS'!AH8/'Run VRS'!C8,"")</f>
        <v>0</v>
      </c>
      <c r="AJ8" s="114" t="str">
        <f>IF('Data input'!D8&lt;&gt;"",'Run VRS'!AI8/'Run VRS'!D8,"")</f>
        <v/>
      </c>
      <c r="AK8" s="114" t="str">
        <f>IF('Data input'!E8&lt;&gt;"",'Run VRS'!AJ8/'Run VRS'!E8,"")</f>
        <v/>
      </c>
      <c r="AL8" s="114" t="str">
        <f>IF('Data input'!F8&lt;&gt;"",'Run VRS'!AK8/'Run VRS'!F8,"")</f>
        <v/>
      </c>
      <c r="AM8" s="114" t="str">
        <f>IF('Data input'!G8&lt;&gt;"",'Run VRS'!AL8/'Run VRS'!G8,"")</f>
        <v/>
      </c>
      <c r="AN8" s="114">
        <f>IF('Data input'!H8&lt;&gt;"",'Run VRS'!AM8/'Run VRS'!H8,"")</f>
        <v>1.1479617806546751E-3</v>
      </c>
      <c r="AO8" s="114">
        <f>IF('Data input'!I8&lt;&gt;"",'Run VRS'!AN8/'Run VRS'!I8,"")</f>
        <v>0.69007500840755565</v>
      </c>
      <c r="AP8" s="114" t="str">
        <f>IF('Data input'!J8&lt;&gt;"",'Run VRS'!AO8/'Run VRS'!J8,"")</f>
        <v/>
      </c>
      <c r="AQ8" s="114" t="str">
        <f>IF('Data input'!K8&lt;&gt;"",'Run VRS'!AP8/'Run VRS'!K8,"")</f>
        <v/>
      </c>
      <c r="AR8" s="115" t="str">
        <f>IF('Data input'!L8&lt;&gt;"",'Run VRS'!AQ8/'Run VRS'!L8,"")</f>
        <v/>
      </c>
    </row>
    <row r="9" spans="1:44" x14ac:dyDescent="0.35">
      <c r="A9" s="102">
        <f>IF('Run VRS'!AF9&lt;&gt;"",'Run VRS'!AF9,"")</f>
        <v>7</v>
      </c>
      <c r="B9" s="103" t="str">
        <f>IF('Run VRS'!AG9&lt;&gt;"",'Run VRS'!AG9,"")</f>
        <v>Connecticut</v>
      </c>
      <c r="C9" s="104">
        <f>IF('Run VRS'!AR9&lt;&gt;"",'Run VRS'!AR9,"")</f>
        <v>0.6416124738476835</v>
      </c>
      <c r="D9" s="104" t="str">
        <f>IF(ROUND(C9,3)=100%,"Optimal frontier",'Run VRS'!BW9)</f>
        <v xml:space="preserve">New York; Texas; </v>
      </c>
      <c r="E9" s="105">
        <f>IF('Run VRS'!BC9&lt;&gt;"",'Run VRS'!BC9,"")</f>
        <v>0.96715647306622476</v>
      </c>
      <c r="F9" s="106" t="str">
        <f>IF('Run VRS'!BD9&lt;&gt;"",'Run VRS'!BD9,"")</f>
        <v/>
      </c>
      <c r="G9" s="106" t="str">
        <f>IF('Run VRS'!BE9&lt;&gt;"",'Run VRS'!BE9,"")</f>
        <v/>
      </c>
      <c r="H9" s="106" t="str">
        <f>IF('Run VRS'!BF9&lt;&gt;"",'Run VRS'!BF9,"")</f>
        <v/>
      </c>
      <c r="I9" s="106" t="str">
        <f>IF('Run VRS'!BG9&lt;&gt;"",'Run VRS'!BG9,"")</f>
        <v/>
      </c>
      <c r="J9" s="106">
        <f>IF('Run VRS'!BH9&lt;&gt;"",'Run VRS'!BH9,"")</f>
        <v>16.606245797544261</v>
      </c>
      <c r="K9" s="105">
        <f>IF('Run VRS'!BI9&lt;&gt;"",'Run VRS'!BI9,"")</f>
        <v>2.2603439406910973E-2</v>
      </c>
      <c r="L9" s="105" t="str">
        <f>IF('Run VRS'!BJ9&lt;&gt;"",'Run VRS'!BJ9,"")</f>
        <v/>
      </c>
      <c r="M9" s="105" t="str">
        <f>IF('Run VRS'!BK9&lt;&gt;"",'Run VRS'!BK9,"")</f>
        <v/>
      </c>
      <c r="N9" s="105" t="str">
        <f>IF('Run VRS'!BL9&lt;&gt;"",'Run VRS'!BL9,"")</f>
        <v/>
      </c>
      <c r="O9" s="105">
        <f>IF('Run VRS'!BM9&lt;&gt;"",'Run VRS'!BM9,"")</f>
        <v>4.8856429701993886E-2</v>
      </c>
      <c r="P9" s="106" t="str">
        <f>IF('Run VRS'!BN9&lt;&gt;"",'Run VRS'!BN9,"")</f>
        <v/>
      </c>
      <c r="Q9" s="106" t="str">
        <f>IF('Run VRS'!BO9&lt;&gt;"",'Run VRS'!BO9,"")</f>
        <v/>
      </c>
      <c r="R9" s="106" t="str">
        <f>IF('Run VRS'!BP9&lt;&gt;"",'Run VRS'!BP9,"")</f>
        <v/>
      </c>
      <c r="S9" s="106" t="str">
        <f>IF('Run VRS'!BQ9&lt;&gt;"",'Run VRS'!BQ9,"")</f>
        <v/>
      </c>
      <c r="T9" s="106">
        <f>IF('Run VRS'!BR9&lt;&gt;"",'Run VRS'!BR9,"")</f>
        <v>-3.6186487082097294</v>
      </c>
      <c r="U9" s="105">
        <f>IF('Run VRS'!BS9&lt;&gt;"",'Run VRS'!BS9,"")</f>
        <v>-9.8405373625962481E-4</v>
      </c>
      <c r="V9" s="105" t="str">
        <f>IF('Run VRS'!BT9&lt;&gt;"",'Run VRS'!BT9,"")</f>
        <v/>
      </c>
      <c r="W9" s="105" t="str">
        <f>IF('Run VRS'!BU9&lt;&gt;"",'Run VRS'!BU9,"")</f>
        <v/>
      </c>
      <c r="X9" s="107" t="str">
        <f>IF('Run VRS'!BV9&lt;&gt;"",'Run VRS'!BV9,"")</f>
        <v/>
      </c>
      <c r="Y9" s="114">
        <f>IF('Data input'!C9&lt;&gt;"",O9/'Data input'!C9*100%,"")</f>
        <v>5.3203122503409993E-2</v>
      </c>
      <c r="Z9" s="114" t="str">
        <f>IF('Data input'!D9&lt;&gt;"",P9/'Data input'!D9*100%,"")</f>
        <v/>
      </c>
      <c r="AA9" s="114" t="str">
        <f>IF('Data input'!E9&lt;&gt;"",Q9/'Data input'!E9*100%,"")</f>
        <v/>
      </c>
      <c r="AB9" s="114" t="str">
        <f>IF('Data input'!F9&lt;&gt;"",R9/'Data input'!F9*100%,"")</f>
        <v/>
      </c>
      <c r="AC9" s="114" t="str">
        <f>IF('Data input'!G9&lt;&gt;"",S9/'Data input'!G9*100%,"")</f>
        <v/>
      </c>
      <c r="AD9" s="114">
        <f>IF('Data input'!H9&lt;&gt;"",T9/'Data input'!H9*100%,"")</f>
        <v>-0.17892052327789509</v>
      </c>
      <c r="AE9" s="114">
        <f>IF('Data input'!I9&lt;&gt;"",U9/'Data input'!I9*100%,"")</f>
        <v>-4.1719301423285955E-2</v>
      </c>
      <c r="AF9" s="114" t="str">
        <f>IF('Data input'!J9&lt;&gt;"",V9/'Data input'!J9*100%,"")</f>
        <v/>
      </c>
      <c r="AG9" s="114" t="str">
        <f>IF('Data input'!K9&lt;&gt;"",W9/'Data input'!K9*100%,"")</f>
        <v/>
      </c>
      <c r="AH9" s="115" t="str">
        <f>IF('Data input'!L9&lt;&gt;"",X9/'Data input'!L9*100%,"")</f>
        <v/>
      </c>
      <c r="AI9" s="114">
        <f>IF('Data input'!C9&lt;&gt;"",'Run VRS'!AH9/'Run VRS'!C9,"")</f>
        <v>0.47184582245906198</v>
      </c>
      <c r="AJ9" s="114" t="str">
        <f>IF('Data input'!D9&lt;&gt;"",'Run VRS'!AI9/'Run VRS'!D9,"")</f>
        <v/>
      </c>
      <c r="AK9" s="114" t="str">
        <f>IF('Data input'!E9&lt;&gt;"",'Run VRS'!AJ9/'Run VRS'!E9,"")</f>
        <v/>
      </c>
      <c r="AL9" s="114" t="str">
        <f>IF('Data input'!F9&lt;&gt;"",'Run VRS'!AK9/'Run VRS'!F9,"")</f>
        <v/>
      </c>
      <c r="AM9" s="114" t="str">
        <f>IF('Data input'!G9&lt;&gt;"",'Run VRS'!AL9/'Run VRS'!G9,"")</f>
        <v/>
      </c>
      <c r="AN9" s="114">
        <f>IF('Data input'!H9&lt;&gt;"",'Run VRS'!AM9/'Run VRS'!H9,"")</f>
        <v>8.6763617967204651E-2</v>
      </c>
      <c r="AO9" s="114">
        <f>IF('Data input'!I9&lt;&gt;"",'Run VRS'!AN9/'Run VRS'!I9,"")</f>
        <v>1.4579445262773756E-2</v>
      </c>
      <c r="AP9" s="114" t="str">
        <f>IF('Data input'!J9&lt;&gt;"",'Run VRS'!AO9/'Run VRS'!J9,"")</f>
        <v/>
      </c>
      <c r="AQ9" s="114" t="str">
        <f>IF('Data input'!K9&lt;&gt;"",'Run VRS'!AP9/'Run VRS'!K9,"")</f>
        <v/>
      </c>
      <c r="AR9" s="115" t="str">
        <f>IF('Data input'!L9&lt;&gt;"",'Run VRS'!AQ9/'Run VRS'!L9,"")</f>
        <v/>
      </c>
    </row>
    <row r="10" spans="1:44" x14ac:dyDescent="0.35">
      <c r="A10" s="102">
        <f>IF('Run VRS'!AF10&lt;&gt;"",'Run VRS'!AF10,"")</f>
        <v>8</v>
      </c>
      <c r="B10" s="103" t="str">
        <f>IF('Run VRS'!AG10&lt;&gt;"",'Run VRS'!AG10,"")</f>
        <v>Delaware</v>
      </c>
      <c r="C10" s="104">
        <f>IF('Run VRS'!AR10&lt;&gt;"",'Run VRS'!AR10,"")</f>
        <v>0.62838685466542077</v>
      </c>
      <c r="D10" s="104" t="str">
        <f>IF(ROUND(C10,3)=100%,"Optimal frontier",'Run VRS'!BW10)</f>
        <v xml:space="preserve">Kentucky; New York; </v>
      </c>
      <c r="E10" s="105">
        <f>IF('Run VRS'!BC10&lt;&gt;"",'Run VRS'!BC10,"")</f>
        <v>0.9571245976383167</v>
      </c>
      <c r="F10" s="106" t="str">
        <f>IF('Run VRS'!BD10&lt;&gt;"",'Run VRS'!BD10,"")</f>
        <v/>
      </c>
      <c r="G10" s="106" t="str">
        <f>IF('Run VRS'!BE10&lt;&gt;"",'Run VRS'!BE10,"")</f>
        <v/>
      </c>
      <c r="H10" s="106" t="str">
        <f>IF('Run VRS'!BF10&lt;&gt;"",'Run VRS'!BF10,"")</f>
        <v/>
      </c>
      <c r="I10" s="106" t="str">
        <f>IF('Run VRS'!BG10&lt;&gt;"",'Run VRS'!BG10,"")</f>
        <v/>
      </c>
      <c r="J10" s="106">
        <f>IF('Run VRS'!BH10&lt;&gt;"",'Run VRS'!BH10,"")</f>
        <v>3.0014732731355616</v>
      </c>
      <c r="K10" s="105">
        <f>IF('Run VRS'!BI10&lt;&gt;"",'Run VRS'!BI10,"")</f>
        <v>8.0232772881721988E-5</v>
      </c>
      <c r="L10" s="105" t="str">
        <f>IF('Run VRS'!BJ10&lt;&gt;"",'Run VRS'!BJ10,"")</f>
        <v/>
      </c>
      <c r="M10" s="105" t="str">
        <f>IF('Run VRS'!BK10&lt;&gt;"",'Run VRS'!BK10,"")</f>
        <v/>
      </c>
      <c r="N10" s="105" t="str">
        <f>IF('Run VRS'!BL10&lt;&gt;"",'Run VRS'!BL10,"")</f>
        <v/>
      </c>
      <c r="O10" s="105">
        <f>IF('Run VRS'!BM10&lt;&gt;"",'Run VRS'!BM10,"")</f>
        <v>7.0262902858608811E-5</v>
      </c>
      <c r="P10" s="106" t="str">
        <f>IF('Run VRS'!BN10&lt;&gt;"",'Run VRS'!BN10,"")</f>
        <v/>
      </c>
      <c r="Q10" s="106" t="str">
        <f>IF('Run VRS'!BO10&lt;&gt;"",'Run VRS'!BO10,"")</f>
        <v/>
      </c>
      <c r="R10" s="106" t="str">
        <f>IF('Run VRS'!BP10&lt;&gt;"",'Run VRS'!BP10,"")</f>
        <v/>
      </c>
      <c r="S10" s="106" t="str">
        <f>IF('Run VRS'!BQ10&lt;&gt;"",'Run VRS'!BQ10,"")</f>
        <v/>
      </c>
      <c r="T10" s="106">
        <f>IF('Run VRS'!BR10&lt;&gt;"",'Run VRS'!BR10,"")</f>
        <v>-47.691679868649075</v>
      </c>
      <c r="U10" s="105">
        <f>IF('Run VRS'!BS10&lt;&gt;"",'Run VRS'!BS10,"")</f>
        <v>-3.9197672271182784E-3</v>
      </c>
      <c r="V10" s="105" t="str">
        <f>IF('Run VRS'!BT10&lt;&gt;"",'Run VRS'!BT10,"")</f>
        <v/>
      </c>
      <c r="W10" s="105" t="str">
        <f>IF('Run VRS'!BU10&lt;&gt;"",'Run VRS'!BU10,"")</f>
        <v/>
      </c>
      <c r="X10" s="107" t="str">
        <f>IF('Run VRS'!BV10&lt;&gt;"",'Run VRS'!BV10,"")</f>
        <v/>
      </c>
      <c r="Y10" s="114">
        <f>IF('Data input'!C10&lt;&gt;"",O10/'Data input'!C10*100%,"")</f>
        <v>7.3415792926772921E-5</v>
      </c>
      <c r="Z10" s="114" t="str">
        <f>IF('Data input'!D10&lt;&gt;"",P10/'Data input'!D10*100%,"")</f>
        <v/>
      </c>
      <c r="AA10" s="114" t="str">
        <f>IF('Data input'!E10&lt;&gt;"",Q10/'Data input'!E10*100%,"")</f>
        <v/>
      </c>
      <c r="AB10" s="114" t="str">
        <f>IF('Data input'!F10&lt;&gt;"",R10/'Data input'!F10*100%,"")</f>
        <v/>
      </c>
      <c r="AC10" s="114" t="str">
        <f>IF('Data input'!G10&lt;&gt;"",S10/'Data input'!G10*100%,"")</f>
        <v/>
      </c>
      <c r="AD10" s="114">
        <f>IF('Data input'!H10&lt;&gt;"",T10/'Data input'!H10*100%,"")</f>
        <v>-0.94079134780311091</v>
      </c>
      <c r="AE10" s="114">
        <f>IF('Data input'!I10&lt;&gt;"",U10/'Data input'!I10*100%,"")</f>
        <v>-0.97994180677956955</v>
      </c>
      <c r="AF10" s="114" t="str">
        <f>IF('Data input'!J10&lt;&gt;"",V10/'Data input'!J10*100%,"")</f>
        <v/>
      </c>
      <c r="AG10" s="114" t="str">
        <f>IF('Data input'!K10&lt;&gt;"",W10/'Data input'!K10*100%,"")</f>
        <v/>
      </c>
      <c r="AH10" s="115" t="str">
        <f>IF('Data input'!L10&lt;&gt;"",X10/'Data input'!L10*100%,"")</f>
        <v/>
      </c>
      <c r="AI10" s="114">
        <f>IF('Data input'!C10&lt;&gt;"",'Run VRS'!AH10/'Run VRS'!C10,"")</f>
        <v>4.9377468772215081E-4</v>
      </c>
      <c r="AJ10" s="114" t="str">
        <f>IF('Data input'!D10&lt;&gt;"",'Run VRS'!AI10/'Run VRS'!D10,"")</f>
        <v/>
      </c>
      <c r="AK10" s="114" t="str">
        <f>IF('Data input'!E10&lt;&gt;"",'Run VRS'!AJ10/'Run VRS'!E10,"")</f>
        <v/>
      </c>
      <c r="AL10" s="114" t="str">
        <f>IF('Data input'!F10&lt;&gt;"",'Run VRS'!AK10/'Run VRS'!F10,"")</f>
        <v/>
      </c>
      <c r="AM10" s="114" t="str">
        <f>IF('Data input'!G10&lt;&gt;"",'Run VRS'!AL10/'Run VRS'!G10,"")</f>
        <v/>
      </c>
      <c r="AN10" s="114">
        <f>IF('Data input'!H10&lt;&gt;"",'Run VRS'!AM10/'Run VRS'!H10,"")</f>
        <v>0.66077617513269427</v>
      </c>
      <c r="AO10" s="114">
        <f>IF('Data input'!I10&lt;&gt;"",'Run VRS'!AN10/'Run VRS'!I10,"")</f>
        <v>8.181782937793998E-2</v>
      </c>
      <c r="AP10" s="114" t="str">
        <f>IF('Data input'!J10&lt;&gt;"",'Run VRS'!AO10/'Run VRS'!J10,"")</f>
        <v/>
      </c>
      <c r="AQ10" s="114" t="str">
        <f>IF('Data input'!K10&lt;&gt;"",'Run VRS'!AP10/'Run VRS'!K10,"")</f>
        <v/>
      </c>
      <c r="AR10" s="115" t="str">
        <f>IF('Data input'!L10&lt;&gt;"",'Run VRS'!AQ10/'Run VRS'!L10,"")</f>
        <v/>
      </c>
    </row>
    <row r="11" spans="1:44" x14ac:dyDescent="0.35">
      <c r="A11" s="102">
        <f>IF('Run VRS'!AF11&lt;&gt;"",'Run VRS'!AF11,"")</f>
        <v>9</v>
      </c>
      <c r="B11" s="103" t="str">
        <f>IF('Run VRS'!AG11&lt;&gt;"",'Run VRS'!AG11,"")</f>
        <v>District Of Columbia</v>
      </c>
      <c r="C11" s="104">
        <f>IF('Run VRS'!AR11&lt;&gt;"",'Run VRS'!AR11,"")</f>
        <v>0.51303980348642886</v>
      </c>
      <c r="D11" s="104" t="str">
        <f>IF(ROUND(C11,3)=100%,"Optimal frontier",'Run VRS'!BW11)</f>
        <v xml:space="preserve">Kansas; New York; Texas; </v>
      </c>
      <c r="E11" s="105">
        <f>IF('Run VRS'!BC11&lt;&gt;"",'Run VRS'!BC11,"")</f>
        <v>0.9236502269511504</v>
      </c>
      <c r="F11" s="106" t="str">
        <f>IF('Run VRS'!BD11&lt;&gt;"",'Run VRS'!BD11,"")</f>
        <v/>
      </c>
      <c r="G11" s="106" t="str">
        <f>IF('Run VRS'!BE11&lt;&gt;"",'Run VRS'!BE11,"")</f>
        <v/>
      </c>
      <c r="H11" s="106" t="str">
        <f>IF('Run VRS'!BF11&lt;&gt;"",'Run VRS'!BF11,"")</f>
        <v/>
      </c>
      <c r="I11" s="106" t="str">
        <f>IF('Run VRS'!BG11&lt;&gt;"",'Run VRS'!BG11,"")</f>
        <v/>
      </c>
      <c r="J11" s="106">
        <f>IF('Run VRS'!BH11&lt;&gt;"",'Run VRS'!BH11,"")</f>
        <v>4.58390325663611</v>
      </c>
      <c r="K11" s="105">
        <f>IF('Run VRS'!BI11&lt;&gt;"",'Run VRS'!BI11,"")</f>
        <v>1.0550594582073383E-3</v>
      </c>
      <c r="L11" s="105" t="str">
        <f>IF('Run VRS'!BJ11&lt;&gt;"",'Run VRS'!BJ11,"")</f>
        <v/>
      </c>
      <c r="M11" s="105" t="str">
        <f>IF('Run VRS'!BK11&lt;&gt;"",'Run VRS'!BK11,"")</f>
        <v/>
      </c>
      <c r="N11" s="105" t="str">
        <f>IF('Run VRS'!BL11&lt;&gt;"",'Run VRS'!BL11,"")</f>
        <v/>
      </c>
      <c r="O11" s="105">
        <f>IF('Run VRS'!BM11&lt;&gt;"",'Run VRS'!BM11,"")</f>
        <v>0</v>
      </c>
      <c r="P11" s="106" t="str">
        <f>IF('Run VRS'!BN11&lt;&gt;"",'Run VRS'!BN11,"")</f>
        <v/>
      </c>
      <c r="Q11" s="106" t="str">
        <f>IF('Run VRS'!BO11&lt;&gt;"",'Run VRS'!BO11,"")</f>
        <v/>
      </c>
      <c r="R11" s="106" t="str">
        <f>IF('Run VRS'!BP11&lt;&gt;"",'Run VRS'!BP11,"")</f>
        <v/>
      </c>
      <c r="S11" s="106" t="str">
        <f>IF('Run VRS'!BQ11&lt;&gt;"",'Run VRS'!BQ11,"")</f>
        <v/>
      </c>
      <c r="T11" s="106">
        <f>IF('Run VRS'!BR11&lt;&gt;"",'Run VRS'!BR11,"")</f>
        <v>-13.994508300512166</v>
      </c>
      <c r="U11" s="105">
        <f>IF('Run VRS'!BS11&lt;&gt;"",'Run VRS'!BS11,"")</f>
        <v>-7.4807009507309896E-2</v>
      </c>
      <c r="V11" s="105" t="str">
        <f>IF('Run VRS'!BT11&lt;&gt;"",'Run VRS'!BT11,"")</f>
        <v/>
      </c>
      <c r="W11" s="105" t="str">
        <f>IF('Run VRS'!BU11&lt;&gt;"",'Run VRS'!BU11,"")</f>
        <v/>
      </c>
      <c r="X11" s="107" t="str">
        <f>IF('Run VRS'!BV11&lt;&gt;"",'Run VRS'!BV11,"")</f>
        <v/>
      </c>
      <c r="Y11" s="114">
        <f>IF('Data input'!C11&lt;&gt;"",O11/'Data input'!C11*100%,"")</f>
        <v>0</v>
      </c>
      <c r="Z11" s="114" t="str">
        <f>IF('Data input'!D11&lt;&gt;"",P11/'Data input'!D11*100%,"")</f>
        <v/>
      </c>
      <c r="AA11" s="114" t="str">
        <f>IF('Data input'!E11&lt;&gt;"",Q11/'Data input'!E11*100%,"")</f>
        <v/>
      </c>
      <c r="AB11" s="114" t="str">
        <f>IF('Data input'!F11&lt;&gt;"",R11/'Data input'!F11*100%,"")</f>
        <v/>
      </c>
      <c r="AC11" s="114" t="str">
        <f>IF('Data input'!G11&lt;&gt;"",S11/'Data input'!G11*100%,"")</f>
        <v/>
      </c>
      <c r="AD11" s="114">
        <f>IF('Data input'!H11&lt;&gt;"",T11/'Data input'!H11*100%,"")</f>
        <v>-0.75326721326332147</v>
      </c>
      <c r="AE11" s="114">
        <f>IF('Data input'!I11&lt;&gt;"",U11/'Data input'!I11*100%,"")</f>
        <v>-0.98609239805090321</v>
      </c>
      <c r="AF11" s="114" t="str">
        <f>IF('Data input'!J11&lt;&gt;"",V11/'Data input'!J11*100%,"")</f>
        <v/>
      </c>
      <c r="AG11" s="114" t="str">
        <f>IF('Data input'!K11&lt;&gt;"",W11/'Data input'!K11*100%,"")</f>
        <v/>
      </c>
      <c r="AH11" s="115" t="str">
        <f>IF('Data input'!L11&lt;&gt;"",X11/'Data input'!L11*100%,"")</f>
        <v/>
      </c>
      <c r="AI11" s="114">
        <f>IF('Data input'!C11&lt;&gt;"",'Run VRS'!AH11/'Run VRS'!C11,"")</f>
        <v>0</v>
      </c>
      <c r="AJ11" s="114" t="str">
        <f>IF('Data input'!D11&lt;&gt;"",'Run VRS'!AI11/'Run VRS'!D11,"")</f>
        <v/>
      </c>
      <c r="AK11" s="114" t="str">
        <f>IF('Data input'!E11&lt;&gt;"",'Run VRS'!AJ11/'Run VRS'!E11,"")</f>
        <v/>
      </c>
      <c r="AL11" s="114" t="str">
        <f>IF('Data input'!F11&lt;&gt;"",'Run VRS'!AK11/'Run VRS'!F11,"")</f>
        <v/>
      </c>
      <c r="AM11" s="114" t="str">
        <f>IF('Data input'!G11&lt;&gt;"",'Run VRS'!AL11/'Run VRS'!G11,"")</f>
        <v/>
      </c>
      <c r="AN11" s="114">
        <f>IF('Data input'!H11&lt;&gt;"",'Run VRS'!AM11/'Run VRS'!H11,"")</f>
        <v>0.34933434202894337</v>
      </c>
      <c r="AO11" s="114">
        <f>IF('Data input'!I11&lt;&gt;"",'Run VRS'!AN11/'Run VRS'!I11,"")</f>
        <v>0.62458605099819864</v>
      </c>
      <c r="AP11" s="114" t="str">
        <f>IF('Data input'!J11&lt;&gt;"",'Run VRS'!AO11/'Run VRS'!J11,"")</f>
        <v/>
      </c>
      <c r="AQ11" s="114" t="str">
        <f>IF('Data input'!K11&lt;&gt;"",'Run VRS'!AP11/'Run VRS'!K11,"")</f>
        <v/>
      </c>
      <c r="AR11" s="115" t="str">
        <f>IF('Data input'!L11&lt;&gt;"",'Run VRS'!AQ11/'Run VRS'!L11,"")</f>
        <v/>
      </c>
    </row>
    <row r="12" spans="1:44" x14ac:dyDescent="0.35">
      <c r="A12" s="102">
        <f>IF('Run VRS'!AF12&lt;&gt;"",'Run VRS'!AF12,"")</f>
        <v>10</v>
      </c>
      <c r="B12" s="103" t="str">
        <f>IF('Run VRS'!AG12&lt;&gt;"",'Run VRS'!AG12,"")</f>
        <v>Florida</v>
      </c>
      <c r="C12" s="104">
        <f>IF('Run VRS'!AR12&lt;&gt;"",'Run VRS'!AR12,"")</f>
        <v>0.71836677537465854</v>
      </c>
      <c r="D12" s="104" t="str">
        <f>IF(ROUND(C12,3)=100%,"Optimal frontier",'Run VRS'!BW12)</f>
        <v xml:space="preserve">Kansas; New York; Texas; </v>
      </c>
      <c r="E12" s="105">
        <f>IF('Run VRS'!BC12&lt;&gt;"",'Run VRS'!BC12,"")</f>
        <v>0.98232234118132356</v>
      </c>
      <c r="F12" s="106" t="str">
        <f>IF('Run VRS'!BD12&lt;&gt;"",'Run VRS'!BD12,"")</f>
        <v/>
      </c>
      <c r="G12" s="106" t="str">
        <f>IF('Run VRS'!BE12&lt;&gt;"",'Run VRS'!BE12,"")</f>
        <v/>
      </c>
      <c r="H12" s="106" t="str">
        <f>IF('Run VRS'!BF12&lt;&gt;"",'Run VRS'!BF12,"")</f>
        <v/>
      </c>
      <c r="I12" s="106" t="str">
        <f>IF('Run VRS'!BG12&lt;&gt;"",'Run VRS'!BG12,"")</f>
        <v/>
      </c>
      <c r="J12" s="106">
        <f>IF('Run VRS'!BH12&lt;&gt;"",'Run VRS'!BH12,"")</f>
        <v>0.80106586060183393</v>
      </c>
      <c r="K12" s="105">
        <f>IF('Run VRS'!BI12&lt;&gt;"",'Run VRS'!BI12,"")</f>
        <v>1.138342305055358E-3</v>
      </c>
      <c r="L12" s="105" t="str">
        <f>IF('Run VRS'!BJ12&lt;&gt;"",'Run VRS'!BJ12,"")</f>
        <v/>
      </c>
      <c r="M12" s="105" t="str">
        <f>IF('Run VRS'!BK12&lt;&gt;"",'Run VRS'!BK12,"")</f>
        <v/>
      </c>
      <c r="N12" s="105" t="str">
        <f>IF('Run VRS'!BL12&lt;&gt;"",'Run VRS'!BL12,"")</f>
        <v/>
      </c>
      <c r="O12" s="105">
        <f>IF('Run VRS'!BM12&lt;&gt;"",'Run VRS'!BM12,"")</f>
        <v>0</v>
      </c>
      <c r="P12" s="106" t="str">
        <f>IF('Run VRS'!BN12&lt;&gt;"",'Run VRS'!BN12,"")</f>
        <v/>
      </c>
      <c r="Q12" s="106" t="str">
        <f>IF('Run VRS'!BO12&lt;&gt;"",'Run VRS'!BO12,"")</f>
        <v/>
      </c>
      <c r="R12" s="106" t="str">
        <f>IF('Run VRS'!BP12&lt;&gt;"",'Run VRS'!BP12,"")</f>
        <v/>
      </c>
      <c r="S12" s="106" t="str">
        <f>IF('Run VRS'!BQ12&lt;&gt;"",'Run VRS'!BQ12,"")</f>
        <v/>
      </c>
      <c r="T12" s="106">
        <f>IF('Run VRS'!BR12&lt;&gt;"",'Run VRS'!BR12,"")</f>
        <v>-8.1226975839613247E-2</v>
      </c>
      <c r="U12" s="105">
        <f>IF('Run VRS'!BS12&lt;&gt;"",'Run VRS'!BS12,"")</f>
        <v>-5.7247328781243785E-2</v>
      </c>
      <c r="V12" s="105" t="str">
        <f>IF('Run VRS'!BT12&lt;&gt;"",'Run VRS'!BT12,"")</f>
        <v/>
      </c>
      <c r="W12" s="105" t="str">
        <f>IF('Run VRS'!BU12&lt;&gt;"",'Run VRS'!BU12,"")</f>
        <v/>
      </c>
      <c r="X12" s="107" t="str">
        <f>IF('Run VRS'!BV12&lt;&gt;"",'Run VRS'!BV12,"")</f>
        <v/>
      </c>
      <c r="Y12" s="114">
        <f>IF('Data input'!C12&lt;&gt;"",O12/'Data input'!C12*100%,"")</f>
        <v>0</v>
      </c>
      <c r="Z12" s="114" t="str">
        <f>IF('Data input'!D12&lt;&gt;"",P12/'Data input'!D12*100%,"")</f>
        <v/>
      </c>
      <c r="AA12" s="114" t="str">
        <f>IF('Data input'!E12&lt;&gt;"",Q12/'Data input'!E12*100%,"")</f>
        <v/>
      </c>
      <c r="AB12" s="114" t="str">
        <f>IF('Data input'!F12&lt;&gt;"",R12/'Data input'!F12*100%,"")</f>
        <v/>
      </c>
      <c r="AC12" s="114" t="str">
        <f>IF('Data input'!G12&lt;&gt;"",S12/'Data input'!G12*100%,"")</f>
        <v/>
      </c>
      <c r="AD12" s="114">
        <f>IF('Data input'!H12&lt;&gt;"",T12/'Data input'!H12*100%,"")</f>
        <v>-9.2063510531521606E-2</v>
      </c>
      <c r="AE12" s="114">
        <f>IF('Data input'!I12&lt;&gt;"",U12/'Data input'!I12*100%,"")</f>
        <v>-0.98050305350823519</v>
      </c>
      <c r="AF12" s="114" t="str">
        <f>IF('Data input'!J12&lt;&gt;"",V12/'Data input'!J12*100%,"")</f>
        <v/>
      </c>
      <c r="AG12" s="114" t="str">
        <f>IF('Data input'!K12&lt;&gt;"",W12/'Data input'!K12*100%,"")</f>
        <v/>
      </c>
      <c r="AH12" s="115" t="str">
        <f>IF('Data input'!L12&lt;&gt;"",X12/'Data input'!L12*100%,"")</f>
        <v/>
      </c>
      <c r="AI12" s="114">
        <f>IF('Data input'!C12&lt;&gt;"",'Run VRS'!AH12/'Run VRS'!C12,"")</f>
        <v>0</v>
      </c>
      <c r="AJ12" s="114" t="str">
        <f>IF('Data input'!D12&lt;&gt;"",'Run VRS'!AI12/'Run VRS'!D12,"")</f>
        <v/>
      </c>
      <c r="AK12" s="114" t="str">
        <f>IF('Data input'!E12&lt;&gt;"",'Run VRS'!AJ12/'Run VRS'!E12,"")</f>
        <v/>
      </c>
      <c r="AL12" s="114" t="str">
        <f>IF('Data input'!F12&lt;&gt;"",'Run VRS'!AK12/'Run VRS'!F12,"")</f>
        <v/>
      </c>
      <c r="AM12" s="114" t="str">
        <f>IF('Data input'!G12&lt;&gt;"",'Run VRS'!AL12/'Run VRS'!G12,"")</f>
        <v/>
      </c>
      <c r="AN12" s="114">
        <f>IF('Data input'!H12&lt;&gt;"",'Run VRS'!AM12/'Run VRS'!H12,"")</f>
        <v>3.6319796175716059E-3</v>
      </c>
      <c r="AO12" s="114">
        <f>IF('Data input'!I12&lt;&gt;"",'Run VRS'!AN12/'Run VRS'!I12,"")</f>
        <v>0.55963446963311125</v>
      </c>
      <c r="AP12" s="114" t="str">
        <f>IF('Data input'!J12&lt;&gt;"",'Run VRS'!AO12/'Run VRS'!J12,"")</f>
        <v/>
      </c>
      <c r="AQ12" s="114" t="str">
        <f>IF('Data input'!K12&lt;&gt;"",'Run VRS'!AP12/'Run VRS'!K12,"")</f>
        <v/>
      </c>
      <c r="AR12" s="115" t="str">
        <f>IF('Data input'!L12&lt;&gt;"",'Run VRS'!AQ12/'Run VRS'!L12,"")</f>
        <v/>
      </c>
    </row>
    <row r="13" spans="1:44" x14ac:dyDescent="0.35">
      <c r="A13" s="102">
        <f>IF('Run VRS'!AF13&lt;&gt;"",'Run VRS'!AF13,"")</f>
        <v>11</v>
      </c>
      <c r="B13" s="103" t="str">
        <f>IF('Run VRS'!AG13&lt;&gt;"",'Run VRS'!AG13,"")</f>
        <v>Georgia</v>
      </c>
      <c r="C13" s="104">
        <f>IF('Run VRS'!AR13&lt;&gt;"",'Run VRS'!AR13,"")</f>
        <v>0.99999999999999811</v>
      </c>
      <c r="D13" s="104" t="str">
        <f>IF(ROUND(C13,3)=100%,"Optimal frontier",'Run VRS'!BW13)</f>
        <v>Optimal frontier</v>
      </c>
      <c r="E13" s="105">
        <f>IF('Run VRS'!BC13&lt;&gt;"",'Run VRS'!BC13,"")</f>
        <v>0.99418629513662549</v>
      </c>
      <c r="F13" s="106" t="str">
        <f>IF('Run VRS'!BD13&lt;&gt;"",'Run VRS'!BD13,"")</f>
        <v/>
      </c>
      <c r="G13" s="106" t="str">
        <f>IF('Run VRS'!BE13&lt;&gt;"",'Run VRS'!BE13,"")</f>
        <v/>
      </c>
      <c r="H13" s="106" t="str">
        <f>IF('Run VRS'!BF13&lt;&gt;"",'Run VRS'!BF13,"")</f>
        <v/>
      </c>
      <c r="I13" s="106" t="str">
        <f>IF('Run VRS'!BG13&lt;&gt;"",'Run VRS'!BG13,"")</f>
        <v/>
      </c>
      <c r="J13" s="106">
        <f>IF('Run VRS'!BH13&lt;&gt;"",'Run VRS'!BH13,"")</f>
        <v>1.3829925335126751</v>
      </c>
      <c r="K13" s="105">
        <f>IF('Run VRS'!BI13&lt;&gt;"",'Run VRS'!BI13,"")</f>
        <v>4.8359240069084243E-2</v>
      </c>
      <c r="L13" s="105" t="str">
        <f>IF('Run VRS'!BJ13&lt;&gt;"",'Run VRS'!BJ13,"")</f>
        <v/>
      </c>
      <c r="M13" s="105" t="str">
        <f>IF('Run VRS'!BK13&lt;&gt;"",'Run VRS'!BK13,"")</f>
        <v/>
      </c>
      <c r="N13" s="105" t="str">
        <f>IF('Run VRS'!BL13&lt;&gt;"",'Run VRS'!BL13,"")</f>
        <v/>
      </c>
      <c r="O13" s="105">
        <f>IF('Run VRS'!BM13&lt;&gt;"",'Run VRS'!BM13,"")</f>
        <v>0</v>
      </c>
      <c r="P13" s="106" t="str">
        <f>IF('Run VRS'!BN13&lt;&gt;"",'Run VRS'!BN13,"")</f>
        <v/>
      </c>
      <c r="Q13" s="106" t="str">
        <f>IF('Run VRS'!BO13&lt;&gt;"",'Run VRS'!BO13,"")</f>
        <v/>
      </c>
      <c r="R13" s="106" t="str">
        <f>IF('Run VRS'!BP13&lt;&gt;"",'Run VRS'!BP13,"")</f>
        <v/>
      </c>
      <c r="S13" s="106" t="str">
        <f>IF('Run VRS'!BQ13&lt;&gt;"",'Run VRS'!BQ13,"")</f>
        <v/>
      </c>
      <c r="T13" s="106">
        <f>IF('Run VRS'!BR13&lt;&gt;"",'Run VRS'!BR13,"")</f>
        <v>1.2878587085651816E-14</v>
      </c>
      <c r="U13" s="105">
        <f>IF('Run VRS'!BS13&lt;&gt;"",'Run VRS'!BS13,"")</f>
        <v>-3.8857805861880479E-16</v>
      </c>
      <c r="V13" s="105" t="str">
        <f>IF('Run VRS'!BT13&lt;&gt;"",'Run VRS'!BT13,"")</f>
        <v/>
      </c>
      <c r="W13" s="105" t="str">
        <f>IF('Run VRS'!BU13&lt;&gt;"",'Run VRS'!BU13,"")</f>
        <v/>
      </c>
      <c r="X13" s="107" t="str">
        <f>IF('Run VRS'!BV13&lt;&gt;"",'Run VRS'!BV13,"")</f>
        <v/>
      </c>
      <c r="Y13" s="114">
        <f>IF('Data input'!C13&lt;&gt;"",O13/'Data input'!C13*100%,"")</f>
        <v>0</v>
      </c>
      <c r="Z13" s="114" t="str">
        <f>IF('Data input'!D13&lt;&gt;"",P13/'Data input'!D13*100%,"")</f>
        <v/>
      </c>
      <c r="AA13" s="114" t="str">
        <f>IF('Data input'!E13&lt;&gt;"",Q13/'Data input'!E13*100%,"")</f>
        <v/>
      </c>
      <c r="AB13" s="114" t="str">
        <f>IF('Data input'!F13&lt;&gt;"",R13/'Data input'!F13*100%,"")</f>
        <v/>
      </c>
      <c r="AC13" s="114" t="str">
        <f>IF('Data input'!G13&lt;&gt;"",S13/'Data input'!G13*100%,"")</f>
        <v/>
      </c>
      <c r="AD13" s="114">
        <f>IF('Data input'!H13&lt;&gt;"",T13/'Data input'!H13*100%,"")</f>
        <v>9.312116134814913E-15</v>
      </c>
      <c r="AE13" s="114">
        <f>IF('Data input'!I13&lt;&gt;"",U13/'Data input'!I13*100%,"")</f>
        <v>-8.0352391407245705E-15</v>
      </c>
      <c r="AF13" s="114" t="str">
        <f>IF('Data input'!J13&lt;&gt;"",V13/'Data input'!J13*100%,"")</f>
        <v/>
      </c>
      <c r="AG13" s="114" t="str">
        <f>IF('Data input'!K13&lt;&gt;"",W13/'Data input'!K13*100%,"")</f>
        <v/>
      </c>
      <c r="AH13" s="115" t="str">
        <f>IF('Data input'!L13&lt;&gt;"",X13/'Data input'!L13*100%,"")</f>
        <v/>
      </c>
      <c r="AI13" s="114">
        <f>IF('Data input'!C13&lt;&gt;"",'Run VRS'!AH13/'Run VRS'!C13,"")</f>
        <v>0</v>
      </c>
      <c r="AJ13" s="114" t="str">
        <f>IF('Data input'!D13&lt;&gt;"",'Run VRS'!AI13/'Run VRS'!D13,"")</f>
        <v/>
      </c>
      <c r="AK13" s="114" t="str">
        <f>IF('Data input'!E13&lt;&gt;"",'Run VRS'!AJ13/'Run VRS'!E13,"")</f>
        <v/>
      </c>
      <c r="AL13" s="114" t="str">
        <f>IF('Data input'!F13&lt;&gt;"",'Run VRS'!AK13/'Run VRS'!F13,"")</f>
        <v/>
      </c>
      <c r="AM13" s="114" t="str">
        <f>IF('Data input'!G13&lt;&gt;"",'Run VRS'!AL13/'Run VRS'!G13,"")</f>
        <v/>
      </c>
      <c r="AN13" s="114">
        <f>IF('Data input'!H13&lt;&gt;"",'Run VRS'!AM13/'Run VRS'!H13,"")</f>
        <v>-5.702772832699997E-16</v>
      </c>
      <c r="AO13" s="114">
        <f>IF('Data input'!I13&lt;&gt;"",'Run VRS'!AN13/'Run VRS'!I13,"")</f>
        <v>4.3214809527389329E-15</v>
      </c>
      <c r="AP13" s="114" t="str">
        <f>IF('Data input'!J13&lt;&gt;"",'Run VRS'!AO13/'Run VRS'!J13,"")</f>
        <v/>
      </c>
      <c r="AQ13" s="114" t="str">
        <f>IF('Data input'!K13&lt;&gt;"",'Run VRS'!AP13/'Run VRS'!K13,"")</f>
        <v/>
      </c>
      <c r="AR13" s="115" t="str">
        <f>IF('Data input'!L13&lt;&gt;"",'Run VRS'!AQ13/'Run VRS'!L13,"")</f>
        <v/>
      </c>
    </row>
    <row r="14" spans="1:44" x14ac:dyDescent="0.35">
      <c r="A14" s="102">
        <f>IF('Run VRS'!AF14&lt;&gt;"",'Run VRS'!AF14,"")</f>
        <v>12</v>
      </c>
      <c r="B14" s="103" t="str">
        <f>IF('Run VRS'!AG14&lt;&gt;"",'Run VRS'!AG14,"")</f>
        <v>Hawaii</v>
      </c>
      <c r="C14" s="104">
        <f>IF('Run VRS'!AR14&lt;&gt;"",'Run VRS'!AR14,"")</f>
        <v>0.58328721895070657</v>
      </c>
      <c r="D14" s="104" t="str">
        <f>IF(ROUND(C14,3)=100%,"Optimal frontier",'Run VRS'!BW14)</f>
        <v xml:space="preserve">New York; Texas; </v>
      </c>
      <c r="E14" s="105">
        <f>IF('Run VRS'!BC14&lt;&gt;"",'Run VRS'!BC14,"")</f>
        <v>0.97729309223402905</v>
      </c>
      <c r="F14" s="106" t="str">
        <f>IF('Run VRS'!BD14&lt;&gt;"",'Run VRS'!BD14,"")</f>
        <v/>
      </c>
      <c r="G14" s="106" t="str">
        <f>IF('Run VRS'!BE14&lt;&gt;"",'Run VRS'!BE14,"")</f>
        <v/>
      </c>
      <c r="H14" s="106" t="str">
        <f>IF('Run VRS'!BF14&lt;&gt;"",'Run VRS'!BF14,"")</f>
        <v/>
      </c>
      <c r="I14" s="106" t="str">
        <f>IF('Run VRS'!BG14&lt;&gt;"",'Run VRS'!BG14,"")</f>
        <v/>
      </c>
      <c r="J14" s="106">
        <f>IF('Run VRS'!BH14&lt;&gt;"",'Run VRS'!BH14,"")</f>
        <v>0.9825420714979658</v>
      </c>
      <c r="K14" s="105">
        <f>IF('Run VRS'!BI14&lt;&gt;"",'Run VRS'!BI14,"")</f>
        <v>1.1305108359335851E-3</v>
      </c>
      <c r="L14" s="105" t="str">
        <f>IF('Run VRS'!BJ14&lt;&gt;"",'Run VRS'!BJ14,"")</f>
        <v/>
      </c>
      <c r="M14" s="105" t="str">
        <f>IF('Run VRS'!BK14&lt;&gt;"",'Run VRS'!BK14,"")</f>
        <v/>
      </c>
      <c r="N14" s="105" t="str">
        <f>IF('Run VRS'!BL14&lt;&gt;"",'Run VRS'!BL14,"")</f>
        <v/>
      </c>
      <c r="O14" s="105">
        <f>IF('Run VRS'!BM14&lt;&gt;"",'Run VRS'!BM14,"")</f>
        <v>0</v>
      </c>
      <c r="P14" s="106" t="str">
        <f>IF('Run VRS'!BN14&lt;&gt;"",'Run VRS'!BN14,"")</f>
        <v/>
      </c>
      <c r="Q14" s="106" t="str">
        <f>IF('Run VRS'!BO14&lt;&gt;"",'Run VRS'!BO14,"")</f>
        <v/>
      </c>
      <c r="R14" s="106" t="str">
        <f>IF('Run VRS'!BP14&lt;&gt;"",'Run VRS'!BP14,"")</f>
        <v/>
      </c>
      <c r="S14" s="106" t="str">
        <f>IF('Run VRS'!BQ14&lt;&gt;"",'Run VRS'!BQ14,"")</f>
        <v/>
      </c>
      <c r="T14" s="106">
        <f>IF('Run VRS'!BR14&lt;&gt;"",'Run VRS'!BR14,"")</f>
        <v>-6.5891106266316779</v>
      </c>
      <c r="U14" s="105">
        <f>IF('Run VRS'!BS14&lt;&gt;"",'Run VRS'!BS14,"")</f>
        <v>-6.9457724458184059E-2</v>
      </c>
      <c r="V14" s="105" t="str">
        <f>IF('Run VRS'!BT14&lt;&gt;"",'Run VRS'!BT14,"")</f>
        <v/>
      </c>
      <c r="W14" s="105" t="str">
        <f>IF('Run VRS'!BU14&lt;&gt;"",'Run VRS'!BU14,"")</f>
        <v/>
      </c>
      <c r="X14" s="107" t="str">
        <f>IF('Run VRS'!BV14&lt;&gt;"",'Run VRS'!BV14,"")</f>
        <v/>
      </c>
      <c r="Y14" s="114">
        <f>IF('Data input'!C14&lt;&gt;"",O14/'Data input'!C14*100%,"")</f>
        <v>0</v>
      </c>
      <c r="Z14" s="114" t="str">
        <f>IF('Data input'!D14&lt;&gt;"",P14/'Data input'!D14*100%,"")</f>
        <v/>
      </c>
      <c r="AA14" s="114" t="str">
        <f>IF('Data input'!E14&lt;&gt;"",Q14/'Data input'!E14*100%,"")</f>
        <v/>
      </c>
      <c r="AB14" s="114" t="str">
        <f>IF('Data input'!F14&lt;&gt;"",R14/'Data input'!F14*100%,"")</f>
        <v/>
      </c>
      <c r="AC14" s="114" t="str">
        <f>IF('Data input'!G14&lt;&gt;"",S14/'Data input'!G14*100%,"")</f>
        <v/>
      </c>
      <c r="AD14" s="114">
        <f>IF('Data input'!H14&lt;&gt;"",T14/'Data input'!H14*100%,"")</f>
        <v>-0.87023413372609204</v>
      </c>
      <c r="AE14" s="114">
        <f>IF('Data input'!I14&lt;&gt;"",U14/'Data input'!I14*100%,"")</f>
        <v>-0.98398442982427414</v>
      </c>
      <c r="AF14" s="114" t="str">
        <f>IF('Data input'!J14&lt;&gt;"",V14/'Data input'!J14*100%,"")</f>
        <v/>
      </c>
      <c r="AG14" s="114" t="str">
        <f>IF('Data input'!K14&lt;&gt;"",W14/'Data input'!K14*100%,"")</f>
        <v/>
      </c>
      <c r="AH14" s="115" t="str">
        <f>IF('Data input'!L14&lt;&gt;"",X14/'Data input'!L14*100%,"")</f>
        <v/>
      </c>
      <c r="AI14" s="114">
        <f>IF('Data input'!C14&lt;&gt;"",'Run VRS'!AH14/'Run VRS'!C14,"")</f>
        <v>0</v>
      </c>
      <c r="AJ14" s="114" t="str">
        <f>IF('Data input'!D14&lt;&gt;"",'Run VRS'!AI14/'Run VRS'!D14,"")</f>
        <v/>
      </c>
      <c r="AK14" s="114" t="str">
        <f>IF('Data input'!E14&lt;&gt;"",'Run VRS'!AJ14/'Run VRS'!E14,"")</f>
        <v/>
      </c>
      <c r="AL14" s="114" t="str">
        <f>IF('Data input'!F14&lt;&gt;"",'Run VRS'!AK14/'Run VRS'!F14,"")</f>
        <v/>
      </c>
      <c r="AM14" s="114" t="str">
        <f>IF('Data input'!G14&lt;&gt;"",'Run VRS'!AL14/'Run VRS'!G14,"")</f>
        <v/>
      </c>
      <c r="AN14" s="114">
        <f>IF('Data input'!H14&lt;&gt;"",'Run VRS'!AM14/'Run VRS'!H14,"")</f>
        <v>0.22679043862174192</v>
      </c>
      <c r="AO14" s="114">
        <f>IF('Data input'!I14&lt;&gt;"",'Run VRS'!AN14/'Run VRS'!I14,"")</f>
        <v>0.6066351234768449</v>
      </c>
      <c r="AP14" s="114" t="str">
        <f>IF('Data input'!J14&lt;&gt;"",'Run VRS'!AO14/'Run VRS'!J14,"")</f>
        <v/>
      </c>
      <c r="AQ14" s="114" t="str">
        <f>IF('Data input'!K14&lt;&gt;"",'Run VRS'!AP14/'Run VRS'!K14,"")</f>
        <v/>
      </c>
      <c r="AR14" s="115" t="str">
        <f>IF('Data input'!L14&lt;&gt;"",'Run VRS'!AQ14/'Run VRS'!L14,"")</f>
        <v/>
      </c>
    </row>
    <row r="15" spans="1:44" x14ac:dyDescent="0.35">
      <c r="A15" s="102">
        <f>IF('Run VRS'!AF15&lt;&gt;"",'Run VRS'!AF15,"")</f>
        <v>13</v>
      </c>
      <c r="B15" s="103" t="str">
        <f>IF('Run VRS'!AG15&lt;&gt;"",'Run VRS'!AG15,"")</f>
        <v>Idaho</v>
      </c>
      <c r="C15" s="104">
        <f>IF('Run VRS'!AR15&lt;&gt;"",'Run VRS'!AR15,"")</f>
        <v>0.6213581806919809</v>
      </c>
      <c r="D15" s="104" t="str">
        <f>IF(ROUND(C15,3)=100%,"Optimal frontier",'Run VRS'!BW15)</f>
        <v xml:space="preserve">Kansas; New York; Texas; </v>
      </c>
      <c r="E15" s="105">
        <f>IF('Run VRS'!BC15&lt;&gt;"",'Run VRS'!BC15,"")</f>
        <v>0.97567300446100802</v>
      </c>
      <c r="F15" s="106" t="str">
        <f>IF('Run VRS'!BD15&lt;&gt;"",'Run VRS'!BD15,"")</f>
        <v/>
      </c>
      <c r="G15" s="106" t="str">
        <f>IF('Run VRS'!BE15&lt;&gt;"",'Run VRS'!BE15,"")</f>
        <v/>
      </c>
      <c r="H15" s="106" t="str">
        <f>IF('Run VRS'!BF15&lt;&gt;"",'Run VRS'!BF15,"")</f>
        <v/>
      </c>
      <c r="I15" s="106" t="str">
        <f>IF('Run VRS'!BG15&lt;&gt;"",'Run VRS'!BG15,"")</f>
        <v/>
      </c>
      <c r="J15" s="106">
        <f>IF('Run VRS'!BH15&lt;&gt;"",'Run VRS'!BH15,"")</f>
        <v>2.0846093333829137</v>
      </c>
      <c r="K15" s="105">
        <f>IF('Run VRS'!BI15&lt;&gt;"",'Run VRS'!BI15,"")</f>
        <v>1.1330506885395145E-3</v>
      </c>
      <c r="L15" s="105" t="str">
        <f>IF('Run VRS'!BJ15&lt;&gt;"",'Run VRS'!BJ15,"")</f>
        <v/>
      </c>
      <c r="M15" s="105" t="str">
        <f>IF('Run VRS'!BK15&lt;&gt;"",'Run VRS'!BK15,"")</f>
        <v/>
      </c>
      <c r="N15" s="105" t="str">
        <f>IF('Run VRS'!BL15&lt;&gt;"",'Run VRS'!BL15,"")</f>
        <v/>
      </c>
      <c r="O15" s="105">
        <f>IF('Run VRS'!BM15&lt;&gt;"",'Run VRS'!BM15,"")</f>
        <v>0</v>
      </c>
      <c r="P15" s="106" t="str">
        <f>IF('Run VRS'!BN15&lt;&gt;"",'Run VRS'!BN15,"")</f>
        <v/>
      </c>
      <c r="Q15" s="106" t="str">
        <f>IF('Run VRS'!BO15&lt;&gt;"",'Run VRS'!BO15,"")</f>
        <v/>
      </c>
      <c r="R15" s="106" t="str">
        <f>IF('Run VRS'!BP15&lt;&gt;"",'Run VRS'!BP15,"")</f>
        <v/>
      </c>
      <c r="S15" s="106" t="str">
        <f>IF('Run VRS'!BQ15&lt;&gt;"",'Run VRS'!BQ15,"")</f>
        <v/>
      </c>
      <c r="T15" s="106">
        <f>IF('Run VRS'!BR15&lt;&gt;"",'Run VRS'!BR15,"")</f>
        <v>-8.836791507194917</v>
      </c>
      <c r="U15" s="105">
        <f>IF('Run VRS'!BS15&lt;&gt;"",'Run VRS'!BS15,"")</f>
        <v>-4.2345210181025703E-2</v>
      </c>
      <c r="V15" s="105" t="str">
        <f>IF('Run VRS'!BT15&lt;&gt;"",'Run VRS'!BT15,"")</f>
        <v/>
      </c>
      <c r="W15" s="105" t="str">
        <f>IF('Run VRS'!BU15&lt;&gt;"",'Run VRS'!BU15,"")</f>
        <v/>
      </c>
      <c r="X15" s="107" t="str">
        <f>IF('Run VRS'!BV15&lt;&gt;"",'Run VRS'!BV15,"")</f>
        <v/>
      </c>
      <c r="Y15" s="114">
        <f>IF('Data input'!C15&lt;&gt;"",O15/'Data input'!C15*100%,"")</f>
        <v>0</v>
      </c>
      <c r="Z15" s="114" t="str">
        <f>IF('Data input'!D15&lt;&gt;"",P15/'Data input'!D15*100%,"")</f>
        <v/>
      </c>
      <c r="AA15" s="114" t="str">
        <f>IF('Data input'!E15&lt;&gt;"",Q15/'Data input'!E15*100%,"")</f>
        <v/>
      </c>
      <c r="AB15" s="114" t="str">
        <f>IF('Data input'!F15&lt;&gt;"",R15/'Data input'!F15*100%,"")</f>
        <v/>
      </c>
      <c r="AC15" s="114" t="str">
        <f>IF('Data input'!G15&lt;&gt;"",S15/'Data input'!G15*100%,"")</f>
        <v/>
      </c>
      <c r="AD15" s="114">
        <f>IF('Data input'!H15&lt;&gt;"",T15/'Data input'!H15*100%,"")</f>
        <v>-0.80912619509049888</v>
      </c>
      <c r="AE15" s="114">
        <f>IF('Data input'!I15&lt;&gt;"",U15/'Data input'!I15*100%,"")</f>
        <v>-0.9739398341635912</v>
      </c>
      <c r="AF15" s="114" t="str">
        <f>IF('Data input'!J15&lt;&gt;"",V15/'Data input'!J15*100%,"")</f>
        <v/>
      </c>
      <c r="AG15" s="114" t="str">
        <f>IF('Data input'!K15&lt;&gt;"",W15/'Data input'!K15*100%,"")</f>
        <v/>
      </c>
      <c r="AH15" s="115" t="str">
        <f>IF('Data input'!L15&lt;&gt;"",X15/'Data input'!L15*100%,"")</f>
        <v/>
      </c>
      <c r="AI15" s="114">
        <f>IF('Data input'!C15&lt;&gt;"",'Run VRS'!AH15/'Run VRS'!C15,"")</f>
        <v>0</v>
      </c>
      <c r="AJ15" s="114" t="str">
        <f>IF('Data input'!D15&lt;&gt;"",'Run VRS'!AI15/'Run VRS'!D15,"")</f>
        <v/>
      </c>
      <c r="AK15" s="114" t="str">
        <f>IF('Data input'!E15&lt;&gt;"",'Run VRS'!AJ15/'Run VRS'!E15,"")</f>
        <v/>
      </c>
      <c r="AL15" s="114" t="str">
        <f>IF('Data input'!F15&lt;&gt;"",'Run VRS'!AK15/'Run VRS'!F15,"")</f>
        <v/>
      </c>
      <c r="AM15" s="114" t="str">
        <f>IF('Data input'!G15&lt;&gt;"",'Run VRS'!AL15/'Run VRS'!G15,"")</f>
        <v/>
      </c>
      <c r="AN15" s="114">
        <f>IF('Data input'!H15&lt;&gt;"",'Run VRS'!AM15/'Run VRS'!H15,"")</f>
        <v>0.2727111118952607</v>
      </c>
      <c r="AO15" s="114">
        <f>IF('Data input'!I15&lt;&gt;"",'Run VRS'!AN15/'Run VRS'!I15,"")</f>
        <v>0.48457252672077744</v>
      </c>
      <c r="AP15" s="114" t="str">
        <f>IF('Data input'!J15&lt;&gt;"",'Run VRS'!AO15/'Run VRS'!J15,"")</f>
        <v/>
      </c>
      <c r="AQ15" s="114" t="str">
        <f>IF('Data input'!K15&lt;&gt;"",'Run VRS'!AP15/'Run VRS'!K15,"")</f>
        <v/>
      </c>
      <c r="AR15" s="115" t="str">
        <f>IF('Data input'!L15&lt;&gt;"",'Run VRS'!AQ15/'Run VRS'!L15,"")</f>
        <v/>
      </c>
    </row>
    <row r="16" spans="1:44" x14ac:dyDescent="0.35">
      <c r="A16" s="102">
        <f>IF('Run VRS'!AF16&lt;&gt;"",'Run VRS'!AF16,"")</f>
        <v>14</v>
      </c>
      <c r="B16" s="103" t="str">
        <f>IF('Run VRS'!AG16&lt;&gt;"",'Run VRS'!AG16,"")</f>
        <v>Illinois</v>
      </c>
      <c r="C16" s="104">
        <f>IF('Run VRS'!AR16&lt;&gt;"",'Run VRS'!AR16,"")</f>
        <v>0.99999999999999634</v>
      </c>
      <c r="D16" s="104" t="str">
        <f>IF(ROUND(C16,3)=100%,"Optimal frontier",'Run VRS'!BW16)</f>
        <v>Optimal frontier</v>
      </c>
      <c r="E16" s="105">
        <f>IF('Run VRS'!BC16&lt;&gt;"",'Run VRS'!BC16,"")</f>
        <v>0.8510640052309969</v>
      </c>
      <c r="F16" s="106" t="str">
        <f>IF('Run VRS'!BD16&lt;&gt;"",'Run VRS'!BD16,"")</f>
        <v/>
      </c>
      <c r="G16" s="106" t="str">
        <f>IF('Run VRS'!BE16&lt;&gt;"",'Run VRS'!BE16,"")</f>
        <v/>
      </c>
      <c r="H16" s="106" t="str">
        <f>IF('Run VRS'!BF16&lt;&gt;"",'Run VRS'!BF16,"")</f>
        <v/>
      </c>
      <c r="I16" s="106" t="str">
        <f>IF('Run VRS'!BG16&lt;&gt;"",'Run VRS'!BG16,"")</f>
        <v/>
      </c>
      <c r="J16" s="106">
        <f>IF('Run VRS'!BH16&lt;&gt;"",'Run VRS'!BH16,"")</f>
        <v>7.7187383822197138</v>
      </c>
      <c r="K16" s="105">
        <f>IF('Run VRS'!BI16&lt;&gt;"",'Run VRS'!BI16,"")</f>
        <v>7.0853462157809896E-2</v>
      </c>
      <c r="L16" s="105" t="str">
        <f>IF('Run VRS'!BJ16&lt;&gt;"",'Run VRS'!BJ16,"")</f>
        <v/>
      </c>
      <c r="M16" s="105" t="str">
        <f>IF('Run VRS'!BK16&lt;&gt;"",'Run VRS'!BK16,"")</f>
        <v/>
      </c>
      <c r="N16" s="105" t="str">
        <f>IF('Run VRS'!BL16&lt;&gt;"",'Run VRS'!BL16,"")</f>
        <v/>
      </c>
      <c r="O16" s="105">
        <f>IF('Run VRS'!BM16&lt;&gt;"",'Run VRS'!BM16,"")</f>
        <v>0</v>
      </c>
      <c r="P16" s="106" t="str">
        <f>IF('Run VRS'!BN16&lt;&gt;"",'Run VRS'!BN16,"")</f>
        <v/>
      </c>
      <c r="Q16" s="106" t="str">
        <f>IF('Run VRS'!BO16&lt;&gt;"",'Run VRS'!BO16,"")</f>
        <v/>
      </c>
      <c r="R16" s="106" t="str">
        <f>IF('Run VRS'!BP16&lt;&gt;"",'Run VRS'!BP16,"")</f>
        <v/>
      </c>
      <c r="S16" s="106" t="str">
        <f>IF('Run VRS'!BQ16&lt;&gt;"",'Run VRS'!BQ16,"")</f>
        <v/>
      </c>
      <c r="T16" s="106">
        <f>IF('Run VRS'!BR16&lt;&gt;"",'Run VRS'!BR16,"")</f>
        <v>-1.3233858453531866E-13</v>
      </c>
      <c r="U16" s="105">
        <f>IF('Run VRS'!BS16&lt;&gt;"",'Run VRS'!BS16,"")</f>
        <v>-8.3266726846886741E-17</v>
      </c>
      <c r="V16" s="105" t="str">
        <f>IF('Run VRS'!BT16&lt;&gt;"",'Run VRS'!BT16,"")</f>
        <v/>
      </c>
      <c r="W16" s="105" t="str">
        <f>IF('Run VRS'!BU16&lt;&gt;"",'Run VRS'!BU16,"")</f>
        <v/>
      </c>
      <c r="X16" s="107" t="str">
        <f>IF('Run VRS'!BV16&lt;&gt;"",'Run VRS'!BV16,"")</f>
        <v/>
      </c>
      <c r="Y16" s="114">
        <f>IF('Data input'!C16&lt;&gt;"",O16/'Data input'!C16*100%,"")</f>
        <v>0</v>
      </c>
      <c r="Z16" s="114" t="str">
        <f>IF('Data input'!D16&lt;&gt;"",P16/'Data input'!D16*100%,"")</f>
        <v/>
      </c>
      <c r="AA16" s="114" t="str">
        <f>IF('Data input'!E16&lt;&gt;"",Q16/'Data input'!E16*100%,"")</f>
        <v/>
      </c>
      <c r="AB16" s="114" t="str">
        <f>IF('Data input'!F16&lt;&gt;"",R16/'Data input'!F16*100%,"")</f>
        <v/>
      </c>
      <c r="AC16" s="114" t="str">
        <f>IF('Data input'!G16&lt;&gt;"",S16/'Data input'!G16*100%,"")</f>
        <v/>
      </c>
      <c r="AD16" s="114">
        <f>IF('Data input'!H16&lt;&gt;"",T16/'Data input'!H16*100%,"")</f>
        <v>-1.7145105583596574E-14</v>
      </c>
      <c r="AE16" s="114">
        <f>IF('Data input'!I16&lt;&gt;"",U16/'Data input'!I16*100%,"")</f>
        <v>-1.175196303907197E-15</v>
      </c>
      <c r="AF16" s="114" t="str">
        <f>IF('Data input'!J16&lt;&gt;"",V16/'Data input'!J16*100%,"")</f>
        <v/>
      </c>
      <c r="AG16" s="114" t="str">
        <f>IF('Data input'!K16&lt;&gt;"",W16/'Data input'!K16*100%,"")</f>
        <v/>
      </c>
      <c r="AH16" s="115" t="str">
        <f>IF('Data input'!L16&lt;&gt;"",X16/'Data input'!L16*100%,"")</f>
        <v/>
      </c>
      <c r="AI16" s="114">
        <f>IF('Data input'!C16&lt;&gt;"",'Run VRS'!AH16/'Run VRS'!C16,"")</f>
        <v>4.2499908379370888E-16</v>
      </c>
      <c r="AJ16" s="114" t="str">
        <f>IF('Data input'!D16&lt;&gt;"",'Run VRS'!AI16/'Run VRS'!D16,"")</f>
        <v/>
      </c>
      <c r="AK16" s="114" t="str">
        <f>IF('Data input'!E16&lt;&gt;"",'Run VRS'!AJ16/'Run VRS'!E16,"")</f>
        <v/>
      </c>
      <c r="AL16" s="114" t="str">
        <f>IF('Data input'!F16&lt;&gt;"",'Run VRS'!AK16/'Run VRS'!F16,"")</f>
        <v/>
      </c>
      <c r="AM16" s="114" t="str">
        <f>IF('Data input'!G16&lt;&gt;"",'Run VRS'!AL16/'Run VRS'!G16,"")</f>
        <v/>
      </c>
      <c r="AN16" s="114">
        <f>IF('Data input'!H16&lt;&gt;"",'Run VRS'!AM16/'Run VRS'!H16,"")</f>
        <v>4.4314639560111214E-15</v>
      </c>
      <c r="AO16" s="114">
        <f>IF('Data input'!I16&lt;&gt;"",'Run VRS'!AN16/'Run VRS'!I16,"")</f>
        <v>6.3204070169403371E-16</v>
      </c>
      <c r="AP16" s="114" t="str">
        <f>IF('Data input'!J16&lt;&gt;"",'Run VRS'!AO16/'Run VRS'!J16,"")</f>
        <v/>
      </c>
      <c r="AQ16" s="114" t="str">
        <f>IF('Data input'!K16&lt;&gt;"",'Run VRS'!AP16/'Run VRS'!K16,"")</f>
        <v/>
      </c>
      <c r="AR16" s="115" t="str">
        <f>IF('Data input'!L16&lt;&gt;"",'Run VRS'!AQ16/'Run VRS'!L16,"")</f>
        <v/>
      </c>
    </row>
    <row r="17" spans="1:44" x14ac:dyDescent="0.35">
      <c r="A17" s="102">
        <f>IF('Run VRS'!AF17&lt;&gt;"",'Run VRS'!AF17,"")</f>
        <v>15</v>
      </c>
      <c r="B17" s="103" t="str">
        <f>IF('Run VRS'!AG17&lt;&gt;"",'Run VRS'!AG17,"")</f>
        <v>Indiana</v>
      </c>
      <c r="C17" s="104">
        <f>IF('Run VRS'!AR17&lt;&gt;"",'Run VRS'!AR17,"")</f>
        <v>0.67329870585149276</v>
      </c>
      <c r="D17" s="104" t="str">
        <f>IF(ROUND(C17,3)=100%,"Optimal frontier",'Run VRS'!BW17)</f>
        <v xml:space="preserve">New York; Texas; </v>
      </c>
      <c r="E17" s="105">
        <f>IF('Run VRS'!BC17&lt;&gt;"",'Run VRS'!BC17,"")</f>
        <v>0.97987067107877546</v>
      </c>
      <c r="F17" s="106" t="str">
        <f>IF('Run VRS'!BD17&lt;&gt;"",'Run VRS'!BD17,"")</f>
        <v/>
      </c>
      <c r="G17" s="106" t="str">
        <f>IF('Run VRS'!BE17&lt;&gt;"",'Run VRS'!BE17,"")</f>
        <v/>
      </c>
      <c r="H17" s="106" t="str">
        <f>IF('Run VRS'!BF17&lt;&gt;"",'Run VRS'!BF17,"")</f>
        <v/>
      </c>
      <c r="I17" s="106" t="str">
        <f>IF('Run VRS'!BG17&lt;&gt;"",'Run VRS'!BG17,"")</f>
        <v/>
      </c>
      <c r="J17" s="106">
        <f>IF('Run VRS'!BH17&lt;&gt;"",'Run VRS'!BH17,"")</f>
        <v>0.83932870187228592</v>
      </c>
      <c r="K17" s="105">
        <f>IF('Run VRS'!BI17&lt;&gt;"",'Run VRS'!BI17,"")</f>
        <v>1.1342810601757652E-3</v>
      </c>
      <c r="L17" s="105" t="str">
        <f>IF('Run VRS'!BJ17&lt;&gt;"",'Run VRS'!BJ17,"")</f>
        <v/>
      </c>
      <c r="M17" s="105" t="str">
        <f>IF('Run VRS'!BK17&lt;&gt;"",'Run VRS'!BK17,"")</f>
        <v/>
      </c>
      <c r="N17" s="105" t="str">
        <f>IF('Run VRS'!BL17&lt;&gt;"",'Run VRS'!BL17,"")</f>
        <v/>
      </c>
      <c r="O17" s="105">
        <f>IF('Run VRS'!BM17&lt;&gt;"",'Run VRS'!BM17,"")</f>
        <v>0</v>
      </c>
      <c r="P17" s="106" t="str">
        <f>IF('Run VRS'!BN17&lt;&gt;"",'Run VRS'!BN17,"")</f>
        <v/>
      </c>
      <c r="Q17" s="106" t="str">
        <f>IF('Run VRS'!BO17&lt;&gt;"",'Run VRS'!BO17,"")</f>
        <v/>
      </c>
      <c r="R17" s="106" t="str">
        <f>IF('Run VRS'!BP17&lt;&gt;"",'Run VRS'!BP17,"")</f>
        <v/>
      </c>
      <c r="S17" s="106" t="str">
        <f>IF('Run VRS'!BQ17&lt;&gt;"",'Run VRS'!BQ17,"")</f>
        <v/>
      </c>
      <c r="T17" s="106">
        <f>IF('Run VRS'!BR17&lt;&gt;"",'Run VRS'!BR17,"")</f>
        <v>-1.9763271371660023</v>
      </c>
      <c r="U17" s="105">
        <f>IF('Run VRS'!BS17&lt;&gt;"",'Run VRS'!BS17,"")</f>
        <v>-6.0213236670320684E-2</v>
      </c>
      <c r="V17" s="105" t="str">
        <f>IF('Run VRS'!BT17&lt;&gt;"",'Run VRS'!BT17,"")</f>
        <v/>
      </c>
      <c r="W17" s="105" t="str">
        <f>IF('Run VRS'!BU17&lt;&gt;"",'Run VRS'!BU17,"")</f>
        <v/>
      </c>
      <c r="X17" s="107" t="str">
        <f>IF('Run VRS'!BV17&lt;&gt;"",'Run VRS'!BV17,"")</f>
        <v/>
      </c>
      <c r="Y17" s="114">
        <f>IF('Data input'!C17&lt;&gt;"",O17/'Data input'!C17*100%,"")</f>
        <v>0</v>
      </c>
      <c r="Z17" s="114" t="str">
        <f>IF('Data input'!D17&lt;&gt;"",P17/'Data input'!D17*100%,"")</f>
        <v/>
      </c>
      <c r="AA17" s="114" t="str">
        <f>IF('Data input'!E17&lt;&gt;"",Q17/'Data input'!E17*100%,"")</f>
        <v/>
      </c>
      <c r="AB17" s="114" t="str">
        <f>IF('Data input'!F17&lt;&gt;"",R17/'Data input'!F17*100%,"")</f>
        <v/>
      </c>
      <c r="AC17" s="114" t="str">
        <f>IF('Data input'!G17&lt;&gt;"",S17/'Data input'!G17*100%,"")</f>
        <v/>
      </c>
      <c r="AD17" s="114">
        <f>IF('Data input'!H17&lt;&gt;"",T17/'Data input'!H17*100%,"")</f>
        <v>-0.70190650070394756</v>
      </c>
      <c r="AE17" s="114">
        <f>IF('Data input'!I17&lt;&gt;"",U17/'Data input'!I17*100%,"")</f>
        <v>-0.98151056306534301</v>
      </c>
      <c r="AF17" s="114" t="str">
        <f>IF('Data input'!J17&lt;&gt;"",V17/'Data input'!J17*100%,"")</f>
        <v/>
      </c>
      <c r="AG17" s="114" t="str">
        <f>IF('Data input'!K17&lt;&gt;"",W17/'Data input'!K17*100%,"")</f>
        <v/>
      </c>
      <c r="AH17" s="115" t="str">
        <f>IF('Data input'!L17&lt;&gt;"",X17/'Data input'!L17*100%,"")</f>
        <v/>
      </c>
      <c r="AI17" s="114">
        <f>IF('Data input'!C17&lt;&gt;"",'Run VRS'!AH17/'Run VRS'!C17,"")</f>
        <v>0</v>
      </c>
      <c r="AJ17" s="114" t="str">
        <f>IF('Data input'!D17&lt;&gt;"",'Run VRS'!AI17/'Run VRS'!D17,"")</f>
        <v/>
      </c>
      <c r="AK17" s="114" t="str">
        <f>IF('Data input'!E17&lt;&gt;"",'Run VRS'!AJ17/'Run VRS'!E17,"")</f>
        <v/>
      </c>
      <c r="AL17" s="114" t="str">
        <f>IF('Data input'!F17&lt;&gt;"",'Run VRS'!AK17/'Run VRS'!F17,"")</f>
        <v/>
      </c>
      <c r="AM17" s="114" t="str">
        <f>IF('Data input'!G17&lt;&gt;"",'Run VRS'!AL17/'Run VRS'!G17,"")</f>
        <v/>
      </c>
      <c r="AN17" s="114">
        <f>IF('Data input'!H17&lt;&gt;"",'Run VRS'!AM17/'Run VRS'!H17,"")</f>
        <v>8.133788632651702E-2</v>
      </c>
      <c r="AO17" s="114">
        <f>IF('Data input'!I17&lt;&gt;"",'Run VRS'!AN17/'Run VRS'!I17,"")</f>
        <v>0.57206470197049786</v>
      </c>
      <c r="AP17" s="114" t="str">
        <f>IF('Data input'!J17&lt;&gt;"",'Run VRS'!AO17/'Run VRS'!J17,"")</f>
        <v/>
      </c>
      <c r="AQ17" s="114" t="str">
        <f>IF('Data input'!K17&lt;&gt;"",'Run VRS'!AP17/'Run VRS'!K17,"")</f>
        <v/>
      </c>
      <c r="AR17" s="115" t="str">
        <f>IF('Data input'!L17&lt;&gt;"",'Run VRS'!AQ17/'Run VRS'!L17,"")</f>
        <v/>
      </c>
    </row>
    <row r="18" spans="1:44" x14ac:dyDescent="0.35">
      <c r="A18" s="102">
        <f>IF('Run VRS'!AF18&lt;&gt;"",'Run VRS'!AF18,"")</f>
        <v>16</v>
      </c>
      <c r="B18" s="103" t="str">
        <f>IF('Run VRS'!AG18&lt;&gt;"",'Run VRS'!AG18,"")</f>
        <v>Iowa</v>
      </c>
      <c r="C18" s="104">
        <f>IF('Run VRS'!AR18&lt;&gt;"",'Run VRS'!AR18,"")</f>
        <v>0.53416707257805363</v>
      </c>
      <c r="D18" s="104" t="str">
        <f>IF(ROUND(C18,3)=100%,"Optimal frontier",'Run VRS'!BW18)</f>
        <v xml:space="preserve">Kansas; New York; West Virginia; </v>
      </c>
      <c r="E18" s="105">
        <f>IF('Run VRS'!BC18&lt;&gt;"",'Run VRS'!BC18,"")</f>
        <v>0.97566035183856348</v>
      </c>
      <c r="F18" s="106" t="str">
        <f>IF('Run VRS'!BD18&lt;&gt;"",'Run VRS'!BD18,"")</f>
        <v/>
      </c>
      <c r="G18" s="106" t="str">
        <f>IF('Run VRS'!BE18&lt;&gt;"",'Run VRS'!BE18,"")</f>
        <v/>
      </c>
      <c r="H18" s="106" t="str">
        <f>IF('Run VRS'!BF18&lt;&gt;"",'Run VRS'!BF18,"")</f>
        <v/>
      </c>
      <c r="I18" s="106" t="str">
        <f>IF('Run VRS'!BG18&lt;&gt;"",'Run VRS'!BG18,"")</f>
        <v/>
      </c>
      <c r="J18" s="106">
        <f>IF('Run VRS'!BH18&lt;&gt;"",'Run VRS'!BH18,"")</f>
        <v>2.9762489262687652</v>
      </c>
      <c r="K18" s="105">
        <f>IF('Run VRS'!BI18&lt;&gt;"",'Run VRS'!BI18,"")</f>
        <v>1.1533208012716857E-3</v>
      </c>
      <c r="L18" s="105" t="str">
        <f>IF('Run VRS'!BJ18&lt;&gt;"",'Run VRS'!BJ18,"")</f>
        <v/>
      </c>
      <c r="M18" s="105" t="str">
        <f>IF('Run VRS'!BK18&lt;&gt;"",'Run VRS'!BK18,"")</f>
        <v/>
      </c>
      <c r="N18" s="105" t="str">
        <f>IF('Run VRS'!BL18&lt;&gt;"",'Run VRS'!BL18,"")</f>
        <v/>
      </c>
      <c r="O18" s="105">
        <f>IF('Run VRS'!BM18&lt;&gt;"",'Run VRS'!BM18,"")</f>
        <v>0</v>
      </c>
      <c r="P18" s="106" t="str">
        <f>IF('Run VRS'!BN18&lt;&gt;"",'Run VRS'!BN18,"")</f>
        <v/>
      </c>
      <c r="Q18" s="106" t="str">
        <f>IF('Run VRS'!BO18&lt;&gt;"",'Run VRS'!BO18,"")</f>
        <v/>
      </c>
      <c r="R18" s="106" t="str">
        <f>IF('Run VRS'!BP18&lt;&gt;"",'Run VRS'!BP18,"")</f>
        <v/>
      </c>
      <c r="S18" s="106" t="str">
        <f>IF('Run VRS'!BQ18&lt;&gt;"",'Run VRS'!BQ18,"")</f>
        <v/>
      </c>
      <c r="T18" s="106">
        <f>IF('Run VRS'!BR18&lt;&gt;"",'Run VRS'!BR18,"")</f>
        <v>-10.354887454363901</v>
      </c>
      <c r="U18" s="105">
        <f>IF('Run VRS'!BS18&lt;&gt;"",'Run VRS'!BS18,"")</f>
        <v>-7.8133477377787489E-2</v>
      </c>
      <c r="V18" s="105" t="str">
        <f>IF('Run VRS'!BT18&lt;&gt;"",'Run VRS'!BT18,"")</f>
        <v/>
      </c>
      <c r="W18" s="105" t="str">
        <f>IF('Run VRS'!BU18&lt;&gt;"",'Run VRS'!BU18,"")</f>
        <v/>
      </c>
      <c r="X18" s="107" t="str">
        <f>IF('Run VRS'!BV18&lt;&gt;"",'Run VRS'!BV18,"")</f>
        <v/>
      </c>
      <c r="Y18" s="114">
        <f>IF('Data input'!C18&lt;&gt;"",O18/'Data input'!C18*100%,"")</f>
        <v>0</v>
      </c>
      <c r="Z18" s="114" t="str">
        <f>IF('Data input'!D18&lt;&gt;"",P18/'Data input'!D18*100%,"")</f>
        <v/>
      </c>
      <c r="AA18" s="114" t="str">
        <f>IF('Data input'!E18&lt;&gt;"",Q18/'Data input'!E18*100%,"")</f>
        <v/>
      </c>
      <c r="AB18" s="114" t="str">
        <f>IF('Data input'!F18&lt;&gt;"",R18/'Data input'!F18*100%,"")</f>
        <v/>
      </c>
      <c r="AC18" s="114" t="str">
        <f>IF('Data input'!G18&lt;&gt;"",S18/'Data input'!G18*100%,"")</f>
        <v/>
      </c>
      <c r="AD18" s="114">
        <f>IF('Data input'!H18&lt;&gt;"",T18/'Data input'!H18*100%,"")</f>
        <v>-0.77674454440413443</v>
      </c>
      <c r="AE18" s="114">
        <f>IF('Data input'!I18&lt;&gt;"",U18/'Data input'!I18*100%,"")</f>
        <v>-0.9854538103724777</v>
      </c>
      <c r="AF18" s="114" t="str">
        <f>IF('Data input'!J18&lt;&gt;"",V18/'Data input'!J18*100%,"")</f>
        <v/>
      </c>
      <c r="AG18" s="114" t="str">
        <f>IF('Data input'!K18&lt;&gt;"",W18/'Data input'!K18*100%,"")</f>
        <v/>
      </c>
      <c r="AH18" s="115" t="str">
        <f>IF('Data input'!L18&lt;&gt;"",X18/'Data input'!L18*100%,"")</f>
        <v/>
      </c>
      <c r="AI18" s="114">
        <f>IF('Data input'!C18&lt;&gt;"",'Run VRS'!AH18/'Run VRS'!C18,"")</f>
        <v>0</v>
      </c>
      <c r="AJ18" s="114" t="str">
        <f>IF('Data input'!D18&lt;&gt;"",'Run VRS'!AI18/'Run VRS'!D18,"")</f>
        <v/>
      </c>
      <c r="AK18" s="114" t="str">
        <f>IF('Data input'!E18&lt;&gt;"",'Run VRS'!AJ18/'Run VRS'!E18,"")</f>
        <v/>
      </c>
      <c r="AL18" s="114" t="str">
        <f>IF('Data input'!F18&lt;&gt;"",'Run VRS'!AK18/'Run VRS'!F18,"")</f>
        <v/>
      </c>
      <c r="AM18" s="114" t="str">
        <f>IF('Data input'!G18&lt;&gt;"",'Run VRS'!AL18/'Run VRS'!G18,"")</f>
        <v/>
      </c>
      <c r="AN18" s="114">
        <f>IF('Data input'!H18&lt;&gt;"",'Run VRS'!AM18/'Run VRS'!H18,"")</f>
        <v>0.29744120514866762</v>
      </c>
      <c r="AO18" s="114">
        <f>IF('Data input'!I18&lt;&gt;"",'Run VRS'!AN18/'Run VRS'!I18,"")</f>
        <v>0.63422464969522507</v>
      </c>
      <c r="AP18" s="114" t="str">
        <f>IF('Data input'!J18&lt;&gt;"",'Run VRS'!AO18/'Run VRS'!J18,"")</f>
        <v/>
      </c>
      <c r="AQ18" s="114" t="str">
        <f>IF('Data input'!K18&lt;&gt;"",'Run VRS'!AP18/'Run VRS'!K18,"")</f>
        <v/>
      </c>
      <c r="AR18" s="115" t="str">
        <f>IF('Data input'!L18&lt;&gt;"",'Run VRS'!AQ18/'Run VRS'!L18,"")</f>
        <v/>
      </c>
    </row>
    <row r="19" spans="1:44" x14ac:dyDescent="0.35">
      <c r="A19" s="102">
        <f>IF('Run VRS'!AF19&lt;&gt;"",'Run VRS'!AF19,"")</f>
        <v>17</v>
      </c>
      <c r="B19" s="103" t="str">
        <f>IF('Run VRS'!AG19&lt;&gt;"",'Run VRS'!AG19,"")</f>
        <v>Kansas</v>
      </c>
      <c r="C19" s="104">
        <f>IF('Run VRS'!AR19&lt;&gt;"",'Run VRS'!AR19,"")</f>
        <v>0.99999999999999856</v>
      </c>
      <c r="D19" s="104" t="str">
        <f>IF(ROUND(C19,3)=100%,"Optimal frontier",'Run VRS'!BW19)</f>
        <v>Optimal frontier</v>
      </c>
      <c r="E19" s="105">
        <f>IF('Run VRS'!BC19&lt;&gt;"",'Run VRS'!BC19,"")</f>
        <v>0.97716813059570484</v>
      </c>
      <c r="F19" s="106" t="str">
        <f>IF('Run VRS'!BD19&lt;&gt;"",'Run VRS'!BD19,"")</f>
        <v/>
      </c>
      <c r="G19" s="106" t="str">
        <f>IF('Run VRS'!BE19&lt;&gt;"",'Run VRS'!BE19,"")</f>
        <v/>
      </c>
      <c r="H19" s="106" t="str">
        <f>IF('Run VRS'!BF19&lt;&gt;"",'Run VRS'!BF19,"")</f>
        <v/>
      </c>
      <c r="I19" s="106" t="str">
        <f>IF('Run VRS'!BG19&lt;&gt;"",'Run VRS'!BG19,"")</f>
        <v/>
      </c>
      <c r="J19" s="106">
        <f>IF('Run VRS'!BH19&lt;&gt;"",'Run VRS'!BH19,"")</f>
        <v>2.8564242390755257</v>
      </c>
      <c r="K19" s="105">
        <f>IF('Run VRS'!BI19&lt;&gt;"",'Run VRS'!BI19,"")</f>
        <v>1.1393847322445072E-3</v>
      </c>
      <c r="L19" s="105" t="str">
        <f>IF('Run VRS'!BJ19&lt;&gt;"",'Run VRS'!BJ19,"")</f>
        <v/>
      </c>
      <c r="M19" s="105" t="str">
        <f>IF('Run VRS'!BK19&lt;&gt;"",'Run VRS'!BK19,"")</f>
        <v/>
      </c>
      <c r="N19" s="105" t="str">
        <f>IF('Run VRS'!BL19&lt;&gt;"",'Run VRS'!BL19,"")</f>
        <v/>
      </c>
      <c r="O19" s="105">
        <f>IF('Run VRS'!BM19&lt;&gt;"",'Run VRS'!BM19,"")</f>
        <v>0</v>
      </c>
      <c r="P19" s="106" t="str">
        <f>IF('Run VRS'!BN19&lt;&gt;"",'Run VRS'!BN19,"")</f>
        <v/>
      </c>
      <c r="Q19" s="106" t="str">
        <f>IF('Run VRS'!BO19&lt;&gt;"",'Run VRS'!BO19,"")</f>
        <v/>
      </c>
      <c r="R19" s="106" t="str">
        <f>IF('Run VRS'!BP19&lt;&gt;"",'Run VRS'!BP19,"")</f>
        <v/>
      </c>
      <c r="S19" s="106" t="str">
        <f>IF('Run VRS'!BQ19&lt;&gt;"",'Run VRS'!BQ19,"")</f>
        <v/>
      </c>
      <c r="T19" s="106">
        <f>IF('Run VRS'!BR19&lt;&gt;"",'Run VRS'!BR19,"")</f>
        <v>-2.3092638912203256E-14</v>
      </c>
      <c r="U19" s="105">
        <f>IF('Run VRS'!BS19&lt;&gt;"",'Run VRS'!BS19,"")</f>
        <v>-8.066464163292153E-17</v>
      </c>
      <c r="V19" s="105" t="str">
        <f>IF('Run VRS'!BT19&lt;&gt;"",'Run VRS'!BT19,"")</f>
        <v/>
      </c>
      <c r="W19" s="105" t="str">
        <f>IF('Run VRS'!BU19&lt;&gt;"",'Run VRS'!BU19,"")</f>
        <v/>
      </c>
      <c r="X19" s="107" t="str">
        <f>IF('Run VRS'!BV19&lt;&gt;"",'Run VRS'!BV19,"")</f>
        <v/>
      </c>
      <c r="Y19" s="114">
        <f>IF('Data input'!C19&lt;&gt;"",O19/'Data input'!C19*100%,"")</f>
        <v>0</v>
      </c>
      <c r="Z19" s="114" t="str">
        <f>IF('Data input'!D19&lt;&gt;"",P19/'Data input'!D19*100%,"")</f>
        <v/>
      </c>
      <c r="AA19" s="114" t="str">
        <f>IF('Data input'!E19&lt;&gt;"",Q19/'Data input'!E19*100%,"")</f>
        <v/>
      </c>
      <c r="AB19" s="114" t="str">
        <f>IF('Data input'!F19&lt;&gt;"",R19/'Data input'!F19*100%,"")</f>
        <v/>
      </c>
      <c r="AC19" s="114" t="str">
        <f>IF('Data input'!G19&lt;&gt;"",S19/'Data input'!G19*100%,"")</f>
        <v/>
      </c>
      <c r="AD19" s="114">
        <f>IF('Data input'!H19&lt;&gt;"",T19/'Data input'!H19*100%,"")</f>
        <v>-8.0844569921717729E-15</v>
      </c>
      <c r="AE19" s="114">
        <f>IF('Data input'!I19&lt;&gt;"",U19/'Data input'!I19*100%,"")</f>
        <v>-7.0796667139827463E-14</v>
      </c>
      <c r="AF19" s="114" t="str">
        <f>IF('Data input'!J19&lt;&gt;"",V19/'Data input'!J19*100%,"")</f>
        <v/>
      </c>
      <c r="AG19" s="114" t="str">
        <f>IF('Data input'!K19&lt;&gt;"",W19/'Data input'!K19*100%,"")</f>
        <v/>
      </c>
      <c r="AH19" s="115" t="str">
        <f>IF('Data input'!L19&lt;&gt;"",X19/'Data input'!L19*100%,"")</f>
        <v/>
      </c>
      <c r="AI19" s="114">
        <f>IF('Data input'!C19&lt;&gt;"",'Run VRS'!AH19/'Run VRS'!C19,"")</f>
        <v>0</v>
      </c>
      <c r="AJ19" s="114" t="str">
        <f>IF('Data input'!D19&lt;&gt;"",'Run VRS'!AI19/'Run VRS'!D19,"")</f>
        <v/>
      </c>
      <c r="AK19" s="114" t="str">
        <f>IF('Data input'!E19&lt;&gt;"",'Run VRS'!AJ19/'Run VRS'!E19,"")</f>
        <v/>
      </c>
      <c r="AL19" s="114" t="str">
        <f>IF('Data input'!F19&lt;&gt;"",'Run VRS'!AK19/'Run VRS'!F19,"")</f>
        <v/>
      </c>
      <c r="AM19" s="114" t="str">
        <f>IF('Data input'!G19&lt;&gt;"",'Run VRS'!AL19/'Run VRS'!G19,"")</f>
        <v/>
      </c>
      <c r="AN19" s="114">
        <f>IF('Data input'!H19&lt;&gt;"",'Run VRS'!AM19/'Run VRS'!H19,"")</f>
        <v>1.0827616732690656E-15</v>
      </c>
      <c r="AO19" s="114">
        <f>IF('Data input'!I19&lt;&gt;"",'Run VRS'!AN19/'Run VRS'!I19,"")</f>
        <v>1.7752786967114804E-15</v>
      </c>
      <c r="AP19" s="114" t="str">
        <f>IF('Data input'!J19&lt;&gt;"",'Run VRS'!AO19/'Run VRS'!J19,"")</f>
        <v/>
      </c>
      <c r="AQ19" s="114" t="str">
        <f>IF('Data input'!K19&lt;&gt;"",'Run VRS'!AP19/'Run VRS'!K19,"")</f>
        <v/>
      </c>
      <c r="AR19" s="115" t="str">
        <f>IF('Data input'!L19&lt;&gt;"",'Run VRS'!AQ19/'Run VRS'!L19,"")</f>
        <v/>
      </c>
    </row>
    <row r="20" spans="1:44" x14ac:dyDescent="0.35">
      <c r="A20" s="102">
        <f>IF('Run VRS'!AF20&lt;&gt;"",'Run VRS'!AF20,"")</f>
        <v>18</v>
      </c>
      <c r="B20" s="103" t="str">
        <f>IF('Run VRS'!AG20&lt;&gt;"",'Run VRS'!AG20,"")</f>
        <v>Kentucky</v>
      </c>
      <c r="C20" s="104">
        <f>IF('Run VRS'!AR20&lt;&gt;"",'Run VRS'!AR20,"")</f>
        <v>0.99999999999999967</v>
      </c>
      <c r="D20" s="104" t="str">
        <f>IF(ROUND(C20,3)=100%,"Optimal frontier",'Run VRS'!BW20)</f>
        <v>Optimal frontier</v>
      </c>
      <c r="E20" s="105">
        <f>IF('Run VRS'!BC20&lt;&gt;"",'Run VRS'!BC20,"")</f>
        <v>0.96157235948928099</v>
      </c>
      <c r="F20" s="106" t="str">
        <f>IF('Run VRS'!BD20&lt;&gt;"",'Run VRS'!BD20,"")</f>
        <v/>
      </c>
      <c r="G20" s="106" t="str">
        <f>IF('Run VRS'!BE20&lt;&gt;"",'Run VRS'!BE20,"")</f>
        <v/>
      </c>
      <c r="H20" s="106" t="str">
        <f>IF('Run VRS'!BF20&lt;&gt;"",'Run VRS'!BF20,"")</f>
        <v/>
      </c>
      <c r="I20" s="106" t="str">
        <f>IF('Run VRS'!BG20&lt;&gt;"",'Run VRS'!BG20,"")</f>
        <v/>
      </c>
      <c r="J20" s="106">
        <f>IF('Run VRS'!BH20&lt;&gt;"",'Run VRS'!BH20,"")</f>
        <v>2.7928847096058194</v>
      </c>
      <c r="K20" s="105">
        <f>IF('Run VRS'!BI20&lt;&gt;"",'Run VRS'!BI20,"")</f>
        <v>0</v>
      </c>
      <c r="L20" s="105" t="str">
        <f>IF('Run VRS'!BJ20&lt;&gt;"",'Run VRS'!BJ20,"")</f>
        <v/>
      </c>
      <c r="M20" s="105" t="str">
        <f>IF('Run VRS'!BK20&lt;&gt;"",'Run VRS'!BK20,"")</f>
        <v/>
      </c>
      <c r="N20" s="105" t="str">
        <f>IF('Run VRS'!BL20&lt;&gt;"",'Run VRS'!BL20,"")</f>
        <v/>
      </c>
      <c r="O20" s="105">
        <f>IF('Run VRS'!BM20&lt;&gt;"",'Run VRS'!BM20,"")</f>
        <v>0</v>
      </c>
      <c r="P20" s="106" t="str">
        <f>IF('Run VRS'!BN20&lt;&gt;"",'Run VRS'!BN20,"")</f>
        <v/>
      </c>
      <c r="Q20" s="106" t="str">
        <f>IF('Run VRS'!BO20&lt;&gt;"",'Run VRS'!BO20,"")</f>
        <v/>
      </c>
      <c r="R20" s="106" t="str">
        <f>IF('Run VRS'!BP20&lt;&gt;"",'Run VRS'!BP20,"")</f>
        <v/>
      </c>
      <c r="S20" s="106" t="str">
        <f>IF('Run VRS'!BQ20&lt;&gt;"",'Run VRS'!BQ20,"")</f>
        <v/>
      </c>
      <c r="T20" s="106">
        <f>IF('Run VRS'!BR20&lt;&gt;"",'Run VRS'!BR20,"")</f>
        <v>-1.3766765505351941E-14</v>
      </c>
      <c r="U20" s="105">
        <f>IF('Run VRS'!BS20&lt;&gt;"",'Run VRS'!BS20,"")</f>
        <v>0</v>
      </c>
      <c r="V20" s="105" t="str">
        <f>IF('Run VRS'!BT20&lt;&gt;"",'Run VRS'!BT20,"")</f>
        <v/>
      </c>
      <c r="W20" s="105" t="str">
        <f>IF('Run VRS'!BU20&lt;&gt;"",'Run VRS'!BU20,"")</f>
        <v/>
      </c>
      <c r="X20" s="107" t="str">
        <f>IF('Run VRS'!BV20&lt;&gt;"",'Run VRS'!BV20,"")</f>
        <v/>
      </c>
      <c r="Y20" s="114">
        <f>IF('Data input'!C20&lt;&gt;"",O20/'Data input'!C20*100%,"")</f>
        <v>0</v>
      </c>
      <c r="Z20" s="114" t="str">
        <f>IF('Data input'!D20&lt;&gt;"",P20/'Data input'!D20*100%,"")</f>
        <v/>
      </c>
      <c r="AA20" s="114" t="str">
        <f>IF('Data input'!E20&lt;&gt;"",Q20/'Data input'!E20*100%,"")</f>
        <v/>
      </c>
      <c r="AB20" s="114" t="str">
        <f>IF('Data input'!F20&lt;&gt;"",R20/'Data input'!F20*100%,"")</f>
        <v/>
      </c>
      <c r="AC20" s="114" t="str">
        <f>IF('Data input'!G20&lt;&gt;"",S20/'Data input'!G20*100%,"")</f>
        <v/>
      </c>
      <c r="AD20" s="114">
        <f>IF('Data input'!H20&lt;&gt;"",T20/'Data input'!H20*100%,"")</f>
        <v>-4.929227997848461E-15</v>
      </c>
      <c r="AE20" s="114" t="e">
        <f>IF('Data input'!I20&lt;&gt;"",U20/'Data input'!I20*100%,"")</f>
        <v>#DIV/0!</v>
      </c>
      <c r="AF20" s="114" t="str">
        <f>IF('Data input'!J20&lt;&gt;"",V20/'Data input'!J20*100%,"")</f>
        <v/>
      </c>
      <c r="AG20" s="114" t="str">
        <f>IF('Data input'!K20&lt;&gt;"",W20/'Data input'!K20*100%,"")</f>
        <v/>
      </c>
      <c r="AH20" s="115" t="str">
        <f>IF('Data input'!L20&lt;&gt;"",X20/'Data input'!L20*100%,"")</f>
        <v/>
      </c>
      <c r="AI20" s="114">
        <f>IF('Data input'!C20&lt;&gt;"",'Run VRS'!AH20/'Run VRS'!C20,"")</f>
        <v>0</v>
      </c>
      <c r="AJ20" s="114" t="str">
        <f>IF('Data input'!D20&lt;&gt;"",'Run VRS'!AI20/'Run VRS'!D20,"")</f>
        <v/>
      </c>
      <c r="AK20" s="114" t="str">
        <f>IF('Data input'!E20&lt;&gt;"",'Run VRS'!AJ20/'Run VRS'!E20,"")</f>
        <v/>
      </c>
      <c r="AL20" s="114" t="str">
        <f>IF('Data input'!F20&lt;&gt;"",'Run VRS'!AK20/'Run VRS'!F20,"")</f>
        <v/>
      </c>
      <c r="AM20" s="114" t="str">
        <f>IF('Data input'!G20&lt;&gt;"",'Run VRS'!AL20/'Run VRS'!G20,"")</f>
        <v/>
      </c>
      <c r="AN20" s="114">
        <f>IF('Data input'!H20&lt;&gt;"",'Run VRS'!AM20/'Run VRS'!H20,"")</f>
        <v>5.7523785782930628E-16</v>
      </c>
      <c r="AO20" s="114">
        <f>IF('Data input'!I20&lt;&gt;"",'Run VRS'!AN20/'Run VRS'!I20,"")</f>
        <v>0</v>
      </c>
      <c r="AP20" s="114" t="str">
        <f>IF('Data input'!J20&lt;&gt;"",'Run VRS'!AO20/'Run VRS'!J20,"")</f>
        <v/>
      </c>
      <c r="AQ20" s="114" t="str">
        <f>IF('Data input'!K20&lt;&gt;"",'Run VRS'!AP20/'Run VRS'!K20,"")</f>
        <v/>
      </c>
      <c r="AR20" s="115" t="str">
        <f>IF('Data input'!L20&lt;&gt;"",'Run VRS'!AQ20/'Run VRS'!L20,"")</f>
        <v/>
      </c>
    </row>
    <row r="21" spans="1:44" x14ac:dyDescent="0.35">
      <c r="A21" s="102">
        <f>IF('Run VRS'!AF21&lt;&gt;"",'Run VRS'!AF21,"")</f>
        <v>19</v>
      </c>
      <c r="B21" s="103" t="str">
        <f>IF('Run VRS'!AG21&lt;&gt;"",'Run VRS'!AG21,"")</f>
        <v>Louisiana</v>
      </c>
      <c r="C21" s="104">
        <f>IF('Run VRS'!AR21&lt;&gt;"",'Run VRS'!AR21,"")</f>
        <v>1.0000000000000029</v>
      </c>
      <c r="D21" s="104" t="str">
        <f>IF(ROUND(C21,3)=100%,"Optimal frontier",'Run VRS'!BW21)</f>
        <v>Optimal frontier</v>
      </c>
      <c r="E21" s="105">
        <f>IF('Run VRS'!BC21&lt;&gt;"",'Run VRS'!BC21,"")</f>
        <v>0.92759225932139378</v>
      </c>
      <c r="F21" s="106" t="str">
        <f>IF('Run VRS'!BD21&lt;&gt;"",'Run VRS'!BD21,"")</f>
        <v/>
      </c>
      <c r="G21" s="106" t="str">
        <f>IF('Run VRS'!BE21&lt;&gt;"",'Run VRS'!BE21,"")</f>
        <v/>
      </c>
      <c r="H21" s="106" t="str">
        <f>IF('Run VRS'!BF21&lt;&gt;"",'Run VRS'!BF21,"")</f>
        <v/>
      </c>
      <c r="I21" s="106" t="str">
        <f>IF('Run VRS'!BG21&lt;&gt;"",'Run VRS'!BG21,"")</f>
        <v/>
      </c>
      <c r="J21" s="106">
        <f>IF('Run VRS'!BH21&lt;&gt;"",'Run VRS'!BH21,"")</f>
        <v>3.1366219240034776</v>
      </c>
      <c r="K21" s="105">
        <f>IF('Run VRS'!BI21&lt;&gt;"",'Run VRS'!BI21,"")</f>
        <v>4.8466864490603417E-2</v>
      </c>
      <c r="L21" s="105" t="str">
        <f>IF('Run VRS'!BJ21&lt;&gt;"",'Run VRS'!BJ21,"")</f>
        <v/>
      </c>
      <c r="M21" s="105" t="str">
        <f>IF('Run VRS'!BK21&lt;&gt;"",'Run VRS'!BK21,"")</f>
        <v/>
      </c>
      <c r="N21" s="105" t="str">
        <f>IF('Run VRS'!BL21&lt;&gt;"",'Run VRS'!BL21,"")</f>
        <v/>
      </c>
      <c r="O21" s="105">
        <f>IF('Run VRS'!BM21&lt;&gt;"",'Run VRS'!BM21,"")</f>
        <v>0</v>
      </c>
      <c r="P21" s="106" t="str">
        <f>IF('Run VRS'!BN21&lt;&gt;"",'Run VRS'!BN21,"")</f>
        <v/>
      </c>
      <c r="Q21" s="106" t="str">
        <f>IF('Run VRS'!BO21&lt;&gt;"",'Run VRS'!BO21,"")</f>
        <v/>
      </c>
      <c r="R21" s="106" t="str">
        <f>IF('Run VRS'!BP21&lt;&gt;"",'Run VRS'!BP21,"")</f>
        <v/>
      </c>
      <c r="S21" s="106" t="str">
        <f>IF('Run VRS'!BQ21&lt;&gt;"",'Run VRS'!BQ21,"")</f>
        <v/>
      </c>
      <c r="T21" s="106">
        <f>IF('Run VRS'!BR21&lt;&gt;"",'Run VRS'!BR21,"")</f>
        <v>1.2700951401711791E-13</v>
      </c>
      <c r="U21" s="105">
        <f>IF('Run VRS'!BS21&lt;&gt;"",'Run VRS'!BS21,"")</f>
        <v>5.5511151231257827E-17</v>
      </c>
      <c r="V21" s="105" t="str">
        <f>IF('Run VRS'!BT21&lt;&gt;"",'Run VRS'!BT21,"")</f>
        <v/>
      </c>
      <c r="W21" s="105" t="str">
        <f>IF('Run VRS'!BU21&lt;&gt;"",'Run VRS'!BU21,"")</f>
        <v/>
      </c>
      <c r="X21" s="107" t="str">
        <f>IF('Run VRS'!BV21&lt;&gt;"",'Run VRS'!BV21,"")</f>
        <v/>
      </c>
      <c r="Y21" s="114">
        <f>IF('Data input'!C21&lt;&gt;"",O21/'Data input'!C21*100%,"")</f>
        <v>0</v>
      </c>
      <c r="Z21" s="114" t="str">
        <f>IF('Data input'!D21&lt;&gt;"",P21/'Data input'!D21*100%,"")</f>
        <v/>
      </c>
      <c r="AA21" s="114" t="str">
        <f>IF('Data input'!E21&lt;&gt;"",Q21/'Data input'!E21*100%,"")</f>
        <v/>
      </c>
      <c r="AB21" s="114" t="str">
        <f>IF('Data input'!F21&lt;&gt;"",R21/'Data input'!F21*100%,"")</f>
        <v/>
      </c>
      <c r="AC21" s="114" t="str">
        <f>IF('Data input'!G21&lt;&gt;"",S21/'Data input'!G21*100%,"")</f>
        <v/>
      </c>
      <c r="AD21" s="114">
        <f>IF('Data input'!H21&lt;&gt;"",T21/'Data input'!H21*100%,"")</f>
        <v>4.0492452419962819E-14</v>
      </c>
      <c r="AE21" s="114">
        <f>IF('Data input'!I21&lt;&gt;"",U21/'Data input'!I21*100%,"")</f>
        <v>1.1453423243837075E-15</v>
      </c>
      <c r="AF21" s="114" t="str">
        <f>IF('Data input'!J21&lt;&gt;"",V21/'Data input'!J21*100%,"")</f>
        <v/>
      </c>
      <c r="AG21" s="114" t="str">
        <f>IF('Data input'!K21&lt;&gt;"",W21/'Data input'!K21*100%,"")</f>
        <v/>
      </c>
      <c r="AH21" s="115" t="str">
        <f>IF('Data input'!L21&lt;&gt;"",X21/'Data input'!L21*100%,"")</f>
        <v/>
      </c>
      <c r="AI21" s="114">
        <f>IF('Data input'!C21&lt;&gt;"",'Run VRS'!AH21/'Run VRS'!C21,"")</f>
        <v>0</v>
      </c>
      <c r="AJ21" s="114" t="str">
        <f>IF('Data input'!D21&lt;&gt;"",'Run VRS'!AI21/'Run VRS'!D21,"")</f>
        <v/>
      </c>
      <c r="AK21" s="114" t="str">
        <f>IF('Data input'!E21&lt;&gt;"",'Run VRS'!AJ21/'Run VRS'!E21,"")</f>
        <v/>
      </c>
      <c r="AL21" s="114" t="str">
        <f>IF('Data input'!F21&lt;&gt;"",'Run VRS'!AK21/'Run VRS'!F21,"")</f>
        <v/>
      </c>
      <c r="AM21" s="114" t="str">
        <f>IF('Data input'!G21&lt;&gt;"",'Run VRS'!AL21/'Run VRS'!G21,"")</f>
        <v/>
      </c>
      <c r="AN21" s="114">
        <f>IF('Data input'!H21&lt;&gt;"",'Run VRS'!AM21/'Run VRS'!H21,"")</f>
        <v>-5.1803118903365861E-15</v>
      </c>
      <c r="AO21" s="114">
        <f>IF('Data input'!I21&lt;&gt;"",'Run VRS'!AN21/'Run VRS'!I21,"")</f>
        <v>-6.6685539161045362E-16</v>
      </c>
      <c r="AP21" s="114" t="str">
        <f>IF('Data input'!J21&lt;&gt;"",'Run VRS'!AO21/'Run VRS'!J21,"")</f>
        <v/>
      </c>
      <c r="AQ21" s="114" t="str">
        <f>IF('Data input'!K21&lt;&gt;"",'Run VRS'!AP21/'Run VRS'!K21,"")</f>
        <v/>
      </c>
      <c r="AR21" s="115" t="str">
        <f>IF('Data input'!L21&lt;&gt;"",'Run VRS'!AQ21/'Run VRS'!L21,"")</f>
        <v/>
      </c>
    </row>
    <row r="22" spans="1:44" x14ac:dyDescent="0.35">
      <c r="A22" s="102">
        <f>IF('Run VRS'!AF22&lt;&gt;"",'Run VRS'!AF22,"")</f>
        <v>20</v>
      </c>
      <c r="B22" s="103" t="str">
        <f>IF('Run VRS'!AG22&lt;&gt;"",'Run VRS'!AG22,"")</f>
        <v>Maine</v>
      </c>
      <c r="C22" s="104">
        <f>IF('Run VRS'!AR22&lt;&gt;"",'Run VRS'!AR22,"")</f>
        <v>0.57966651509599076</v>
      </c>
      <c r="D22" s="104" t="str">
        <f>IF(ROUND(C22,3)=100%,"Optimal frontier",'Run VRS'!BW22)</f>
        <v xml:space="preserve">Kansas; New York; West Virginia; </v>
      </c>
      <c r="E22" s="105">
        <f>IF('Run VRS'!BC22&lt;&gt;"",'Run VRS'!BC22,"")</f>
        <v>0.92399846224211168</v>
      </c>
      <c r="F22" s="106" t="str">
        <f>IF('Run VRS'!BD22&lt;&gt;"",'Run VRS'!BD22,"")</f>
        <v/>
      </c>
      <c r="G22" s="106" t="str">
        <f>IF('Run VRS'!BE22&lt;&gt;"",'Run VRS'!BE22,"")</f>
        <v/>
      </c>
      <c r="H22" s="106" t="str">
        <f>IF('Run VRS'!BF22&lt;&gt;"",'Run VRS'!BF22,"")</f>
        <v/>
      </c>
      <c r="I22" s="106" t="str">
        <f>IF('Run VRS'!BG22&lt;&gt;"",'Run VRS'!BG22,"")</f>
        <v/>
      </c>
      <c r="J22" s="106">
        <f>IF('Run VRS'!BH22&lt;&gt;"",'Run VRS'!BH22,"")</f>
        <v>9.2114002186326616</v>
      </c>
      <c r="K22" s="105">
        <f>IF('Run VRS'!BI22&lt;&gt;"",'Run VRS'!BI22,"")</f>
        <v>2.1536158368534696E-3</v>
      </c>
      <c r="L22" s="105" t="str">
        <f>IF('Run VRS'!BJ22&lt;&gt;"",'Run VRS'!BJ22,"")</f>
        <v/>
      </c>
      <c r="M22" s="105" t="str">
        <f>IF('Run VRS'!BK22&lt;&gt;"",'Run VRS'!BK22,"")</f>
        <v/>
      </c>
      <c r="N22" s="105" t="str">
        <f>IF('Run VRS'!BL22&lt;&gt;"",'Run VRS'!BL22,"")</f>
        <v/>
      </c>
      <c r="O22" s="105">
        <f>IF('Run VRS'!BM22&lt;&gt;"",'Run VRS'!BM22,"")</f>
        <v>0</v>
      </c>
      <c r="P22" s="106" t="str">
        <f>IF('Run VRS'!BN22&lt;&gt;"",'Run VRS'!BN22,"")</f>
        <v/>
      </c>
      <c r="Q22" s="106" t="str">
        <f>IF('Run VRS'!BO22&lt;&gt;"",'Run VRS'!BO22,"")</f>
        <v/>
      </c>
      <c r="R22" s="106" t="str">
        <f>IF('Run VRS'!BP22&lt;&gt;"",'Run VRS'!BP22,"")</f>
        <v/>
      </c>
      <c r="S22" s="106" t="str">
        <f>IF('Run VRS'!BQ22&lt;&gt;"",'Run VRS'!BQ22,"")</f>
        <v/>
      </c>
      <c r="T22" s="106">
        <f>IF('Run VRS'!BR22&lt;&gt;"",'Run VRS'!BR22,"")</f>
        <v>-63.356286835549525</v>
      </c>
      <c r="U22" s="105">
        <f>IF('Run VRS'!BS22&lt;&gt;"",'Run VRS'!BS22,"")</f>
        <v>-9.2359058032376474E-3</v>
      </c>
      <c r="V22" s="105" t="str">
        <f>IF('Run VRS'!BT22&lt;&gt;"",'Run VRS'!BT22,"")</f>
        <v/>
      </c>
      <c r="W22" s="105" t="str">
        <f>IF('Run VRS'!BU22&lt;&gt;"",'Run VRS'!BU22,"")</f>
        <v/>
      </c>
      <c r="X22" s="107" t="str">
        <f>IF('Run VRS'!BV22&lt;&gt;"",'Run VRS'!BV22,"")</f>
        <v/>
      </c>
      <c r="Y22" s="114">
        <f>IF('Data input'!C22&lt;&gt;"",O22/'Data input'!C22*100%,"")</f>
        <v>0</v>
      </c>
      <c r="Z22" s="114" t="str">
        <f>IF('Data input'!D22&lt;&gt;"",P22/'Data input'!D22*100%,"")</f>
        <v/>
      </c>
      <c r="AA22" s="114" t="str">
        <f>IF('Data input'!E22&lt;&gt;"",Q22/'Data input'!E22*100%,"")</f>
        <v/>
      </c>
      <c r="AB22" s="114" t="str">
        <f>IF('Data input'!F22&lt;&gt;"",R22/'Data input'!F22*100%,"")</f>
        <v/>
      </c>
      <c r="AC22" s="114" t="str">
        <f>IF('Data input'!G22&lt;&gt;"",S22/'Data input'!G22*100%,"")</f>
        <v/>
      </c>
      <c r="AD22" s="114">
        <f>IF('Data input'!H22&lt;&gt;"",T22/'Data input'!H22*100%,"")</f>
        <v>-0.87306471251102391</v>
      </c>
      <c r="AE22" s="114">
        <f>IF('Data input'!I22&lt;&gt;"",U22/'Data input'!I22*100%,"")</f>
        <v>-0.8109125295242654</v>
      </c>
      <c r="AF22" s="114" t="str">
        <f>IF('Data input'!J22&lt;&gt;"",V22/'Data input'!J22*100%,"")</f>
        <v/>
      </c>
      <c r="AG22" s="114" t="str">
        <f>IF('Data input'!K22&lt;&gt;"",W22/'Data input'!K22*100%,"")</f>
        <v/>
      </c>
      <c r="AH22" s="115" t="str">
        <f>IF('Data input'!L22&lt;&gt;"",X22/'Data input'!L22*100%,"")</f>
        <v/>
      </c>
      <c r="AI22" s="114">
        <f>IF('Data input'!C22&lt;&gt;"",'Run VRS'!AH22/'Run VRS'!C22,"")</f>
        <v>0</v>
      </c>
      <c r="AJ22" s="114" t="str">
        <f>IF('Data input'!D22&lt;&gt;"",'Run VRS'!AI22/'Run VRS'!D22,"")</f>
        <v/>
      </c>
      <c r="AK22" s="114" t="str">
        <f>IF('Data input'!E22&lt;&gt;"",'Run VRS'!AJ22/'Run VRS'!E22,"")</f>
        <v/>
      </c>
      <c r="AL22" s="114" t="str">
        <f>IF('Data input'!F22&lt;&gt;"",'Run VRS'!AK22/'Run VRS'!F22,"")</f>
        <v/>
      </c>
      <c r="AM22" s="114" t="str">
        <f>IF('Data input'!G22&lt;&gt;"",'Run VRS'!AL22/'Run VRS'!G22,"")</f>
        <v/>
      </c>
      <c r="AN22" s="114">
        <f>IF('Data input'!H22&lt;&gt;"",'Run VRS'!AM22/'Run VRS'!H22,"")</f>
        <v>0.67364634003261525</v>
      </c>
      <c r="AO22" s="114">
        <f>IF('Data input'!I22&lt;&gt;"",'Run VRS'!AN22/'Run VRS'!I22,"")</f>
        <v>0.16702062977540333</v>
      </c>
      <c r="AP22" s="114" t="str">
        <f>IF('Data input'!J22&lt;&gt;"",'Run VRS'!AO22/'Run VRS'!J22,"")</f>
        <v/>
      </c>
      <c r="AQ22" s="114" t="str">
        <f>IF('Data input'!K22&lt;&gt;"",'Run VRS'!AP22/'Run VRS'!K22,"")</f>
        <v/>
      </c>
      <c r="AR22" s="115" t="str">
        <f>IF('Data input'!L22&lt;&gt;"",'Run VRS'!AQ22/'Run VRS'!L22,"")</f>
        <v/>
      </c>
    </row>
    <row r="23" spans="1:44" x14ac:dyDescent="0.35">
      <c r="A23" s="102">
        <f>IF('Run VRS'!AF23&lt;&gt;"",'Run VRS'!AF23,"")</f>
        <v>21</v>
      </c>
      <c r="B23" s="103" t="str">
        <f>IF('Run VRS'!AG23&lt;&gt;"",'Run VRS'!AG23,"")</f>
        <v>Maryland</v>
      </c>
      <c r="C23" s="104">
        <f>IF('Run VRS'!AR23&lt;&gt;"",'Run VRS'!AR23,"")</f>
        <v>0.78290788322987326</v>
      </c>
      <c r="D23" s="104" t="str">
        <f>IF(ROUND(C23,3)=100%,"Optimal frontier",'Run VRS'!BW23)</f>
        <v xml:space="preserve">New York; Texas; </v>
      </c>
      <c r="E23" s="105">
        <f>IF('Run VRS'!BC23&lt;&gt;"",'Run VRS'!BC23,"")</f>
        <v>0.97671158640955424</v>
      </c>
      <c r="F23" s="106" t="str">
        <f>IF('Run VRS'!BD23&lt;&gt;"",'Run VRS'!BD23,"")</f>
        <v/>
      </c>
      <c r="G23" s="106" t="str">
        <f>IF('Run VRS'!BE23&lt;&gt;"",'Run VRS'!BE23,"")</f>
        <v/>
      </c>
      <c r="H23" s="106" t="str">
        <f>IF('Run VRS'!BF23&lt;&gt;"",'Run VRS'!BF23,"")</f>
        <v/>
      </c>
      <c r="I23" s="106" t="str">
        <f>IF('Run VRS'!BG23&lt;&gt;"",'Run VRS'!BG23,"")</f>
        <v/>
      </c>
      <c r="J23" s="106">
        <f>IF('Run VRS'!BH23&lt;&gt;"",'Run VRS'!BH23,"")</f>
        <v>1.0148512319919309</v>
      </c>
      <c r="K23" s="105">
        <f>IF('Run VRS'!BI23&lt;&gt;"",'Run VRS'!BI23,"")</f>
        <v>1.1296602674397541E-3</v>
      </c>
      <c r="L23" s="105" t="str">
        <f>IF('Run VRS'!BJ23&lt;&gt;"",'Run VRS'!BJ23,"")</f>
        <v/>
      </c>
      <c r="M23" s="105" t="str">
        <f>IF('Run VRS'!BK23&lt;&gt;"",'Run VRS'!BK23,"")</f>
        <v/>
      </c>
      <c r="N23" s="105" t="str">
        <f>IF('Run VRS'!BL23&lt;&gt;"",'Run VRS'!BL23,"")</f>
        <v/>
      </c>
      <c r="O23" s="105">
        <f>IF('Run VRS'!BM23&lt;&gt;"",'Run VRS'!BM23,"")</f>
        <v>0</v>
      </c>
      <c r="P23" s="106" t="str">
        <f>IF('Run VRS'!BN23&lt;&gt;"",'Run VRS'!BN23,"")</f>
        <v/>
      </c>
      <c r="Q23" s="106" t="str">
        <f>IF('Run VRS'!BO23&lt;&gt;"",'Run VRS'!BO23,"")</f>
        <v/>
      </c>
      <c r="R23" s="106" t="str">
        <f>IF('Run VRS'!BP23&lt;&gt;"",'Run VRS'!BP23,"")</f>
        <v/>
      </c>
      <c r="S23" s="106" t="str">
        <f>IF('Run VRS'!BQ23&lt;&gt;"",'Run VRS'!BQ23,"")</f>
        <v/>
      </c>
      <c r="T23" s="106">
        <f>IF('Run VRS'!BR23&lt;&gt;"",'Run VRS'!BR23,"")</f>
        <v>-1.6096334164407546</v>
      </c>
      <c r="U23" s="105">
        <f>IF('Run VRS'!BS23&lt;&gt;"",'Run VRS'!BS23,"")</f>
        <v>-2.6158571682531818E-2</v>
      </c>
      <c r="V23" s="105" t="str">
        <f>IF('Run VRS'!BT23&lt;&gt;"",'Run VRS'!BT23,"")</f>
        <v/>
      </c>
      <c r="W23" s="105" t="str">
        <f>IF('Run VRS'!BU23&lt;&gt;"",'Run VRS'!BU23,"")</f>
        <v/>
      </c>
      <c r="X23" s="107" t="str">
        <f>IF('Run VRS'!BV23&lt;&gt;"",'Run VRS'!BV23,"")</f>
        <v/>
      </c>
      <c r="Y23" s="114">
        <f>IF('Data input'!C23&lt;&gt;"",O23/'Data input'!C23*100%,"")</f>
        <v>0</v>
      </c>
      <c r="Z23" s="114" t="str">
        <f>IF('Data input'!D23&lt;&gt;"",P23/'Data input'!D23*100%,"")</f>
        <v/>
      </c>
      <c r="AA23" s="114" t="str">
        <f>IF('Data input'!E23&lt;&gt;"",Q23/'Data input'!E23*100%,"")</f>
        <v/>
      </c>
      <c r="AB23" s="114" t="str">
        <f>IF('Data input'!F23&lt;&gt;"",R23/'Data input'!F23*100%,"")</f>
        <v/>
      </c>
      <c r="AC23" s="114" t="str">
        <f>IF('Data input'!G23&lt;&gt;"",S23/'Data input'!G23*100%,"")</f>
        <v/>
      </c>
      <c r="AD23" s="114">
        <f>IF('Data input'!H23&lt;&gt;"",T23/'Data input'!H23*100%,"")</f>
        <v>-0.61331409097858913</v>
      </c>
      <c r="AE23" s="114">
        <f>IF('Data input'!I23&lt;&gt;"",U23/'Data input'!I23*100%,"")</f>
        <v>-0.958602658116114</v>
      </c>
      <c r="AF23" s="114" t="str">
        <f>IF('Data input'!J23&lt;&gt;"",V23/'Data input'!J23*100%,"")</f>
        <v/>
      </c>
      <c r="AG23" s="114" t="str">
        <f>IF('Data input'!K23&lt;&gt;"",W23/'Data input'!K23*100%,"")</f>
        <v/>
      </c>
      <c r="AH23" s="115" t="str">
        <f>IF('Data input'!L23&lt;&gt;"",X23/'Data input'!L23*100%,"")</f>
        <v/>
      </c>
      <c r="AI23" s="114">
        <f>IF('Data input'!C23&lt;&gt;"",'Run VRS'!AH23/'Run VRS'!C23,"")</f>
        <v>0</v>
      </c>
      <c r="AJ23" s="114" t="str">
        <f>IF('Data input'!D23&lt;&gt;"",'Run VRS'!AI23/'Run VRS'!D23,"")</f>
        <v/>
      </c>
      <c r="AK23" s="114" t="str">
        <f>IF('Data input'!E23&lt;&gt;"",'Run VRS'!AJ23/'Run VRS'!E23,"")</f>
        <v/>
      </c>
      <c r="AL23" s="114" t="str">
        <f>IF('Data input'!F23&lt;&gt;"",'Run VRS'!AK23/'Run VRS'!F23,"")</f>
        <v/>
      </c>
      <c r="AM23" s="114" t="str">
        <f>IF('Data input'!G23&lt;&gt;"",'Run VRS'!AL23/'Run VRS'!G23,"")</f>
        <v/>
      </c>
      <c r="AN23" s="114">
        <f>IF('Data input'!H23&lt;&gt;"",'Run VRS'!AM23/'Run VRS'!H23,"")</f>
        <v>6.6771557742913962E-2</v>
      </c>
      <c r="AO23" s="114">
        <f>IF('Data input'!I23&lt;&gt;"",'Run VRS'!AN23/'Run VRS'!I23,"")</f>
        <v>0.36741267579733977</v>
      </c>
      <c r="AP23" s="114" t="str">
        <f>IF('Data input'!J23&lt;&gt;"",'Run VRS'!AO23/'Run VRS'!J23,"")</f>
        <v/>
      </c>
      <c r="AQ23" s="114" t="str">
        <f>IF('Data input'!K23&lt;&gt;"",'Run VRS'!AP23/'Run VRS'!K23,"")</f>
        <v/>
      </c>
      <c r="AR23" s="115" t="str">
        <f>IF('Data input'!L23&lt;&gt;"",'Run VRS'!AQ23/'Run VRS'!L23,"")</f>
        <v/>
      </c>
    </row>
    <row r="24" spans="1:44" x14ac:dyDescent="0.35">
      <c r="A24" s="102">
        <f>IF('Run VRS'!AF24&lt;&gt;"",'Run VRS'!AF24,"")</f>
        <v>22</v>
      </c>
      <c r="B24" s="103" t="str">
        <f>IF('Run VRS'!AG24&lt;&gt;"",'Run VRS'!AG24,"")</f>
        <v>Massachusetts</v>
      </c>
      <c r="C24" s="104">
        <f>IF('Run VRS'!AR24&lt;&gt;"",'Run VRS'!AR24,"")</f>
        <v>0.491025880542375</v>
      </c>
      <c r="D24" s="104" t="str">
        <f>IF(ROUND(C24,3)=100%,"Optimal frontier",'Run VRS'!BW24)</f>
        <v xml:space="preserve">New York; Texas; </v>
      </c>
      <c r="E24" s="105">
        <f>IF('Run VRS'!BC24&lt;&gt;"",'Run VRS'!BC24,"")</f>
        <v>0.9198108819988835</v>
      </c>
      <c r="F24" s="106" t="str">
        <f>IF('Run VRS'!BD24&lt;&gt;"",'Run VRS'!BD24,"")</f>
        <v/>
      </c>
      <c r="G24" s="106" t="str">
        <f>IF('Run VRS'!BE24&lt;&gt;"",'Run VRS'!BE24,"")</f>
        <v/>
      </c>
      <c r="H24" s="106" t="str">
        <f>IF('Run VRS'!BF24&lt;&gt;"",'Run VRS'!BF24,"")</f>
        <v/>
      </c>
      <c r="I24" s="106" t="str">
        <f>IF('Run VRS'!BG24&lt;&gt;"",'Run VRS'!BG24,"")</f>
        <v/>
      </c>
      <c r="J24" s="106">
        <f>IF('Run VRS'!BH24&lt;&gt;"",'Run VRS'!BH24,"")</f>
        <v>20.385337190848112</v>
      </c>
      <c r="K24" s="105">
        <f>IF('Run VRS'!BI24&lt;&gt;"",'Run VRS'!BI24,"")</f>
        <v>2.4137691448544735E-2</v>
      </c>
      <c r="L24" s="105" t="str">
        <f>IF('Run VRS'!BJ24&lt;&gt;"",'Run VRS'!BJ24,"")</f>
        <v/>
      </c>
      <c r="M24" s="105" t="str">
        <f>IF('Run VRS'!BK24&lt;&gt;"",'Run VRS'!BK24,"")</f>
        <v/>
      </c>
      <c r="N24" s="105" t="str">
        <f>IF('Run VRS'!BL24&lt;&gt;"",'Run VRS'!BL24,"")</f>
        <v/>
      </c>
      <c r="O24" s="105">
        <f>IF('Run VRS'!BM24&lt;&gt;"",'Run VRS'!BM24,"")</f>
        <v>3.5447912284057526E-2</v>
      </c>
      <c r="P24" s="106" t="str">
        <f>IF('Run VRS'!BN24&lt;&gt;"",'Run VRS'!BN24,"")</f>
        <v/>
      </c>
      <c r="Q24" s="106" t="str">
        <f>IF('Run VRS'!BO24&lt;&gt;"",'Run VRS'!BO24,"")</f>
        <v/>
      </c>
      <c r="R24" s="106" t="str">
        <f>IF('Run VRS'!BP24&lt;&gt;"",'Run VRS'!BP24,"")</f>
        <v/>
      </c>
      <c r="S24" s="106" t="str">
        <f>IF('Run VRS'!BQ24&lt;&gt;"",'Run VRS'!BQ24,"")</f>
        <v/>
      </c>
      <c r="T24" s="106">
        <f>IF('Run VRS'!BR24&lt;&gt;"",'Run VRS'!BR24,"")</f>
        <v>0</v>
      </c>
      <c r="U24" s="105">
        <f>IF('Run VRS'!BS24&lt;&gt;"",'Run VRS'!BS24,"")</f>
        <v>-7.1334749496337155E-2</v>
      </c>
      <c r="V24" s="105" t="str">
        <f>IF('Run VRS'!BT24&lt;&gt;"",'Run VRS'!BT24,"")</f>
        <v/>
      </c>
      <c r="W24" s="105" t="str">
        <f>IF('Run VRS'!BU24&lt;&gt;"",'Run VRS'!BU24,"")</f>
        <v/>
      </c>
      <c r="X24" s="107" t="str">
        <f>IF('Run VRS'!BV24&lt;&gt;"",'Run VRS'!BV24,"")</f>
        <v/>
      </c>
      <c r="Y24" s="114">
        <f>IF('Data input'!C24&lt;&gt;"",O24/'Data input'!C24*100%,"")</f>
        <v>4.0082990240407908E-2</v>
      </c>
      <c r="Z24" s="114" t="str">
        <f>IF('Data input'!D24&lt;&gt;"",P24/'Data input'!D24*100%,"")</f>
        <v/>
      </c>
      <c r="AA24" s="114" t="str">
        <f>IF('Data input'!E24&lt;&gt;"",Q24/'Data input'!E24*100%,"")</f>
        <v/>
      </c>
      <c r="AB24" s="114" t="str">
        <f>IF('Data input'!F24&lt;&gt;"",R24/'Data input'!F24*100%,"")</f>
        <v/>
      </c>
      <c r="AC24" s="114" t="str">
        <f>IF('Data input'!G24&lt;&gt;"",S24/'Data input'!G24*100%,"")</f>
        <v/>
      </c>
      <c r="AD24" s="114">
        <f>IF('Data input'!H24&lt;&gt;"",T24/'Data input'!H24*100%,"")</f>
        <v>0</v>
      </c>
      <c r="AE24" s="114">
        <f>IF('Data input'!I24&lt;&gt;"",U24/'Data input'!I24*100%,"")</f>
        <v>-0.74717634523998511</v>
      </c>
      <c r="AF24" s="114" t="str">
        <f>IF('Data input'!J24&lt;&gt;"",V24/'Data input'!J24*100%,"")</f>
        <v/>
      </c>
      <c r="AG24" s="114" t="str">
        <f>IF('Data input'!K24&lt;&gt;"",W24/'Data input'!K24*100%,"")</f>
        <v/>
      </c>
      <c r="AH24" s="115" t="str">
        <f>IF('Data input'!L24&lt;&gt;"",X24/'Data input'!L24*100%,"")</f>
        <v/>
      </c>
      <c r="AI24" s="114">
        <f>IF('Data input'!C24&lt;&gt;"",'Run VRS'!AH24/'Run VRS'!C24,"")</f>
        <v>0.50926420618286627</v>
      </c>
      <c r="AJ24" s="114" t="str">
        <f>IF('Data input'!D24&lt;&gt;"",'Run VRS'!AI24/'Run VRS'!D24,"")</f>
        <v/>
      </c>
      <c r="AK24" s="114" t="str">
        <f>IF('Data input'!E24&lt;&gt;"",'Run VRS'!AJ24/'Run VRS'!E24,"")</f>
        <v/>
      </c>
      <c r="AL24" s="114" t="str">
        <f>IF('Data input'!F24&lt;&gt;"",'Run VRS'!AK24/'Run VRS'!F24,"")</f>
        <v/>
      </c>
      <c r="AM24" s="114" t="str">
        <f>IF('Data input'!G24&lt;&gt;"",'Run VRS'!AL24/'Run VRS'!G24,"")</f>
        <v/>
      </c>
      <c r="AN24" s="114">
        <f>IF('Data input'!H24&lt;&gt;"",'Run VRS'!AM24/'Run VRS'!H24,"")</f>
        <v>0</v>
      </c>
      <c r="AO24" s="114">
        <f>IF('Data input'!I24&lt;&gt;"",'Run VRS'!AN24/'Run VRS'!I24,"")</f>
        <v>0.5117971158571365</v>
      </c>
      <c r="AP24" s="114" t="str">
        <f>IF('Data input'!J24&lt;&gt;"",'Run VRS'!AO24/'Run VRS'!J24,"")</f>
        <v/>
      </c>
      <c r="AQ24" s="114" t="str">
        <f>IF('Data input'!K24&lt;&gt;"",'Run VRS'!AP24/'Run VRS'!K24,"")</f>
        <v/>
      </c>
      <c r="AR24" s="115" t="str">
        <f>IF('Data input'!L24&lt;&gt;"",'Run VRS'!AQ24/'Run VRS'!L24,"")</f>
        <v/>
      </c>
    </row>
    <row r="25" spans="1:44" x14ac:dyDescent="0.35">
      <c r="A25" s="102">
        <f>IF('Run VRS'!AF25&lt;&gt;"",'Run VRS'!AF25,"")</f>
        <v>23</v>
      </c>
      <c r="B25" s="103" t="str">
        <f>IF('Run VRS'!AG25&lt;&gt;"",'Run VRS'!AG25,"")</f>
        <v>Michigan</v>
      </c>
      <c r="C25" s="104">
        <f>IF('Run VRS'!AR25&lt;&gt;"",'Run VRS'!AR25,"")</f>
        <v>0.79023594968803867</v>
      </c>
      <c r="D25" s="104" t="str">
        <f>IF(ROUND(C25,3)=100%,"Optimal frontier",'Run VRS'!BW25)</f>
        <v xml:space="preserve">New York; Texas; </v>
      </c>
      <c r="E25" s="105">
        <f>IF('Run VRS'!BC25&lt;&gt;"",'Run VRS'!BC25,"")</f>
        <v>0.92880821920596024</v>
      </c>
      <c r="F25" s="106" t="str">
        <f>IF('Run VRS'!BD25&lt;&gt;"",'Run VRS'!BD25,"")</f>
        <v/>
      </c>
      <c r="G25" s="106" t="str">
        <f>IF('Run VRS'!BE25&lt;&gt;"",'Run VRS'!BE25,"")</f>
        <v/>
      </c>
      <c r="H25" s="106" t="str">
        <f>IF('Run VRS'!BF25&lt;&gt;"",'Run VRS'!BF25,"")</f>
        <v/>
      </c>
      <c r="I25" s="106" t="str">
        <f>IF('Run VRS'!BG25&lt;&gt;"",'Run VRS'!BG25,"")</f>
        <v/>
      </c>
      <c r="J25" s="106">
        <f>IF('Run VRS'!BH25&lt;&gt;"",'Run VRS'!BH25,"")</f>
        <v>3.6764197219855244</v>
      </c>
      <c r="K25" s="105">
        <f>IF('Run VRS'!BI25&lt;&gt;"",'Run VRS'!BI25,"")</f>
        <v>1.0595920184489824E-3</v>
      </c>
      <c r="L25" s="105" t="str">
        <f>IF('Run VRS'!BJ25&lt;&gt;"",'Run VRS'!BJ25,"")</f>
        <v/>
      </c>
      <c r="M25" s="105" t="str">
        <f>IF('Run VRS'!BK25&lt;&gt;"",'Run VRS'!BK25,"")</f>
        <v/>
      </c>
      <c r="N25" s="105" t="str">
        <f>IF('Run VRS'!BL25&lt;&gt;"",'Run VRS'!BL25,"")</f>
        <v/>
      </c>
      <c r="O25" s="105">
        <f>IF('Run VRS'!BM25&lt;&gt;"",'Run VRS'!BM25,"")</f>
        <v>0</v>
      </c>
      <c r="P25" s="106" t="str">
        <f>IF('Run VRS'!BN25&lt;&gt;"",'Run VRS'!BN25,"")</f>
        <v/>
      </c>
      <c r="Q25" s="106" t="str">
        <f>IF('Run VRS'!BO25&lt;&gt;"",'Run VRS'!BO25,"")</f>
        <v/>
      </c>
      <c r="R25" s="106" t="str">
        <f>IF('Run VRS'!BP25&lt;&gt;"",'Run VRS'!BP25,"")</f>
        <v/>
      </c>
      <c r="S25" s="106" t="str">
        <f>IF('Run VRS'!BQ25&lt;&gt;"",'Run VRS'!BQ25,"")</f>
        <v/>
      </c>
      <c r="T25" s="106">
        <f>IF('Run VRS'!BR25&lt;&gt;"",'Run VRS'!BR25,"")</f>
        <v>-8.241491227329325</v>
      </c>
      <c r="U25" s="105">
        <f>IF('Run VRS'!BS25&lt;&gt;"",'Run VRS'!BS25,"")</f>
        <v>-9.3921948999596497E-3</v>
      </c>
      <c r="V25" s="105" t="str">
        <f>IF('Run VRS'!BT25&lt;&gt;"",'Run VRS'!BT25,"")</f>
        <v/>
      </c>
      <c r="W25" s="105" t="str">
        <f>IF('Run VRS'!BU25&lt;&gt;"",'Run VRS'!BU25,"")</f>
        <v/>
      </c>
      <c r="X25" s="107" t="str">
        <f>IF('Run VRS'!BV25&lt;&gt;"",'Run VRS'!BV25,"")</f>
        <v/>
      </c>
      <c r="Y25" s="114">
        <f>IF('Data input'!C25&lt;&gt;"",O25/'Data input'!C25*100%,"")</f>
        <v>0</v>
      </c>
      <c r="Z25" s="114" t="str">
        <f>IF('Data input'!D25&lt;&gt;"",P25/'Data input'!D25*100%,"")</f>
        <v/>
      </c>
      <c r="AA25" s="114" t="str">
        <f>IF('Data input'!E25&lt;&gt;"",Q25/'Data input'!E25*100%,"")</f>
        <v/>
      </c>
      <c r="AB25" s="114" t="str">
        <f>IF('Data input'!F25&lt;&gt;"",R25/'Data input'!F25*100%,"")</f>
        <v/>
      </c>
      <c r="AC25" s="114" t="str">
        <f>IF('Data input'!G25&lt;&gt;"",S25/'Data input'!G25*100%,"")</f>
        <v/>
      </c>
      <c r="AD25" s="114">
        <f>IF('Data input'!H25&lt;&gt;"",T25/'Data input'!H25*100%,"")</f>
        <v>-0.69152146398636427</v>
      </c>
      <c r="AE25" s="114">
        <f>IF('Data input'!I25&lt;&gt;"",U25/'Data input'!I25*100%,"")</f>
        <v>-0.89862097010581676</v>
      </c>
      <c r="AF25" s="114" t="str">
        <f>IF('Data input'!J25&lt;&gt;"",V25/'Data input'!J25*100%,"")</f>
        <v/>
      </c>
      <c r="AG25" s="114" t="str">
        <f>IF('Data input'!K25&lt;&gt;"",W25/'Data input'!K25*100%,"")</f>
        <v/>
      </c>
      <c r="AH25" s="115" t="str">
        <f>IF('Data input'!L25&lt;&gt;"",X25/'Data input'!L25*100%,"")</f>
        <v/>
      </c>
      <c r="AI25" s="114">
        <f>IF('Data input'!C25&lt;&gt;"",'Run VRS'!AH25/'Run VRS'!C25,"")</f>
        <v>0</v>
      </c>
      <c r="AJ25" s="114" t="str">
        <f>IF('Data input'!D25&lt;&gt;"",'Run VRS'!AI25/'Run VRS'!D25,"")</f>
        <v/>
      </c>
      <c r="AK25" s="114" t="str">
        <f>IF('Data input'!E25&lt;&gt;"",'Run VRS'!AJ25/'Run VRS'!E25,"")</f>
        <v/>
      </c>
      <c r="AL25" s="114" t="str">
        <f>IF('Data input'!F25&lt;&gt;"",'Run VRS'!AK25/'Run VRS'!F25,"")</f>
        <v/>
      </c>
      <c r="AM25" s="114" t="str">
        <f>IF('Data input'!G25&lt;&gt;"",'Run VRS'!AL25/'Run VRS'!G25,"")</f>
        <v/>
      </c>
      <c r="AN25" s="114">
        <f>IF('Data input'!H25&lt;&gt;"",'Run VRS'!AM25/'Run VRS'!H25,"")</f>
        <v>0.24675124113285679</v>
      </c>
      <c r="AO25" s="114">
        <f>IF('Data input'!I25&lt;&gt;"",'Run VRS'!AN25/'Run VRS'!I25,"")</f>
        <v>0.172776859491066</v>
      </c>
      <c r="AP25" s="114" t="str">
        <f>IF('Data input'!J25&lt;&gt;"",'Run VRS'!AO25/'Run VRS'!J25,"")</f>
        <v/>
      </c>
      <c r="AQ25" s="114" t="str">
        <f>IF('Data input'!K25&lt;&gt;"",'Run VRS'!AP25/'Run VRS'!K25,"")</f>
        <v/>
      </c>
      <c r="AR25" s="115" t="str">
        <f>IF('Data input'!L25&lt;&gt;"",'Run VRS'!AQ25/'Run VRS'!L25,"")</f>
        <v/>
      </c>
    </row>
    <row r="26" spans="1:44" x14ac:dyDescent="0.35">
      <c r="A26" s="102">
        <f>IF('Run VRS'!AF26&lt;&gt;"",'Run VRS'!AF26,"")</f>
        <v>24</v>
      </c>
      <c r="B26" s="103" t="str">
        <f>IF('Run VRS'!AG26&lt;&gt;"",'Run VRS'!AG26,"")</f>
        <v>Minnesota</v>
      </c>
      <c r="C26" s="104">
        <f>IF('Run VRS'!AR26&lt;&gt;"",'Run VRS'!AR26,"")</f>
        <v>0.96369492636814036</v>
      </c>
      <c r="D26" s="104" t="str">
        <f>IF(ROUND(C26,3)=100%,"Optimal frontier",'Run VRS'!BW26)</f>
        <v xml:space="preserve">Kansas; New York; Texas; </v>
      </c>
      <c r="E26" s="105">
        <f>IF('Run VRS'!BC26&lt;&gt;"",'Run VRS'!BC26,"")</f>
        <v>0.97026139629570129</v>
      </c>
      <c r="F26" s="106" t="str">
        <f>IF('Run VRS'!BD26&lt;&gt;"",'Run VRS'!BD26,"")</f>
        <v/>
      </c>
      <c r="G26" s="106" t="str">
        <f>IF('Run VRS'!BE26&lt;&gt;"",'Run VRS'!BE26,"")</f>
        <v/>
      </c>
      <c r="H26" s="106" t="str">
        <f>IF('Run VRS'!BF26&lt;&gt;"",'Run VRS'!BF26,"")</f>
        <v/>
      </c>
      <c r="I26" s="106" t="str">
        <f>IF('Run VRS'!BG26&lt;&gt;"",'Run VRS'!BG26,"")</f>
        <v/>
      </c>
      <c r="J26" s="106">
        <f>IF('Run VRS'!BH26&lt;&gt;"",'Run VRS'!BH26,"")</f>
        <v>1.7479555002292313</v>
      </c>
      <c r="K26" s="105">
        <f>IF('Run VRS'!BI26&lt;&gt;"",'Run VRS'!BI26,"")</f>
        <v>1.1220433924879255E-3</v>
      </c>
      <c r="L26" s="105" t="str">
        <f>IF('Run VRS'!BJ26&lt;&gt;"",'Run VRS'!BJ26,"")</f>
        <v/>
      </c>
      <c r="M26" s="105" t="str">
        <f>IF('Run VRS'!BK26&lt;&gt;"",'Run VRS'!BK26,"")</f>
        <v/>
      </c>
      <c r="N26" s="105" t="str">
        <f>IF('Run VRS'!BL26&lt;&gt;"",'Run VRS'!BL26,"")</f>
        <v/>
      </c>
      <c r="O26" s="105">
        <f>IF('Run VRS'!BM26&lt;&gt;"",'Run VRS'!BM26,"")</f>
        <v>0</v>
      </c>
      <c r="P26" s="106" t="str">
        <f>IF('Run VRS'!BN26&lt;&gt;"",'Run VRS'!BN26,"")</f>
        <v/>
      </c>
      <c r="Q26" s="106" t="str">
        <f>IF('Run VRS'!BO26&lt;&gt;"",'Run VRS'!BO26,"")</f>
        <v/>
      </c>
      <c r="R26" s="106" t="str">
        <f>IF('Run VRS'!BP26&lt;&gt;"",'Run VRS'!BP26,"")</f>
        <v/>
      </c>
      <c r="S26" s="106" t="str">
        <f>IF('Run VRS'!BQ26&lt;&gt;"",'Run VRS'!BQ26,"")</f>
        <v/>
      </c>
      <c r="T26" s="106">
        <f>IF('Run VRS'!BR26&lt;&gt;"",'Run VRS'!BR26,"")</f>
        <v>-1.4702241452484308</v>
      </c>
      <c r="U26" s="105">
        <f>IF('Run VRS'!BS26&lt;&gt;"",'Run VRS'!BS26,"")</f>
        <v>-5.9715431524846418E-4</v>
      </c>
      <c r="V26" s="105" t="str">
        <f>IF('Run VRS'!BT26&lt;&gt;"",'Run VRS'!BT26,"")</f>
        <v/>
      </c>
      <c r="W26" s="105" t="str">
        <f>IF('Run VRS'!BU26&lt;&gt;"",'Run VRS'!BU26,"")</f>
        <v/>
      </c>
      <c r="X26" s="107" t="str">
        <f>IF('Run VRS'!BV26&lt;&gt;"",'Run VRS'!BV26,"")</f>
        <v/>
      </c>
      <c r="Y26" s="114">
        <f>IF('Data input'!C26&lt;&gt;"",O26/'Data input'!C26*100%,"")</f>
        <v>0</v>
      </c>
      <c r="Z26" s="114" t="str">
        <f>IF('Data input'!D26&lt;&gt;"",P26/'Data input'!D26*100%,"")</f>
        <v/>
      </c>
      <c r="AA26" s="114" t="str">
        <f>IF('Data input'!E26&lt;&gt;"",Q26/'Data input'!E26*100%,"")</f>
        <v/>
      </c>
      <c r="AB26" s="114" t="str">
        <f>IF('Data input'!F26&lt;&gt;"",R26/'Data input'!F26*100%,"")</f>
        <v/>
      </c>
      <c r="AC26" s="114" t="str">
        <f>IF('Data input'!G26&lt;&gt;"",S26/'Data input'!G26*100%,"")</f>
        <v/>
      </c>
      <c r="AD26" s="114">
        <f>IF('Data input'!H26&lt;&gt;"",T26/'Data input'!H26*100%,"")</f>
        <v>-0.45684961910515443</v>
      </c>
      <c r="AE26" s="114">
        <f>IF('Data input'!I26&lt;&gt;"",U26/'Data input'!I26*100%,"")</f>
        <v>-0.34734476003619003</v>
      </c>
      <c r="AF26" s="114" t="str">
        <f>IF('Data input'!J26&lt;&gt;"",V26/'Data input'!J26*100%,"")</f>
        <v/>
      </c>
      <c r="AG26" s="114" t="str">
        <f>IF('Data input'!K26&lt;&gt;"",W26/'Data input'!K26*100%,"")</f>
        <v/>
      </c>
      <c r="AH26" s="115" t="str">
        <f>IF('Data input'!L26&lt;&gt;"",X26/'Data input'!L26*100%,"")</f>
        <v/>
      </c>
      <c r="AI26" s="114">
        <f>IF('Data input'!C26&lt;&gt;"",'Run VRS'!AH26/'Run VRS'!C26,"")</f>
        <v>0</v>
      </c>
      <c r="AJ26" s="114" t="str">
        <f>IF('Data input'!D26&lt;&gt;"",'Run VRS'!AI26/'Run VRS'!D26,"")</f>
        <v/>
      </c>
      <c r="AK26" s="114" t="str">
        <f>IF('Data input'!E26&lt;&gt;"",'Run VRS'!AJ26/'Run VRS'!E26,"")</f>
        <v/>
      </c>
      <c r="AL26" s="114" t="str">
        <f>IF('Data input'!F26&lt;&gt;"",'Run VRS'!AK26/'Run VRS'!F26,"")</f>
        <v/>
      </c>
      <c r="AM26" s="114" t="str">
        <f>IF('Data input'!G26&lt;&gt;"",'Run VRS'!AL26/'Run VRS'!G26,"")</f>
        <v/>
      </c>
      <c r="AN26" s="114">
        <f>IF('Data input'!H26&lt;&gt;"",'Run VRS'!AM26/'Run VRS'!H26,"")</f>
        <v>5.9522599449141747E-2</v>
      </c>
      <c r="AO26" s="114">
        <f>IF('Data input'!I26&lt;&gt;"",'Run VRS'!AN26/'Run VRS'!I26,"")</f>
        <v>1.308754781457728E-2</v>
      </c>
      <c r="AP26" s="114" t="str">
        <f>IF('Data input'!J26&lt;&gt;"",'Run VRS'!AO26/'Run VRS'!J26,"")</f>
        <v/>
      </c>
      <c r="AQ26" s="114" t="str">
        <f>IF('Data input'!K26&lt;&gt;"",'Run VRS'!AP26/'Run VRS'!K26,"")</f>
        <v/>
      </c>
      <c r="AR26" s="115" t="str">
        <f>IF('Data input'!L26&lt;&gt;"",'Run VRS'!AQ26/'Run VRS'!L26,"")</f>
        <v/>
      </c>
    </row>
    <row r="27" spans="1:44" x14ac:dyDescent="0.35">
      <c r="A27" s="102">
        <f>IF('Run VRS'!AF27&lt;&gt;"",'Run VRS'!AF27,"")</f>
        <v>25</v>
      </c>
      <c r="B27" s="103" t="str">
        <f>IF('Run VRS'!AG27&lt;&gt;"",'Run VRS'!AG27,"")</f>
        <v>Mississippi</v>
      </c>
      <c r="C27" s="104">
        <f>IF('Run VRS'!AR27&lt;&gt;"",'Run VRS'!AR27,"")</f>
        <v>0.99999999999996692</v>
      </c>
      <c r="D27" s="104" t="str">
        <f>IF(ROUND(C27,3)=100%,"Optimal frontier",'Run VRS'!BW27)</f>
        <v>Optimal frontier</v>
      </c>
      <c r="E27" s="105">
        <f>IF('Run VRS'!BC27&lt;&gt;"",'Run VRS'!BC27,"")</f>
        <v>0.97692501732505765</v>
      </c>
      <c r="F27" s="106" t="str">
        <f>IF('Run VRS'!BD27&lt;&gt;"",'Run VRS'!BD27,"")</f>
        <v/>
      </c>
      <c r="G27" s="106" t="str">
        <f>IF('Run VRS'!BE27&lt;&gt;"",'Run VRS'!BE27,"")</f>
        <v/>
      </c>
      <c r="H27" s="106" t="str">
        <f>IF('Run VRS'!BF27&lt;&gt;"",'Run VRS'!BF27,"")</f>
        <v/>
      </c>
      <c r="I27" s="106" t="str">
        <f>IF('Run VRS'!BG27&lt;&gt;"",'Run VRS'!BG27,"")</f>
        <v/>
      </c>
      <c r="J27" s="106">
        <f>IF('Run VRS'!BH27&lt;&gt;"",'Run VRS'!BH27,"")</f>
        <v>1.8926462285787415</v>
      </c>
      <c r="K27" s="105">
        <f>IF('Run VRS'!BI27&lt;&gt;"",'Run VRS'!BI27,"")</f>
        <v>5.4324517512502446E-2</v>
      </c>
      <c r="L27" s="105" t="str">
        <f>IF('Run VRS'!BJ27&lt;&gt;"",'Run VRS'!BJ27,"")</f>
        <v/>
      </c>
      <c r="M27" s="105" t="str">
        <f>IF('Run VRS'!BK27&lt;&gt;"",'Run VRS'!BK27,"")</f>
        <v/>
      </c>
      <c r="N27" s="105" t="str">
        <f>IF('Run VRS'!BL27&lt;&gt;"",'Run VRS'!BL27,"")</f>
        <v/>
      </c>
      <c r="O27" s="105">
        <f>IF('Run VRS'!BM27&lt;&gt;"",'Run VRS'!BM27,"")</f>
        <v>0</v>
      </c>
      <c r="P27" s="106" t="str">
        <f>IF('Run VRS'!BN27&lt;&gt;"",'Run VRS'!BN27,"")</f>
        <v/>
      </c>
      <c r="Q27" s="106" t="str">
        <f>IF('Run VRS'!BO27&lt;&gt;"",'Run VRS'!BO27,"")</f>
        <v/>
      </c>
      <c r="R27" s="106" t="str">
        <f>IF('Run VRS'!BP27&lt;&gt;"",'Run VRS'!BP27,"")</f>
        <v/>
      </c>
      <c r="S27" s="106" t="str">
        <f>IF('Run VRS'!BQ27&lt;&gt;"",'Run VRS'!BQ27,"")</f>
        <v/>
      </c>
      <c r="T27" s="106">
        <f>IF('Run VRS'!BR27&lt;&gt;"",'Run VRS'!BR27,"")</f>
        <v>-2.2204460492503131E-15</v>
      </c>
      <c r="U27" s="105">
        <f>IF('Run VRS'!BS27&lt;&gt;"",'Run VRS'!BS27,"")</f>
        <v>-6.4878658001532585E-15</v>
      </c>
      <c r="V27" s="105" t="str">
        <f>IF('Run VRS'!BT27&lt;&gt;"",'Run VRS'!BT27,"")</f>
        <v/>
      </c>
      <c r="W27" s="105" t="str">
        <f>IF('Run VRS'!BU27&lt;&gt;"",'Run VRS'!BU27,"")</f>
        <v/>
      </c>
      <c r="X27" s="107" t="str">
        <f>IF('Run VRS'!BV27&lt;&gt;"",'Run VRS'!BV27,"")</f>
        <v/>
      </c>
      <c r="Y27" s="114">
        <f>IF('Data input'!C27&lt;&gt;"",O27/'Data input'!C27*100%,"")</f>
        <v>0</v>
      </c>
      <c r="Z27" s="114" t="str">
        <f>IF('Data input'!D27&lt;&gt;"",P27/'Data input'!D27*100%,"")</f>
        <v/>
      </c>
      <c r="AA27" s="114" t="str">
        <f>IF('Data input'!E27&lt;&gt;"",Q27/'Data input'!E27*100%,"")</f>
        <v/>
      </c>
      <c r="AB27" s="114" t="str">
        <f>IF('Data input'!F27&lt;&gt;"",R27/'Data input'!F27*100%,"")</f>
        <v/>
      </c>
      <c r="AC27" s="114" t="str">
        <f>IF('Data input'!G27&lt;&gt;"",S27/'Data input'!G27*100%,"")</f>
        <v/>
      </c>
      <c r="AD27" s="114">
        <f>IF('Data input'!H27&lt;&gt;"",T27/'Data input'!H27*100%,"")</f>
        <v>-1.1731965624224057E-15</v>
      </c>
      <c r="AE27" s="114">
        <f>IF('Data input'!I27&lt;&gt;"",U27/'Data input'!I27*100%,"")</f>
        <v>-1.1942795071597907E-13</v>
      </c>
      <c r="AF27" s="114" t="str">
        <f>IF('Data input'!J27&lt;&gt;"",V27/'Data input'!J27*100%,"")</f>
        <v/>
      </c>
      <c r="AG27" s="114" t="str">
        <f>IF('Data input'!K27&lt;&gt;"",W27/'Data input'!K27*100%,"")</f>
        <v/>
      </c>
      <c r="AH27" s="115" t="str">
        <f>IF('Data input'!L27&lt;&gt;"",X27/'Data input'!L27*100%,"")</f>
        <v/>
      </c>
      <c r="AI27" s="114">
        <f>IF('Data input'!C27&lt;&gt;"",'Run VRS'!AH27/'Run VRS'!C27,"")</f>
        <v>0</v>
      </c>
      <c r="AJ27" s="114" t="str">
        <f>IF('Data input'!D27&lt;&gt;"",'Run VRS'!AI27/'Run VRS'!D27,"")</f>
        <v/>
      </c>
      <c r="AK27" s="114" t="str">
        <f>IF('Data input'!E27&lt;&gt;"",'Run VRS'!AJ27/'Run VRS'!E27,"")</f>
        <v/>
      </c>
      <c r="AL27" s="114" t="str">
        <f>IF('Data input'!F27&lt;&gt;"",'Run VRS'!AK27/'Run VRS'!F27,"")</f>
        <v/>
      </c>
      <c r="AM27" s="114" t="str">
        <f>IF('Data input'!G27&lt;&gt;"",'Run VRS'!AL27/'Run VRS'!G27,"")</f>
        <v/>
      </c>
      <c r="AN27" s="114">
        <f>IF('Data input'!H27&lt;&gt;"",'Run VRS'!AM27/'Run VRS'!H27,"")</f>
        <v>0</v>
      </c>
      <c r="AO27" s="114">
        <f>IF('Data input'!I27&lt;&gt;"",'Run VRS'!AN27/'Run VRS'!I27,"")</f>
        <v>6.6197519436674897E-14</v>
      </c>
      <c r="AP27" s="114" t="str">
        <f>IF('Data input'!J27&lt;&gt;"",'Run VRS'!AO27/'Run VRS'!J27,"")</f>
        <v/>
      </c>
      <c r="AQ27" s="114" t="str">
        <f>IF('Data input'!K27&lt;&gt;"",'Run VRS'!AP27/'Run VRS'!K27,"")</f>
        <v/>
      </c>
      <c r="AR27" s="115" t="str">
        <f>IF('Data input'!L27&lt;&gt;"",'Run VRS'!AQ27/'Run VRS'!L27,"")</f>
        <v/>
      </c>
    </row>
    <row r="28" spans="1:44" x14ac:dyDescent="0.35">
      <c r="A28" s="102">
        <f>IF('Run VRS'!AF28&lt;&gt;"",'Run VRS'!AF28,"")</f>
        <v>26</v>
      </c>
      <c r="B28" s="103" t="str">
        <f>IF('Run VRS'!AG28&lt;&gt;"",'Run VRS'!AG28,"")</f>
        <v>Missouri</v>
      </c>
      <c r="C28" s="104">
        <f>IF('Run VRS'!AR28&lt;&gt;"",'Run VRS'!AR28,"")</f>
        <v>0.68545475343956341</v>
      </c>
      <c r="D28" s="104" t="str">
        <f>IF(ROUND(C28,3)=100%,"Optimal frontier",'Run VRS'!BW28)</f>
        <v xml:space="preserve">Kansas; New York; Texas; </v>
      </c>
      <c r="E28" s="105">
        <f>IF('Run VRS'!BC28&lt;&gt;"",'Run VRS'!BC28,"")</f>
        <v>0.92680135234128458</v>
      </c>
      <c r="F28" s="106" t="str">
        <f>IF('Run VRS'!BD28&lt;&gt;"",'Run VRS'!BD28,"")</f>
        <v/>
      </c>
      <c r="G28" s="106" t="str">
        <f>IF('Run VRS'!BE28&lt;&gt;"",'Run VRS'!BE28,"")</f>
        <v/>
      </c>
      <c r="H28" s="106" t="str">
        <f>IF('Run VRS'!BF28&lt;&gt;"",'Run VRS'!BF28,"")</f>
        <v/>
      </c>
      <c r="I28" s="106" t="str">
        <f>IF('Run VRS'!BG28&lt;&gt;"",'Run VRS'!BG28,"")</f>
        <v/>
      </c>
      <c r="J28" s="106">
        <f>IF('Run VRS'!BH28&lt;&gt;"",'Run VRS'!BH28,"")</f>
        <v>4.5089009429993325</v>
      </c>
      <c r="K28" s="105">
        <f>IF('Run VRS'!BI28&lt;&gt;"",'Run VRS'!BI28,"")</f>
        <v>1.0601540955887806E-3</v>
      </c>
      <c r="L28" s="105" t="str">
        <f>IF('Run VRS'!BJ28&lt;&gt;"",'Run VRS'!BJ28,"")</f>
        <v/>
      </c>
      <c r="M28" s="105" t="str">
        <f>IF('Run VRS'!BK28&lt;&gt;"",'Run VRS'!BK28,"")</f>
        <v/>
      </c>
      <c r="N28" s="105" t="str">
        <f>IF('Run VRS'!BL28&lt;&gt;"",'Run VRS'!BL28,"")</f>
        <v/>
      </c>
      <c r="O28" s="105">
        <f>IF('Run VRS'!BM28&lt;&gt;"",'Run VRS'!BM28,"")</f>
        <v>0</v>
      </c>
      <c r="P28" s="106" t="str">
        <f>IF('Run VRS'!BN28&lt;&gt;"",'Run VRS'!BN28,"")</f>
        <v/>
      </c>
      <c r="Q28" s="106" t="str">
        <f>IF('Run VRS'!BO28&lt;&gt;"",'Run VRS'!BO28,"")</f>
        <v/>
      </c>
      <c r="R28" s="106" t="str">
        <f>IF('Run VRS'!BP28&lt;&gt;"",'Run VRS'!BP28,"")</f>
        <v/>
      </c>
      <c r="S28" s="106" t="str">
        <f>IF('Run VRS'!BQ28&lt;&gt;"",'Run VRS'!BQ28,"")</f>
        <v/>
      </c>
      <c r="T28" s="106">
        <f>IF('Run VRS'!BR28&lt;&gt;"",'Run VRS'!BR28,"")</f>
        <v>-2.4326438623754765</v>
      </c>
      <c r="U28" s="105">
        <f>IF('Run VRS'!BS28&lt;&gt;"",'Run VRS'!BS28,"")</f>
        <v>-5.3539900504465818E-2</v>
      </c>
      <c r="V28" s="105" t="str">
        <f>IF('Run VRS'!BT28&lt;&gt;"",'Run VRS'!BT28,"")</f>
        <v/>
      </c>
      <c r="W28" s="105" t="str">
        <f>IF('Run VRS'!BU28&lt;&gt;"",'Run VRS'!BU28,"")</f>
        <v/>
      </c>
      <c r="X28" s="107" t="str">
        <f>IF('Run VRS'!BV28&lt;&gt;"",'Run VRS'!BV28,"")</f>
        <v/>
      </c>
      <c r="Y28" s="114">
        <f>IF('Data input'!C28&lt;&gt;"",O28/'Data input'!C28*100%,"")</f>
        <v>0</v>
      </c>
      <c r="Z28" s="114" t="str">
        <f>IF('Data input'!D28&lt;&gt;"",P28/'Data input'!D28*100%,"")</f>
        <v/>
      </c>
      <c r="AA28" s="114" t="str">
        <f>IF('Data input'!E28&lt;&gt;"",Q28/'Data input'!E28*100%,"")</f>
        <v/>
      </c>
      <c r="AB28" s="114" t="str">
        <f>IF('Data input'!F28&lt;&gt;"",R28/'Data input'!F28*100%,"")</f>
        <v/>
      </c>
      <c r="AC28" s="114" t="str">
        <f>IF('Data input'!G28&lt;&gt;"",S28/'Data input'!G28*100%,"")</f>
        <v/>
      </c>
      <c r="AD28" s="114">
        <f>IF('Data input'!H28&lt;&gt;"",T28/'Data input'!H28*100%,"")</f>
        <v>-0.35044704465379095</v>
      </c>
      <c r="AE28" s="114">
        <f>IF('Data input'!I28&lt;&gt;"",U28/'Data input'!I28*100%,"")</f>
        <v>-0.98058327773929144</v>
      </c>
      <c r="AF28" s="114" t="str">
        <f>IF('Data input'!J28&lt;&gt;"",V28/'Data input'!J28*100%,"")</f>
        <v/>
      </c>
      <c r="AG28" s="114" t="str">
        <f>IF('Data input'!K28&lt;&gt;"",W28/'Data input'!K28*100%,"")</f>
        <v/>
      </c>
      <c r="AH28" s="115" t="str">
        <f>IF('Data input'!L28&lt;&gt;"",X28/'Data input'!L28*100%,"")</f>
        <v/>
      </c>
      <c r="AI28" s="114">
        <f>IF('Data input'!C28&lt;&gt;"",'Run VRS'!AH28/'Run VRS'!C28,"")</f>
        <v>0</v>
      </c>
      <c r="AJ28" s="114" t="str">
        <f>IF('Data input'!D28&lt;&gt;"",'Run VRS'!AI28/'Run VRS'!D28,"")</f>
        <v/>
      </c>
      <c r="AK28" s="114" t="str">
        <f>IF('Data input'!E28&lt;&gt;"",'Run VRS'!AJ28/'Run VRS'!E28,"")</f>
        <v/>
      </c>
      <c r="AL28" s="114" t="str">
        <f>IF('Data input'!F28&lt;&gt;"",'Run VRS'!AK28/'Run VRS'!F28,"")</f>
        <v/>
      </c>
      <c r="AM28" s="114" t="str">
        <f>IF('Data input'!G28&lt;&gt;"",'Run VRS'!AL28/'Run VRS'!G28,"")</f>
        <v/>
      </c>
      <c r="AN28" s="114">
        <f>IF('Data input'!H28&lt;&gt;"",'Run VRS'!AM28/'Run VRS'!H28,"")</f>
        <v>8.5585254625026932E-2</v>
      </c>
      <c r="AO28" s="114">
        <f>IF('Data input'!I28&lt;&gt;"",'Run VRS'!AN28/'Run VRS'!I28,"")</f>
        <v>0.5435052384958462</v>
      </c>
      <c r="AP28" s="114" t="str">
        <f>IF('Data input'!J28&lt;&gt;"",'Run VRS'!AO28/'Run VRS'!J28,"")</f>
        <v/>
      </c>
      <c r="AQ28" s="114" t="str">
        <f>IF('Data input'!K28&lt;&gt;"",'Run VRS'!AP28/'Run VRS'!K28,"")</f>
        <v/>
      </c>
      <c r="AR28" s="115" t="str">
        <f>IF('Data input'!L28&lt;&gt;"",'Run VRS'!AQ28/'Run VRS'!L28,"")</f>
        <v/>
      </c>
    </row>
    <row r="29" spans="1:44" x14ac:dyDescent="0.35">
      <c r="A29" s="102">
        <f>IF('Run VRS'!AF29&lt;&gt;"",'Run VRS'!AF29,"")</f>
        <v>27</v>
      </c>
      <c r="B29" s="103" t="str">
        <f>IF('Run VRS'!AG29&lt;&gt;"",'Run VRS'!AG29,"")</f>
        <v>Montana</v>
      </c>
      <c r="C29" s="104">
        <f>IF('Run VRS'!AR29&lt;&gt;"",'Run VRS'!AR29,"")</f>
        <v>0.52811886890454007</v>
      </c>
      <c r="D29" s="104" t="str">
        <f>IF(ROUND(C29,3)=100%,"Optimal frontier",'Run VRS'!BW29)</f>
        <v xml:space="preserve">Kansas; Louisiana; West Virginia; </v>
      </c>
      <c r="E29" s="105">
        <f>IF('Run VRS'!BC29&lt;&gt;"",'Run VRS'!BC29,"")</f>
        <v>0.94230935661215975</v>
      </c>
      <c r="F29" s="106" t="str">
        <f>IF('Run VRS'!BD29&lt;&gt;"",'Run VRS'!BD29,"")</f>
        <v/>
      </c>
      <c r="G29" s="106" t="str">
        <f>IF('Run VRS'!BE29&lt;&gt;"",'Run VRS'!BE29,"")</f>
        <v/>
      </c>
      <c r="H29" s="106" t="str">
        <f>IF('Run VRS'!BF29&lt;&gt;"",'Run VRS'!BF29,"")</f>
        <v/>
      </c>
      <c r="I29" s="106" t="str">
        <f>IF('Run VRS'!BG29&lt;&gt;"",'Run VRS'!BG29,"")</f>
        <v/>
      </c>
      <c r="J29" s="106">
        <f>IF('Run VRS'!BH29&lt;&gt;"",'Run VRS'!BH29,"")</f>
        <v>3.7903354681887818</v>
      </c>
      <c r="K29" s="105">
        <f>IF('Run VRS'!BI29&lt;&gt;"",'Run VRS'!BI29,"")</f>
        <v>3.0381213105319899E-2</v>
      </c>
      <c r="L29" s="105" t="str">
        <f>IF('Run VRS'!BJ29&lt;&gt;"",'Run VRS'!BJ29,"")</f>
        <v/>
      </c>
      <c r="M29" s="105" t="str">
        <f>IF('Run VRS'!BK29&lt;&gt;"",'Run VRS'!BK29,"")</f>
        <v/>
      </c>
      <c r="N29" s="105" t="str">
        <f>IF('Run VRS'!BL29&lt;&gt;"",'Run VRS'!BL29,"")</f>
        <v/>
      </c>
      <c r="O29" s="105">
        <f>IF('Run VRS'!BM29&lt;&gt;"",'Run VRS'!BM29,"")</f>
        <v>0</v>
      </c>
      <c r="P29" s="106" t="str">
        <f>IF('Run VRS'!BN29&lt;&gt;"",'Run VRS'!BN29,"")</f>
        <v/>
      </c>
      <c r="Q29" s="106" t="str">
        <f>IF('Run VRS'!BO29&lt;&gt;"",'Run VRS'!BO29,"")</f>
        <v/>
      </c>
      <c r="R29" s="106" t="str">
        <f>IF('Run VRS'!BP29&lt;&gt;"",'Run VRS'!BP29,"")</f>
        <v/>
      </c>
      <c r="S29" s="106" t="str">
        <f>IF('Run VRS'!BQ29&lt;&gt;"",'Run VRS'!BQ29,"")</f>
        <v/>
      </c>
      <c r="T29" s="106">
        <f>IF('Run VRS'!BR29&lt;&gt;"",'Run VRS'!BR29,"")</f>
        <v>-26.709416985617782</v>
      </c>
      <c r="U29" s="105">
        <f>IF('Run VRS'!BS29&lt;&gt;"",'Run VRS'!BS29,"")</f>
        <v>-5.6029422049776109E-2</v>
      </c>
      <c r="V29" s="105" t="str">
        <f>IF('Run VRS'!BT29&lt;&gt;"",'Run VRS'!BT29,"")</f>
        <v/>
      </c>
      <c r="W29" s="105" t="str">
        <f>IF('Run VRS'!BU29&lt;&gt;"",'Run VRS'!BU29,"")</f>
        <v/>
      </c>
      <c r="X29" s="107" t="str">
        <f>IF('Run VRS'!BV29&lt;&gt;"",'Run VRS'!BV29,"")</f>
        <v/>
      </c>
      <c r="Y29" s="114">
        <f>IF('Data input'!C29&lt;&gt;"",O29/'Data input'!C29*100%,"")</f>
        <v>0</v>
      </c>
      <c r="Z29" s="114" t="str">
        <f>IF('Data input'!D29&lt;&gt;"",P29/'Data input'!D29*100%,"")</f>
        <v/>
      </c>
      <c r="AA29" s="114" t="str">
        <f>IF('Data input'!E29&lt;&gt;"",Q29/'Data input'!E29*100%,"")</f>
        <v/>
      </c>
      <c r="AB29" s="114" t="str">
        <f>IF('Data input'!F29&lt;&gt;"",R29/'Data input'!F29*100%,"")</f>
        <v/>
      </c>
      <c r="AC29" s="114" t="str">
        <f>IF('Data input'!G29&lt;&gt;"",S29/'Data input'!G29*100%,"")</f>
        <v/>
      </c>
      <c r="AD29" s="114">
        <f>IF('Data input'!H29&lt;&gt;"",T29/'Data input'!H29*100%,"")</f>
        <v>-0.87572569731739824</v>
      </c>
      <c r="AE29" s="114">
        <f>IF('Data input'!I29&lt;&gt;"",U29/'Data input'!I29*100%,"")</f>
        <v>-0.64840886714014412</v>
      </c>
      <c r="AF29" s="114" t="str">
        <f>IF('Data input'!J29&lt;&gt;"",V29/'Data input'!J29*100%,"")</f>
        <v/>
      </c>
      <c r="AG29" s="114" t="str">
        <f>IF('Data input'!K29&lt;&gt;"",W29/'Data input'!K29*100%,"")</f>
        <v/>
      </c>
      <c r="AH29" s="115" t="str">
        <f>IF('Data input'!L29&lt;&gt;"",X29/'Data input'!L29*100%,"")</f>
        <v/>
      </c>
      <c r="AI29" s="114">
        <f>IF('Data input'!C29&lt;&gt;"",'Run VRS'!AH29/'Run VRS'!C29,"")</f>
        <v>0</v>
      </c>
      <c r="AJ29" s="114" t="str">
        <f>IF('Data input'!D29&lt;&gt;"",'Run VRS'!AI29/'Run VRS'!D29,"")</f>
        <v/>
      </c>
      <c r="AK29" s="114" t="str">
        <f>IF('Data input'!E29&lt;&gt;"",'Run VRS'!AJ29/'Run VRS'!E29,"")</f>
        <v/>
      </c>
      <c r="AL29" s="114" t="str">
        <f>IF('Data input'!F29&lt;&gt;"",'Run VRS'!AK29/'Run VRS'!F29,"")</f>
        <v/>
      </c>
      <c r="AM29" s="114" t="str">
        <f>IF('Data input'!G29&lt;&gt;"",'Run VRS'!AL29/'Run VRS'!G29,"")</f>
        <v/>
      </c>
      <c r="AN29" s="114">
        <f>IF('Data input'!H29&lt;&gt;"",'Run VRS'!AM29/'Run VRS'!H29,"")</f>
        <v>0.5138220710202932</v>
      </c>
      <c r="AO29" s="114">
        <f>IF('Data input'!I29&lt;&gt;"",'Run VRS'!AN29/'Run VRS'!I29,"")</f>
        <v>0.42994019117062671</v>
      </c>
      <c r="AP29" s="114" t="str">
        <f>IF('Data input'!J29&lt;&gt;"",'Run VRS'!AO29/'Run VRS'!J29,"")</f>
        <v/>
      </c>
      <c r="AQ29" s="114" t="str">
        <f>IF('Data input'!K29&lt;&gt;"",'Run VRS'!AP29/'Run VRS'!K29,"")</f>
        <v/>
      </c>
      <c r="AR29" s="115" t="str">
        <f>IF('Data input'!L29&lt;&gt;"",'Run VRS'!AQ29/'Run VRS'!L29,"")</f>
        <v/>
      </c>
    </row>
    <row r="30" spans="1:44" x14ac:dyDescent="0.35">
      <c r="A30" s="102">
        <f>IF('Run VRS'!AF30&lt;&gt;"",'Run VRS'!AF30,"")</f>
        <v>28</v>
      </c>
      <c r="B30" s="103" t="str">
        <f>IF('Run VRS'!AG30&lt;&gt;"",'Run VRS'!AG30,"")</f>
        <v>Nebraska</v>
      </c>
      <c r="C30" s="104">
        <f>IF('Run VRS'!AR30&lt;&gt;"",'Run VRS'!AR30,"")</f>
        <v>0.44428289340886051</v>
      </c>
      <c r="D30" s="104" t="str">
        <f>IF(ROUND(C30,3)=100%,"Optimal frontier",'Run VRS'!BW30)</f>
        <v xml:space="preserve">New York; Texas; </v>
      </c>
      <c r="E30" s="105">
        <f>IF('Run VRS'!BC30&lt;&gt;"",'Run VRS'!BC30,"")</f>
        <v>0.9813846969107225</v>
      </c>
      <c r="F30" s="106" t="str">
        <f>IF('Run VRS'!BD30&lt;&gt;"",'Run VRS'!BD30,"")</f>
        <v/>
      </c>
      <c r="G30" s="106" t="str">
        <f>IF('Run VRS'!BE30&lt;&gt;"",'Run VRS'!BE30,"")</f>
        <v/>
      </c>
      <c r="H30" s="106" t="str">
        <f>IF('Run VRS'!BF30&lt;&gt;"",'Run VRS'!BF30,"")</f>
        <v/>
      </c>
      <c r="I30" s="106" t="str">
        <f>IF('Run VRS'!BG30&lt;&gt;"",'Run VRS'!BG30,"")</f>
        <v/>
      </c>
      <c r="J30" s="106">
        <f>IF('Run VRS'!BH30&lt;&gt;"",'Run VRS'!BH30,"")</f>
        <v>0.75520761221671218</v>
      </c>
      <c r="K30" s="105">
        <f>IF('Run VRS'!BI30&lt;&gt;"",'Run VRS'!BI30,"")</f>
        <v>1.1364956255632071E-3</v>
      </c>
      <c r="L30" s="105" t="str">
        <f>IF('Run VRS'!BJ30&lt;&gt;"",'Run VRS'!BJ30,"")</f>
        <v/>
      </c>
      <c r="M30" s="105" t="str">
        <f>IF('Run VRS'!BK30&lt;&gt;"",'Run VRS'!BK30,"")</f>
        <v/>
      </c>
      <c r="N30" s="105" t="str">
        <f>IF('Run VRS'!BL30&lt;&gt;"",'Run VRS'!BL30,"")</f>
        <v/>
      </c>
      <c r="O30" s="105">
        <f>IF('Run VRS'!BM30&lt;&gt;"",'Run VRS'!BM30,"")</f>
        <v>0</v>
      </c>
      <c r="P30" s="106" t="str">
        <f>IF('Run VRS'!BN30&lt;&gt;"",'Run VRS'!BN30,"")</f>
        <v/>
      </c>
      <c r="Q30" s="106" t="str">
        <f>IF('Run VRS'!BO30&lt;&gt;"",'Run VRS'!BO30,"")</f>
        <v/>
      </c>
      <c r="R30" s="106" t="str">
        <f>IF('Run VRS'!BP30&lt;&gt;"",'Run VRS'!BP30,"")</f>
        <v/>
      </c>
      <c r="S30" s="106" t="str">
        <f>IF('Run VRS'!BQ30&lt;&gt;"",'Run VRS'!BQ30,"")</f>
        <v/>
      </c>
      <c r="T30" s="106">
        <f>IF('Run VRS'!BR30&lt;&gt;"",'Run VRS'!BR30,"")</f>
        <v>-13.644129419493865</v>
      </c>
      <c r="U30" s="105">
        <f>IF('Run VRS'!BS30&lt;&gt;"",'Run VRS'!BS30,"")</f>
        <v>-0.12251941835293141</v>
      </c>
      <c r="V30" s="105" t="str">
        <f>IF('Run VRS'!BT30&lt;&gt;"",'Run VRS'!BT30,"")</f>
        <v/>
      </c>
      <c r="W30" s="105" t="str">
        <f>IF('Run VRS'!BU30&lt;&gt;"",'Run VRS'!BU30,"")</f>
        <v/>
      </c>
      <c r="X30" s="107" t="str">
        <f>IF('Run VRS'!BV30&lt;&gt;"",'Run VRS'!BV30,"")</f>
        <v/>
      </c>
      <c r="Y30" s="114">
        <f>IF('Data input'!C30&lt;&gt;"",O30/'Data input'!C30*100%,"")</f>
        <v>0</v>
      </c>
      <c r="Z30" s="114" t="str">
        <f>IF('Data input'!D30&lt;&gt;"",P30/'Data input'!D30*100%,"")</f>
        <v/>
      </c>
      <c r="AA30" s="114" t="str">
        <f>IF('Data input'!E30&lt;&gt;"",Q30/'Data input'!E30*100%,"")</f>
        <v/>
      </c>
      <c r="AB30" s="114" t="str">
        <f>IF('Data input'!F30&lt;&gt;"",R30/'Data input'!F30*100%,"")</f>
        <v/>
      </c>
      <c r="AC30" s="114" t="str">
        <f>IF('Data input'!G30&lt;&gt;"",S30/'Data input'!G30*100%,"")</f>
        <v/>
      </c>
      <c r="AD30" s="114">
        <f>IF('Data input'!H30&lt;&gt;"",T30/'Data input'!H30*100%,"")</f>
        <v>-0.94755261227974774</v>
      </c>
      <c r="AE30" s="114">
        <f>IF('Data input'!I30&lt;&gt;"",U30/'Data input'!I30*100%,"")</f>
        <v>-0.99080920928892358</v>
      </c>
      <c r="AF30" s="114" t="str">
        <f>IF('Data input'!J30&lt;&gt;"",V30/'Data input'!J30*100%,"")</f>
        <v/>
      </c>
      <c r="AG30" s="114" t="str">
        <f>IF('Data input'!K30&lt;&gt;"",W30/'Data input'!K30*100%,"")</f>
        <v/>
      </c>
      <c r="AH30" s="115" t="str">
        <f>IF('Data input'!L30&lt;&gt;"",X30/'Data input'!L30*100%,"")</f>
        <v/>
      </c>
      <c r="AI30" s="114">
        <f>IF('Data input'!C30&lt;&gt;"",'Run VRS'!AH30/'Run VRS'!C30,"")</f>
        <v>0</v>
      </c>
      <c r="AJ30" s="114" t="str">
        <f>IF('Data input'!D30&lt;&gt;"",'Run VRS'!AI30/'Run VRS'!D30,"")</f>
        <v/>
      </c>
      <c r="AK30" s="114" t="str">
        <f>IF('Data input'!E30&lt;&gt;"",'Run VRS'!AJ30/'Run VRS'!E30,"")</f>
        <v/>
      </c>
      <c r="AL30" s="114" t="str">
        <f>IF('Data input'!F30&lt;&gt;"",'Run VRS'!AK30/'Run VRS'!F30,"")</f>
        <v/>
      </c>
      <c r="AM30" s="114" t="str">
        <f>IF('Data input'!G30&lt;&gt;"",'Run VRS'!AL30/'Run VRS'!G30,"")</f>
        <v/>
      </c>
      <c r="AN30" s="114">
        <f>IF('Data input'!H30&lt;&gt;"",'Run VRS'!AM30/'Run VRS'!H30,"")</f>
        <v>0.38025606165214121</v>
      </c>
      <c r="AO30" s="114">
        <f>IF('Data input'!I30&lt;&gt;"",'Run VRS'!AN30/'Run VRS'!I30,"")</f>
        <v>0.73117815153013788</v>
      </c>
      <c r="AP30" s="114" t="str">
        <f>IF('Data input'!J30&lt;&gt;"",'Run VRS'!AO30/'Run VRS'!J30,"")</f>
        <v/>
      </c>
      <c r="AQ30" s="114" t="str">
        <f>IF('Data input'!K30&lt;&gt;"",'Run VRS'!AP30/'Run VRS'!K30,"")</f>
        <v/>
      </c>
      <c r="AR30" s="115" t="str">
        <f>IF('Data input'!L30&lt;&gt;"",'Run VRS'!AQ30/'Run VRS'!L30,"")</f>
        <v/>
      </c>
    </row>
    <row r="31" spans="1:44" x14ac:dyDescent="0.35">
      <c r="A31" s="102">
        <f>IF('Run VRS'!AF31&lt;&gt;"",'Run VRS'!AF31,"")</f>
        <v>29</v>
      </c>
      <c r="B31" s="103" t="str">
        <f>IF('Run VRS'!AG31&lt;&gt;"",'Run VRS'!AG31,"")</f>
        <v>Nevada</v>
      </c>
      <c r="C31" s="104">
        <f>IF('Run VRS'!AR31&lt;&gt;"",'Run VRS'!AR31,"")</f>
        <v>1</v>
      </c>
      <c r="D31" s="104" t="str">
        <f>IF(ROUND(C31,3)=100%,"Optimal frontier",'Run VRS'!BW31)</f>
        <v>Optimal frontier</v>
      </c>
      <c r="E31" s="105">
        <f>IF('Run VRS'!BC31&lt;&gt;"",'Run VRS'!BC31,"")</f>
        <v>0.99134198676277885</v>
      </c>
      <c r="F31" s="106" t="str">
        <f>IF('Run VRS'!BD31&lt;&gt;"",'Run VRS'!BD31,"")</f>
        <v/>
      </c>
      <c r="G31" s="106" t="str">
        <f>IF('Run VRS'!BE31&lt;&gt;"",'Run VRS'!BE31,"")</f>
        <v/>
      </c>
      <c r="H31" s="106" t="str">
        <f>IF('Run VRS'!BF31&lt;&gt;"",'Run VRS'!BF31,"")</f>
        <v/>
      </c>
      <c r="I31" s="106" t="str">
        <f>IF('Run VRS'!BG31&lt;&gt;"",'Run VRS'!BG31,"")</f>
        <v/>
      </c>
      <c r="J31" s="106">
        <f>IF('Run VRS'!BH31&lt;&gt;"",'Run VRS'!BH31,"")</f>
        <v>7.4032612885176032</v>
      </c>
      <c r="K31" s="105">
        <f>IF('Run VRS'!BI31&lt;&gt;"",'Run VRS'!BI31,"")</f>
        <v>2.0618556701030907E-3</v>
      </c>
      <c r="L31" s="105" t="str">
        <f>IF('Run VRS'!BJ31&lt;&gt;"",'Run VRS'!BJ31,"")</f>
        <v/>
      </c>
      <c r="M31" s="105" t="str">
        <f>IF('Run VRS'!BK31&lt;&gt;"",'Run VRS'!BK31,"")</f>
        <v/>
      </c>
      <c r="N31" s="105" t="str">
        <f>IF('Run VRS'!BL31&lt;&gt;"",'Run VRS'!BL31,"")</f>
        <v/>
      </c>
      <c r="O31" s="105">
        <f>IF('Run VRS'!BM31&lt;&gt;"",'Run VRS'!BM31,"")</f>
        <v>0</v>
      </c>
      <c r="P31" s="106" t="str">
        <f>IF('Run VRS'!BN31&lt;&gt;"",'Run VRS'!BN31,"")</f>
        <v/>
      </c>
      <c r="Q31" s="106" t="str">
        <f>IF('Run VRS'!BO31&lt;&gt;"",'Run VRS'!BO31,"")</f>
        <v/>
      </c>
      <c r="R31" s="106" t="str">
        <f>IF('Run VRS'!BP31&lt;&gt;"",'Run VRS'!BP31,"")</f>
        <v/>
      </c>
      <c r="S31" s="106" t="str">
        <f>IF('Run VRS'!BQ31&lt;&gt;"",'Run VRS'!BQ31,"")</f>
        <v/>
      </c>
      <c r="T31" s="106">
        <f>IF('Run VRS'!BR31&lt;&gt;"",'Run VRS'!BR31,"")</f>
        <v>-7.1054273576010019E-15</v>
      </c>
      <c r="U31" s="105">
        <f>IF('Run VRS'!BS31&lt;&gt;"",'Run VRS'!BS31,"")</f>
        <v>-2.1684043449710089E-18</v>
      </c>
      <c r="V31" s="105" t="str">
        <f>IF('Run VRS'!BT31&lt;&gt;"",'Run VRS'!BT31,"")</f>
        <v/>
      </c>
      <c r="W31" s="105" t="str">
        <f>IF('Run VRS'!BU31&lt;&gt;"",'Run VRS'!BU31,"")</f>
        <v/>
      </c>
      <c r="X31" s="107" t="str">
        <f>IF('Run VRS'!BV31&lt;&gt;"",'Run VRS'!BV31,"")</f>
        <v/>
      </c>
      <c r="Y31" s="114">
        <f>IF('Data input'!C31&lt;&gt;"",O31/'Data input'!C31*100%,"")</f>
        <v>0</v>
      </c>
      <c r="Z31" s="114" t="str">
        <f>IF('Data input'!D31&lt;&gt;"",P31/'Data input'!D31*100%,"")</f>
        <v/>
      </c>
      <c r="AA31" s="114" t="str">
        <f>IF('Data input'!E31&lt;&gt;"",Q31/'Data input'!E31*100%,"")</f>
        <v/>
      </c>
      <c r="AB31" s="114" t="str">
        <f>IF('Data input'!F31&lt;&gt;"",R31/'Data input'!F31*100%,"")</f>
        <v/>
      </c>
      <c r="AC31" s="114" t="str">
        <f>IF('Data input'!G31&lt;&gt;"",S31/'Data input'!G31*100%,"")</f>
        <v/>
      </c>
      <c r="AD31" s="114">
        <f>IF('Data input'!H31&lt;&gt;"",T31/'Data input'!H31*100%,"")</f>
        <v>-9.5976990149212393E-16</v>
      </c>
      <c r="AE31" s="114">
        <f>IF('Data input'!I31&lt;&gt;"",U31/'Data input'!I31*100%,"")</f>
        <v>-1.0516761073109393E-15</v>
      </c>
      <c r="AF31" s="114" t="str">
        <f>IF('Data input'!J31&lt;&gt;"",V31/'Data input'!J31*100%,"")</f>
        <v/>
      </c>
      <c r="AG31" s="114" t="str">
        <f>IF('Data input'!K31&lt;&gt;"",W31/'Data input'!K31*100%,"")</f>
        <v/>
      </c>
      <c r="AH31" s="115" t="str">
        <f>IF('Data input'!L31&lt;&gt;"",X31/'Data input'!L31*100%,"")</f>
        <v/>
      </c>
      <c r="AI31" s="114">
        <f>IF('Data input'!C31&lt;&gt;"",'Run VRS'!AH31/'Run VRS'!C31,"")</f>
        <v>0</v>
      </c>
      <c r="AJ31" s="114" t="str">
        <f>IF('Data input'!D31&lt;&gt;"",'Run VRS'!AI31/'Run VRS'!D31,"")</f>
        <v/>
      </c>
      <c r="AK31" s="114" t="str">
        <f>IF('Data input'!E31&lt;&gt;"",'Run VRS'!AJ31/'Run VRS'!E31,"")</f>
        <v/>
      </c>
      <c r="AL31" s="114" t="str">
        <f>IF('Data input'!F31&lt;&gt;"",'Run VRS'!AK31/'Run VRS'!F31,"")</f>
        <v/>
      </c>
      <c r="AM31" s="114" t="str">
        <f>IF('Data input'!G31&lt;&gt;"",'Run VRS'!AL31/'Run VRS'!G31,"")</f>
        <v/>
      </c>
      <c r="AN31" s="114">
        <f>IF('Data input'!H31&lt;&gt;"",'Run VRS'!AM31/'Run VRS'!H31,"")</f>
        <v>2.7203863369874428E-16</v>
      </c>
      <c r="AO31" s="114">
        <f>IF('Data input'!I31&lt;&gt;"",'Run VRS'!AN31/'Run VRS'!I31,"")</f>
        <v>0</v>
      </c>
      <c r="AP31" s="114" t="str">
        <f>IF('Data input'!J31&lt;&gt;"",'Run VRS'!AO31/'Run VRS'!J31,"")</f>
        <v/>
      </c>
      <c r="AQ31" s="114" t="str">
        <f>IF('Data input'!K31&lt;&gt;"",'Run VRS'!AP31/'Run VRS'!K31,"")</f>
        <v/>
      </c>
      <c r="AR31" s="115" t="str">
        <f>IF('Data input'!L31&lt;&gt;"",'Run VRS'!AQ31/'Run VRS'!L31,"")</f>
        <v/>
      </c>
    </row>
    <row r="32" spans="1:44" x14ac:dyDescent="0.35">
      <c r="A32" s="102">
        <f>IF('Run VRS'!AF32&lt;&gt;"",'Run VRS'!AF32,"")</f>
        <v>30</v>
      </c>
      <c r="B32" s="103" t="str">
        <f>IF('Run VRS'!AG32&lt;&gt;"",'Run VRS'!AG32,"")</f>
        <v>New Hampshire</v>
      </c>
      <c r="C32" s="104">
        <f>IF('Run VRS'!AR32&lt;&gt;"",'Run VRS'!AR32,"")</f>
        <v>0.66525267331720894</v>
      </c>
      <c r="D32" s="104" t="str">
        <f>IF(ROUND(C32,3)=100%,"Optimal frontier",'Run VRS'!BW32)</f>
        <v xml:space="preserve">Kentucky; New Jersey; </v>
      </c>
      <c r="E32" s="105">
        <f>IF('Run VRS'!BC32&lt;&gt;"",'Run VRS'!BC32,"")</f>
        <v>0.95460716695886605</v>
      </c>
      <c r="F32" s="106" t="str">
        <f>IF('Run VRS'!BD32&lt;&gt;"",'Run VRS'!BD32,"")</f>
        <v/>
      </c>
      <c r="G32" s="106" t="str">
        <f>IF('Run VRS'!BE32&lt;&gt;"",'Run VRS'!BE32,"")</f>
        <v/>
      </c>
      <c r="H32" s="106" t="str">
        <f>IF('Run VRS'!BF32&lt;&gt;"",'Run VRS'!BF32,"")</f>
        <v/>
      </c>
      <c r="I32" s="106" t="str">
        <f>IF('Run VRS'!BG32&lt;&gt;"",'Run VRS'!BG32,"")</f>
        <v/>
      </c>
      <c r="J32" s="106">
        <f>IF('Run VRS'!BH32&lt;&gt;"",'Run VRS'!BH32,"")</f>
        <v>3.6478129729708035</v>
      </c>
      <c r="K32" s="105">
        <f>IF('Run VRS'!BI32&lt;&gt;"",'Run VRS'!BI32,"")</f>
        <v>0</v>
      </c>
      <c r="L32" s="105" t="str">
        <f>IF('Run VRS'!BJ32&lt;&gt;"",'Run VRS'!BJ32,"")</f>
        <v/>
      </c>
      <c r="M32" s="105" t="str">
        <f>IF('Run VRS'!BK32&lt;&gt;"",'Run VRS'!BK32,"")</f>
        <v/>
      </c>
      <c r="N32" s="105" t="str">
        <f>IF('Run VRS'!BL32&lt;&gt;"",'Run VRS'!BL32,"")</f>
        <v/>
      </c>
      <c r="O32" s="105">
        <f>IF('Run VRS'!BM32&lt;&gt;"",'Run VRS'!BM32,"")</f>
        <v>0</v>
      </c>
      <c r="P32" s="106" t="str">
        <f>IF('Run VRS'!BN32&lt;&gt;"",'Run VRS'!BN32,"")</f>
        <v/>
      </c>
      <c r="Q32" s="106" t="str">
        <f>IF('Run VRS'!BO32&lt;&gt;"",'Run VRS'!BO32,"")</f>
        <v/>
      </c>
      <c r="R32" s="106" t="str">
        <f>IF('Run VRS'!BP32&lt;&gt;"",'Run VRS'!BP32,"")</f>
        <v/>
      </c>
      <c r="S32" s="106" t="str">
        <f>IF('Run VRS'!BQ32&lt;&gt;"",'Run VRS'!BQ32,"")</f>
        <v/>
      </c>
      <c r="T32" s="106">
        <f>IF('Run VRS'!BR32&lt;&gt;"",'Run VRS'!BR32,"")</f>
        <v>-50.904878245367328</v>
      </c>
      <c r="U32" s="105">
        <f>IF('Run VRS'!BS32&lt;&gt;"",'Run VRS'!BS32,"")</f>
        <v>0</v>
      </c>
      <c r="V32" s="105" t="str">
        <f>IF('Run VRS'!BT32&lt;&gt;"",'Run VRS'!BT32,"")</f>
        <v/>
      </c>
      <c r="W32" s="105" t="str">
        <f>IF('Run VRS'!BU32&lt;&gt;"",'Run VRS'!BU32,"")</f>
        <v/>
      </c>
      <c r="X32" s="107" t="str">
        <f>IF('Run VRS'!BV32&lt;&gt;"",'Run VRS'!BV32,"")</f>
        <v/>
      </c>
      <c r="Y32" s="114">
        <f>IF('Data input'!C32&lt;&gt;"",O32/'Data input'!C32*100%,"")</f>
        <v>0</v>
      </c>
      <c r="Z32" s="114" t="str">
        <f>IF('Data input'!D32&lt;&gt;"",P32/'Data input'!D32*100%,"")</f>
        <v/>
      </c>
      <c r="AA32" s="114" t="str">
        <f>IF('Data input'!E32&lt;&gt;"",Q32/'Data input'!E32*100%,"")</f>
        <v/>
      </c>
      <c r="AB32" s="114" t="str">
        <f>IF('Data input'!F32&lt;&gt;"",R32/'Data input'!F32*100%,"")</f>
        <v/>
      </c>
      <c r="AC32" s="114" t="str">
        <f>IF('Data input'!G32&lt;&gt;"",S32/'Data input'!G32*100%,"")</f>
        <v/>
      </c>
      <c r="AD32" s="114">
        <f>IF('Data input'!H32&lt;&gt;"",T32/'Data input'!H32*100%,"")</f>
        <v>-0.93313230032280103</v>
      </c>
      <c r="AE32" s="114" t="e">
        <f>IF('Data input'!I32&lt;&gt;"",U32/'Data input'!I32*100%,"")</f>
        <v>#DIV/0!</v>
      </c>
      <c r="AF32" s="114" t="str">
        <f>IF('Data input'!J32&lt;&gt;"",V32/'Data input'!J32*100%,"")</f>
        <v/>
      </c>
      <c r="AG32" s="114" t="str">
        <f>IF('Data input'!K32&lt;&gt;"",W32/'Data input'!K32*100%,"")</f>
        <v/>
      </c>
      <c r="AH32" s="115" t="str">
        <f>IF('Data input'!L32&lt;&gt;"",X32/'Data input'!L32*100%,"")</f>
        <v/>
      </c>
      <c r="AI32" s="114">
        <f>IF('Data input'!C32&lt;&gt;"",'Run VRS'!AH32/'Run VRS'!C32,"")</f>
        <v>0</v>
      </c>
      <c r="AJ32" s="114" t="str">
        <f>IF('Data input'!D32&lt;&gt;"",'Run VRS'!AI32/'Run VRS'!D32,"")</f>
        <v/>
      </c>
      <c r="AK32" s="114" t="str">
        <f>IF('Data input'!E32&lt;&gt;"",'Run VRS'!AJ32/'Run VRS'!E32,"")</f>
        <v/>
      </c>
      <c r="AL32" s="114" t="str">
        <f>IF('Data input'!F32&lt;&gt;"",'Run VRS'!AK32/'Run VRS'!F32,"")</f>
        <v/>
      </c>
      <c r="AM32" s="114" t="str">
        <f>IF('Data input'!G32&lt;&gt;"",'Run VRS'!AL32/'Run VRS'!G32,"")</f>
        <v/>
      </c>
      <c r="AN32" s="114">
        <f>IF('Data input'!H32&lt;&gt;"",'Run VRS'!AM32/'Run VRS'!H32,"")</f>
        <v>0.66949465336557645</v>
      </c>
      <c r="AO32" s="114">
        <f>IF('Data input'!I32&lt;&gt;"",'Run VRS'!AN32/'Run VRS'!I32,"")</f>
        <v>0</v>
      </c>
      <c r="AP32" s="114" t="str">
        <f>IF('Data input'!J32&lt;&gt;"",'Run VRS'!AO32/'Run VRS'!J32,"")</f>
        <v/>
      </c>
      <c r="AQ32" s="114" t="str">
        <f>IF('Data input'!K32&lt;&gt;"",'Run VRS'!AP32/'Run VRS'!K32,"")</f>
        <v/>
      </c>
      <c r="AR32" s="115" t="str">
        <f>IF('Data input'!L32&lt;&gt;"",'Run VRS'!AQ32/'Run VRS'!L32,"")</f>
        <v/>
      </c>
    </row>
    <row r="33" spans="1:44" x14ac:dyDescent="0.35">
      <c r="A33" s="102">
        <f>IF('Run VRS'!AF33&lt;&gt;"",'Run VRS'!AF33,"")</f>
        <v>31</v>
      </c>
      <c r="B33" s="103" t="str">
        <f>IF('Run VRS'!AG33&lt;&gt;"",'Run VRS'!AG33,"")</f>
        <v>New Jersey</v>
      </c>
      <c r="C33" s="104">
        <f>IF('Run VRS'!AR33&lt;&gt;"",'Run VRS'!AR33,"")</f>
        <v>0.99999999999996758</v>
      </c>
      <c r="D33" s="104" t="str">
        <f>IF(ROUND(C33,3)=100%,"Optimal frontier",'Run VRS'!BW33)</f>
        <v>Optimal frontier</v>
      </c>
      <c r="E33" s="105">
        <f>IF('Run VRS'!BC33&lt;&gt;"",'Run VRS'!BC33,"")</f>
        <v>0.90513461625988778</v>
      </c>
      <c r="F33" s="106" t="str">
        <f>IF('Run VRS'!BD33&lt;&gt;"",'Run VRS'!BD33,"")</f>
        <v/>
      </c>
      <c r="G33" s="106" t="str">
        <f>IF('Run VRS'!BE33&lt;&gt;"",'Run VRS'!BE33,"")</f>
        <v/>
      </c>
      <c r="H33" s="106" t="str">
        <f>IF('Run VRS'!BF33&lt;&gt;"",'Run VRS'!BF33,"")</f>
        <v/>
      </c>
      <c r="I33" s="106" t="str">
        <f>IF('Run VRS'!BG33&lt;&gt;"",'Run VRS'!BG33,"")</f>
        <v/>
      </c>
      <c r="J33" s="106">
        <f>IF('Run VRS'!BH33&lt;&gt;"",'Run VRS'!BH33,"")</f>
        <v>9.7202196822596409</v>
      </c>
      <c r="K33" s="105">
        <f>IF('Run VRS'!BI33&lt;&gt;"",'Run VRS'!BI33,"")</f>
        <v>0</v>
      </c>
      <c r="L33" s="105" t="str">
        <f>IF('Run VRS'!BJ33&lt;&gt;"",'Run VRS'!BJ33,"")</f>
        <v/>
      </c>
      <c r="M33" s="105" t="str">
        <f>IF('Run VRS'!BK33&lt;&gt;"",'Run VRS'!BK33,"")</f>
        <v/>
      </c>
      <c r="N33" s="105" t="str">
        <f>IF('Run VRS'!BL33&lt;&gt;"",'Run VRS'!BL33,"")</f>
        <v/>
      </c>
      <c r="O33" s="105">
        <f>IF('Run VRS'!BM33&lt;&gt;"",'Run VRS'!BM33,"")</f>
        <v>0</v>
      </c>
      <c r="P33" s="106" t="str">
        <f>IF('Run VRS'!BN33&lt;&gt;"",'Run VRS'!BN33,"")</f>
        <v/>
      </c>
      <c r="Q33" s="106" t="str">
        <f>IF('Run VRS'!BO33&lt;&gt;"",'Run VRS'!BO33,"")</f>
        <v/>
      </c>
      <c r="R33" s="106" t="str">
        <f>IF('Run VRS'!BP33&lt;&gt;"",'Run VRS'!BP33,"")</f>
        <v/>
      </c>
      <c r="S33" s="106" t="str">
        <f>IF('Run VRS'!BQ33&lt;&gt;"",'Run VRS'!BQ33,"")</f>
        <v/>
      </c>
      <c r="T33" s="106">
        <f>IF('Run VRS'!BR33&lt;&gt;"",'Run VRS'!BR33,"")</f>
        <v>-2.0268231537556858E-12</v>
      </c>
      <c r="U33" s="105">
        <f>IF('Run VRS'!BS33&lt;&gt;"",'Run VRS'!BS33,"")</f>
        <v>0</v>
      </c>
      <c r="V33" s="105" t="str">
        <f>IF('Run VRS'!BT33&lt;&gt;"",'Run VRS'!BT33,"")</f>
        <v/>
      </c>
      <c r="W33" s="105" t="str">
        <f>IF('Run VRS'!BU33&lt;&gt;"",'Run VRS'!BU33,"")</f>
        <v/>
      </c>
      <c r="X33" s="107" t="str">
        <f>IF('Run VRS'!BV33&lt;&gt;"",'Run VRS'!BV33,"")</f>
        <v/>
      </c>
      <c r="Y33" s="114">
        <f>IF('Data input'!C33&lt;&gt;"",O33/'Data input'!C33*100%,"")</f>
        <v>0</v>
      </c>
      <c r="Z33" s="114" t="str">
        <f>IF('Data input'!D33&lt;&gt;"",P33/'Data input'!D33*100%,"")</f>
        <v/>
      </c>
      <c r="AA33" s="114" t="str">
        <f>IF('Data input'!E33&lt;&gt;"",Q33/'Data input'!E33*100%,"")</f>
        <v/>
      </c>
      <c r="AB33" s="114" t="str">
        <f>IF('Data input'!F33&lt;&gt;"",R33/'Data input'!F33*100%,"")</f>
        <v/>
      </c>
      <c r="AC33" s="114" t="str">
        <f>IF('Data input'!G33&lt;&gt;"",S33/'Data input'!G33*100%,"")</f>
        <v/>
      </c>
      <c r="AD33" s="114">
        <f>IF('Data input'!H33&lt;&gt;"",T33/'Data input'!H33*100%,"")</f>
        <v>-2.0851618790616588E-13</v>
      </c>
      <c r="AE33" s="114" t="e">
        <f>IF('Data input'!I33&lt;&gt;"",U33/'Data input'!I33*100%,"")</f>
        <v>#DIV/0!</v>
      </c>
      <c r="AF33" s="114" t="str">
        <f>IF('Data input'!J33&lt;&gt;"",V33/'Data input'!J33*100%,"")</f>
        <v/>
      </c>
      <c r="AG33" s="114" t="str">
        <f>IF('Data input'!K33&lt;&gt;"",W33/'Data input'!K33*100%,"")</f>
        <v/>
      </c>
      <c r="AH33" s="115" t="str">
        <f>IF('Data input'!L33&lt;&gt;"",X33/'Data input'!L33*100%,"")</f>
        <v/>
      </c>
      <c r="AI33" s="114">
        <f>IF('Data input'!C33&lt;&gt;"",'Run VRS'!AH33/'Run VRS'!C33,"")</f>
        <v>0</v>
      </c>
      <c r="AJ33" s="114" t="str">
        <f>IF('Data input'!D33&lt;&gt;"",'Run VRS'!AI33/'Run VRS'!D33,"")</f>
        <v/>
      </c>
      <c r="AK33" s="114" t="str">
        <f>IF('Data input'!E33&lt;&gt;"",'Run VRS'!AJ33/'Run VRS'!E33,"")</f>
        <v/>
      </c>
      <c r="AL33" s="114" t="str">
        <f>IF('Data input'!F33&lt;&gt;"",'Run VRS'!AK33/'Run VRS'!F33,"")</f>
        <v/>
      </c>
      <c r="AM33" s="114" t="str">
        <f>IF('Data input'!G33&lt;&gt;"",'Run VRS'!AL33/'Run VRS'!G33,"")</f>
        <v/>
      </c>
      <c r="AN33" s="114">
        <f>IF('Data input'!H33&lt;&gt;"",'Run VRS'!AM33/'Run VRS'!H33,"")</f>
        <v>6.4907999547156636E-14</v>
      </c>
      <c r="AO33" s="114">
        <f>IF('Data input'!I33&lt;&gt;"",'Run VRS'!AN33/'Run VRS'!I33,"")</f>
        <v>0</v>
      </c>
      <c r="AP33" s="114" t="str">
        <f>IF('Data input'!J33&lt;&gt;"",'Run VRS'!AO33/'Run VRS'!J33,"")</f>
        <v/>
      </c>
      <c r="AQ33" s="114" t="str">
        <f>IF('Data input'!K33&lt;&gt;"",'Run VRS'!AP33/'Run VRS'!K33,"")</f>
        <v/>
      </c>
      <c r="AR33" s="115" t="str">
        <f>IF('Data input'!L33&lt;&gt;"",'Run VRS'!AQ33/'Run VRS'!L33,"")</f>
        <v/>
      </c>
    </row>
    <row r="34" spans="1:44" x14ac:dyDescent="0.35">
      <c r="A34" s="102">
        <f>IF('Run VRS'!AF34&lt;&gt;"",'Run VRS'!AF34,"")</f>
        <v>32</v>
      </c>
      <c r="B34" s="103" t="str">
        <f>IF('Run VRS'!AG34&lt;&gt;"",'Run VRS'!AG34,"")</f>
        <v>New Mexico</v>
      </c>
      <c r="C34" s="104">
        <f>IF('Run VRS'!AR34&lt;&gt;"",'Run VRS'!AR34,"")</f>
        <v>0.49275768263701725</v>
      </c>
      <c r="D34" s="104" t="str">
        <f>IF(ROUND(C34,3)=100%,"Optimal frontier",'Run VRS'!BW34)</f>
        <v xml:space="preserve">New York; Texas; </v>
      </c>
      <c r="E34" s="105">
        <f>IF('Run VRS'!BC34&lt;&gt;"",'Run VRS'!BC34,"")</f>
        <v>0.9992819034894681</v>
      </c>
      <c r="F34" s="106" t="str">
        <f>IF('Run VRS'!BD34&lt;&gt;"",'Run VRS'!BD34,"")</f>
        <v/>
      </c>
      <c r="G34" s="106" t="str">
        <f>IF('Run VRS'!BE34&lt;&gt;"",'Run VRS'!BE34,"")</f>
        <v/>
      </c>
      <c r="H34" s="106" t="str">
        <f>IF('Run VRS'!BF34&lt;&gt;"",'Run VRS'!BF34,"")</f>
        <v/>
      </c>
      <c r="I34" s="106" t="str">
        <f>IF('Run VRS'!BG34&lt;&gt;"",'Run VRS'!BG34,"")</f>
        <v/>
      </c>
      <c r="J34" s="106">
        <f>IF('Run VRS'!BH34&lt;&gt;"",'Run VRS'!BH34,"")</f>
        <v>5.5057428639672095</v>
      </c>
      <c r="K34" s="105">
        <f>IF('Run VRS'!BI34&lt;&gt;"",'Run VRS'!BI34,"")</f>
        <v>9.3787938188627969E-3</v>
      </c>
      <c r="L34" s="105" t="str">
        <f>IF('Run VRS'!BJ34&lt;&gt;"",'Run VRS'!BJ34,"")</f>
        <v/>
      </c>
      <c r="M34" s="105" t="str">
        <f>IF('Run VRS'!BK34&lt;&gt;"",'Run VRS'!BK34,"")</f>
        <v/>
      </c>
      <c r="N34" s="105" t="str">
        <f>IF('Run VRS'!BL34&lt;&gt;"",'Run VRS'!BL34,"")</f>
        <v/>
      </c>
      <c r="O34" s="105">
        <f>IF('Run VRS'!BM34&lt;&gt;"",'Run VRS'!BM34,"")</f>
        <v>2.8130356507033105E-2</v>
      </c>
      <c r="P34" s="106" t="str">
        <f>IF('Run VRS'!BN34&lt;&gt;"",'Run VRS'!BN34,"")</f>
        <v/>
      </c>
      <c r="Q34" s="106" t="str">
        <f>IF('Run VRS'!BO34&lt;&gt;"",'Run VRS'!BO34,"")</f>
        <v/>
      </c>
      <c r="R34" s="106" t="str">
        <f>IF('Run VRS'!BP34&lt;&gt;"",'Run VRS'!BP34,"")</f>
        <v/>
      </c>
      <c r="S34" s="106" t="str">
        <f>IF('Run VRS'!BQ34&lt;&gt;"",'Run VRS'!BQ34,"")</f>
        <v/>
      </c>
      <c r="T34" s="106">
        <f>IF('Run VRS'!BR34&lt;&gt;"",'Run VRS'!BR34,"")</f>
        <v>-2.2352092229322409</v>
      </c>
      <c r="U34" s="105">
        <f>IF('Run VRS'!BS34&lt;&gt;"",'Run VRS'!BS34,"")</f>
        <v>-0.16625509610074141</v>
      </c>
      <c r="V34" s="105" t="str">
        <f>IF('Run VRS'!BT34&lt;&gt;"",'Run VRS'!BT34,"")</f>
        <v/>
      </c>
      <c r="W34" s="105" t="str">
        <f>IF('Run VRS'!BU34&lt;&gt;"",'Run VRS'!BU34,"")</f>
        <v/>
      </c>
      <c r="X34" s="107" t="str">
        <f>IF('Run VRS'!BV34&lt;&gt;"",'Run VRS'!BV34,"")</f>
        <v/>
      </c>
      <c r="Y34" s="114">
        <f>IF('Data input'!C34&lt;&gt;"",O34/'Data input'!C34*100%,"")</f>
        <v>2.8965980226711097E-2</v>
      </c>
      <c r="Z34" s="114" t="str">
        <f>IF('Data input'!D34&lt;&gt;"",P34/'Data input'!D34*100%,"")</f>
        <v/>
      </c>
      <c r="AA34" s="114" t="str">
        <f>IF('Data input'!E34&lt;&gt;"",Q34/'Data input'!E34*100%,"")</f>
        <v/>
      </c>
      <c r="AB34" s="114" t="str">
        <f>IF('Data input'!F34&lt;&gt;"",R34/'Data input'!F34*100%,"")</f>
        <v/>
      </c>
      <c r="AC34" s="114" t="str">
        <f>IF('Data input'!G34&lt;&gt;"",S34/'Data input'!G34*100%,"")</f>
        <v/>
      </c>
      <c r="AD34" s="114">
        <f>IF('Data input'!H34&lt;&gt;"",T34/'Data input'!H34*100%,"")</f>
        <v>-0.2887512024154032</v>
      </c>
      <c r="AE34" s="114">
        <f>IF('Data input'!I34&lt;&gt;"",U34/'Data input'!I34*100%,"")</f>
        <v>-0.94660031829189728</v>
      </c>
      <c r="AF34" s="114" t="str">
        <f>IF('Data input'!J34&lt;&gt;"",V34/'Data input'!J34*100%,"")</f>
        <v/>
      </c>
      <c r="AG34" s="114" t="str">
        <f>IF('Data input'!K34&lt;&gt;"",W34/'Data input'!K34*100%,"")</f>
        <v/>
      </c>
      <c r="AH34" s="115" t="str">
        <f>IF('Data input'!L34&lt;&gt;"",X34/'Data input'!L34*100%,"")</f>
        <v/>
      </c>
      <c r="AI34" s="114">
        <f>IF('Data input'!C34&lt;&gt;"",'Run VRS'!AH34/'Run VRS'!C34,"")</f>
        <v>0.17986769745910636</v>
      </c>
      <c r="AJ34" s="114" t="str">
        <f>IF('Data input'!D34&lt;&gt;"",'Run VRS'!AI34/'Run VRS'!D34,"")</f>
        <v/>
      </c>
      <c r="AK34" s="114" t="str">
        <f>IF('Data input'!E34&lt;&gt;"",'Run VRS'!AJ34/'Run VRS'!E34,"")</f>
        <v/>
      </c>
      <c r="AL34" s="114" t="str">
        <f>IF('Data input'!F34&lt;&gt;"",'Run VRS'!AK34/'Run VRS'!F34,"")</f>
        <v/>
      </c>
      <c r="AM34" s="114" t="str">
        <f>IF('Data input'!G34&lt;&gt;"",'Run VRS'!AL34/'Run VRS'!G34,"")</f>
        <v/>
      </c>
      <c r="AN34" s="114">
        <f>IF('Data input'!H34&lt;&gt;"",'Run VRS'!AM34/'Run VRS'!H34,"")</f>
        <v>7.6487908380980144E-2</v>
      </c>
      <c r="AO34" s="114">
        <f>IF('Data input'!I34&lt;&gt;"",'Run VRS'!AN34/'Run VRS'!I34,"")</f>
        <v>0.75728025463351789</v>
      </c>
      <c r="AP34" s="114" t="str">
        <f>IF('Data input'!J34&lt;&gt;"",'Run VRS'!AO34/'Run VRS'!J34,"")</f>
        <v/>
      </c>
      <c r="AQ34" s="114" t="str">
        <f>IF('Data input'!K34&lt;&gt;"",'Run VRS'!AP34/'Run VRS'!K34,"")</f>
        <v/>
      </c>
      <c r="AR34" s="115" t="str">
        <f>IF('Data input'!L34&lt;&gt;"",'Run VRS'!AQ34/'Run VRS'!L34,"")</f>
        <v/>
      </c>
    </row>
    <row r="35" spans="1:44" x14ac:dyDescent="0.35">
      <c r="A35" s="102">
        <f>IF('Run VRS'!AF35&lt;&gt;"",'Run VRS'!AF35,"")</f>
        <v>33</v>
      </c>
      <c r="B35" s="103" t="str">
        <f>IF('Run VRS'!AG35&lt;&gt;"",'Run VRS'!AG35,"")</f>
        <v>New York</v>
      </c>
      <c r="C35" s="104">
        <f>IF('Run VRS'!AR35&lt;&gt;"",'Run VRS'!AR35,"")</f>
        <v>1</v>
      </c>
      <c r="D35" s="104" t="str">
        <f>IF(ROUND(C35,3)=100%,"Optimal frontier",'Run VRS'!BW35)</f>
        <v>Optimal frontier</v>
      </c>
      <c r="E35" s="105">
        <f>IF('Run VRS'!BC35&lt;&gt;"",'Run VRS'!BC35,"")</f>
        <v>0.88425989154515994</v>
      </c>
      <c r="F35" s="106" t="str">
        <f>IF('Run VRS'!BD35&lt;&gt;"",'Run VRS'!BD35,"")</f>
        <v/>
      </c>
      <c r="G35" s="106" t="str">
        <f>IF('Run VRS'!BE35&lt;&gt;"",'Run VRS'!BE35,"")</f>
        <v/>
      </c>
      <c r="H35" s="106" t="str">
        <f>IF('Run VRS'!BF35&lt;&gt;"",'Run VRS'!BF35,"")</f>
        <v/>
      </c>
      <c r="I35" s="106" t="str">
        <f>IF('Run VRS'!BG35&lt;&gt;"",'Run VRS'!BG35,"")</f>
        <v/>
      </c>
      <c r="J35" s="106">
        <f>IF('Run VRS'!BH35&lt;&gt;"",'Run VRS'!BH35,"")</f>
        <v>6.151578194248235</v>
      </c>
      <c r="K35" s="105">
        <f>IF('Run VRS'!BI35&lt;&gt;"",'Run VRS'!BI35,"")</f>
        <v>9.9443118536197061E-4</v>
      </c>
      <c r="L35" s="105" t="str">
        <f>IF('Run VRS'!BJ35&lt;&gt;"",'Run VRS'!BJ35,"")</f>
        <v/>
      </c>
      <c r="M35" s="105" t="str">
        <f>IF('Run VRS'!BK35&lt;&gt;"",'Run VRS'!BK35,"")</f>
        <v/>
      </c>
      <c r="N35" s="105" t="str">
        <f>IF('Run VRS'!BL35&lt;&gt;"",'Run VRS'!BL35,"")</f>
        <v/>
      </c>
      <c r="O35" s="105">
        <f>IF('Run VRS'!BM35&lt;&gt;"",'Run VRS'!BM35,"")</f>
        <v>0</v>
      </c>
      <c r="P35" s="106" t="str">
        <f>IF('Run VRS'!BN35&lt;&gt;"",'Run VRS'!BN35,"")</f>
        <v/>
      </c>
      <c r="Q35" s="106" t="str">
        <f>IF('Run VRS'!BO35&lt;&gt;"",'Run VRS'!BO35,"")</f>
        <v/>
      </c>
      <c r="R35" s="106" t="str">
        <f>IF('Run VRS'!BP35&lt;&gt;"",'Run VRS'!BP35,"")</f>
        <v/>
      </c>
      <c r="S35" s="106" t="str">
        <f>IF('Run VRS'!BQ35&lt;&gt;"",'Run VRS'!BQ35,"")</f>
        <v/>
      </c>
      <c r="T35" s="106">
        <f>IF('Run VRS'!BR35&lt;&gt;"",'Run VRS'!BR35,"")</f>
        <v>0</v>
      </c>
      <c r="U35" s="105">
        <f>IF('Run VRS'!BS35&lt;&gt;"",'Run VRS'!BS35,"")</f>
        <v>-2.3852447794681098E-18</v>
      </c>
      <c r="V35" s="105" t="str">
        <f>IF('Run VRS'!BT35&lt;&gt;"",'Run VRS'!BT35,"")</f>
        <v/>
      </c>
      <c r="W35" s="105" t="str">
        <f>IF('Run VRS'!BU35&lt;&gt;"",'Run VRS'!BU35,"")</f>
        <v/>
      </c>
      <c r="X35" s="107" t="str">
        <f>IF('Run VRS'!BV35&lt;&gt;"",'Run VRS'!BV35,"")</f>
        <v/>
      </c>
      <c r="Y35" s="114">
        <f>IF('Data input'!C35&lt;&gt;"",O35/'Data input'!C35*100%,"")</f>
        <v>0</v>
      </c>
      <c r="Z35" s="114" t="str">
        <f>IF('Data input'!D35&lt;&gt;"",P35/'Data input'!D35*100%,"")</f>
        <v/>
      </c>
      <c r="AA35" s="114" t="str">
        <f>IF('Data input'!E35&lt;&gt;"",Q35/'Data input'!E35*100%,"")</f>
        <v/>
      </c>
      <c r="AB35" s="114" t="str">
        <f>IF('Data input'!F35&lt;&gt;"",R35/'Data input'!F35*100%,"")</f>
        <v/>
      </c>
      <c r="AC35" s="114" t="str">
        <f>IF('Data input'!G35&lt;&gt;"",S35/'Data input'!G35*100%,"")</f>
        <v/>
      </c>
      <c r="AD35" s="114">
        <f>IF('Data input'!H35&lt;&gt;"",T35/'Data input'!H35*100%,"")</f>
        <v>0</v>
      </c>
      <c r="AE35" s="114">
        <f>IF('Data input'!I35&lt;&gt;"",U35/'Data input'!I35*100%,"")</f>
        <v>-2.3986021502331312E-15</v>
      </c>
      <c r="AF35" s="114" t="str">
        <f>IF('Data input'!J35&lt;&gt;"",V35/'Data input'!J35*100%,"")</f>
        <v/>
      </c>
      <c r="AG35" s="114" t="str">
        <f>IF('Data input'!K35&lt;&gt;"",W35/'Data input'!K35*100%,"")</f>
        <v/>
      </c>
      <c r="AH35" s="115" t="str">
        <f>IF('Data input'!L35&lt;&gt;"",X35/'Data input'!L35*100%,"")</f>
        <v/>
      </c>
      <c r="AI35" s="114">
        <f>IF('Data input'!C35&lt;&gt;"",'Run VRS'!AH35/'Run VRS'!C35,"")</f>
        <v>0</v>
      </c>
      <c r="AJ35" s="114" t="str">
        <f>IF('Data input'!D35&lt;&gt;"",'Run VRS'!AI35/'Run VRS'!D35,"")</f>
        <v/>
      </c>
      <c r="AK35" s="114" t="str">
        <f>IF('Data input'!E35&lt;&gt;"",'Run VRS'!AJ35/'Run VRS'!E35,"")</f>
        <v/>
      </c>
      <c r="AL35" s="114" t="str">
        <f>IF('Data input'!F35&lt;&gt;"",'Run VRS'!AK35/'Run VRS'!F35,"")</f>
        <v/>
      </c>
      <c r="AM35" s="114" t="str">
        <f>IF('Data input'!G35&lt;&gt;"",'Run VRS'!AL35/'Run VRS'!G35,"")</f>
        <v/>
      </c>
      <c r="AN35" s="114">
        <f>IF('Data input'!H35&lt;&gt;"",'Run VRS'!AM35/'Run VRS'!H35,"")</f>
        <v>0</v>
      </c>
      <c r="AO35" s="114">
        <f>IF('Data input'!I35&lt;&gt;"",'Run VRS'!AN35/'Run VRS'!I35,"")</f>
        <v>0</v>
      </c>
      <c r="AP35" s="114" t="str">
        <f>IF('Data input'!J35&lt;&gt;"",'Run VRS'!AO35/'Run VRS'!J35,"")</f>
        <v/>
      </c>
      <c r="AQ35" s="114" t="str">
        <f>IF('Data input'!K35&lt;&gt;"",'Run VRS'!AP35/'Run VRS'!K35,"")</f>
        <v/>
      </c>
      <c r="AR35" s="115" t="str">
        <f>IF('Data input'!L35&lt;&gt;"",'Run VRS'!AQ35/'Run VRS'!L35,"")</f>
        <v/>
      </c>
    </row>
    <row r="36" spans="1:44" x14ac:dyDescent="0.35">
      <c r="A36" s="102">
        <f>IF('Run VRS'!AF36&lt;&gt;"",'Run VRS'!AF36,"")</f>
        <v>34</v>
      </c>
      <c r="B36" s="103" t="str">
        <f>IF('Run VRS'!AG36&lt;&gt;"",'Run VRS'!AG36,"")</f>
        <v>North Carolina</v>
      </c>
      <c r="C36" s="104">
        <f>IF('Run VRS'!AR36&lt;&gt;"",'Run VRS'!AR36,"")</f>
        <v>0.557594917367364</v>
      </c>
      <c r="D36" s="104" t="str">
        <f>IF(ROUND(C36,3)=100%,"Optimal frontier",'Run VRS'!BW36)</f>
        <v xml:space="preserve">New York; Texas; </v>
      </c>
      <c r="E36" s="105">
        <f>IF('Run VRS'!BC36&lt;&gt;"",'Run VRS'!BC36,"")</f>
        <v>0.97070787936577552</v>
      </c>
      <c r="F36" s="106" t="str">
        <f>IF('Run VRS'!BD36&lt;&gt;"",'Run VRS'!BD36,"")</f>
        <v/>
      </c>
      <c r="G36" s="106" t="str">
        <f>IF('Run VRS'!BE36&lt;&gt;"",'Run VRS'!BE36,"")</f>
        <v/>
      </c>
      <c r="H36" s="106" t="str">
        <f>IF('Run VRS'!BF36&lt;&gt;"",'Run VRS'!BF36,"")</f>
        <v/>
      </c>
      <c r="I36" s="106" t="str">
        <f>IF('Run VRS'!BG36&lt;&gt;"",'Run VRS'!BG36,"")</f>
        <v/>
      </c>
      <c r="J36" s="106">
        <f>IF('Run VRS'!BH36&lt;&gt;"",'Run VRS'!BH36,"")</f>
        <v>1.3484243902827648</v>
      </c>
      <c r="K36" s="105">
        <f>IF('Run VRS'!BI36&lt;&gt;"",'Run VRS'!BI36,"")</f>
        <v>1.1208786459263583E-3</v>
      </c>
      <c r="L36" s="105" t="str">
        <f>IF('Run VRS'!BJ36&lt;&gt;"",'Run VRS'!BJ36,"")</f>
        <v/>
      </c>
      <c r="M36" s="105" t="str">
        <f>IF('Run VRS'!BK36&lt;&gt;"",'Run VRS'!BK36,"")</f>
        <v/>
      </c>
      <c r="N36" s="105" t="str">
        <f>IF('Run VRS'!BL36&lt;&gt;"",'Run VRS'!BL36,"")</f>
        <v/>
      </c>
      <c r="O36" s="105">
        <f>IF('Run VRS'!BM36&lt;&gt;"",'Run VRS'!BM36,"")</f>
        <v>0</v>
      </c>
      <c r="P36" s="106" t="str">
        <f>IF('Run VRS'!BN36&lt;&gt;"",'Run VRS'!BN36,"")</f>
        <v/>
      </c>
      <c r="Q36" s="106" t="str">
        <f>IF('Run VRS'!BO36&lt;&gt;"",'Run VRS'!BO36,"")</f>
        <v/>
      </c>
      <c r="R36" s="106" t="str">
        <f>IF('Run VRS'!BP36&lt;&gt;"",'Run VRS'!BP36,"")</f>
        <v/>
      </c>
      <c r="S36" s="106" t="str">
        <f>IF('Run VRS'!BQ36&lt;&gt;"",'Run VRS'!BQ36,"")</f>
        <v/>
      </c>
      <c r="T36" s="106">
        <f>IF('Run VRS'!BR36&lt;&gt;"",'Run VRS'!BR36,"")</f>
        <v>-6.4560450857757568</v>
      </c>
      <c r="U36" s="105">
        <f>IF('Run VRS'!BS36&lt;&gt;"",'Run VRS'!BS36,"")</f>
        <v>-8.9132792916156417E-2</v>
      </c>
      <c r="V36" s="105" t="str">
        <f>IF('Run VRS'!BT36&lt;&gt;"",'Run VRS'!BT36,"")</f>
        <v/>
      </c>
      <c r="W36" s="105" t="str">
        <f>IF('Run VRS'!BU36&lt;&gt;"",'Run VRS'!BU36,"")</f>
        <v/>
      </c>
      <c r="X36" s="107" t="str">
        <f>IF('Run VRS'!BV36&lt;&gt;"",'Run VRS'!BV36,"")</f>
        <v/>
      </c>
      <c r="Y36" s="114">
        <f>IF('Data input'!C36&lt;&gt;"",O36/'Data input'!C36*100%,"")</f>
        <v>0</v>
      </c>
      <c r="Z36" s="114" t="str">
        <f>IF('Data input'!D36&lt;&gt;"",P36/'Data input'!D36*100%,"")</f>
        <v/>
      </c>
      <c r="AA36" s="114" t="str">
        <f>IF('Data input'!E36&lt;&gt;"",Q36/'Data input'!E36*100%,"")</f>
        <v/>
      </c>
      <c r="AB36" s="114" t="str">
        <f>IF('Data input'!F36&lt;&gt;"",R36/'Data input'!F36*100%,"")</f>
        <v/>
      </c>
      <c r="AC36" s="114" t="str">
        <f>IF('Data input'!G36&lt;&gt;"",S36/'Data input'!G36*100%,"")</f>
        <v/>
      </c>
      <c r="AD36" s="114">
        <f>IF('Data input'!H36&lt;&gt;"",T36/'Data input'!H36*100%,"")</f>
        <v>-0.82722408045552931</v>
      </c>
      <c r="AE36" s="114">
        <f>IF('Data input'!I36&lt;&gt;"",U36/'Data input'!I36*100%,"")</f>
        <v>-0.98758079725149639</v>
      </c>
      <c r="AF36" s="114" t="str">
        <f>IF('Data input'!J36&lt;&gt;"",V36/'Data input'!J36*100%,"")</f>
        <v/>
      </c>
      <c r="AG36" s="114" t="str">
        <f>IF('Data input'!K36&lt;&gt;"",W36/'Data input'!K36*100%,"")</f>
        <v/>
      </c>
      <c r="AH36" s="115" t="str">
        <f>IF('Data input'!L36&lt;&gt;"",X36/'Data input'!L36*100%,"")</f>
        <v/>
      </c>
      <c r="AI36" s="114">
        <f>IF('Data input'!C36&lt;&gt;"",'Run VRS'!AH36/'Run VRS'!C36,"")</f>
        <v>0</v>
      </c>
      <c r="AJ36" s="114" t="str">
        <f>IF('Data input'!D36&lt;&gt;"",'Run VRS'!AI36/'Run VRS'!D36,"")</f>
        <v/>
      </c>
      <c r="AK36" s="114" t="str">
        <f>IF('Data input'!E36&lt;&gt;"",'Run VRS'!AJ36/'Run VRS'!E36,"")</f>
        <v/>
      </c>
      <c r="AL36" s="114" t="str">
        <f>IF('Data input'!F36&lt;&gt;"",'Run VRS'!AK36/'Run VRS'!F36,"")</f>
        <v/>
      </c>
      <c r="AM36" s="114" t="str">
        <f>IF('Data input'!G36&lt;&gt;"",'Run VRS'!AL36/'Run VRS'!G36,"")</f>
        <v/>
      </c>
      <c r="AN36" s="114">
        <f>IF('Data input'!H36&lt;&gt;"",'Run VRS'!AM36/'Run VRS'!H36,"")</f>
        <v>0.22044397200986635</v>
      </c>
      <c r="AO36" s="114">
        <f>IF('Data input'!I36&lt;&gt;"",'Run VRS'!AN36/'Run VRS'!I36,"")</f>
        <v>0.66436619325540736</v>
      </c>
      <c r="AP36" s="114" t="str">
        <f>IF('Data input'!J36&lt;&gt;"",'Run VRS'!AO36/'Run VRS'!J36,"")</f>
        <v/>
      </c>
      <c r="AQ36" s="114" t="str">
        <f>IF('Data input'!K36&lt;&gt;"",'Run VRS'!AP36/'Run VRS'!K36,"")</f>
        <v/>
      </c>
      <c r="AR36" s="115" t="str">
        <f>IF('Data input'!L36&lt;&gt;"",'Run VRS'!AQ36/'Run VRS'!L36,"")</f>
        <v/>
      </c>
    </row>
    <row r="37" spans="1:44" x14ac:dyDescent="0.35">
      <c r="A37" s="102">
        <f>IF('Run VRS'!AF37&lt;&gt;"",'Run VRS'!AF37,"")</f>
        <v>35</v>
      </c>
      <c r="B37" s="103" t="str">
        <f>IF('Run VRS'!AG37&lt;&gt;"",'Run VRS'!AG37,"")</f>
        <v>North Dakota</v>
      </c>
      <c r="C37" s="104">
        <f>IF('Run VRS'!AR37&lt;&gt;"",'Run VRS'!AR37,"")</f>
        <v>0.99999999999999978</v>
      </c>
      <c r="D37" s="104" t="str">
        <f>IF(ROUND(C37,3)=100%,"Optimal frontier",'Run VRS'!BW37)</f>
        <v>Optimal frontier</v>
      </c>
      <c r="E37" s="105">
        <f>IF('Run VRS'!BC37&lt;&gt;"",'Run VRS'!BC37,"")</f>
        <v>0.98930735020681126</v>
      </c>
      <c r="F37" s="106" t="str">
        <f>IF('Run VRS'!BD37&lt;&gt;"",'Run VRS'!BD37,"")</f>
        <v/>
      </c>
      <c r="G37" s="106" t="str">
        <f>IF('Run VRS'!BE37&lt;&gt;"",'Run VRS'!BE37,"")</f>
        <v/>
      </c>
      <c r="H37" s="106" t="str">
        <f>IF('Run VRS'!BF37&lt;&gt;"",'Run VRS'!BF37,"")</f>
        <v/>
      </c>
      <c r="I37" s="106" t="str">
        <f>IF('Run VRS'!BG37&lt;&gt;"",'Run VRS'!BG37,"")</f>
        <v/>
      </c>
      <c r="J37" s="106">
        <f>IF('Run VRS'!BH37&lt;&gt;"",'Run VRS'!BH37,"")</f>
        <v>44.264911698159139</v>
      </c>
      <c r="K37" s="105">
        <f>IF('Run VRS'!BI37&lt;&gt;"",'Run VRS'!BI37,"")</f>
        <v>0</v>
      </c>
      <c r="L37" s="105" t="str">
        <f>IF('Run VRS'!BJ37&lt;&gt;"",'Run VRS'!BJ37,"")</f>
        <v/>
      </c>
      <c r="M37" s="105" t="str">
        <f>IF('Run VRS'!BK37&lt;&gt;"",'Run VRS'!BK37,"")</f>
        <v/>
      </c>
      <c r="N37" s="105" t="str">
        <f>IF('Run VRS'!BL37&lt;&gt;"",'Run VRS'!BL37,"")</f>
        <v/>
      </c>
      <c r="O37" s="105">
        <f>IF('Run VRS'!BM37&lt;&gt;"",'Run VRS'!BM37,"")</f>
        <v>0</v>
      </c>
      <c r="P37" s="106" t="str">
        <f>IF('Run VRS'!BN37&lt;&gt;"",'Run VRS'!BN37,"")</f>
        <v/>
      </c>
      <c r="Q37" s="106" t="str">
        <f>IF('Run VRS'!BO37&lt;&gt;"",'Run VRS'!BO37,"")</f>
        <v/>
      </c>
      <c r="R37" s="106" t="str">
        <f>IF('Run VRS'!BP37&lt;&gt;"",'Run VRS'!BP37,"")</f>
        <v/>
      </c>
      <c r="S37" s="106" t="str">
        <f>IF('Run VRS'!BQ37&lt;&gt;"",'Run VRS'!BQ37,"")</f>
        <v/>
      </c>
      <c r="T37" s="106">
        <f>IF('Run VRS'!BR37&lt;&gt;"",'Run VRS'!BR37,"")</f>
        <v>-2.8421709430404007E-14</v>
      </c>
      <c r="U37" s="105">
        <f>IF('Run VRS'!BS37&lt;&gt;"",'Run VRS'!BS37,"")</f>
        <v>0</v>
      </c>
      <c r="V37" s="105" t="str">
        <f>IF('Run VRS'!BT37&lt;&gt;"",'Run VRS'!BT37,"")</f>
        <v/>
      </c>
      <c r="W37" s="105" t="str">
        <f>IF('Run VRS'!BU37&lt;&gt;"",'Run VRS'!BU37,"")</f>
        <v/>
      </c>
      <c r="X37" s="107" t="str">
        <f>IF('Run VRS'!BV37&lt;&gt;"",'Run VRS'!BV37,"")</f>
        <v/>
      </c>
      <c r="Y37" s="114">
        <f>IF('Data input'!C37&lt;&gt;"",O37/'Data input'!C37*100%,"")</f>
        <v>0</v>
      </c>
      <c r="Z37" s="114" t="str">
        <f>IF('Data input'!D37&lt;&gt;"",P37/'Data input'!D37*100%,"")</f>
        <v/>
      </c>
      <c r="AA37" s="114" t="str">
        <f>IF('Data input'!E37&lt;&gt;"",Q37/'Data input'!E37*100%,"")</f>
        <v/>
      </c>
      <c r="AB37" s="114" t="str">
        <f>IF('Data input'!F37&lt;&gt;"",R37/'Data input'!F37*100%,"")</f>
        <v/>
      </c>
      <c r="AC37" s="114" t="str">
        <f>IF('Data input'!G37&lt;&gt;"",S37/'Data input'!G37*100%,"")</f>
        <v/>
      </c>
      <c r="AD37" s="114">
        <f>IF('Data input'!H37&lt;&gt;"",T37/'Data input'!H37*100%,"")</f>
        <v>-6.4208214452590838E-16</v>
      </c>
      <c r="AE37" s="114" t="e">
        <f>IF('Data input'!I37&lt;&gt;"",U37/'Data input'!I37*100%,"")</f>
        <v>#DIV/0!</v>
      </c>
      <c r="AF37" s="114" t="str">
        <f>IF('Data input'!J37&lt;&gt;"",V37/'Data input'!J37*100%,"")</f>
        <v/>
      </c>
      <c r="AG37" s="114" t="str">
        <f>IF('Data input'!K37&lt;&gt;"",W37/'Data input'!K37*100%,"")</f>
        <v/>
      </c>
      <c r="AH37" s="115" t="str">
        <f>IF('Data input'!L37&lt;&gt;"",X37/'Data input'!L37*100%,"")</f>
        <v/>
      </c>
      <c r="AI37" s="114">
        <f>IF('Data input'!C37&lt;&gt;"",'Run VRS'!AH37/'Run VRS'!C37,"")</f>
        <v>0</v>
      </c>
      <c r="AJ37" s="114" t="str">
        <f>IF('Data input'!D37&lt;&gt;"",'Run VRS'!AI37/'Run VRS'!D37,"")</f>
        <v/>
      </c>
      <c r="AK37" s="114" t="str">
        <f>IF('Data input'!E37&lt;&gt;"",'Run VRS'!AJ37/'Run VRS'!E37,"")</f>
        <v/>
      </c>
      <c r="AL37" s="114" t="str">
        <f>IF('Data input'!F37&lt;&gt;"",'Run VRS'!AK37/'Run VRS'!F37,"")</f>
        <v/>
      </c>
      <c r="AM37" s="114" t="str">
        <f>IF('Data input'!G37&lt;&gt;"",'Run VRS'!AL37/'Run VRS'!G37,"")</f>
        <v/>
      </c>
      <c r="AN37" s="114">
        <f>IF('Data input'!H37&lt;&gt;"",'Run VRS'!AM37/'Run VRS'!H37,"")</f>
        <v>4.7231647761677645E-16</v>
      </c>
      <c r="AO37" s="114">
        <f>IF('Data input'!I37&lt;&gt;"",'Run VRS'!AN37/'Run VRS'!I37,"")</f>
        <v>0</v>
      </c>
      <c r="AP37" s="114" t="str">
        <f>IF('Data input'!J37&lt;&gt;"",'Run VRS'!AO37/'Run VRS'!J37,"")</f>
        <v/>
      </c>
      <c r="AQ37" s="114" t="str">
        <f>IF('Data input'!K37&lt;&gt;"",'Run VRS'!AP37/'Run VRS'!K37,"")</f>
        <v/>
      </c>
      <c r="AR37" s="115" t="str">
        <f>IF('Data input'!L37&lt;&gt;"",'Run VRS'!AQ37/'Run VRS'!L37,"")</f>
        <v/>
      </c>
    </row>
    <row r="38" spans="1:44" x14ac:dyDescent="0.35">
      <c r="A38" s="102">
        <f>IF('Run VRS'!AF38&lt;&gt;"",'Run VRS'!AF38,"")</f>
        <v>36</v>
      </c>
      <c r="B38" s="103" t="str">
        <f>IF('Run VRS'!AG38&lt;&gt;"",'Run VRS'!AG38,"")</f>
        <v>Ohio</v>
      </c>
      <c r="C38" s="104">
        <f>IF('Run VRS'!AR38&lt;&gt;"",'Run VRS'!AR38,"")</f>
        <v>0.79961420237721681</v>
      </c>
      <c r="D38" s="104" t="str">
        <f>IF(ROUND(C38,3)=100%,"Optimal frontier",'Run VRS'!BW38)</f>
        <v xml:space="preserve">New York; Texas; </v>
      </c>
      <c r="E38" s="105">
        <f>IF('Run VRS'!BC38&lt;&gt;"",'Run VRS'!BC38,"")</f>
        <v>0.97943723856436926</v>
      </c>
      <c r="F38" s="106" t="str">
        <f>IF('Run VRS'!BD38&lt;&gt;"",'Run VRS'!BD38,"")</f>
        <v/>
      </c>
      <c r="G38" s="106" t="str">
        <f>IF('Run VRS'!BE38&lt;&gt;"",'Run VRS'!BE38,"")</f>
        <v/>
      </c>
      <c r="H38" s="106" t="str">
        <f>IF('Run VRS'!BF38&lt;&gt;"",'Run VRS'!BF38,"")</f>
        <v/>
      </c>
      <c r="I38" s="106" t="str">
        <f>IF('Run VRS'!BG38&lt;&gt;"",'Run VRS'!BG38,"")</f>
        <v/>
      </c>
      <c r="J38" s="106">
        <f>IF('Run VRS'!BH38&lt;&gt;"",'Run VRS'!BH38,"")</f>
        <v>0.8634107318050539</v>
      </c>
      <c r="K38" s="105">
        <f>IF('Run VRS'!BI38&lt;&gt;"",'Run VRS'!BI38,"")</f>
        <v>1.1336470784930799E-3</v>
      </c>
      <c r="L38" s="105" t="str">
        <f>IF('Run VRS'!BJ38&lt;&gt;"",'Run VRS'!BJ38,"")</f>
        <v/>
      </c>
      <c r="M38" s="105" t="str">
        <f>IF('Run VRS'!BK38&lt;&gt;"",'Run VRS'!BK38,"")</f>
        <v/>
      </c>
      <c r="N38" s="105" t="str">
        <f>IF('Run VRS'!BL38&lt;&gt;"",'Run VRS'!BL38,"")</f>
        <v/>
      </c>
      <c r="O38" s="105">
        <f>IF('Run VRS'!BM38&lt;&gt;"",'Run VRS'!BM38,"")</f>
        <v>0</v>
      </c>
      <c r="P38" s="106" t="str">
        <f>IF('Run VRS'!BN38&lt;&gt;"",'Run VRS'!BN38,"")</f>
        <v/>
      </c>
      <c r="Q38" s="106" t="str">
        <f>IF('Run VRS'!BO38&lt;&gt;"",'Run VRS'!BO38,"")</f>
        <v/>
      </c>
      <c r="R38" s="106" t="str">
        <f>IF('Run VRS'!BP38&lt;&gt;"",'Run VRS'!BP38,"")</f>
        <v/>
      </c>
      <c r="S38" s="106" t="str">
        <f>IF('Run VRS'!BQ38&lt;&gt;"",'Run VRS'!BQ38,"")</f>
        <v/>
      </c>
      <c r="T38" s="106">
        <f>IF('Run VRS'!BR38&lt;&gt;"",'Run VRS'!BR38,"")</f>
        <v>-0.40147418410404745</v>
      </c>
      <c r="U38" s="105">
        <f>IF('Run VRS'!BS38&lt;&gt;"",'Run VRS'!BS38,"")</f>
        <v>-2.7974136089614916E-2</v>
      </c>
      <c r="V38" s="105" t="str">
        <f>IF('Run VRS'!BT38&lt;&gt;"",'Run VRS'!BT38,"")</f>
        <v/>
      </c>
      <c r="W38" s="105" t="str">
        <f>IF('Run VRS'!BU38&lt;&gt;"",'Run VRS'!BU38,"")</f>
        <v/>
      </c>
      <c r="X38" s="107" t="str">
        <f>IF('Run VRS'!BV38&lt;&gt;"",'Run VRS'!BV38,"")</f>
        <v/>
      </c>
      <c r="Y38" s="114">
        <f>IF('Data input'!C38&lt;&gt;"",O38/'Data input'!C38*100%,"")</f>
        <v>0</v>
      </c>
      <c r="Z38" s="114" t="str">
        <f>IF('Data input'!D38&lt;&gt;"",P38/'Data input'!D38*100%,"")</f>
        <v/>
      </c>
      <c r="AA38" s="114" t="str">
        <f>IF('Data input'!E38&lt;&gt;"",Q38/'Data input'!E38*100%,"")</f>
        <v/>
      </c>
      <c r="AB38" s="114" t="str">
        <f>IF('Data input'!F38&lt;&gt;"",R38/'Data input'!F38*100%,"")</f>
        <v/>
      </c>
      <c r="AC38" s="114" t="str">
        <f>IF('Data input'!G38&lt;&gt;"",S38/'Data input'!G38*100%,"")</f>
        <v/>
      </c>
      <c r="AD38" s="114">
        <f>IF('Data input'!H38&lt;&gt;"",T38/'Data input'!H38*100%,"")</f>
        <v>-0.3173997721488353</v>
      </c>
      <c r="AE38" s="114">
        <f>IF('Data input'!I38&lt;&gt;"",U38/'Data input'!I38*100%,"")</f>
        <v>-0.96105347247003126</v>
      </c>
      <c r="AF38" s="114" t="str">
        <f>IF('Data input'!J38&lt;&gt;"",V38/'Data input'!J38*100%,"")</f>
        <v/>
      </c>
      <c r="AG38" s="114" t="str">
        <f>IF('Data input'!K38&lt;&gt;"",W38/'Data input'!K38*100%,"")</f>
        <v/>
      </c>
      <c r="AH38" s="115" t="str">
        <f>IF('Data input'!L38&lt;&gt;"",X38/'Data input'!L38*100%,"")</f>
        <v/>
      </c>
      <c r="AI38" s="114">
        <f>IF('Data input'!C38&lt;&gt;"",'Run VRS'!AH38/'Run VRS'!C38,"")</f>
        <v>0</v>
      </c>
      <c r="AJ38" s="114" t="str">
        <f>IF('Data input'!D38&lt;&gt;"",'Run VRS'!AI38/'Run VRS'!D38,"")</f>
        <v/>
      </c>
      <c r="AK38" s="114" t="str">
        <f>IF('Data input'!E38&lt;&gt;"",'Run VRS'!AJ38/'Run VRS'!E38,"")</f>
        <v/>
      </c>
      <c r="AL38" s="114" t="str">
        <f>IF('Data input'!F38&lt;&gt;"",'Run VRS'!AK38/'Run VRS'!F38,"")</f>
        <v/>
      </c>
      <c r="AM38" s="114" t="str">
        <f>IF('Data input'!G38&lt;&gt;"",'Run VRS'!AL38/'Run VRS'!G38,"")</f>
        <v/>
      </c>
      <c r="AN38" s="114">
        <f>IF('Data input'!H38&lt;&gt;"",'Run VRS'!AM38/'Run VRS'!H38,"")</f>
        <v>1.7649565207893698E-2</v>
      </c>
      <c r="AO38" s="114">
        <f>IF('Data input'!I38&lt;&gt;"",'Run VRS'!AN38/'Run VRS'!I38,"")</f>
        <v>0.38312203003767281</v>
      </c>
      <c r="AP38" s="114" t="str">
        <f>IF('Data input'!J38&lt;&gt;"",'Run VRS'!AO38/'Run VRS'!J38,"")</f>
        <v/>
      </c>
      <c r="AQ38" s="114" t="str">
        <f>IF('Data input'!K38&lt;&gt;"",'Run VRS'!AP38/'Run VRS'!K38,"")</f>
        <v/>
      </c>
      <c r="AR38" s="115" t="str">
        <f>IF('Data input'!L38&lt;&gt;"",'Run VRS'!AQ38/'Run VRS'!L38,"")</f>
        <v/>
      </c>
    </row>
    <row r="39" spans="1:44" x14ac:dyDescent="0.35">
      <c r="A39" s="102">
        <f>IF('Run VRS'!AF39&lt;&gt;"",'Run VRS'!AF39,"")</f>
        <v>37</v>
      </c>
      <c r="B39" s="103" t="str">
        <f>IF('Run VRS'!AG39&lt;&gt;"",'Run VRS'!AG39,"")</f>
        <v>Oklahoma</v>
      </c>
      <c r="C39" s="104">
        <f>IF('Run VRS'!AR39&lt;&gt;"",'Run VRS'!AR39,"")</f>
        <v>0.8010791478170296</v>
      </c>
      <c r="D39" s="104" t="str">
        <f>IF(ROUND(C39,3)=100%,"Optimal frontier",'Run VRS'!BW39)</f>
        <v xml:space="preserve">Kansas; New York; Texas; </v>
      </c>
      <c r="E39" s="105">
        <f>IF('Run VRS'!BC39&lt;&gt;"",'Run VRS'!BC39,"")</f>
        <v>0.98522618040734489</v>
      </c>
      <c r="F39" s="106" t="str">
        <f>IF('Run VRS'!BD39&lt;&gt;"",'Run VRS'!BD39,"")</f>
        <v/>
      </c>
      <c r="G39" s="106" t="str">
        <f>IF('Run VRS'!BE39&lt;&gt;"",'Run VRS'!BE39,"")</f>
        <v/>
      </c>
      <c r="H39" s="106" t="str">
        <f>IF('Run VRS'!BF39&lt;&gt;"",'Run VRS'!BF39,"")</f>
        <v/>
      </c>
      <c r="I39" s="106" t="str">
        <f>IF('Run VRS'!BG39&lt;&gt;"",'Run VRS'!BG39,"")</f>
        <v/>
      </c>
      <c r="J39" s="106">
        <f>IF('Run VRS'!BH39&lt;&gt;"",'Run VRS'!BH39,"")</f>
        <v>0.63363528886091391</v>
      </c>
      <c r="K39" s="105">
        <f>IF('Run VRS'!BI39&lt;&gt;"",'Run VRS'!BI39,"")</f>
        <v>1.1425602082613525E-3</v>
      </c>
      <c r="L39" s="105" t="str">
        <f>IF('Run VRS'!BJ39&lt;&gt;"",'Run VRS'!BJ39,"")</f>
        <v/>
      </c>
      <c r="M39" s="105" t="str">
        <f>IF('Run VRS'!BK39&lt;&gt;"",'Run VRS'!BK39,"")</f>
        <v/>
      </c>
      <c r="N39" s="105" t="str">
        <f>IF('Run VRS'!BL39&lt;&gt;"",'Run VRS'!BL39,"")</f>
        <v/>
      </c>
      <c r="O39" s="105">
        <f>IF('Run VRS'!BM39&lt;&gt;"",'Run VRS'!BM39,"")</f>
        <v>0</v>
      </c>
      <c r="P39" s="106" t="str">
        <f>IF('Run VRS'!BN39&lt;&gt;"",'Run VRS'!BN39,"")</f>
        <v/>
      </c>
      <c r="Q39" s="106" t="str">
        <f>IF('Run VRS'!BO39&lt;&gt;"",'Run VRS'!BO39,"")</f>
        <v/>
      </c>
      <c r="R39" s="106" t="str">
        <f>IF('Run VRS'!BP39&lt;&gt;"",'Run VRS'!BP39,"")</f>
        <v/>
      </c>
      <c r="S39" s="106" t="str">
        <f>IF('Run VRS'!BQ39&lt;&gt;"",'Run VRS'!BQ39,"")</f>
        <v/>
      </c>
      <c r="T39" s="106">
        <f>IF('Run VRS'!BR39&lt;&gt;"",'Run VRS'!BR39,"")</f>
        <v>-9.440790777729557</v>
      </c>
      <c r="U39" s="105">
        <f>IF('Run VRS'!BS39&lt;&gt;"",'Run VRS'!BS39,"")</f>
        <v>-4.9318513331205764E-3</v>
      </c>
      <c r="V39" s="105" t="str">
        <f>IF('Run VRS'!BT39&lt;&gt;"",'Run VRS'!BT39,"")</f>
        <v/>
      </c>
      <c r="W39" s="105" t="str">
        <f>IF('Run VRS'!BU39&lt;&gt;"",'Run VRS'!BU39,"")</f>
        <v/>
      </c>
      <c r="X39" s="107" t="str">
        <f>IF('Run VRS'!BV39&lt;&gt;"",'Run VRS'!BV39,"")</f>
        <v/>
      </c>
      <c r="Y39" s="114">
        <f>IF('Data input'!C39&lt;&gt;"",O39/'Data input'!C39*100%,"")</f>
        <v>0</v>
      </c>
      <c r="Z39" s="114" t="str">
        <f>IF('Data input'!D39&lt;&gt;"",P39/'Data input'!D39*100%,"")</f>
        <v/>
      </c>
      <c r="AA39" s="114" t="str">
        <f>IF('Data input'!E39&lt;&gt;"",Q39/'Data input'!E39*100%,"")</f>
        <v/>
      </c>
      <c r="AB39" s="114" t="str">
        <f>IF('Data input'!F39&lt;&gt;"",R39/'Data input'!F39*100%,"")</f>
        <v/>
      </c>
      <c r="AC39" s="114" t="str">
        <f>IF('Data input'!G39&lt;&gt;"",S39/'Data input'!G39*100%,"")</f>
        <v/>
      </c>
      <c r="AD39" s="114">
        <f>IF('Data input'!H39&lt;&gt;"",T39/'Data input'!H39*100%,"")</f>
        <v>-0.93710457700789329</v>
      </c>
      <c r="AE39" s="114">
        <f>IF('Data input'!I39&lt;&gt;"",U39/'Data input'!I39*100%,"")</f>
        <v>-0.81190602571497483</v>
      </c>
      <c r="AF39" s="114" t="str">
        <f>IF('Data input'!J39&lt;&gt;"",V39/'Data input'!J39*100%,"")</f>
        <v/>
      </c>
      <c r="AG39" s="114" t="str">
        <f>IF('Data input'!K39&lt;&gt;"",W39/'Data input'!K39*100%,"")</f>
        <v/>
      </c>
      <c r="AH39" s="115" t="str">
        <f>IF('Data input'!L39&lt;&gt;"",X39/'Data input'!L39*100%,"")</f>
        <v/>
      </c>
      <c r="AI39" s="114">
        <f>IF('Data input'!C39&lt;&gt;"",'Run VRS'!AH39/'Run VRS'!C39,"")</f>
        <v>0</v>
      </c>
      <c r="AJ39" s="114" t="str">
        <f>IF('Data input'!D39&lt;&gt;"",'Run VRS'!AI39/'Run VRS'!D39,"")</f>
        <v/>
      </c>
      <c r="AK39" s="114" t="str">
        <f>IF('Data input'!E39&lt;&gt;"",'Run VRS'!AJ39/'Run VRS'!E39,"")</f>
        <v/>
      </c>
      <c r="AL39" s="114" t="str">
        <f>IF('Data input'!F39&lt;&gt;"",'Run VRS'!AK39/'Run VRS'!F39,"")</f>
        <v/>
      </c>
      <c r="AM39" s="114" t="str">
        <f>IF('Data input'!G39&lt;&gt;"",'Run VRS'!AL39/'Run VRS'!G39,"")</f>
        <v/>
      </c>
      <c r="AN39" s="114">
        <f>IF('Data input'!H39&lt;&gt;"",'Run VRS'!AM39/'Run VRS'!H39,"")</f>
        <v>0.29917090075603769</v>
      </c>
      <c r="AO39" s="114">
        <f>IF('Data input'!I39&lt;&gt;"",'Run VRS'!AN39/'Run VRS'!I39,"")</f>
        <v>9.8670803609903143E-2</v>
      </c>
      <c r="AP39" s="114" t="str">
        <f>IF('Data input'!J39&lt;&gt;"",'Run VRS'!AO39/'Run VRS'!J39,"")</f>
        <v/>
      </c>
      <c r="AQ39" s="114" t="str">
        <f>IF('Data input'!K39&lt;&gt;"",'Run VRS'!AP39/'Run VRS'!K39,"")</f>
        <v/>
      </c>
      <c r="AR39" s="115" t="str">
        <f>IF('Data input'!L39&lt;&gt;"",'Run VRS'!AQ39/'Run VRS'!L39,"")</f>
        <v/>
      </c>
    </row>
    <row r="40" spans="1:44" x14ac:dyDescent="0.35">
      <c r="A40" s="102">
        <f>IF('Run VRS'!AF40&lt;&gt;"",'Run VRS'!AF40,"")</f>
        <v>38</v>
      </c>
      <c r="B40" s="103" t="str">
        <f>IF('Run VRS'!AG40&lt;&gt;"",'Run VRS'!AG40,"")</f>
        <v>Oregon</v>
      </c>
      <c r="C40" s="104">
        <f>IF('Run VRS'!AR40&lt;&gt;"",'Run VRS'!AR40,"")</f>
        <v>0.67348878733044393</v>
      </c>
      <c r="D40" s="104" t="str">
        <f>IF(ROUND(C40,3)=100%,"Optimal frontier",'Run VRS'!BW40)</f>
        <v xml:space="preserve">Alabama; Kansas; Texas; </v>
      </c>
      <c r="E40" s="105">
        <f>IF('Run VRS'!BC40&lt;&gt;"",'Run VRS'!BC40,"")</f>
        <v>0.985717279045911</v>
      </c>
      <c r="F40" s="106" t="str">
        <f>IF('Run VRS'!BD40&lt;&gt;"",'Run VRS'!BD40,"")</f>
        <v/>
      </c>
      <c r="G40" s="106" t="str">
        <f>IF('Run VRS'!BE40&lt;&gt;"",'Run VRS'!BE40,"")</f>
        <v/>
      </c>
      <c r="H40" s="106" t="str">
        <f>IF('Run VRS'!BF40&lt;&gt;"",'Run VRS'!BF40,"")</f>
        <v/>
      </c>
      <c r="I40" s="106" t="str">
        <f>IF('Run VRS'!BG40&lt;&gt;"",'Run VRS'!BG40,"")</f>
        <v/>
      </c>
      <c r="J40" s="106">
        <f>IF('Run VRS'!BH40&lt;&gt;"",'Run VRS'!BH40,"")</f>
        <v>1.2006563533828685</v>
      </c>
      <c r="K40" s="105">
        <f>IF('Run VRS'!BI40&lt;&gt;"",'Run VRS'!BI40,"")</f>
        <v>5.2160692084707036E-3</v>
      </c>
      <c r="L40" s="105" t="str">
        <f>IF('Run VRS'!BJ40&lt;&gt;"",'Run VRS'!BJ40,"")</f>
        <v/>
      </c>
      <c r="M40" s="105" t="str">
        <f>IF('Run VRS'!BK40&lt;&gt;"",'Run VRS'!BK40,"")</f>
        <v/>
      </c>
      <c r="N40" s="105" t="str">
        <f>IF('Run VRS'!BL40&lt;&gt;"",'Run VRS'!BL40,"")</f>
        <v/>
      </c>
      <c r="O40" s="105">
        <f>IF('Run VRS'!BM40&lt;&gt;"",'Run VRS'!BM40,"")</f>
        <v>0</v>
      </c>
      <c r="P40" s="106" t="str">
        <f>IF('Run VRS'!BN40&lt;&gt;"",'Run VRS'!BN40,"")</f>
        <v/>
      </c>
      <c r="Q40" s="106" t="str">
        <f>IF('Run VRS'!BO40&lt;&gt;"",'Run VRS'!BO40,"")</f>
        <v/>
      </c>
      <c r="R40" s="106" t="str">
        <f>IF('Run VRS'!BP40&lt;&gt;"",'Run VRS'!BP40,"")</f>
        <v/>
      </c>
      <c r="S40" s="106" t="str">
        <f>IF('Run VRS'!BQ40&lt;&gt;"",'Run VRS'!BQ40,"")</f>
        <v/>
      </c>
      <c r="T40" s="106">
        <f>IF('Run VRS'!BR40&lt;&gt;"",'Run VRS'!BR40,"")</f>
        <v>-1.7870904428393162</v>
      </c>
      <c r="U40" s="105">
        <f>IF('Run VRS'!BS40&lt;&gt;"",'Run VRS'!BS40,"")</f>
        <v>-6.7835878843477401E-2</v>
      </c>
      <c r="V40" s="105" t="str">
        <f>IF('Run VRS'!BT40&lt;&gt;"",'Run VRS'!BT40,"")</f>
        <v/>
      </c>
      <c r="W40" s="105" t="str">
        <f>IF('Run VRS'!BU40&lt;&gt;"",'Run VRS'!BU40,"")</f>
        <v/>
      </c>
      <c r="X40" s="107" t="str">
        <f>IF('Run VRS'!BV40&lt;&gt;"",'Run VRS'!BV40,"")</f>
        <v/>
      </c>
      <c r="Y40" s="114">
        <f>IF('Data input'!C40&lt;&gt;"",O40/'Data input'!C40*100%,"")</f>
        <v>0</v>
      </c>
      <c r="Z40" s="114" t="str">
        <f>IF('Data input'!D40&lt;&gt;"",P40/'Data input'!D40*100%,"")</f>
        <v/>
      </c>
      <c r="AA40" s="114" t="str">
        <f>IF('Data input'!E40&lt;&gt;"",Q40/'Data input'!E40*100%,"")</f>
        <v/>
      </c>
      <c r="AB40" s="114" t="str">
        <f>IF('Data input'!F40&lt;&gt;"",R40/'Data input'!F40*100%,"")</f>
        <v/>
      </c>
      <c r="AC40" s="114" t="str">
        <f>IF('Data input'!G40&lt;&gt;"",S40/'Data input'!G40*100%,"")</f>
        <v/>
      </c>
      <c r="AD40" s="114">
        <f>IF('Data input'!H40&lt;&gt;"",T40/'Data input'!H40*100%,"")</f>
        <v>-0.59813985746683018</v>
      </c>
      <c r="AE40" s="114">
        <f>IF('Data input'!I40&lt;&gt;"",U40/'Data input'!I40*100%,"")</f>
        <v>-0.92859780816849002</v>
      </c>
      <c r="AF40" s="114" t="str">
        <f>IF('Data input'!J40&lt;&gt;"",V40/'Data input'!J40*100%,"")</f>
        <v/>
      </c>
      <c r="AG40" s="114" t="str">
        <f>IF('Data input'!K40&lt;&gt;"",W40/'Data input'!K40*100%,"")</f>
        <v/>
      </c>
      <c r="AH40" s="115" t="str">
        <f>IF('Data input'!L40&lt;&gt;"",X40/'Data input'!L40*100%,"")</f>
        <v/>
      </c>
      <c r="AI40" s="114">
        <f>IF('Data input'!C40&lt;&gt;"",'Run VRS'!AH40/'Run VRS'!C40,"")</f>
        <v>0</v>
      </c>
      <c r="AJ40" s="114" t="str">
        <f>IF('Data input'!D40&lt;&gt;"",'Run VRS'!AI40/'Run VRS'!D40,"")</f>
        <v/>
      </c>
      <c r="AK40" s="114" t="str">
        <f>IF('Data input'!E40&lt;&gt;"",'Run VRS'!AJ40/'Run VRS'!E40,"")</f>
        <v/>
      </c>
      <c r="AL40" s="114" t="str">
        <f>IF('Data input'!F40&lt;&gt;"",'Run VRS'!AK40/'Run VRS'!F40,"")</f>
        <v/>
      </c>
      <c r="AM40" s="114" t="str">
        <f>IF('Data input'!G40&lt;&gt;"",'Run VRS'!AL40/'Run VRS'!G40,"")</f>
        <v/>
      </c>
      <c r="AN40" s="114">
        <f>IF('Data input'!H40&lt;&gt;"",'Run VRS'!AM40/'Run VRS'!H40,"")</f>
        <v>7.3032386529314847E-2</v>
      </c>
      <c r="AO40" s="114">
        <f>IF('Data input'!I40&lt;&gt;"",'Run VRS'!AN40/'Run VRS'!I40,"")</f>
        <v>0.57999003880979727</v>
      </c>
      <c r="AP40" s="114" t="str">
        <f>IF('Data input'!J40&lt;&gt;"",'Run VRS'!AO40/'Run VRS'!J40,"")</f>
        <v/>
      </c>
      <c r="AQ40" s="114" t="str">
        <f>IF('Data input'!K40&lt;&gt;"",'Run VRS'!AP40/'Run VRS'!K40,"")</f>
        <v/>
      </c>
      <c r="AR40" s="115" t="str">
        <f>IF('Data input'!L40&lt;&gt;"",'Run VRS'!AQ40/'Run VRS'!L40,"")</f>
        <v/>
      </c>
    </row>
    <row r="41" spans="1:44" x14ac:dyDescent="0.35">
      <c r="A41" s="102">
        <f>IF('Run VRS'!AF41&lt;&gt;"",'Run VRS'!AF41,"")</f>
        <v>39</v>
      </c>
      <c r="B41" s="103" t="str">
        <f>IF('Run VRS'!AG41&lt;&gt;"",'Run VRS'!AG41,"")</f>
        <v>Pennsylvania</v>
      </c>
      <c r="C41" s="104">
        <f>IF('Run VRS'!AR41&lt;&gt;"",'Run VRS'!AR41,"")</f>
        <v>0.99999999999999978</v>
      </c>
      <c r="D41" s="104" t="str">
        <f>IF(ROUND(C41,3)=100%,"Optimal frontier",'Run VRS'!BW41)</f>
        <v>Optimal frontier</v>
      </c>
      <c r="E41" s="105">
        <f>IF('Run VRS'!BC41&lt;&gt;"",'Run VRS'!BC41,"")</f>
        <v>0.94510869024101696</v>
      </c>
      <c r="F41" s="106" t="str">
        <f>IF('Run VRS'!BD41&lt;&gt;"",'Run VRS'!BD41,"")</f>
        <v/>
      </c>
      <c r="G41" s="106" t="str">
        <f>IF('Run VRS'!BE41&lt;&gt;"",'Run VRS'!BE41,"")</f>
        <v/>
      </c>
      <c r="H41" s="106" t="str">
        <f>IF('Run VRS'!BF41&lt;&gt;"",'Run VRS'!BF41,"")</f>
        <v/>
      </c>
      <c r="I41" s="106" t="str">
        <f>IF('Run VRS'!BG41&lt;&gt;"",'Run VRS'!BG41,"")</f>
        <v/>
      </c>
      <c r="J41" s="106">
        <f>IF('Run VRS'!BH41&lt;&gt;"",'Run VRS'!BH41,"")</f>
        <v>5.095792716866443</v>
      </c>
      <c r="K41" s="105">
        <f>IF('Run VRS'!BI41&lt;&gt;"",'Run VRS'!BI41,"")</f>
        <v>0</v>
      </c>
      <c r="L41" s="105" t="str">
        <f>IF('Run VRS'!BJ41&lt;&gt;"",'Run VRS'!BJ41,"")</f>
        <v/>
      </c>
      <c r="M41" s="105" t="str">
        <f>IF('Run VRS'!BK41&lt;&gt;"",'Run VRS'!BK41,"")</f>
        <v/>
      </c>
      <c r="N41" s="105" t="str">
        <f>IF('Run VRS'!BL41&lt;&gt;"",'Run VRS'!BL41,"")</f>
        <v/>
      </c>
      <c r="O41" s="105">
        <f>IF('Run VRS'!BM41&lt;&gt;"",'Run VRS'!BM41,"")</f>
        <v>0</v>
      </c>
      <c r="P41" s="106" t="str">
        <f>IF('Run VRS'!BN41&lt;&gt;"",'Run VRS'!BN41,"")</f>
        <v/>
      </c>
      <c r="Q41" s="106" t="str">
        <f>IF('Run VRS'!BO41&lt;&gt;"",'Run VRS'!BO41,"")</f>
        <v/>
      </c>
      <c r="R41" s="106" t="str">
        <f>IF('Run VRS'!BP41&lt;&gt;"",'Run VRS'!BP41,"")</f>
        <v/>
      </c>
      <c r="S41" s="106" t="str">
        <f>IF('Run VRS'!BQ41&lt;&gt;"",'Run VRS'!BQ41,"")</f>
        <v/>
      </c>
      <c r="T41" s="106">
        <f>IF('Run VRS'!BR41&lt;&gt;"",'Run VRS'!BR41,"")</f>
        <v>-4.4408920985006262E-15</v>
      </c>
      <c r="U41" s="105">
        <f>IF('Run VRS'!BS41&lt;&gt;"",'Run VRS'!BS41,"")</f>
        <v>0</v>
      </c>
      <c r="V41" s="105" t="str">
        <f>IF('Run VRS'!BT41&lt;&gt;"",'Run VRS'!BT41,"")</f>
        <v/>
      </c>
      <c r="W41" s="105" t="str">
        <f>IF('Run VRS'!BU41&lt;&gt;"",'Run VRS'!BU41,"")</f>
        <v/>
      </c>
      <c r="X41" s="107" t="str">
        <f>IF('Run VRS'!BV41&lt;&gt;"",'Run VRS'!BV41,"")</f>
        <v/>
      </c>
      <c r="Y41" s="114">
        <f>IF('Data input'!C41&lt;&gt;"",O41/'Data input'!C41*100%,"")</f>
        <v>0</v>
      </c>
      <c r="Z41" s="114" t="str">
        <f>IF('Data input'!D41&lt;&gt;"",P41/'Data input'!D41*100%,"")</f>
        <v/>
      </c>
      <c r="AA41" s="114" t="str">
        <f>IF('Data input'!E41&lt;&gt;"",Q41/'Data input'!E41*100%,"")</f>
        <v/>
      </c>
      <c r="AB41" s="114" t="str">
        <f>IF('Data input'!F41&lt;&gt;"",R41/'Data input'!F41*100%,"")</f>
        <v/>
      </c>
      <c r="AC41" s="114" t="str">
        <f>IF('Data input'!G41&lt;&gt;"",S41/'Data input'!G41*100%,"")</f>
        <v/>
      </c>
      <c r="AD41" s="114">
        <f>IF('Data input'!H41&lt;&gt;"",T41/'Data input'!H41*100%,"")</f>
        <v>-8.714820922369584E-16</v>
      </c>
      <c r="AE41" s="114" t="e">
        <f>IF('Data input'!I41&lt;&gt;"",U41/'Data input'!I41*100%,"")</f>
        <v>#DIV/0!</v>
      </c>
      <c r="AF41" s="114" t="str">
        <f>IF('Data input'!J41&lt;&gt;"",V41/'Data input'!J41*100%,"")</f>
        <v/>
      </c>
      <c r="AG41" s="114" t="str">
        <f>IF('Data input'!K41&lt;&gt;"",W41/'Data input'!K41*100%,"")</f>
        <v/>
      </c>
      <c r="AH41" s="115" t="str">
        <f>IF('Data input'!L41&lt;&gt;"",X41/'Data input'!L41*100%,"")</f>
        <v/>
      </c>
      <c r="AI41" s="114">
        <f>IF('Data input'!C41&lt;&gt;"",'Run VRS'!AH41/'Run VRS'!C41,"")</f>
        <v>0</v>
      </c>
      <c r="AJ41" s="114" t="str">
        <f>IF('Data input'!D41&lt;&gt;"",'Run VRS'!AI41/'Run VRS'!D41,"")</f>
        <v/>
      </c>
      <c r="AK41" s="114" t="str">
        <f>IF('Data input'!E41&lt;&gt;"",'Run VRS'!AJ41/'Run VRS'!E41,"")</f>
        <v/>
      </c>
      <c r="AL41" s="114" t="str">
        <f>IF('Data input'!F41&lt;&gt;"",'Run VRS'!AK41/'Run VRS'!F41,"")</f>
        <v/>
      </c>
      <c r="AM41" s="114" t="str">
        <f>IF('Data input'!G41&lt;&gt;"",'Run VRS'!AL41/'Run VRS'!G41,"")</f>
        <v/>
      </c>
      <c r="AN41" s="114">
        <f>IF('Data input'!H41&lt;&gt;"",'Run VRS'!AM41/'Run VRS'!H41,"")</f>
        <v>1.2011057175484915E-16</v>
      </c>
      <c r="AO41" s="114">
        <f>IF('Data input'!I41&lt;&gt;"",'Run VRS'!AN41/'Run VRS'!I41,"")</f>
        <v>0</v>
      </c>
      <c r="AP41" s="114" t="str">
        <f>IF('Data input'!J41&lt;&gt;"",'Run VRS'!AO41/'Run VRS'!J41,"")</f>
        <v/>
      </c>
      <c r="AQ41" s="114" t="str">
        <f>IF('Data input'!K41&lt;&gt;"",'Run VRS'!AP41/'Run VRS'!K41,"")</f>
        <v/>
      </c>
      <c r="AR41" s="115" t="str">
        <f>IF('Data input'!L41&lt;&gt;"",'Run VRS'!AQ41/'Run VRS'!L41,"")</f>
        <v/>
      </c>
    </row>
    <row r="42" spans="1:44" x14ac:dyDescent="0.35">
      <c r="A42" s="102">
        <f>IF('Run VRS'!AF42&lt;&gt;"",'Run VRS'!AF42,"")</f>
        <v>40</v>
      </c>
      <c r="B42" s="103" t="str">
        <f>IF('Run VRS'!AG42&lt;&gt;"",'Run VRS'!AG42,"")</f>
        <v>South Carolina</v>
      </c>
      <c r="C42" s="104">
        <f>IF('Run VRS'!AR42&lt;&gt;"",'Run VRS'!AR42,"")</f>
        <v>0.88258336023965334</v>
      </c>
      <c r="D42" s="104" t="str">
        <f>IF(ROUND(C42,3)=100%,"Optimal frontier",'Run VRS'!BW42)</f>
        <v xml:space="preserve">Kansas; New York; Texas; </v>
      </c>
      <c r="E42" s="105">
        <f>IF('Run VRS'!BC42&lt;&gt;"",'Run VRS'!BC42,"")</f>
        <v>0.9661128521129988</v>
      </c>
      <c r="F42" s="106" t="str">
        <f>IF('Run VRS'!BD42&lt;&gt;"",'Run VRS'!BD42,"")</f>
        <v/>
      </c>
      <c r="G42" s="106" t="str">
        <f>IF('Run VRS'!BE42&lt;&gt;"",'Run VRS'!BE42,"")</f>
        <v/>
      </c>
      <c r="H42" s="106" t="str">
        <f>IF('Run VRS'!BF42&lt;&gt;"",'Run VRS'!BF42,"")</f>
        <v/>
      </c>
      <c r="I42" s="106" t="str">
        <f>IF('Run VRS'!BG42&lt;&gt;"",'Run VRS'!BG42,"")</f>
        <v/>
      </c>
      <c r="J42" s="106">
        <f>IF('Run VRS'!BH42&lt;&gt;"",'Run VRS'!BH42,"")</f>
        <v>3.006150632446273</v>
      </c>
      <c r="K42" s="105">
        <f>IF('Run VRS'!BI42&lt;&gt;"",'Run VRS'!BI42,"")</f>
        <v>1.1209607616216577E-3</v>
      </c>
      <c r="L42" s="105" t="str">
        <f>IF('Run VRS'!BJ42&lt;&gt;"",'Run VRS'!BJ42,"")</f>
        <v/>
      </c>
      <c r="M42" s="105" t="str">
        <f>IF('Run VRS'!BK42&lt;&gt;"",'Run VRS'!BK42,"")</f>
        <v/>
      </c>
      <c r="N42" s="105" t="str">
        <f>IF('Run VRS'!BL42&lt;&gt;"",'Run VRS'!BL42,"")</f>
        <v/>
      </c>
      <c r="O42" s="105">
        <f>IF('Run VRS'!BM42&lt;&gt;"",'Run VRS'!BM42,"")</f>
        <v>0</v>
      </c>
      <c r="P42" s="106" t="str">
        <f>IF('Run VRS'!BN42&lt;&gt;"",'Run VRS'!BN42,"")</f>
        <v/>
      </c>
      <c r="Q42" s="106" t="str">
        <f>IF('Run VRS'!BO42&lt;&gt;"",'Run VRS'!BO42,"")</f>
        <v/>
      </c>
      <c r="R42" s="106" t="str">
        <f>IF('Run VRS'!BP42&lt;&gt;"",'Run VRS'!BP42,"")</f>
        <v/>
      </c>
      <c r="S42" s="106" t="str">
        <f>IF('Run VRS'!BQ42&lt;&gt;"",'Run VRS'!BQ42,"")</f>
        <v/>
      </c>
      <c r="T42" s="106">
        <f>IF('Run VRS'!BR42&lt;&gt;"",'Run VRS'!BR42,"")</f>
        <v>-4.4029558531835757</v>
      </c>
      <c r="U42" s="105">
        <f>IF('Run VRS'!BS42&lt;&gt;"",'Run VRS'!BS42,"")</f>
        <v>-4.0455145541073894E-3</v>
      </c>
      <c r="V42" s="105" t="str">
        <f>IF('Run VRS'!BT42&lt;&gt;"",'Run VRS'!BT42,"")</f>
        <v/>
      </c>
      <c r="W42" s="105" t="str">
        <f>IF('Run VRS'!BU42&lt;&gt;"",'Run VRS'!BU42,"")</f>
        <v/>
      </c>
      <c r="X42" s="107" t="str">
        <f>IF('Run VRS'!BV42&lt;&gt;"",'Run VRS'!BV42,"")</f>
        <v/>
      </c>
      <c r="Y42" s="114">
        <f>IF('Data input'!C42&lt;&gt;"",O42/'Data input'!C42*100%,"")</f>
        <v>0</v>
      </c>
      <c r="Z42" s="114" t="str">
        <f>IF('Data input'!D42&lt;&gt;"",P42/'Data input'!D42*100%,"")</f>
        <v/>
      </c>
      <c r="AA42" s="114" t="str">
        <f>IF('Data input'!E42&lt;&gt;"",Q42/'Data input'!E42*100%,"")</f>
        <v/>
      </c>
      <c r="AB42" s="114" t="str">
        <f>IF('Data input'!F42&lt;&gt;"",R42/'Data input'!F42*100%,"")</f>
        <v/>
      </c>
      <c r="AC42" s="114" t="str">
        <f>IF('Data input'!G42&lt;&gt;"",S42/'Data input'!G42*100%,"")</f>
        <v/>
      </c>
      <c r="AD42" s="114">
        <f>IF('Data input'!H42&lt;&gt;"",T42/'Data input'!H42*100%,"")</f>
        <v>-0.59426273083309322</v>
      </c>
      <c r="AE42" s="114">
        <f>IF('Data input'!I42&lt;&gt;"",U42/'Data input'!I42*100%,"")</f>
        <v>-0.78303181702834135</v>
      </c>
      <c r="AF42" s="114" t="str">
        <f>IF('Data input'!J42&lt;&gt;"",V42/'Data input'!J42*100%,"")</f>
        <v/>
      </c>
      <c r="AG42" s="114" t="str">
        <f>IF('Data input'!K42&lt;&gt;"",W42/'Data input'!K42*100%,"")</f>
        <v/>
      </c>
      <c r="AH42" s="115" t="str">
        <f>IF('Data input'!L42&lt;&gt;"",X42/'Data input'!L42*100%,"")</f>
        <v/>
      </c>
      <c r="AI42" s="114">
        <f>IF('Data input'!C42&lt;&gt;"",'Run VRS'!AH42/'Run VRS'!C42,"")</f>
        <v>0</v>
      </c>
      <c r="AJ42" s="114" t="str">
        <f>IF('Data input'!D42&lt;&gt;"",'Run VRS'!AI42/'Run VRS'!D42,"")</f>
        <v/>
      </c>
      <c r="AK42" s="114" t="str">
        <f>IF('Data input'!E42&lt;&gt;"",'Run VRS'!AJ42/'Run VRS'!E42,"")</f>
        <v/>
      </c>
      <c r="AL42" s="114" t="str">
        <f>IF('Data input'!F42&lt;&gt;"",'Run VRS'!AK42/'Run VRS'!F42,"")</f>
        <v/>
      </c>
      <c r="AM42" s="114" t="str">
        <f>IF('Data input'!G42&lt;&gt;"",'Run VRS'!AL42/'Run VRS'!G42,"")</f>
        <v/>
      </c>
      <c r="AN42" s="114">
        <f>IF('Data input'!H42&lt;&gt;"",'Run VRS'!AM42/'Run VRS'!H42,"")</f>
        <v>0.15239784686461236</v>
      </c>
      <c r="AO42" s="114">
        <f>IF('Data input'!I42&lt;&gt;"",'Run VRS'!AN42/'Run VRS'!I42,"")</f>
        <v>8.2435432656081664E-2</v>
      </c>
      <c r="AP42" s="114" t="str">
        <f>IF('Data input'!J42&lt;&gt;"",'Run VRS'!AO42/'Run VRS'!J42,"")</f>
        <v/>
      </c>
      <c r="AQ42" s="114" t="str">
        <f>IF('Data input'!K42&lt;&gt;"",'Run VRS'!AP42/'Run VRS'!K42,"")</f>
        <v/>
      </c>
      <c r="AR42" s="115" t="str">
        <f>IF('Data input'!L42&lt;&gt;"",'Run VRS'!AQ42/'Run VRS'!L42,"")</f>
        <v/>
      </c>
    </row>
    <row r="43" spans="1:44" x14ac:dyDescent="0.35">
      <c r="A43" s="102">
        <f>IF('Run VRS'!AF43&lt;&gt;"",'Run VRS'!AF43,"")</f>
        <v>41</v>
      </c>
      <c r="B43" s="103" t="str">
        <f>IF('Run VRS'!AG43&lt;&gt;"",'Run VRS'!AG43,"")</f>
        <v>South Dakota</v>
      </c>
      <c r="C43" s="104">
        <f>IF('Run VRS'!AR43&lt;&gt;"",'Run VRS'!AR43,"")</f>
        <v>0.37622913328756646</v>
      </c>
      <c r="D43" s="104" t="str">
        <f>IF(ROUND(C43,3)=100%,"Optimal frontier",'Run VRS'!BW43)</f>
        <v xml:space="preserve">Kansas; Louisiana; West Virginia; </v>
      </c>
      <c r="E43" s="105">
        <f>IF('Run VRS'!BC43&lt;&gt;"",'Run VRS'!BC43,"")</f>
        <v>0.97270012445617193</v>
      </c>
      <c r="F43" s="106" t="str">
        <f>IF('Run VRS'!BD43&lt;&gt;"",'Run VRS'!BD43,"")</f>
        <v/>
      </c>
      <c r="G43" s="106" t="str">
        <f>IF('Run VRS'!BE43&lt;&gt;"",'Run VRS'!BE43,"")</f>
        <v/>
      </c>
      <c r="H43" s="106" t="str">
        <f>IF('Run VRS'!BF43&lt;&gt;"",'Run VRS'!BF43,"")</f>
        <v/>
      </c>
      <c r="I43" s="106" t="str">
        <f>IF('Run VRS'!BG43&lt;&gt;"",'Run VRS'!BG43,"")</f>
        <v/>
      </c>
      <c r="J43" s="106">
        <f>IF('Run VRS'!BH43&lt;&gt;"",'Run VRS'!BH43,"")</f>
        <v>3.5099462197573872</v>
      </c>
      <c r="K43" s="105">
        <f>IF('Run VRS'!BI43&lt;&gt;"",'Run VRS'!BI43,"")</f>
        <v>1.9636832657083268E-3</v>
      </c>
      <c r="L43" s="105" t="str">
        <f>IF('Run VRS'!BJ43&lt;&gt;"",'Run VRS'!BJ43,"")</f>
        <v/>
      </c>
      <c r="M43" s="105" t="str">
        <f>IF('Run VRS'!BK43&lt;&gt;"",'Run VRS'!BK43,"")</f>
        <v/>
      </c>
      <c r="N43" s="105" t="str">
        <f>IF('Run VRS'!BL43&lt;&gt;"",'Run VRS'!BL43,"")</f>
        <v/>
      </c>
      <c r="O43" s="105">
        <f>IF('Run VRS'!BM43&lt;&gt;"",'Run VRS'!BM43,"")</f>
        <v>0</v>
      </c>
      <c r="P43" s="106" t="str">
        <f>IF('Run VRS'!BN43&lt;&gt;"",'Run VRS'!BN43,"")</f>
        <v/>
      </c>
      <c r="Q43" s="106" t="str">
        <f>IF('Run VRS'!BO43&lt;&gt;"",'Run VRS'!BO43,"")</f>
        <v/>
      </c>
      <c r="R43" s="106" t="str">
        <f>IF('Run VRS'!BP43&lt;&gt;"",'Run VRS'!BP43,"")</f>
        <v/>
      </c>
      <c r="S43" s="106" t="str">
        <f>IF('Run VRS'!BQ43&lt;&gt;"",'Run VRS'!BQ43,"")</f>
        <v/>
      </c>
      <c r="T43" s="106">
        <f>IF('Run VRS'!BR43&lt;&gt;"",'Run VRS'!BR43,"")</f>
        <v>-47.843235720402774</v>
      </c>
      <c r="U43" s="105">
        <f>IF('Run VRS'!BS43&lt;&gt;"",'Run VRS'!BS43,"")</f>
        <v>-6.6195014597974278E-2</v>
      </c>
      <c r="V43" s="105" t="str">
        <f>IF('Run VRS'!BT43&lt;&gt;"",'Run VRS'!BT43,"")</f>
        <v/>
      </c>
      <c r="W43" s="105" t="str">
        <f>IF('Run VRS'!BU43&lt;&gt;"",'Run VRS'!BU43,"")</f>
        <v/>
      </c>
      <c r="X43" s="107" t="str">
        <f>IF('Run VRS'!BV43&lt;&gt;"",'Run VRS'!BV43,"")</f>
        <v/>
      </c>
      <c r="Y43" s="114">
        <f>IF('Data input'!C43&lt;&gt;"",O43/'Data input'!C43*100%,"")</f>
        <v>0</v>
      </c>
      <c r="Z43" s="114" t="str">
        <f>IF('Data input'!D43&lt;&gt;"",P43/'Data input'!D43*100%,"")</f>
        <v/>
      </c>
      <c r="AA43" s="114" t="str">
        <f>IF('Data input'!E43&lt;&gt;"",Q43/'Data input'!E43*100%,"")</f>
        <v/>
      </c>
      <c r="AB43" s="114" t="str">
        <f>IF('Data input'!F43&lt;&gt;"",R43/'Data input'!F43*100%,"")</f>
        <v/>
      </c>
      <c r="AC43" s="114" t="str">
        <f>IF('Data input'!G43&lt;&gt;"",S43/'Data input'!G43*100%,"")</f>
        <v/>
      </c>
      <c r="AD43" s="114">
        <f>IF('Data input'!H43&lt;&gt;"",T43/'Data input'!H43*100%,"")</f>
        <v>-0.93165085225201061</v>
      </c>
      <c r="AE43" s="114">
        <f>IF('Data input'!I43&lt;&gt;"",U43/'Data input'!I43*100%,"")</f>
        <v>-0.97118954253445844</v>
      </c>
      <c r="AF43" s="114" t="str">
        <f>IF('Data input'!J43&lt;&gt;"",V43/'Data input'!J43*100%,"")</f>
        <v/>
      </c>
      <c r="AG43" s="114" t="str">
        <f>IF('Data input'!K43&lt;&gt;"",W43/'Data input'!K43*100%,"")</f>
        <v/>
      </c>
      <c r="AH43" s="115" t="str">
        <f>IF('Data input'!L43&lt;&gt;"",X43/'Data input'!L43*100%,"")</f>
        <v/>
      </c>
      <c r="AI43" s="114">
        <f>IF('Data input'!C43&lt;&gt;"",'Run VRS'!AH43/'Run VRS'!C43,"")</f>
        <v>0</v>
      </c>
      <c r="AJ43" s="114" t="str">
        <f>IF('Data input'!D43&lt;&gt;"",'Run VRS'!AI43/'Run VRS'!D43,"")</f>
        <v/>
      </c>
      <c r="AK43" s="114" t="str">
        <f>IF('Data input'!E43&lt;&gt;"",'Run VRS'!AJ43/'Run VRS'!E43,"")</f>
        <v/>
      </c>
      <c r="AL43" s="114" t="str">
        <f>IF('Data input'!F43&lt;&gt;"",'Run VRS'!AK43/'Run VRS'!F43,"")</f>
        <v/>
      </c>
      <c r="AM43" s="114" t="str">
        <f>IF('Data input'!G43&lt;&gt;"",'Run VRS'!AL43/'Run VRS'!G43,"")</f>
        <v/>
      </c>
      <c r="AN43" s="114">
        <f>IF('Data input'!H43&lt;&gt;"",'Run VRS'!AM43/'Run VRS'!H43,"")</f>
        <v>0.65686906456895855</v>
      </c>
      <c r="AO43" s="114">
        <f>IF('Data input'!I43&lt;&gt;"",'Run VRS'!AN43/'Run VRS'!I43,"")</f>
        <v>0.59067266885590852</v>
      </c>
      <c r="AP43" s="114" t="str">
        <f>IF('Data input'!J43&lt;&gt;"",'Run VRS'!AO43/'Run VRS'!J43,"")</f>
        <v/>
      </c>
      <c r="AQ43" s="114" t="str">
        <f>IF('Data input'!K43&lt;&gt;"",'Run VRS'!AP43/'Run VRS'!K43,"")</f>
        <v/>
      </c>
      <c r="AR43" s="115" t="str">
        <f>IF('Data input'!L43&lt;&gt;"",'Run VRS'!AQ43/'Run VRS'!L43,"")</f>
        <v/>
      </c>
    </row>
    <row r="44" spans="1:44" x14ac:dyDescent="0.35">
      <c r="A44" s="102">
        <f>IF('Run VRS'!AF44&lt;&gt;"",'Run VRS'!AF44,"")</f>
        <v>42</v>
      </c>
      <c r="B44" s="103" t="str">
        <f>IF('Run VRS'!AG44&lt;&gt;"",'Run VRS'!AG44,"")</f>
        <v>Tennessee</v>
      </c>
      <c r="C44" s="104">
        <f>IF('Run VRS'!AR44&lt;&gt;"",'Run VRS'!AR44,"")</f>
        <v>0.98312410843851361</v>
      </c>
      <c r="D44" s="104" t="str">
        <f>IF(ROUND(C44,3)=100%,"Optimal frontier",'Run VRS'!BW44)</f>
        <v xml:space="preserve">California; Louisiana; Texas; </v>
      </c>
      <c r="E44" s="105">
        <f>IF('Run VRS'!BC44&lt;&gt;"",'Run VRS'!BC44,"")</f>
        <v>0.95396042082219767</v>
      </c>
      <c r="F44" s="106" t="str">
        <f>IF('Run VRS'!BD44&lt;&gt;"",'Run VRS'!BD44,"")</f>
        <v/>
      </c>
      <c r="G44" s="106" t="str">
        <f>IF('Run VRS'!BE44&lt;&gt;"",'Run VRS'!BE44,"")</f>
        <v/>
      </c>
      <c r="H44" s="106" t="str">
        <f>IF('Run VRS'!BF44&lt;&gt;"",'Run VRS'!BF44,"")</f>
        <v/>
      </c>
      <c r="I44" s="106" t="str">
        <f>IF('Run VRS'!BG44&lt;&gt;"",'Run VRS'!BG44,"")</f>
        <v/>
      </c>
      <c r="J44" s="106">
        <f>IF('Run VRS'!BH44&lt;&gt;"",'Run VRS'!BH44,"")</f>
        <v>1.5568408825927558</v>
      </c>
      <c r="K44" s="105">
        <f>IF('Run VRS'!BI44&lt;&gt;"",'Run VRS'!BI44,"")</f>
        <v>7.7222151911062645E-2</v>
      </c>
      <c r="L44" s="105" t="str">
        <f>IF('Run VRS'!BJ44&lt;&gt;"",'Run VRS'!BJ44,"")</f>
        <v/>
      </c>
      <c r="M44" s="105" t="str">
        <f>IF('Run VRS'!BK44&lt;&gt;"",'Run VRS'!BK44,"")</f>
        <v/>
      </c>
      <c r="N44" s="105" t="str">
        <f>IF('Run VRS'!BL44&lt;&gt;"",'Run VRS'!BL44,"")</f>
        <v/>
      </c>
      <c r="O44" s="105">
        <f>IF('Run VRS'!BM44&lt;&gt;"",'Run VRS'!BM44,"")</f>
        <v>0</v>
      </c>
      <c r="P44" s="106" t="str">
        <f>IF('Run VRS'!BN44&lt;&gt;"",'Run VRS'!BN44,"")</f>
        <v/>
      </c>
      <c r="Q44" s="106" t="str">
        <f>IF('Run VRS'!BO44&lt;&gt;"",'Run VRS'!BO44,"")</f>
        <v/>
      </c>
      <c r="R44" s="106" t="str">
        <f>IF('Run VRS'!BP44&lt;&gt;"",'Run VRS'!BP44,"")</f>
        <v/>
      </c>
      <c r="S44" s="106" t="str">
        <f>IF('Run VRS'!BQ44&lt;&gt;"",'Run VRS'!BQ44,"")</f>
        <v/>
      </c>
      <c r="T44" s="106">
        <f>IF('Run VRS'!BR44&lt;&gt;"",'Run VRS'!BR44,"")</f>
        <v>1.1102230246251565E-15</v>
      </c>
      <c r="U44" s="105">
        <f>IF('Run VRS'!BS44&lt;&gt;"",'Run VRS'!BS44,"")</f>
        <v>-4.2311845885811411E-3</v>
      </c>
      <c r="V44" s="105" t="str">
        <f>IF('Run VRS'!BT44&lt;&gt;"",'Run VRS'!BT44,"")</f>
        <v/>
      </c>
      <c r="W44" s="105" t="str">
        <f>IF('Run VRS'!BU44&lt;&gt;"",'Run VRS'!BU44,"")</f>
        <v/>
      </c>
      <c r="X44" s="107" t="str">
        <f>IF('Run VRS'!BV44&lt;&gt;"",'Run VRS'!BV44,"")</f>
        <v/>
      </c>
      <c r="Y44" s="114">
        <f>IF('Data input'!C44&lt;&gt;"",O44/'Data input'!C44*100%,"")</f>
        <v>0</v>
      </c>
      <c r="Z44" s="114" t="str">
        <f>IF('Data input'!D44&lt;&gt;"",P44/'Data input'!D44*100%,"")</f>
        <v/>
      </c>
      <c r="AA44" s="114" t="str">
        <f>IF('Data input'!E44&lt;&gt;"",Q44/'Data input'!E44*100%,"")</f>
        <v/>
      </c>
      <c r="AB44" s="114" t="str">
        <f>IF('Data input'!F44&lt;&gt;"",R44/'Data input'!F44*100%,"")</f>
        <v/>
      </c>
      <c r="AC44" s="114" t="str">
        <f>IF('Data input'!G44&lt;&gt;"",S44/'Data input'!G44*100%,"")</f>
        <v/>
      </c>
      <c r="AD44" s="114">
        <f>IF('Data input'!H44&lt;&gt;"",T44/'Data input'!H44*100%,"")</f>
        <v>7.1312555896926145E-16</v>
      </c>
      <c r="AE44" s="114">
        <f>IF('Data input'!I44&lt;&gt;"",U44/'Data input'!I44*100%,"")</f>
        <v>-5.1946117500044277E-2</v>
      </c>
      <c r="AF44" s="114" t="str">
        <f>IF('Data input'!J44&lt;&gt;"",V44/'Data input'!J44*100%,"")</f>
        <v/>
      </c>
      <c r="AG44" s="114" t="str">
        <f>IF('Data input'!K44&lt;&gt;"",W44/'Data input'!K44*100%,"")</f>
        <v/>
      </c>
      <c r="AH44" s="115" t="str">
        <f>IF('Data input'!L44&lt;&gt;"",X44/'Data input'!L44*100%,"")</f>
        <v/>
      </c>
      <c r="AI44" s="114">
        <f>IF('Data input'!C44&lt;&gt;"",'Run VRS'!AH44/'Run VRS'!C44,"")</f>
        <v>0</v>
      </c>
      <c r="AJ44" s="114" t="str">
        <f>IF('Data input'!D44&lt;&gt;"",'Run VRS'!AI44/'Run VRS'!D44,"")</f>
        <v/>
      </c>
      <c r="AK44" s="114" t="str">
        <f>IF('Data input'!E44&lt;&gt;"",'Run VRS'!AJ44/'Run VRS'!E44,"")</f>
        <v/>
      </c>
      <c r="AL44" s="114" t="str">
        <f>IF('Data input'!F44&lt;&gt;"",'Run VRS'!AK44/'Run VRS'!F44,"")</f>
        <v/>
      </c>
      <c r="AM44" s="114" t="str">
        <f>IF('Data input'!G44&lt;&gt;"",'Run VRS'!AL44/'Run VRS'!G44,"")</f>
        <v/>
      </c>
      <c r="AN44" s="114">
        <f>IF('Data input'!H44&lt;&gt;"",'Run VRS'!AM44/'Run VRS'!H44,"")</f>
        <v>0</v>
      </c>
      <c r="AO44" s="114">
        <f>IF('Data input'!I44&lt;&gt;"",'Run VRS'!AN44/'Run VRS'!I44,"")</f>
        <v>3.375178312297282E-2</v>
      </c>
      <c r="AP44" s="114" t="str">
        <f>IF('Data input'!J44&lt;&gt;"",'Run VRS'!AO44/'Run VRS'!J44,"")</f>
        <v/>
      </c>
      <c r="AQ44" s="114" t="str">
        <f>IF('Data input'!K44&lt;&gt;"",'Run VRS'!AP44/'Run VRS'!K44,"")</f>
        <v/>
      </c>
      <c r="AR44" s="115" t="str">
        <f>IF('Data input'!L44&lt;&gt;"",'Run VRS'!AQ44/'Run VRS'!L44,"")</f>
        <v/>
      </c>
    </row>
    <row r="45" spans="1:44" x14ac:dyDescent="0.35">
      <c r="A45" s="102">
        <f>IF('Run VRS'!AF45&lt;&gt;"",'Run VRS'!AF45,"")</f>
        <v>43</v>
      </c>
      <c r="B45" s="103" t="str">
        <f>IF('Run VRS'!AG45&lt;&gt;"",'Run VRS'!AG45,"")</f>
        <v>Texas</v>
      </c>
      <c r="C45" s="104">
        <f>IF('Run VRS'!AR45&lt;&gt;"",'Run VRS'!AR45,"")</f>
        <v>1</v>
      </c>
      <c r="D45" s="104" t="str">
        <f>IF(ROUND(C45,3)=100%,"Optimal frontier",'Run VRS'!BW45)</f>
        <v>Optimal frontier</v>
      </c>
      <c r="E45" s="105">
        <f>IF('Run VRS'!BC45&lt;&gt;"",'Run VRS'!BC45,"")</f>
        <v>0.98965422563276984</v>
      </c>
      <c r="F45" s="106" t="str">
        <f>IF('Run VRS'!BD45&lt;&gt;"",'Run VRS'!BD45,"")</f>
        <v/>
      </c>
      <c r="G45" s="106" t="str">
        <f>IF('Run VRS'!BE45&lt;&gt;"",'Run VRS'!BE45,"")</f>
        <v/>
      </c>
      <c r="H45" s="106" t="str">
        <f>IF('Run VRS'!BF45&lt;&gt;"",'Run VRS'!BF45,"")</f>
        <v/>
      </c>
      <c r="I45" s="106" t="str">
        <f>IF('Run VRS'!BG45&lt;&gt;"",'Run VRS'!BG45,"")</f>
        <v/>
      </c>
      <c r="J45" s="106">
        <f>IF('Run VRS'!BH45&lt;&gt;"",'Run VRS'!BH45,"")</f>
        <v>0.29574268608402715</v>
      </c>
      <c r="K45" s="105">
        <f>IF('Run VRS'!BI45&lt;&gt;"",'Run VRS'!BI45,"")</f>
        <v>1.1485914641518515E-3</v>
      </c>
      <c r="L45" s="105" t="str">
        <f>IF('Run VRS'!BJ45&lt;&gt;"",'Run VRS'!BJ45,"")</f>
        <v/>
      </c>
      <c r="M45" s="105" t="str">
        <f>IF('Run VRS'!BK45&lt;&gt;"",'Run VRS'!BK45,"")</f>
        <v/>
      </c>
      <c r="N45" s="105" t="str">
        <f>IF('Run VRS'!BL45&lt;&gt;"",'Run VRS'!BL45,"")</f>
        <v/>
      </c>
      <c r="O45" s="105">
        <f>IF('Run VRS'!BM45&lt;&gt;"",'Run VRS'!BM45,"")</f>
        <v>0</v>
      </c>
      <c r="P45" s="106" t="str">
        <f>IF('Run VRS'!BN45&lt;&gt;"",'Run VRS'!BN45,"")</f>
        <v/>
      </c>
      <c r="Q45" s="106" t="str">
        <f>IF('Run VRS'!BO45&lt;&gt;"",'Run VRS'!BO45,"")</f>
        <v/>
      </c>
      <c r="R45" s="106" t="str">
        <f>IF('Run VRS'!BP45&lt;&gt;"",'Run VRS'!BP45,"")</f>
        <v/>
      </c>
      <c r="S45" s="106" t="str">
        <f>IF('Run VRS'!BQ45&lt;&gt;"",'Run VRS'!BQ45,"")</f>
        <v/>
      </c>
      <c r="T45" s="106">
        <f>IF('Run VRS'!BR45&lt;&gt;"",'Run VRS'!BR45,"")</f>
        <v>0</v>
      </c>
      <c r="U45" s="105">
        <f>IF('Run VRS'!BS45&lt;&gt;"",'Run VRS'!BS45,"")</f>
        <v>-4.3368086899420177E-18</v>
      </c>
      <c r="V45" s="105" t="str">
        <f>IF('Run VRS'!BT45&lt;&gt;"",'Run VRS'!BT45,"")</f>
        <v/>
      </c>
      <c r="W45" s="105" t="str">
        <f>IF('Run VRS'!BU45&lt;&gt;"",'Run VRS'!BU45,"")</f>
        <v/>
      </c>
      <c r="X45" s="107" t="str">
        <f>IF('Run VRS'!BV45&lt;&gt;"",'Run VRS'!BV45,"")</f>
        <v/>
      </c>
      <c r="Y45" s="114">
        <f>IF('Data input'!C45&lt;&gt;"",O45/'Data input'!C45*100%,"")</f>
        <v>0</v>
      </c>
      <c r="Z45" s="114" t="str">
        <f>IF('Data input'!D45&lt;&gt;"",P45/'Data input'!D45*100%,"")</f>
        <v/>
      </c>
      <c r="AA45" s="114" t="str">
        <f>IF('Data input'!E45&lt;&gt;"",Q45/'Data input'!E45*100%,"")</f>
        <v/>
      </c>
      <c r="AB45" s="114" t="str">
        <f>IF('Data input'!F45&lt;&gt;"",R45/'Data input'!F45*100%,"")</f>
        <v/>
      </c>
      <c r="AC45" s="114" t="str">
        <f>IF('Data input'!G45&lt;&gt;"",S45/'Data input'!G45*100%,"")</f>
        <v/>
      </c>
      <c r="AD45" s="114">
        <f>IF('Data input'!H45&lt;&gt;"",T45/'Data input'!H45*100%,"")</f>
        <v>0</v>
      </c>
      <c r="AE45" s="114">
        <f>IF('Data input'!I45&lt;&gt;"",U45/'Data input'!I45*100%,"")</f>
        <v>-3.7757625973168876E-15</v>
      </c>
      <c r="AF45" s="114" t="str">
        <f>IF('Data input'!J45&lt;&gt;"",V45/'Data input'!J45*100%,"")</f>
        <v/>
      </c>
      <c r="AG45" s="114" t="str">
        <f>IF('Data input'!K45&lt;&gt;"",W45/'Data input'!K45*100%,"")</f>
        <v/>
      </c>
      <c r="AH45" s="115" t="str">
        <f>IF('Data input'!L45&lt;&gt;"",X45/'Data input'!L45*100%,"")</f>
        <v/>
      </c>
      <c r="AI45" s="114">
        <f>IF('Data input'!C45&lt;&gt;"",'Run VRS'!AH45/'Run VRS'!C45,"")</f>
        <v>0</v>
      </c>
      <c r="AJ45" s="114" t="str">
        <f>IF('Data input'!D45&lt;&gt;"",'Run VRS'!AI45/'Run VRS'!D45,"")</f>
        <v/>
      </c>
      <c r="AK45" s="114" t="str">
        <f>IF('Data input'!E45&lt;&gt;"",'Run VRS'!AJ45/'Run VRS'!E45,"")</f>
        <v/>
      </c>
      <c r="AL45" s="114" t="str">
        <f>IF('Data input'!F45&lt;&gt;"",'Run VRS'!AK45/'Run VRS'!F45,"")</f>
        <v/>
      </c>
      <c r="AM45" s="114" t="str">
        <f>IF('Data input'!G45&lt;&gt;"",'Run VRS'!AL45/'Run VRS'!G45,"")</f>
        <v/>
      </c>
      <c r="AN45" s="114">
        <f>IF('Data input'!H45&lt;&gt;"",'Run VRS'!AM45/'Run VRS'!H45,"")</f>
        <v>0</v>
      </c>
      <c r="AO45" s="114">
        <f>IF('Data input'!I45&lt;&gt;"",'Run VRS'!AN45/'Run VRS'!I45,"")</f>
        <v>0</v>
      </c>
      <c r="AP45" s="114" t="str">
        <f>IF('Data input'!J45&lt;&gt;"",'Run VRS'!AO45/'Run VRS'!J45,"")</f>
        <v/>
      </c>
      <c r="AQ45" s="114" t="str">
        <f>IF('Data input'!K45&lt;&gt;"",'Run VRS'!AP45/'Run VRS'!K45,"")</f>
        <v/>
      </c>
      <c r="AR45" s="115" t="str">
        <f>IF('Data input'!L45&lt;&gt;"",'Run VRS'!AQ45/'Run VRS'!L45,"")</f>
        <v/>
      </c>
    </row>
    <row r="46" spans="1:44" x14ac:dyDescent="0.35">
      <c r="A46" s="102">
        <f>IF('Run VRS'!AF46&lt;&gt;"",'Run VRS'!AF46,"")</f>
        <v>44</v>
      </c>
      <c r="B46" s="103" t="str">
        <f>IF('Run VRS'!AG46&lt;&gt;"",'Run VRS'!AG46,"")</f>
        <v>Utah</v>
      </c>
      <c r="C46" s="104">
        <f>IF('Run VRS'!AR46&lt;&gt;"",'Run VRS'!AR46,"")</f>
        <v>0.99999999999999989</v>
      </c>
      <c r="D46" s="104" t="str">
        <f>IF(ROUND(C46,3)=100%,"Optimal frontier",'Run VRS'!BW46)</f>
        <v>Optimal frontier</v>
      </c>
      <c r="E46" s="105">
        <f>IF('Run VRS'!BC46&lt;&gt;"",'Run VRS'!BC46,"")</f>
        <v>0.99629268099502244</v>
      </c>
      <c r="F46" s="106" t="str">
        <f>IF('Run VRS'!BD46&lt;&gt;"",'Run VRS'!BD46,"")</f>
        <v/>
      </c>
      <c r="G46" s="106" t="str">
        <f>IF('Run VRS'!BE46&lt;&gt;"",'Run VRS'!BE46,"")</f>
        <v/>
      </c>
      <c r="H46" s="106" t="str">
        <f>IF('Run VRS'!BF46&lt;&gt;"",'Run VRS'!BF46,"")</f>
        <v/>
      </c>
      <c r="I46" s="106" t="str">
        <f>IF('Run VRS'!BG46&lt;&gt;"",'Run VRS'!BG46,"")</f>
        <v/>
      </c>
      <c r="J46" s="106">
        <f>IF('Run VRS'!BH46&lt;&gt;"",'Run VRS'!BH46,"")</f>
        <v>1.8883174631545339</v>
      </c>
      <c r="K46" s="105">
        <f>IF('Run VRS'!BI46&lt;&gt;"",'Run VRS'!BI46,"")</f>
        <v>3.9502560351133871E-2</v>
      </c>
      <c r="L46" s="105" t="str">
        <f>IF('Run VRS'!BJ46&lt;&gt;"",'Run VRS'!BJ46,"")</f>
        <v/>
      </c>
      <c r="M46" s="105" t="str">
        <f>IF('Run VRS'!BK46&lt;&gt;"",'Run VRS'!BK46,"")</f>
        <v/>
      </c>
      <c r="N46" s="105" t="str">
        <f>IF('Run VRS'!BL46&lt;&gt;"",'Run VRS'!BL46,"")</f>
        <v/>
      </c>
      <c r="O46" s="105">
        <f>IF('Run VRS'!BM46&lt;&gt;"",'Run VRS'!BM46,"")</f>
        <v>0</v>
      </c>
      <c r="P46" s="106" t="str">
        <f>IF('Run VRS'!BN46&lt;&gt;"",'Run VRS'!BN46,"")</f>
        <v/>
      </c>
      <c r="Q46" s="106" t="str">
        <f>IF('Run VRS'!BO46&lt;&gt;"",'Run VRS'!BO46,"")</f>
        <v/>
      </c>
      <c r="R46" s="106" t="str">
        <f>IF('Run VRS'!BP46&lt;&gt;"",'Run VRS'!BP46,"")</f>
        <v/>
      </c>
      <c r="S46" s="106" t="str">
        <f>IF('Run VRS'!BQ46&lt;&gt;"",'Run VRS'!BQ46,"")</f>
        <v/>
      </c>
      <c r="T46" s="106">
        <f>IF('Run VRS'!BR46&lt;&gt;"",'Run VRS'!BR46,"")</f>
        <v>1.7763568394002505E-15</v>
      </c>
      <c r="U46" s="105">
        <f>IF('Run VRS'!BS46&lt;&gt;"",'Run VRS'!BS46,"")</f>
        <v>0</v>
      </c>
      <c r="V46" s="105" t="str">
        <f>IF('Run VRS'!BT46&lt;&gt;"",'Run VRS'!BT46,"")</f>
        <v/>
      </c>
      <c r="W46" s="105" t="str">
        <f>IF('Run VRS'!BU46&lt;&gt;"",'Run VRS'!BU46,"")</f>
        <v/>
      </c>
      <c r="X46" s="107" t="str">
        <f>IF('Run VRS'!BV46&lt;&gt;"",'Run VRS'!BV46,"")</f>
        <v/>
      </c>
      <c r="Y46" s="114">
        <f>IF('Data input'!C46&lt;&gt;"",O46/'Data input'!C46*100%,"")</f>
        <v>0</v>
      </c>
      <c r="Z46" s="114" t="str">
        <f>IF('Data input'!D46&lt;&gt;"",P46/'Data input'!D46*100%,"")</f>
        <v/>
      </c>
      <c r="AA46" s="114" t="str">
        <f>IF('Data input'!E46&lt;&gt;"",Q46/'Data input'!E46*100%,"")</f>
        <v/>
      </c>
      <c r="AB46" s="114" t="str">
        <f>IF('Data input'!F46&lt;&gt;"",R46/'Data input'!F46*100%,"")</f>
        <v/>
      </c>
      <c r="AC46" s="114" t="str">
        <f>IF('Data input'!G46&lt;&gt;"",S46/'Data input'!G46*100%,"")</f>
        <v/>
      </c>
      <c r="AD46" s="114">
        <f>IF('Data input'!H46&lt;&gt;"",T46/'Data input'!H46*100%,"")</f>
        <v>9.4070879185365064E-16</v>
      </c>
      <c r="AE46" s="114">
        <f>IF('Data input'!I46&lt;&gt;"",U46/'Data input'!I46*100%,"")</f>
        <v>0</v>
      </c>
      <c r="AF46" s="114" t="str">
        <f>IF('Data input'!J46&lt;&gt;"",V46/'Data input'!J46*100%,"")</f>
        <v/>
      </c>
      <c r="AG46" s="114" t="str">
        <f>IF('Data input'!K46&lt;&gt;"",W46/'Data input'!K46*100%,"")</f>
        <v/>
      </c>
      <c r="AH46" s="115" t="str">
        <f>IF('Data input'!L46&lt;&gt;"",X46/'Data input'!L46*100%,"")</f>
        <v/>
      </c>
      <c r="AI46" s="114">
        <f>IF('Data input'!C46&lt;&gt;"",'Run VRS'!AH46/'Run VRS'!C46,"")</f>
        <v>0</v>
      </c>
      <c r="AJ46" s="114" t="str">
        <f>IF('Data input'!D46&lt;&gt;"",'Run VRS'!AI46/'Run VRS'!D46,"")</f>
        <v/>
      </c>
      <c r="AK46" s="114" t="str">
        <f>IF('Data input'!E46&lt;&gt;"",'Run VRS'!AJ46/'Run VRS'!E46,"")</f>
        <v/>
      </c>
      <c r="AL46" s="114" t="str">
        <f>IF('Data input'!F46&lt;&gt;"",'Run VRS'!AK46/'Run VRS'!F46,"")</f>
        <v/>
      </c>
      <c r="AM46" s="114" t="str">
        <f>IF('Data input'!G46&lt;&gt;"",'Run VRS'!AL46/'Run VRS'!G46,"")</f>
        <v/>
      </c>
      <c r="AN46" s="114">
        <f>IF('Data input'!H46&lt;&gt;"",'Run VRS'!AM46/'Run VRS'!H46,"")</f>
        <v>0</v>
      </c>
      <c r="AO46" s="114">
        <f>IF('Data input'!I46&lt;&gt;"",'Run VRS'!AN46/'Run VRS'!I46,"")</f>
        <v>0</v>
      </c>
      <c r="AP46" s="114" t="str">
        <f>IF('Data input'!J46&lt;&gt;"",'Run VRS'!AO46/'Run VRS'!J46,"")</f>
        <v/>
      </c>
      <c r="AQ46" s="114" t="str">
        <f>IF('Data input'!K46&lt;&gt;"",'Run VRS'!AP46/'Run VRS'!K46,"")</f>
        <v/>
      </c>
      <c r="AR46" s="115" t="str">
        <f>IF('Data input'!L46&lt;&gt;"",'Run VRS'!AQ46/'Run VRS'!L46,"")</f>
        <v/>
      </c>
    </row>
    <row r="47" spans="1:44" x14ac:dyDescent="0.35">
      <c r="A47" s="102">
        <f>IF('Run VRS'!AF47&lt;&gt;"",'Run VRS'!AF47,"")</f>
        <v>45</v>
      </c>
      <c r="B47" s="103" t="str">
        <f>IF('Run VRS'!AG47&lt;&gt;"",'Run VRS'!AG47,"")</f>
        <v>Vermont</v>
      </c>
      <c r="C47" s="104">
        <f>IF('Run VRS'!AR47&lt;&gt;"",'Run VRS'!AR47,"")</f>
        <v>0.87347280353139622</v>
      </c>
      <c r="D47" s="104" t="str">
        <f>IF(ROUND(C47,3)=100%,"Optimal frontier",'Run VRS'!BW47)</f>
        <v xml:space="preserve">Kentucky; North Dakota; </v>
      </c>
      <c r="E47" s="105">
        <f>IF('Run VRS'!BC47&lt;&gt;"",'Run VRS'!BC47,"")</f>
        <v>0.96610327193725531</v>
      </c>
      <c r="F47" s="106" t="str">
        <f>IF('Run VRS'!BD47&lt;&gt;"",'Run VRS'!BD47,"")</f>
        <v/>
      </c>
      <c r="G47" s="106" t="str">
        <f>IF('Run VRS'!BE47&lt;&gt;"",'Run VRS'!BE47,"")</f>
        <v/>
      </c>
      <c r="H47" s="106" t="str">
        <f>IF('Run VRS'!BF47&lt;&gt;"",'Run VRS'!BF47,"")</f>
        <v/>
      </c>
      <c r="I47" s="106" t="str">
        <f>IF('Run VRS'!BG47&lt;&gt;"",'Run VRS'!BG47,"")</f>
        <v/>
      </c>
      <c r="J47" s="106">
        <f>IF('Run VRS'!BH47&lt;&gt;"",'Run VRS'!BH47,"")</f>
        <v>9.5679410000122029</v>
      </c>
      <c r="K47" s="105">
        <f>IF('Run VRS'!BI47&lt;&gt;"",'Run VRS'!BI47,"")</f>
        <v>0</v>
      </c>
      <c r="L47" s="105" t="str">
        <f>IF('Run VRS'!BJ47&lt;&gt;"",'Run VRS'!BJ47,"")</f>
        <v/>
      </c>
      <c r="M47" s="105" t="str">
        <f>IF('Run VRS'!BK47&lt;&gt;"",'Run VRS'!BK47,"")</f>
        <v/>
      </c>
      <c r="N47" s="105" t="str">
        <f>IF('Run VRS'!BL47&lt;&gt;"",'Run VRS'!BL47,"")</f>
        <v/>
      </c>
      <c r="O47" s="105">
        <f>IF('Run VRS'!BM47&lt;&gt;"",'Run VRS'!BM47,"")</f>
        <v>0</v>
      </c>
      <c r="P47" s="106" t="str">
        <f>IF('Run VRS'!BN47&lt;&gt;"",'Run VRS'!BN47,"")</f>
        <v/>
      </c>
      <c r="Q47" s="106" t="str">
        <f>IF('Run VRS'!BO47&lt;&gt;"",'Run VRS'!BO47,"")</f>
        <v/>
      </c>
      <c r="R47" s="106" t="str">
        <f>IF('Run VRS'!BP47&lt;&gt;"",'Run VRS'!BP47,"")</f>
        <v/>
      </c>
      <c r="S47" s="106" t="str">
        <f>IF('Run VRS'!BQ47&lt;&gt;"",'Run VRS'!BQ47,"")</f>
        <v/>
      </c>
      <c r="T47" s="106">
        <f>IF('Run VRS'!BR47&lt;&gt;"",'Run VRS'!BR47,"")</f>
        <v>-10.519301805340953</v>
      </c>
      <c r="U47" s="105">
        <f>IF('Run VRS'!BS47&lt;&gt;"",'Run VRS'!BS47,"")</f>
        <v>0</v>
      </c>
      <c r="V47" s="105" t="str">
        <f>IF('Run VRS'!BT47&lt;&gt;"",'Run VRS'!BT47,"")</f>
        <v/>
      </c>
      <c r="W47" s="105" t="str">
        <f>IF('Run VRS'!BU47&lt;&gt;"",'Run VRS'!BU47,"")</f>
        <v/>
      </c>
      <c r="X47" s="107" t="str">
        <f>IF('Run VRS'!BV47&lt;&gt;"",'Run VRS'!BV47,"")</f>
        <v/>
      </c>
      <c r="Y47" s="114">
        <f>IF('Data input'!C47&lt;&gt;"",O47/'Data input'!C47*100%,"")</f>
        <v>0</v>
      </c>
      <c r="Z47" s="114" t="str">
        <f>IF('Data input'!D47&lt;&gt;"",P47/'Data input'!D47*100%,"")</f>
        <v/>
      </c>
      <c r="AA47" s="114" t="str">
        <f>IF('Data input'!E47&lt;&gt;"",Q47/'Data input'!E47*100%,"")</f>
        <v/>
      </c>
      <c r="AB47" s="114" t="str">
        <f>IF('Data input'!F47&lt;&gt;"",R47/'Data input'!F47*100%,"")</f>
        <v/>
      </c>
      <c r="AC47" s="114" t="str">
        <f>IF('Data input'!G47&lt;&gt;"",S47/'Data input'!G47*100%,"")</f>
        <v/>
      </c>
      <c r="AD47" s="114">
        <f>IF('Data input'!H47&lt;&gt;"",T47/'Data input'!H47*100%,"")</f>
        <v>-0.52368072150437728</v>
      </c>
      <c r="AE47" s="114" t="e">
        <f>IF('Data input'!I47&lt;&gt;"",U47/'Data input'!I47*100%,"")</f>
        <v>#DIV/0!</v>
      </c>
      <c r="AF47" s="114" t="str">
        <f>IF('Data input'!J47&lt;&gt;"",V47/'Data input'!J47*100%,"")</f>
        <v/>
      </c>
      <c r="AG47" s="114" t="str">
        <f>IF('Data input'!K47&lt;&gt;"",W47/'Data input'!K47*100%,"")</f>
        <v/>
      </c>
      <c r="AH47" s="115" t="str">
        <f>IF('Data input'!L47&lt;&gt;"",X47/'Data input'!L47*100%,"")</f>
        <v/>
      </c>
      <c r="AI47" s="114">
        <f>IF('Data input'!C47&lt;&gt;"",'Run VRS'!AH47/'Run VRS'!C47,"")</f>
        <v>0</v>
      </c>
      <c r="AJ47" s="114" t="str">
        <f>IF('Data input'!D47&lt;&gt;"",'Run VRS'!AI47/'Run VRS'!D47,"")</f>
        <v/>
      </c>
      <c r="AK47" s="114" t="str">
        <f>IF('Data input'!E47&lt;&gt;"",'Run VRS'!AJ47/'Run VRS'!E47,"")</f>
        <v/>
      </c>
      <c r="AL47" s="114" t="str">
        <f>IF('Data input'!F47&lt;&gt;"",'Run VRS'!AK47/'Run VRS'!F47,"")</f>
        <v/>
      </c>
      <c r="AM47" s="114" t="str">
        <f>IF('Data input'!G47&lt;&gt;"",'Run VRS'!AL47/'Run VRS'!G47,"")</f>
        <v/>
      </c>
      <c r="AN47" s="114">
        <f>IF('Data input'!H47&lt;&gt;"",'Run VRS'!AM47/'Run VRS'!H47,"")</f>
        <v>0.25305439293720755</v>
      </c>
      <c r="AO47" s="114">
        <f>IF('Data input'!I47&lt;&gt;"",'Run VRS'!AN47/'Run VRS'!I47,"")</f>
        <v>0</v>
      </c>
      <c r="AP47" s="114" t="str">
        <f>IF('Data input'!J47&lt;&gt;"",'Run VRS'!AO47/'Run VRS'!J47,"")</f>
        <v/>
      </c>
      <c r="AQ47" s="114" t="str">
        <f>IF('Data input'!K47&lt;&gt;"",'Run VRS'!AP47/'Run VRS'!K47,"")</f>
        <v/>
      </c>
      <c r="AR47" s="115" t="str">
        <f>IF('Data input'!L47&lt;&gt;"",'Run VRS'!AQ47/'Run VRS'!L47,"")</f>
        <v/>
      </c>
    </row>
    <row r="48" spans="1:44" x14ac:dyDescent="0.35">
      <c r="A48" s="102">
        <f>IF('Run VRS'!AF48&lt;&gt;"",'Run VRS'!AF48,"")</f>
        <v>46</v>
      </c>
      <c r="B48" s="103" t="str">
        <f>IF('Run VRS'!AG48&lt;&gt;"",'Run VRS'!AG48,"")</f>
        <v>Virginia</v>
      </c>
      <c r="C48" s="104">
        <f>IF('Run VRS'!AR48&lt;&gt;"",'Run VRS'!AR48,"")</f>
        <v>0.66495504280931517</v>
      </c>
      <c r="D48" s="104" t="str">
        <f>IF(ROUND(C48,3)=100%,"Optimal frontier",'Run VRS'!BW48)</f>
        <v xml:space="preserve">New York; Texas; </v>
      </c>
      <c r="E48" s="105">
        <f>IF('Run VRS'!BC48&lt;&gt;"",'Run VRS'!BC48,"")</f>
        <v>0.97521649362209606</v>
      </c>
      <c r="F48" s="106" t="str">
        <f>IF('Run VRS'!BD48&lt;&gt;"",'Run VRS'!BD48,"")</f>
        <v/>
      </c>
      <c r="G48" s="106" t="str">
        <f>IF('Run VRS'!BE48&lt;&gt;"",'Run VRS'!BE48,"")</f>
        <v/>
      </c>
      <c r="H48" s="106" t="str">
        <f>IF('Run VRS'!BF48&lt;&gt;"",'Run VRS'!BF48,"")</f>
        <v/>
      </c>
      <c r="I48" s="106" t="str">
        <f>IF('Run VRS'!BG48&lt;&gt;"",'Run VRS'!BG48,"")</f>
        <v/>
      </c>
      <c r="J48" s="106">
        <f>IF('Run VRS'!BH48&lt;&gt;"",'Run VRS'!BH48,"")</f>
        <v>1.0979203790060499</v>
      </c>
      <c r="K48" s="105">
        <f>IF('Run VRS'!BI48&lt;&gt;"",'Run VRS'!BI48,"")</f>
        <v>1.1274733954135588E-3</v>
      </c>
      <c r="L48" s="105" t="str">
        <f>IF('Run VRS'!BJ48&lt;&gt;"",'Run VRS'!BJ48,"")</f>
        <v/>
      </c>
      <c r="M48" s="105" t="str">
        <f>IF('Run VRS'!BK48&lt;&gt;"",'Run VRS'!BK48,"")</f>
        <v/>
      </c>
      <c r="N48" s="105" t="str">
        <f>IF('Run VRS'!BL48&lt;&gt;"",'Run VRS'!BL48,"")</f>
        <v/>
      </c>
      <c r="O48" s="105">
        <f>IF('Run VRS'!BM48&lt;&gt;"",'Run VRS'!BM48,"")</f>
        <v>0</v>
      </c>
      <c r="P48" s="106" t="str">
        <f>IF('Run VRS'!BN48&lt;&gt;"",'Run VRS'!BN48,"")</f>
        <v/>
      </c>
      <c r="Q48" s="106" t="str">
        <f>IF('Run VRS'!BO48&lt;&gt;"",'Run VRS'!BO48,"")</f>
        <v/>
      </c>
      <c r="R48" s="106" t="str">
        <f>IF('Run VRS'!BP48&lt;&gt;"",'Run VRS'!BP48,"")</f>
        <v/>
      </c>
      <c r="S48" s="106" t="str">
        <f>IF('Run VRS'!BQ48&lt;&gt;"",'Run VRS'!BQ48,"")</f>
        <v/>
      </c>
      <c r="T48" s="106">
        <f>IF('Run VRS'!BR48&lt;&gt;"",'Run VRS'!BR48,"")</f>
        <v>-0.38438256007701721</v>
      </c>
      <c r="U48" s="105">
        <f>IF('Run VRS'!BS48&lt;&gt;"",'Run VRS'!BS48,"")</f>
        <v>-8.488232518923533E-2</v>
      </c>
      <c r="V48" s="105" t="str">
        <f>IF('Run VRS'!BT48&lt;&gt;"",'Run VRS'!BT48,"")</f>
        <v/>
      </c>
      <c r="W48" s="105" t="str">
        <f>IF('Run VRS'!BU48&lt;&gt;"",'Run VRS'!BU48,"")</f>
        <v/>
      </c>
      <c r="X48" s="107" t="str">
        <f>IF('Run VRS'!BV48&lt;&gt;"",'Run VRS'!BV48,"")</f>
        <v/>
      </c>
      <c r="Y48" s="114">
        <f>IF('Data input'!C48&lt;&gt;"",O48/'Data input'!C48*100%,"")</f>
        <v>0</v>
      </c>
      <c r="Z48" s="114" t="str">
        <f>IF('Data input'!D48&lt;&gt;"",P48/'Data input'!D48*100%,"")</f>
        <v/>
      </c>
      <c r="AA48" s="114" t="str">
        <f>IF('Data input'!E48&lt;&gt;"",Q48/'Data input'!E48*100%,"")</f>
        <v/>
      </c>
      <c r="AB48" s="114" t="str">
        <f>IF('Data input'!F48&lt;&gt;"",R48/'Data input'!F48*100%,"")</f>
        <v/>
      </c>
      <c r="AC48" s="114" t="str">
        <f>IF('Data input'!G48&lt;&gt;"",S48/'Data input'!G48*100%,"")</f>
        <v/>
      </c>
      <c r="AD48" s="114">
        <f>IF('Data input'!H48&lt;&gt;"",T48/'Data input'!H48*100%,"")</f>
        <v>-0.25931444237356177</v>
      </c>
      <c r="AE48" s="114">
        <f>IF('Data input'!I48&lt;&gt;"",U48/'Data input'!I48*100%,"")</f>
        <v>-0.98689133780142602</v>
      </c>
      <c r="AF48" s="114" t="str">
        <f>IF('Data input'!J48&lt;&gt;"",V48/'Data input'!J48*100%,"")</f>
        <v/>
      </c>
      <c r="AG48" s="114" t="str">
        <f>IF('Data input'!K48&lt;&gt;"",W48/'Data input'!K48*100%,"")</f>
        <v/>
      </c>
      <c r="AH48" s="115" t="str">
        <f>IF('Data input'!L48&lt;&gt;"",X48/'Data input'!L48*100%,"")</f>
        <v/>
      </c>
      <c r="AI48" s="114">
        <f>IF('Data input'!C48&lt;&gt;"",'Run VRS'!AH48/'Run VRS'!C48,"")</f>
        <v>0</v>
      </c>
      <c r="AJ48" s="114" t="str">
        <f>IF('Data input'!D48&lt;&gt;"",'Run VRS'!AI48/'Run VRS'!D48,"")</f>
        <v/>
      </c>
      <c r="AK48" s="114" t="str">
        <f>IF('Data input'!E48&lt;&gt;"",'Run VRS'!AJ48/'Run VRS'!E48,"")</f>
        <v/>
      </c>
      <c r="AL48" s="114" t="str">
        <f>IF('Data input'!F48&lt;&gt;"",'Run VRS'!AK48/'Run VRS'!F48,"")</f>
        <v/>
      </c>
      <c r="AM48" s="114" t="str">
        <f>IF('Data input'!G48&lt;&gt;"",'Run VRS'!AL48/'Run VRS'!G48,"")</f>
        <v/>
      </c>
      <c r="AN48" s="114">
        <f>IF('Data input'!H48&lt;&gt;"",'Run VRS'!AM48/'Run VRS'!H48,"")</f>
        <v>1.6738199540109678E-2</v>
      </c>
      <c r="AO48" s="114">
        <f>IF('Data input'!I48&lt;&gt;"",'Run VRS'!AN48/'Run VRS'!I48,"")</f>
        <v>0.65335171484125976</v>
      </c>
      <c r="AP48" s="114" t="str">
        <f>IF('Data input'!J48&lt;&gt;"",'Run VRS'!AO48/'Run VRS'!J48,"")</f>
        <v/>
      </c>
      <c r="AQ48" s="114" t="str">
        <f>IF('Data input'!K48&lt;&gt;"",'Run VRS'!AP48/'Run VRS'!K48,"")</f>
        <v/>
      </c>
      <c r="AR48" s="115" t="str">
        <f>IF('Data input'!L48&lt;&gt;"",'Run VRS'!AQ48/'Run VRS'!L48,"")</f>
        <v/>
      </c>
    </row>
    <row r="49" spans="1:44" x14ac:dyDescent="0.35">
      <c r="A49" s="102">
        <f>IF('Run VRS'!AF49&lt;&gt;"",'Run VRS'!AF49,"")</f>
        <v>47</v>
      </c>
      <c r="B49" s="103" t="str">
        <f>IF('Run VRS'!AG49&lt;&gt;"",'Run VRS'!AG49,"")</f>
        <v>Washington</v>
      </c>
      <c r="C49" s="104">
        <f>IF('Run VRS'!AR49&lt;&gt;"",'Run VRS'!AR49,"")</f>
        <v>0.87468691132293763</v>
      </c>
      <c r="D49" s="104" t="str">
        <f>IF(ROUND(C49,3)=100%,"Optimal frontier",'Run VRS'!BW49)</f>
        <v xml:space="preserve">Kansas; New York; Texas; </v>
      </c>
      <c r="E49" s="105">
        <f>IF('Run VRS'!BC49&lt;&gt;"",'Run VRS'!BC49,"")</f>
        <v>0.93659658946256497</v>
      </c>
      <c r="F49" s="106" t="str">
        <f>IF('Run VRS'!BD49&lt;&gt;"",'Run VRS'!BD49,"")</f>
        <v/>
      </c>
      <c r="G49" s="106" t="str">
        <f>IF('Run VRS'!BE49&lt;&gt;"",'Run VRS'!BE49,"")</f>
        <v/>
      </c>
      <c r="H49" s="106" t="str">
        <f>IF('Run VRS'!BF49&lt;&gt;"",'Run VRS'!BF49,"")</f>
        <v/>
      </c>
      <c r="I49" s="106" t="str">
        <f>IF('Run VRS'!BG49&lt;&gt;"",'Run VRS'!BG49,"")</f>
        <v/>
      </c>
      <c r="J49" s="106">
        <f>IF('Run VRS'!BH49&lt;&gt;"",'Run VRS'!BH49,"")</f>
        <v>4.0606435291515766</v>
      </c>
      <c r="K49" s="105">
        <f>IF('Run VRS'!BI49&lt;&gt;"",'Run VRS'!BI49,"")</f>
        <v>1.0749471834873396E-3</v>
      </c>
      <c r="L49" s="105" t="str">
        <f>IF('Run VRS'!BJ49&lt;&gt;"",'Run VRS'!BJ49,"")</f>
        <v/>
      </c>
      <c r="M49" s="105" t="str">
        <f>IF('Run VRS'!BK49&lt;&gt;"",'Run VRS'!BK49,"")</f>
        <v/>
      </c>
      <c r="N49" s="105" t="str">
        <f>IF('Run VRS'!BL49&lt;&gt;"",'Run VRS'!BL49,"")</f>
        <v/>
      </c>
      <c r="O49" s="105">
        <f>IF('Run VRS'!BM49&lt;&gt;"",'Run VRS'!BM49,"")</f>
        <v>0</v>
      </c>
      <c r="P49" s="106" t="str">
        <f>IF('Run VRS'!BN49&lt;&gt;"",'Run VRS'!BN49,"")</f>
        <v/>
      </c>
      <c r="Q49" s="106" t="str">
        <f>IF('Run VRS'!BO49&lt;&gt;"",'Run VRS'!BO49,"")</f>
        <v/>
      </c>
      <c r="R49" s="106" t="str">
        <f>IF('Run VRS'!BP49&lt;&gt;"",'Run VRS'!BP49,"")</f>
        <v/>
      </c>
      <c r="S49" s="106" t="str">
        <f>IF('Run VRS'!BQ49&lt;&gt;"",'Run VRS'!BQ49,"")</f>
        <v/>
      </c>
      <c r="T49" s="106">
        <f>IF('Run VRS'!BR49&lt;&gt;"",'Run VRS'!BR49,"")</f>
        <v>-2.6238910457759461</v>
      </c>
      <c r="U49" s="105">
        <f>IF('Run VRS'!BS49&lt;&gt;"",'Run VRS'!BS49,"")</f>
        <v>-8.4074708331068927E-3</v>
      </c>
      <c r="V49" s="105" t="str">
        <f>IF('Run VRS'!BT49&lt;&gt;"",'Run VRS'!BT49,"")</f>
        <v/>
      </c>
      <c r="W49" s="105" t="str">
        <f>IF('Run VRS'!BU49&lt;&gt;"",'Run VRS'!BU49,"")</f>
        <v/>
      </c>
      <c r="X49" s="107" t="str">
        <f>IF('Run VRS'!BV49&lt;&gt;"",'Run VRS'!BV49,"")</f>
        <v/>
      </c>
      <c r="Y49" s="114">
        <f>IF('Data input'!C49&lt;&gt;"",O49/'Data input'!C49*100%,"")</f>
        <v>0</v>
      </c>
      <c r="Z49" s="114" t="str">
        <f>IF('Data input'!D49&lt;&gt;"",P49/'Data input'!D49*100%,"")</f>
        <v/>
      </c>
      <c r="AA49" s="114" t="str">
        <f>IF('Data input'!E49&lt;&gt;"",Q49/'Data input'!E49*100%,"")</f>
        <v/>
      </c>
      <c r="AB49" s="114" t="str">
        <f>IF('Data input'!F49&lt;&gt;"",R49/'Data input'!F49*100%,"")</f>
        <v/>
      </c>
      <c r="AC49" s="114" t="str">
        <f>IF('Data input'!G49&lt;&gt;"",S49/'Data input'!G49*100%,"")</f>
        <v/>
      </c>
      <c r="AD49" s="114">
        <f>IF('Data input'!H49&lt;&gt;"",T49/'Data input'!H49*100%,"")</f>
        <v>-0.392531599076125</v>
      </c>
      <c r="AE49" s="114">
        <f>IF('Data input'!I49&lt;&gt;"",U49/'Data input'!I49*100%,"")</f>
        <v>-0.88663786160806435</v>
      </c>
      <c r="AF49" s="114" t="str">
        <f>IF('Data input'!J49&lt;&gt;"",V49/'Data input'!J49*100%,"")</f>
        <v/>
      </c>
      <c r="AG49" s="114" t="str">
        <f>IF('Data input'!K49&lt;&gt;"",W49/'Data input'!K49*100%,"")</f>
        <v/>
      </c>
      <c r="AH49" s="115" t="str">
        <f>IF('Data input'!L49&lt;&gt;"",X49/'Data input'!L49*100%,"")</f>
        <v/>
      </c>
      <c r="AI49" s="114">
        <f>IF('Data input'!C49&lt;&gt;"",'Run VRS'!AH49/'Run VRS'!C49,"")</f>
        <v>0</v>
      </c>
      <c r="AJ49" s="114" t="str">
        <f>IF('Data input'!D49&lt;&gt;"",'Run VRS'!AI49/'Run VRS'!D49,"")</f>
        <v/>
      </c>
      <c r="AK49" s="114" t="str">
        <f>IF('Data input'!E49&lt;&gt;"",'Run VRS'!AJ49/'Run VRS'!E49,"")</f>
        <v/>
      </c>
      <c r="AL49" s="114" t="str">
        <f>IF('Data input'!F49&lt;&gt;"",'Run VRS'!AK49/'Run VRS'!F49,"")</f>
        <v/>
      </c>
      <c r="AM49" s="114" t="str">
        <f>IF('Data input'!G49&lt;&gt;"",'Run VRS'!AL49/'Run VRS'!G49,"")</f>
        <v/>
      </c>
      <c r="AN49" s="114">
        <f>IF('Data input'!H49&lt;&gt;"",'Run VRS'!AM49/'Run VRS'!H49,"")</f>
        <v>9.3156040502618637E-2</v>
      </c>
      <c r="AO49" s="114">
        <f>IF('Data input'!I49&lt;&gt;"",'Run VRS'!AN49/'Run VRS'!I49,"")</f>
        <v>0.15747013685150618</v>
      </c>
      <c r="AP49" s="114" t="str">
        <f>IF('Data input'!J49&lt;&gt;"",'Run VRS'!AO49/'Run VRS'!J49,"")</f>
        <v/>
      </c>
      <c r="AQ49" s="114" t="str">
        <f>IF('Data input'!K49&lt;&gt;"",'Run VRS'!AP49/'Run VRS'!K49,"")</f>
        <v/>
      </c>
      <c r="AR49" s="115" t="str">
        <f>IF('Data input'!L49&lt;&gt;"",'Run VRS'!AQ49/'Run VRS'!L49,"")</f>
        <v/>
      </c>
    </row>
    <row r="50" spans="1:44" x14ac:dyDescent="0.35">
      <c r="A50" s="102">
        <f>IF('Run VRS'!AF50&lt;&gt;"",'Run VRS'!AF50,"")</f>
        <v>48</v>
      </c>
      <c r="B50" s="103" t="str">
        <f>IF('Run VRS'!AG50&lt;&gt;"",'Run VRS'!AG50,"")</f>
        <v>West Virginia</v>
      </c>
      <c r="C50" s="104">
        <f>IF('Run VRS'!AR50&lt;&gt;"",'Run VRS'!AR50,"")</f>
        <v>1</v>
      </c>
      <c r="D50" s="104" t="str">
        <f>IF(ROUND(C50,3)=100%,"Optimal frontier",'Run VRS'!BW50)</f>
        <v>Optimal frontier</v>
      </c>
      <c r="E50" s="105">
        <f>IF('Run VRS'!BC50&lt;&gt;"",'Run VRS'!BC50,"")</f>
        <v>0.85744356112792741</v>
      </c>
      <c r="F50" s="106" t="str">
        <f>IF('Run VRS'!BD50&lt;&gt;"",'Run VRS'!BD50,"")</f>
        <v/>
      </c>
      <c r="G50" s="106" t="str">
        <f>IF('Run VRS'!BE50&lt;&gt;"",'Run VRS'!BE50,"")</f>
        <v/>
      </c>
      <c r="H50" s="106" t="str">
        <f>IF('Run VRS'!BF50&lt;&gt;"",'Run VRS'!BF50,"")</f>
        <v/>
      </c>
      <c r="I50" s="106" t="str">
        <f>IF('Run VRS'!BG50&lt;&gt;"",'Run VRS'!BG50,"")</f>
        <v/>
      </c>
      <c r="J50" s="106">
        <f>IF('Run VRS'!BH50&lt;&gt;"",'Run VRS'!BH50,"")</f>
        <v>23.691519010594238</v>
      </c>
      <c r="K50" s="105">
        <f>IF('Run VRS'!BI50&lt;&gt;"",'Run VRS'!BI50,"")</f>
        <v>5.0251256281406984E-3</v>
      </c>
      <c r="L50" s="105" t="str">
        <f>IF('Run VRS'!BJ50&lt;&gt;"",'Run VRS'!BJ50,"")</f>
        <v/>
      </c>
      <c r="M50" s="105" t="str">
        <f>IF('Run VRS'!BK50&lt;&gt;"",'Run VRS'!BK50,"")</f>
        <v/>
      </c>
      <c r="N50" s="105" t="str">
        <f>IF('Run VRS'!BL50&lt;&gt;"",'Run VRS'!BL50,"")</f>
        <v/>
      </c>
      <c r="O50" s="105">
        <f>IF('Run VRS'!BM50&lt;&gt;"",'Run VRS'!BM50,"")</f>
        <v>0</v>
      </c>
      <c r="P50" s="106" t="str">
        <f>IF('Run VRS'!BN50&lt;&gt;"",'Run VRS'!BN50,"")</f>
        <v/>
      </c>
      <c r="Q50" s="106" t="str">
        <f>IF('Run VRS'!BO50&lt;&gt;"",'Run VRS'!BO50,"")</f>
        <v/>
      </c>
      <c r="R50" s="106" t="str">
        <f>IF('Run VRS'!BP50&lt;&gt;"",'Run VRS'!BP50,"")</f>
        <v/>
      </c>
      <c r="S50" s="106" t="str">
        <f>IF('Run VRS'!BQ50&lt;&gt;"",'Run VRS'!BQ50,"")</f>
        <v/>
      </c>
      <c r="T50" s="106">
        <f>IF('Run VRS'!BR50&lt;&gt;"",'Run VRS'!BR50,"")</f>
        <v>0</v>
      </c>
      <c r="U50" s="105">
        <f>IF('Run VRS'!BS50&lt;&gt;"",'Run VRS'!BS50,"")</f>
        <v>-5.2041704279304213E-18</v>
      </c>
      <c r="V50" s="105" t="str">
        <f>IF('Run VRS'!BT50&lt;&gt;"",'Run VRS'!BT50,"")</f>
        <v/>
      </c>
      <c r="W50" s="105" t="str">
        <f>IF('Run VRS'!BU50&lt;&gt;"",'Run VRS'!BU50,"")</f>
        <v/>
      </c>
      <c r="X50" s="107" t="str">
        <f>IF('Run VRS'!BV50&lt;&gt;"",'Run VRS'!BV50,"")</f>
        <v/>
      </c>
      <c r="Y50" s="114">
        <f>IF('Data input'!C50&lt;&gt;"",O50/'Data input'!C50*100%,"")</f>
        <v>0</v>
      </c>
      <c r="Z50" s="114" t="str">
        <f>IF('Data input'!D50&lt;&gt;"",P50/'Data input'!D50*100%,"")</f>
        <v/>
      </c>
      <c r="AA50" s="114" t="str">
        <f>IF('Data input'!E50&lt;&gt;"",Q50/'Data input'!E50*100%,"")</f>
        <v/>
      </c>
      <c r="AB50" s="114" t="str">
        <f>IF('Data input'!F50&lt;&gt;"",R50/'Data input'!F50*100%,"")</f>
        <v/>
      </c>
      <c r="AC50" s="114" t="str">
        <f>IF('Data input'!G50&lt;&gt;"",S50/'Data input'!G50*100%,"")</f>
        <v/>
      </c>
      <c r="AD50" s="114">
        <f>IF('Data input'!H50&lt;&gt;"",T50/'Data input'!H50*100%,"")</f>
        <v>0</v>
      </c>
      <c r="AE50" s="114">
        <f>IF('Data input'!I50&lt;&gt;"",U50/'Data input'!I50*100%,"")</f>
        <v>-1.0356299151581538E-15</v>
      </c>
      <c r="AF50" s="114" t="str">
        <f>IF('Data input'!J50&lt;&gt;"",V50/'Data input'!J50*100%,"")</f>
        <v/>
      </c>
      <c r="AG50" s="114" t="str">
        <f>IF('Data input'!K50&lt;&gt;"",W50/'Data input'!K50*100%,"")</f>
        <v/>
      </c>
      <c r="AH50" s="115" t="str">
        <f>IF('Data input'!L50&lt;&gt;"",X50/'Data input'!L50*100%,"")</f>
        <v/>
      </c>
      <c r="AI50" s="114">
        <f>IF('Data input'!C50&lt;&gt;"",'Run VRS'!AH50/'Run VRS'!C50,"")</f>
        <v>0</v>
      </c>
      <c r="AJ50" s="114" t="str">
        <f>IF('Data input'!D50&lt;&gt;"",'Run VRS'!AI50/'Run VRS'!D50,"")</f>
        <v/>
      </c>
      <c r="AK50" s="114" t="str">
        <f>IF('Data input'!E50&lt;&gt;"",'Run VRS'!AJ50/'Run VRS'!E50,"")</f>
        <v/>
      </c>
      <c r="AL50" s="114" t="str">
        <f>IF('Data input'!F50&lt;&gt;"",'Run VRS'!AK50/'Run VRS'!F50,"")</f>
        <v/>
      </c>
      <c r="AM50" s="114" t="str">
        <f>IF('Data input'!G50&lt;&gt;"",'Run VRS'!AL50/'Run VRS'!G50,"")</f>
        <v/>
      </c>
      <c r="AN50" s="114">
        <f>IF('Data input'!H50&lt;&gt;"",'Run VRS'!AM50/'Run VRS'!H50,"")</f>
        <v>0</v>
      </c>
      <c r="AO50" s="114">
        <f>IF('Data input'!I50&lt;&gt;"",'Run VRS'!AN50/'Run VRS'!I50,"")</f>
        <v>0</v>
      </c>
      <c r="AP50" s="114" t="str">
        <f>IF('Data input'!J50&lt;&gt;"",'Run VRS'!AO50/'Run VRS'!J50,"")</f>
        <v/>
      </c>
      <c r="AQ50" s="114" t="str">
        <f>IF('Data input'!K50&lt;&gt;"",'Run VRS'!AP50/'Run VRS'!K50,"")</f>
        <v/>
      </c>
      <c r="AR50" s="115" t="str">
        <f>IF('Data input'!L50&lt;&gt;"",'Run VRS'!AQ50/'Run VRS'!L50,"")</f>
        <v/>
      </c>
    </row>
    <row r="51" spans="1:44" x14ac:dyDescent="0.35">
      <c r="A51" s="102">
        <f>IF('Run VRS'!AF51&lt;&gt;"",'Run VRS'!AF51,"")</f>
        <v>49</v>
      </c>
      <c r="B51" s="103" t="str">
        <f>IF('Run VRS'!AG51&lt;&gt;"",'Run VRS'!AG51,"")</f>
        <v>Wisconsin</v>
      </c>
      <c r="C51" s="104">
        <f>IF('Run VRS'!AR51&lt;&gt;"",'Run VRS'!AR51,"")</f>
        <v>0.78484815228974225</v>
      </c>
      <c r="D51" s="104" t="str">
        <f>IF(ROUND(C51,3)=100%,"Optimal frontier",'Run VRS'!BW51)</f>
        <v xml:space="preserve">New York; Texas; </v>
      </c>
      <c r="E51" s="105">
        <f>IF('Run VRS'!BC51&lt;&gt;"",'Run VRS'!BC51,"")</f>
        <v>0.98637994472111279</v>
      </c>
      <c r="F51" s="106" t="str">
        <f>IF('Run VRS'!BD51&lt;&gt;"",'Run VRS'!BD51,"")</f>
        <v/>
      </c>
      <c r="G51" s="106" t="str">
        <f>IF('Run VRS'!BE51&lt;&gt;"",'Run VRS'!BE51,"")</f>
        <v/>
      </c>
      <c r="H51" s="106" t="str">
        <f>IF('Run VRS'!BF51&lt;&gt;"",'Run VRS'!BF51,"")</f>
        <v/>
      </c>
      <c r="I51" s="106" t="str">
        <f>IF('Run VRS'!BG51&lt;&gt;"",'Run VRS'!BG51,"")</f>
        <v/>
      </c>
      <c r="J51" s="106">
        <f>IF('Run VRS'!BH51&lt;&gt;"",'Run VRS'!BH51,"")</f>
        <v>0.47766565748636791</v>
      </c>
      <c r="K51" s="105">
        <f>IF('Run VRS'!BI51&lt;&gt;"",'Run VRS'!BI51,"")</f>
        <v>1.1438021738868281E-3</v>
      </c>
      <c r="L51" s="105" t="str">
        <f>IF('Run VRS'!BJ51&lt;&gt;"",'Run VRS'!BJ51,"")</f>
        <v/>
      </c>
      <c r="M51" s="105" t="str">
        <f>IF('Run VRS'!BK51&lt;&gt;"",'Run VRS'!BK51,"")</f>
        <v/>
      </c>
      <c r="N51" s="105" t="str">
        <f>IF('Run VRS'!BL51&lt;&gt;"",'Run VRS'!BL51,"")</f>
        <v/>
      </c>
      <c r="O51" s="105">
        <f>IF('Run VRS'!BM51&lt;&gt;"",'Run VRS'!BM51,"")</f>
        <v>0</v>
      </c>
      <c r="P51" s="106" t="str">
        <f>IF('Run VRS'!BN51&lt;&gt;"",'Run VRS'!BN51,"")</f>
        <v/>
      </c>
      <c r="Q51" s="106" t="str">
        <f>IF('Run VRS'!BO51&lt;&gt;"",'Run VRS'!BO51,"")</f>
        <v/>
      </c>
      <c r="R51" s="106" t="str">
        <f>IF('Run VRS'!BP51&lt;&gt;"",'Run VRS'!BP51,"")</f>
        <v/>
      </c>
      <c r="S51" s="106" t="str">
        <f>IF('Run VRS'!BQ51&lt;&gt;"",'Run VRS'!BQ51,"")</f>
        <v/>
      </c>
      <c r="T51" s="106">
        <f>IF('Run VRS'!BR51&lt;&gt;"",'Run VRS'!BR51,"")</f>
        <v>-1.6639000004337294</v>
      </c>
      <c r="U51" s="105">
        <f>IF('Run VRS'!BS51&lt;&gt;"",'Run VRS'!BS51,"")</f>
        <v>-2.5327614328506862E-2</v>
      </c>
      <c r="V51" s="105" t="str">
        <f>IF('Run VRS'!BT51&lt;&gt;"",'Run VRS'!BT51,"")</f>
        <v/>
      </c>
      <c r="W51" s="105" t="str">
        <f>IF('Run VRS'!BU51&lt;&gt;"",'Run VRS'!BU51,"")</f>
        <v/>
      </c>
      <c r="X51" s="107" t="str">
        <f>IF('Run VRS'!BV51&lt;&gt;"",'Run VRS'!BV51,"")</f>
        <v/>
      </c>
      <c r="Y51" s="114">
        <f>IF('Data input'!C51&lt;&gt;"",O51/'Data input'!C51*100%,"")</f>
        <v>0</v>
      </c>
      <c r="Z51" s="114" t="str">
        <f>IF('Data input'!D51&lt;&gt;"",P51/'Data input'!D51*100%,"")</f>
        <v/>
      </c>
      <c r="AA51" s="114" t="str">
        <f>IF('Data input'!E51&lt;&gt;"",Q51/'Data input'!E51*100%,"")</f>
        <v/>
      </c>
      <c r="AB51" s="114" t="str">
        <f>IF('Data input'!F51&lt;&gt;"",R51/'Data input'!F51*100%,"")</f>
        <v/>
      </c>
      <c r="AC51" s="114" t="str">
        <f>IF('Data input'!G51&lt;&gt;"",S51/'Data input'!G51*100%,"")</f>
        <v/>
      </c>
      <c r="AD51" s="114">
        <f>IF('Data input'!H51&lt;&gt;"",T51/'Data input'!H51*100%,"")</f>
        <v>-0.77695493214516709</v>
      </c>
      <c r="AE51" s="114">
        <f>IF('Data input'!I51&lt;&gt;"",U51/'Data input'!I51*100%,"")</f>
        <v>-0.95679104766519019</v>
      </c>
      <c r="AF51" s="114" t="str">
        <f>IF('Data input'!J51&lt;&gt;"",V51/'Data input'!J51*100%,"")</f>
        <v/>
      </c>
      <c r="AG51" s="114" t="str">
        <f>IF('Data input'!K51&lt;&gt;"",W51/'Data input'!K51*100%,"")</f>
        <v/>
      </c>
      <c r="AH51" s="115" t="str">
        <f>IF('Data input'!L51&lt;&gt;"",X51/'Data input'!L51*100%,"")</f>
        <v/>
      </c>
      <c r="AI51" s="114">
        <f>IF('Data input'!C51&lt;&gt;"",'Run VRS'!AH51/'Run VRS'!C51,"")</f>
        <v>0</v>
      </c>
      <c r="AJ51" s="114" t="str">
        <f>IF('Data input'!D51&lt;&gt;"",'Run VRS'!AI51/'Run VRS'!D51,"")</f>
        <v/>
      </c>
      <c r="AK51" s="114" t="str">
        <f>IF('Data input'!E51&lt;&gt;"",'Run VRS'!AJ51/'Run VRS'!E51,"")</f>
        <v/>
      </c>
      <c r="AL51" s="114" t="str">
        <f>IF('Data input'!F51&lt;&gt;"",'Run VRS'!AK51/'Run VRS'!F51,"")</f>
        <v/>
      </c>
      <c r="AM51" s="114" t="str">
        <f>IF('Data input'!G51&lt;&gt;"",'Run VRS'!AL51/'Run VRS'!G51,"")</f>
        <v/>
      </c>
      <c r="AN51" s="114">
        <f>IF('Data input'!H51&lt;&gt;"",'Run VRS'!AM51/'Run VRS'!H51,"")</f>
        <v>7.0433643126479928E-2</v>
      </c>
      <c r="AO51" s="114">
        <f>IF('Data input'!I51&lt;&gt;"",'Run VRS'!AN51/'Run VRS'!I51,"")</f>
        <v>0.35987005229403601</v>
      </c>
      <c r="AP51" s="114" t="str">
        <f>IF('Data input'!J51&lt;&gt;"",'Run VRS'!AO51/'Run VRS'!J51,"")</f>
        <v/>
      </c>
      <c r="AQ51" s="114" t="str">
        <f>IF('Data input'!K51&lt;&gt;"",'Run VRS'!AP51/'Run VRS'!K51,"")</f>
        <v/>
      </c>
      <c r="AR51" s="115" t="str">
        <f>IF('Data input'!L51&lt;&gt;"",'Run VRS'!AQ51/'Run VRS'!L51,"")</f>
        <v/>
      </c>
    </row>
    <row r="52" spans="1:44" x14ac:dyDescent="0.35">
      <c r="A52" s="102">
        <f>IF('Run VRS'!AF52&lt;&gt;"",'Run VRS'!AF52,"")</f>
        <v>50</v>
      </c>
      <c r="B52" s="103" t="str">
        <f>IF('Run VRS'!AG52&lt;&gt;"",'Run VRS'!AG52,"")</f>
        <v>Wyoming</v>
      </c>
      <c r="C52" s="104">
        <f>IF('Run VRS'!AR52&lt;&gt;"",'Run VRS'!AR52,"")</f>
        <v>0.45293436198451076</v>
      </c>
      <c r="D52" s="104" t="str">
        <f>IF(ROUND(C52,3)=100%,"Optimal frontier",'Run VRS'!BW52)</f>
        <v xml:space="preserve">Kansas; New York; West Virginia; </v>
      </c>
      <c r="E52" s="105">
        <f>IF('Run VRS'!BC52&lt;&gt;"",'Run VRS'!BC52,"")</f>
        <v>0.92812832619550523</v>
      </c>
      <c r="F52" s="106" t="str">
        <f>IF('Run VRS'!BD52&lt;&gt;"",'Run VRS'!BD52,"")</f>
        <v/>
      </c>
      <c r="G52" s="106" t="str">
        <f>IF('Run VRS'!BE52&lt;&gt;"",'Run VRS'!BE52,"")</f>
        <v/>
      </c>
      <c r="H52" s="106" t="str">
        <f>IF('Run VRS'!BF52&lt;&gt;"",'Run VRS'!BF52,"")</f>
        <v/>
      </c>
      <c r="I52" s="106" t="str">
        <f>IF('Run VRS'!BG52&lt;&gt;"",'Run VRS'!BG52,"")</f>
        <v/>
      </c>
      <c r="J52" s="106">
        <f>IF('Run VRS'!BH52&lt;&gt;"",'Run VRS'!BH52,"")</f>
        <v>10.134523737121118</v>
      </c>
      <c r="K52" s="105">
        <f>IF('Run VRS'!BI52&lt;&gt;"",'Run VRS'!BI52,"")</f>
        <v>2.4226431125331464E-3</v>
      </c>
      <c r="L52" s="105" t="str">
        <f>IF('Run VRS'!BJ52&lt;&gt;"",'Run VRS'!BJ52,"")</f>
        <v/>
      </c>
      <c r="M52" s="105" t="str">
        <f>IF('Run VRS'!BK52&lt;&gt;"",'Run VRS'!BK52,"")</f>
        <v/>
      </c>
      <c r="N52" s="105" t="str">
        <f>IF('Run VRS'!BL52&lt;&gt;"",'Run VRS'!BL52,"")</f>
        <v/>
      </c>
      <c r="O52" s="105">
        <f>IF('Run VRS'!BM52&lt;&gt;"",'Run VRS'!BM52,"")</f>
        <v>0</v>
      </c>
      <c r="P52" s="106" t="str">
        <f>IF('Run VRS'!BN52&lt;&gt;"",'Run VRS'!BN52,"")</f>
        <v/>
      </c>
      <c r="Q52" s="106" t="str">
        <f>IF('Run VRS'!BO52&lt;&gt;"",'Run VRS'!BO52,"")</f>
        <v/>
      </c>
      <c r="R52" s="106" t="str">
        <f>IF('Run VRS'!BP52&lt;&gt;"",'Run VRS'!BP52,"")</f>
        <v/>
      </c>
      <c r="S52" s="106" t="str">
        <f>IF('Run VRS'!BQ52&lt;&gt;"",'Run VRS'!BQ52,"")</f>
        <v/>
      </c>
      <c r="T52" s="106">
        <f>IF('Run VRS'!BR52&lt;&gt;"",'Run VRS'!BR52,"")</f>
        <v>-40.388908131189979</v>
      </c>
      <c r="U52" s="105">
        <f>IF('Run VRS'!BS52&lt;&gt;"",'Run VRS'!BS52,"")</f>
        <v>-5.2925150455155709E-2</v>
      </c>
      <c r="V52" s="105" t="str">
        <f>IF('Run VRS'!BT52&lt;&gt;"",'Run VRS'!BT52,"")</f>
        <v/>
      </c>
      <c r="W52" s="105" t="str">
        <f>IF('Run VRS'!BU52&lt;&gt;"",'Run VRS'!BU52,"")</f>
        <v/>
      </c>
      <c r="X52" s="107" t="str">
        <f>IF('Run VRS'!BV52&lt;&gt;"",'Run VRS'!BV52,"")</f>
        <v/>
      </c>
      <c r="Y52" s="114">
        <f>IF('Data input'!C52&lt;&gt;"",O52/'Data input'!C52*100%,"")</f>
        <v>0</v>
      </c>
      <c r="Z52" s="114" t="str">
        <f>IF('Data input'!D52&lt;&gt;"",P52/'Data input'!D52*100%,"")</f>
        <v/>
      </c>
      <c r="AA52" s="114" t="str">
        <f>IF('Data input'!E52&lt;&gt;"",Q52/'Data input'!E52*100%,"")</f>
        <v/>
      </c>
      <c r="AB52" s="114" t="str">
        <f>IF('Data input'!F52&lt;&gt;"",R52/'Data input'!F52*100%,"")</f>
        <v/>
      </c>
      <c r="AC52" s="114" t="str">
        <f>IF('Data input'!G52&lt;&gt;"",S52/'Data input'!G52*100%,"")</f>
        <v/>
      </c>
      <c r="AD52" s="114">
        <f>IF('Data input'!H52&lt;&gt;"",T52/'Data input'!H52*100%,"")</f>
        <v>-0.7994094351401807</v>
      </c>
      <c r="AE52" s="114">
        <f>IF('Data input'!I52&lt;&gt;"",U52/'Data input'!I52*100%,"")</f>
        <v>-0.95622873187220525</v>
      </c>
      <c r="AF52" s="114" t="str">
        <f>IF('Data input'!J52&lt;&gt;"",V52/'Data input'!J52*100%,"")</f>
        <v/>
      </c>
      <c r="AG52" s="114" t="str">
        <f>IF('Data input'!K52&lt;&gt;"",W52/'Data input'!K52*100%,"")</f>
        <v/>
      </c>
      <c r="AH52" s="115" t="str">
        <f>IF('Data input'!L52&lt;&gt;"",X52/'Data input'!L52*100%,"")</f>
        <v/>
      </c>
      <c r="AI52" s="114">
        <f>IF('Data input'!C52&lt;&gt;"",'Run VRS'!AH52/'Run VRS'!C52,"")</f>
        <v>0</v>
      </c>
      <c r="AJ52" s="114" t="str">
        <f>IF('Data input'!D52&lt;&gt;"",'Run VRS'!AI52/'Run VRS'!D52,"")</f>
        <v/>
      </c>
      <c r="AK52" s="114" t="str">
        <f>IF('Data input'!E52&lt;&gt;"",'Run VRS'!AJ52/'Run VRS'!E52,"")</f>
        <v/>
      </c>
      <c r="AL52" s="114" t="str">
        <f>IF('Data input'!F52&lt;&gt;"",'Run VRS'!AK52/'Run VRS'!F52,"")</f>
        <v/>
      </c>
      <c r="AM52" s="114" t="str">
        <f>IF('Data input'!G52&lt;&gt;"",'Run VRS'!AL52/'Run VRS'!G52,"")</f>
        <v/>
      </c>
      <c r="AN52" s="114">
        <f>IF('Data input'!H52&lt;&gt;"",'Run VRS'!AM52/'Run VRS'!H52,"")</f>
        <v>0.56091405395877247</v>
      </c>
      <c r="AO52" s="114">
        <f>IF('Data input'!I52&lt;&gt;"",'Run VRS'!AN52/'Run VRS'!I52,"")</f>
        <v>0.53321722207220601</v>
      </c>
      <c r="AP52" s="114" t="str">
        <f>IF('Data input'!J52&lt;&gt;"",'Run VRS'!AO52/'Run VRS'!J52,"")</f>
        <v/>
      </c>
      <c r="AQ52" s="114" t="str">
        <f>IF('Data input'!K52&lt;&gt;"",'Run VRS'!AP52/'Run VRS'!K52,"")</f>
        <v/>
      </c>
      <c r="AR52" s="115" t="str">
        <f>IF('Data input'!L52&lt;&gt;"",'Run VRS'!AQ52/'Run VRS'!L52,"")</f>
        <v/>
      </c>
    </row>
    <row r="53" spans="1:44" x14ac:dyDescent="0.35">
      <c r="A53" s="102" t="str">
        <f>IF('Run VRS'!AF53&lt;&gt;"",'Run VRS'!AF53,"")</f>
        <v/>
      </c>
      <c r="B53" s="103" t="str">
        <f>IF('Run VRS'!AG53&lt;&gt;"",'Run VRS'!AG53,"")</f>
        <v/>
      </c>
      <c r="C53" s="104" t="str">
        <f>IF('Run VRS'!AR53&lt;&gt;"",'Run VRS'!AR53,"")</f>
        <v/>
      </c>
      <c r="D53" s="104" t="e">
        <f>IF(ROUND(C53,3)=100%,"Optimal frontier",'Run VRS'!BW53)</f>
        <v>#VALUE!</v>
      </c>
      <c r="E53" s="105" t="str">
        <f>IF('Run VRS'!BC53&lt;&gt;"",'Run VRS'!BC53,"")</f>
        <v/>
      </c>
      <c r="F53" s="106" t="str">
        <f>IF('Run VRS'!BD53&lt;&gt;"",'Run VRS'!BD53,"")</f>
        <v/>
      </c>
      <c r="G53" s="106" t="str">
        <f>IF('Run VRS'!BE53&lt;&gt;"",'Run VRS'!BE53,"")</f>
        <v/>
      </c>
      <c r="H53" s="106" t="str">
        <f>IF('Run VRS'!BF53&lt;&gt;"",'Run VRS'!BF53,"")</f>
        <v/>
      </c>
      <c r="I53" s="106" t="str">
        <f>IF('Run VRS'!BG53&lt;&gt;"",'Run VRS'!BG53,"")</f>
        <v/>
      </c>
      <c r="J53" s="106" t="str">
        <f>IF('Run VRS'!BH53&lt;&gt;"",'Run VRS'!BH53,"")</f>
        <v/>
      </c>
      <c r="K53" s="105" t="str">
        <f>IF('Run VRS'!BI53&lt;&gt;"",'Run VRS'!BI53,"")</f>
        <v/>
      </c>
      <c r="L53" s="105" t="str">
        <f>IF('Run VRS'!BJ53&lt;&gt;"",'Run VRS'!BJ53,"")</f>
        <v/>
      </c>
      <c r="M53" s="105" t="str">
        <f>IF('Run VRS'!BK53&lt;&gt;"",'Run VRS'!BK53,"")</f>
        <v/>
      </c>
      <c r="N53" s="105" t="str">
        <f>IF('Run VRS'!BL53&lt;&gt;"",'Run VRS'!BL53,"")</f>
        <v/>
      </c>
      <c r="O53" s="105" t="str">
        <f>IF('Run VRS'!BM53&lt;&gt;"",'Run VRS'!BM53,"")</f>
        <v/>
      </c>
      <c r="P53" s="106" t="str">
        <f>IF('Run VRS'!BN53&lt;&gt;"",'Run VRS'!BN53,"")</f>
        <v/>
      </c>
      <c r="Q53" s="106" t="str">
        <f>IF('Run VRS'!BO53&lt;&gt;"",'Run VRS'!BO53,"")</f>
        <v/>
      </c>
      <c r="R53" s="106" t="str">
        <f>IF('Run VRS'!BP53&lt;&gt;"",'Run VRS'!BP53,"")</f>
        <v/>
      </c>
      <c r="S53" s="106" t="str">
        <f>IF('Run VRS'!BQ53&lt;&gt;"",'Run VRS'!BQ53,"")</f>
        <v/>
      </c>
      <c r="T53" s="106" t="str">
        <f>IF('Run VRS'!BR53&lt;&gt;"",'Run VRS'!BR53,"")</f>
        <v/>
      </c>
      <c r="U53" s="105" t="str">
        <f>IF('Run VRS'!BS53&lt;&gt;"",'Run VRS'!BS53,"")</f>
        <v/>
      </c>
      <c r="V53" s="105" t="str">
        <f>IF('Run VRS'!BT53&lt;&gt;"",'Run VRS'!BT53,"")</f>
        <v/>
      </c>
      <c r="W53" s="105" t="str">
        <f>IF('Run VRS'!BU53&lt;&gt;"",'Run VRS'!BU53,"")</f>
        <v/>
      </c>
      <c r="X53" s="107" t="str">
        <f>IF('Run VRS'!BV53&lt;&gt;"",'Run VRS'!BV53,"")</f>
        <v/>
      </c>
      <c r="Y53" s="114" t="str">
        <f>IF('Data input'!C53&lt;&gt;"",O53/'Data input'!C53*100%,"")</f>
        <v/>
      </c>
      <c r="Z53" s="114" t="str">
        <f>IF('Data input'!D53&lt;&gt;"",P53/'Data input'!D53*100%,"")</f>
        <v/>
      </c>
      <c r="AA53" s="114" t="str">
        <f>IF('Data input'!E53&lt;&gt;"",Q53/'Data input'!E53*100%,"")</f>
        <v/>
      </c>
      <c r="AB53" s="114" t="str">
        <f>IF('Data input'!F53&lt;&gt;"",R53/'Data input'!F53*100%,"")</f>
        <v/>
      </c>
      <c r="AC53" s="114" t="str">
        <f>IF('Data input'!G53&lt;&gt;"",S53/'Data input'!G53*100%,"")</f>
        <v/>
      </c>
      <c r="AD53" s="114" t="str">
        <f>IF('Data input'!H53&lt;&gt;"",T53/'Data input'!H53*100%,"")</f>
        <v/>
      </c>
      <c r="AE53" s="114" t="str">
        <f>IF('Data input'!I53&lt;&gt;"",U53/'Data input'!I53*100%,"")</f>
        <v/>
      </c>
      <c r="AF53" s="114" t="str">
        <f>IF('Data input'!J53&lt;&gt;"",V53/'Data input'!J53*100%,"")</f>
        <v/>
      </c>
      <c r="AG53" s="114" t="str">
        <f>IF('Data input'!K53&lt;&gt;"",W53/'Data input'!K53*100%,"")</f>
        <v/>
      </c>
      <c r="AH53" s="115" t="str">
        <f>IF('Data input'!L53&lt;&gt;"",X53/'Data input'!L53*100%,"")</f>
        <v/>
      </c>
      <c r="AI53" s="114" t="str">
        <f>IF('Data input'!C53&lt;&gt;"",'Run VRS'!AH53/'Run VRS'!C53,"")</f>
        <v/>
      </c>
      <c r="AJ53" s="114" t="str">
        <f>IF('Data input'!D53&lt;&gt;"",'Run VRS'!AI53/'Run VRS'!D53,"")</f>
        <v/>
      </c>
      <c r="AK53" s="114" t="str">
        <f>IF('Data input'!E53&lt;&gt;"",'Run VRS'!AJ53/'Run VRS'!E53,"")</f>
        <v/>
      </c>
      <c r="AL53" s="114" t="str">
        <f>IF('Data input'!F53&lt;&gt;"",'Run VRS'!AK53/'Run VRS'!F53,"")</f>
        <v/>
      </c>
      <c r="AM53" s="114" t="str">
        <f>IF('Data input'!G53&lt;&gt;"",'Run VRS'!AL53/'Run VRS'!G53,"")</f>
        <v/>
      </c>
      <c r="AN53" s="114" t="str">
        <f>IF('Data input'!H53&lt;&gt;"",'Run VRS'!AM53/'Run VRS'!H53,"")</f>
        <v/>
      </c>
      <c r="AO53" s="114" t="str">
        <f>IF('Data input'!I53&lt;&gt;"",'Run VRS'!AN53/'Run VRS'!I53,"")</f>
        <v/>
      </c>
      <c r="AP53" s="114" t="str">
        <f>IF('Data input'!J53&lt;&gt;"",'Run VRS'!AO53/'Run VRS'!J53,"")</f>
        <v/>
      </c>
      <c r="AQ53" s="114" t="str">
        <f>IF('Data input'!K53&lt;&gt;"",'Run VRS'!AP53/'Run VRS'!K53,"")</f>
        <v/>
      </c>
      <c r="AR53" s="115" t="str">
        <f>IF('Data input'!L53&lt;&gt;"",'Run VRS'!AQ53/'Run VRS'!L53,"")</f>
        <v/>
      </c>
    </row>
    <row r="54" spans="1:44" x14ac:dyDescent="0.35">
      <c r="A54" s="102" t="str">
        <f>IF('Run VRS'!AF54&lt;&gt;"",'Run VRS'!AF54,"")</f>
        <v/>
      </c>
      <c r="B54" s="103" t="str">
        <f>IF('Run VRS'!AG54&lt;&gt;"",'Run VRS'!AG54,"")</f>
        <v/>
      </c>
      <c r="C54" s="104" t="str">
        <f>IF('Run VRS'!AR54&lt;&gt;"",'Run VRS'!AR54,"")</f>
        <v/>
      </c>
      <c r="D54" s="104" t="e">
        <f>IF(ROUND(C54,3)=100%,"Optimal frontier",'Run VRS'!BW54)</f>
        <v>#VALUE!</v>
      </c>
      <c r="E54" s="105" t="str">
        <f>IF('Run VRS'!BC54&lt;&gt;"",'Run VRS'!BC54,"")</f>
        <v/>
      </c>
      <c r="F54" s="106" t="str">
        <f>IF('Run VRS'!BD54&lt;&gt;"",'Run VRS'!BD54,"")</f>
        <v/>
      </c>
      <c r="G54" s="106" t="str">
        <f>IF('Run VRS'!BE54&lt;&gt;"",'Run VRS'!BE54,"")</f>
        <v/>
      </c>
      <c r="H54" s="106" t="str">
        <f>IF('Run VRS'!BF54&lt;&gt;"",'Run VRS'!BF54,"")</f>
        <v/>
      </c>
      <c r="I54" s="106" t="str">
        <f>IF('Run VRS'!BG54&lt;&gt;"",'Run VRS'!BG54,"")</f>
        <v/>
      </c>
      <c r="J54" s="106" t="str">
        <f>IF('Run VRS'!BH54&lt;&gt;"",'Run VRS'!BH54,"")</f>
        <v/>
      </c>
      <c r="K54" s="105" t="str">
        <f>IF('Run VRS'!BI54&lt;&gt;"",'Run VRS'!BI54,"")</f>
        <v/>
      </c>
      <c r="L54" s="105" t="str">
        <f>IF('Run VRS'!BJ54&lt;&gt;"",'Run VRS'!BJ54,"")</f>
        <v/>
      </c>
      <c r="M54" s="105" t="str">
        <f>IF('Run VRS'!BK54&lt;&gt;"",'Run VRS'!BK54,"")</f>
        <v/>
      </c>
      <c r="N54" s="105" t="str">
        <f>IF('Run VRS'!BL54&lt;&gt;"",'Run VRS'!BL54,"")</f>
        <v/>
      </c>
      <c r="O54" s="105" t="str">
        <f>IF('Run VRS'!BM54&lt;&gt;"",'Run VRS'!BM54,"")</f>
        <v/>
      </c>
      <c r="P54" s="106" t="str">
        <f>IF('Run VRS'!BN54&lt;&gt;"",'Run VRS'!BN54,"")</f>
        <v/>
      </c>
      <c r="Q54" s="106" t="str">
        <f>IF('Run VRS'!BO54&lt;&gt;"",'Run VRS'!BO54,"")</f>
        <v/>
      </c>
      <c r="R54" s="106" t="str">
        <f>IF('Run VRS'!BP54&lt;&gt;"",'Run VRS'!BP54,"")</f>
        <v/>
      </c>
      <c r="S54" s="106" t="str">
        <f>IF('Run VRS'!BQ54&lt;&gt;"",'Run VRS'!BQ54,"")</f>
        <v/>
      </c>
      <c r="T54" s="106" t="str">
        <f>IF('Run VRS'!BR54&lt;&gt;"",'Run VRS'!BR54,"")</f>
        <v/>
      </c>
      <c r="U54" s="105" t="str">
        <f>IF('Run VRS'!BS54&lt;&gt;"",'Run VRS'!BS54,"")</f>
        <v/>
      </c>
      <c r="V54" s="105" t="str">
        <f>IF('Run VRS'!BT54&lt;&gt;"",'Run VRS'!BT54,"")</f>
        <v/>
      </c>
      <c r="W54" s="105" t="str">
        <f>IF('Run VRS'!BU54&lt;&gt;"",'Run VRS'!BU54,"")</f>
        <v/>
      </c>
      <c r="X54" s="107" t="str">
        <f>IF('Run VRS'!BV54&lt;&gt;"",'Run VRS'!BV54,"")</f>
        <v/>
      </c>
      <c r="Y54" s="114" t="str">
        <f>IF('Data input'!C54&lt;&gt;"",O54/'Data input'!C54*100%,"")</f>
        <v/>
      </c>
      <c r="Z54" s="114" t="str">
        <f>IF('Data input'!D54&lt;&gt;"",P54/'Data input'!D54*100%,"")</f>
        <v/>
      </c>
      <c r="AA54" s="114" t="str">
        <f>IF('Data input'!E54&lt;&gt;"",Q54/'Data input'!E54*100%,"")</f>
        <v/>
      </c>
      <c r="AB54" s="114" t="str">
        <f>IF('Data input'!F54&lt;&gt;"",R54/'Data input'!F54*100%,"")</f>
        <v/>
      </c>
      <c r="AC54" s="114" t="str">
        <f>IF('Data input'!G54&lt;&gt;"",S54/'Data input'!G54*100%,"")</f>
        <v/>
      </c>
      <c r="AD54" s="114" t="str">
        <f>IF('Data input'!H54&lt;&gt;"",T54/'Data input'!H54*100%,"")</f>
        <v/>
      </c>
      <c r="AE54" s="114" t="str">
        <f>IF('Data input'!I54&lt;&gt;"",U54/'Data input'!I54*100%,"")</f>
        <v/>
      </c>
      <c r="AF54" s="114" t="str">
        <f>IF('Data input'!J54&lt;&gt;"",V54/'Data input'!J54*100%,"")</f>
        <v/>
      </c>
      <c r="AG54" s="114" t="str">
        <f>IF('Data input'!K54&lt;&gt;"",W54/'Data input'!K54*100%,"")</f>
        <v/>
      </c>
      <c r="AH54" s="115" t="str">
        <f>IF('Data input'!L54&lt;&gt;"",X54/'Data input'!L54*100%,"")</f>
        <v/>
      </c>
      <c r="AI54" s="114" t="str">
        <f>IF('Data input'!C54&lt;&gt;"",'Run VRS'!AH54/'Run VRS'!C54,"")</f>
        <v/>
      </c>
      <c r="AJ54" s="114" t="str">
        <f>IF('Data input'!D54&lt;&gt;"",'Run VRS'!AI54/'Run VRS'!D54,"")</f>
        <v/>
      </c>
      <c r="AK54" s="114" t="str">
        <f>IF('Data input'!E54&lt;&gt;"",'Run VRS'!AJ54/'Run VRS'!E54,"")</f>
        <v/>
      </c>
      <c r="AL54" s="114" t="str">
        <f>IF('Data input'!F54&lt;&gt;"",'Run VRS'!AK54/'Run VRS'!F54,"")</f>
        <v/>
      </c>
      <c r="AM54" s="114" t="str">
        <f>IF('Data input'!G54&lt;&gt;"",'Run VRS'!AL54/'Run VRS'!G54,"")</f>
        <v/>
      </c>
      <c r="AN54" s="114" t="str">
        <f>IF('Data input'!H54&lt;&gt;"",'Run VRS'!AM54/'Run VRS'!H54,"")</f>
        <v/>
      </c>
      <c r="AO54" s="114" t="str">
        <f>IF('Data input'!I54&lt;&gt;"",'Run VRS'!AN54/'Run VRS'!I54,"")</f>
        <v/>
      </c>
      <c r="AP54" s="114" t="str">
        <f>IF('Data input'!J54&lt;&gt;"",'Run VRS'!AO54/'Run VRS'!J54,"")</f>
        <v/>
      </c>
      <c r="AQ54" s="114" t="str">
        <f>IF('Data input'!K54&lt;&gt;"",'Run VRS'!AP54/'Run VRS'!K54,"")</f>
        <v/>
      </c>
      <c r="AR54" s="115" t="str">
        <f>IF('Data input'!L54&lt;&gt;"",'Run VRS'!AQ54/'Run VRS'!L54,"")</f>
        <v/>
      </c>
    </row>
    <row r="55" spans="1:44" x14ac:dyDescent="0.35">
      <c r="A55" s="102" t="str">
        <f>IF('Run VRS'!AF55&lt;&gt;"",'Run VRS'!AF55,"")</f>
        <v/>
      </c>
      <c r="B55" s="103" t="str">
        <f>IF('Run VRS'!AG55&lt;&gt;"",'Run VRS'!AG55,"")</f>
        <v/>
      </c>
      <c r="C55" s="104" t="str">
        <f>IF('Run VRS'!AR55&lt;&gt;"",'Run VRS'!AR55,"")</f>
        <v/>
      </c>
      <c r="D55" s="104" t="e">
        <f>IF(ROUND(C55,3)=100%,"Optimal frontier",'Run VRS'!BW55)</f>
        <v>#VALUE!</v>
      </c>
      <c r="E55" s="105" t="str">
        <f>IF('Run VRS'!BC55&lt;&gt;"",'Run VRS'!BC55,"")</f>
        <v/>
      </c>
      <c r="F55" s="106" t="str">
        <f>IF('Run VRS'!BD55&lt;&gt;"",'Run VRS'!BD55,"")</f>
        <v/>
      </c>
      <c r="G55" s="106" t="str">
        <f>IF('Run VRS'!BE55&lt;&gt;"",'Run VRS'!BE55,"")</f>
        <v/>
      </c>
      <c r="H55" s="106" t="str">
        <f>IF('Run VRS'!BF55&lt;&gt;"",'Run VRS'!BF55,"")</f>
        <v/>
      </c>
      <c r="I55" s="106" t="str">
        <f>IF('Run VRS'!BG55&lt;&gt;"",'Run VRS'!BG55,"")</f>
        <v/>
      </c>
      <c r="J55" s="106" t="str">
        <f>IF('Run VRS'!BH55&lt;&gt;"",'Run VRS'!BH55,"")</f>
        <v/>
      </c>
      <c r="K55" s="105" t="str">
        <f>IF('Run VRS'!BI55&lt;&gt;"",'Run VRS'!BI55,"")</f>
        <v/>
      </c>
      <c r="L55" s="105" t="str">
        <f>IF('Run VRS'!BJ55&lt;&gt;"",'Run VRS'!BJ55,"")</f>
        <v/>
      </c>
      <c r="M55" s="105" t="str">
        <f>IF('Run VRS'!BK55&lt;&gt;"",'Run VRS'!BK55,"")</f>
        <v/>
      </c>
      <c r="N55" s="105" t="str">
        <f>IF('Run VRS'!BL55&lt;&gt;"",'Run VRS'!BL55,"")</f>
        <v/>
      </c>
      <c r="O55" s="105" t="str">
        <f>IF('Run VRS'!BM55&lt;&gt;"",'Run VRS'!BM55,"")</f>
        <v/>
      </c>
      <c r="P55" s="106" t="str">
        <f>IF('Run VRS'!BN55&lt;&gt;"",'Run VRS'!BN55,"")</f>
        <v/>
      </c>
      <c r="Q55" s="106" t="str">
        <f>IF('Run VRS'!BO55&lt;&gt;"",'Run VRS'!BO55,"")</f>
        <v/>
      </c>
      <c r="R55" s="106" t="str">
        <f>IF('Run VRS'!BP55&lt;&gt;"",'Run VRS'!BP55,"")</f>
        <v/>
      </c>
      <c r="S55" s="106" t="str">
        <f>IF('Run VRS'!BQ55&lt;&gt;"",'Run VRS'!BQ55,"")</f>
        <v/>
      </c>
      <c r="T55" s="106" t="str">
        <f>IF('Run VRS'!BR55&lt;&gt;"",'Run VRS'!BR55,"")</f>
        <v/>
      </c>
      <c r="U55" s="105" t="str">
        <f>IF('Run VRS'!BS55&lt;&gt;"",'Run VRS'!BS55,"")</f>
        <v/>
      </c>
      <c r="V55" s="105" t="str">
        <f>IF('Run VRS'!BT55&lt;&gt;"",'Run VRS'!BT55,"")</f>
        <v/>
      </c>
      <c r="W55" s="105" t="str">
        <f>IF('Run VRS'!BU55&lt;&gt;"",'Run VRS'!BU55,"")</f>
        <v/>
      </c>
      <c r="X55" s="107" t="str">
        <f>IF('Run VRS'!BV55&lt;&gt;"",'Run VRS'!BV55,"")</f>
        <v/>
      </c>
      <c r="Y55" s="114" t="str">
        <f>IF('Data input'!C55&lt;&gt;"",O55/'Data input'!C55*100%,"")</f>
        <v/>
      </c>
      <c r="Z55" s="114" t="str">
        <f>IF('Data input'!D55&lt;&gt;"",P55/'Data input'!D55*100%,"")</f>
        <v/>
      </c>
      <c r="AA55" s="114" t="str">
        <f>IF('Data input'!E55&lt;&gt;"",Q55/'Data input'!E55*100%,"")</f>
        <v/>
      </c>
      <c r="AB55" s="114" t="str">
        <f>IF('Data input'!F55&lt;&gt;"",R55/'Data input'!F55*100%,"")</f>
        <v/>
      </c>
      <c r="AC55" s="114" t="str">
        <f>IF('Data input'!G55&lt;&gt;"",S55/'Data input'!G55*100%,"")</f>
        <v/>
      </c>
      <c r="AD55" s="114" t="str">
        <f>IF('Data input'!H55&lt;&gt;"",T55/'Data input'!H55*100%,"")</f>
        <v/>
      </c>
      <c r="AE55" s="114" t="str">
        <f>IF('Data input'!I55&lt;&gt;"",U55/'Data input'!I55*100%,"")</f>
        <v/>
      </c>
      <c r="AF55" s="114" t="str">
        <f>IF('Data input'!J55&lt;&gt;"",V55/'Data input'!J55*100%,"")</f>
        <v/>
      </c>
      <c r="AG55" s="114" t="str">
        <f>IF('Data input'!K55&lt;&gt;"",W55/'Data input'!K55*100%,"")</f>
        <v/>
      </c>
      <c r="AH55" s="115" t="str">
        <f>IF('Data input'!L55&lt;&gt;"",X55/'Data input'!L55*100%,"")</f>
        <v/>
      </c>
      <c r="AI55" s="114" t="str">
        <f>IF('Data input'!C55&lt;&gt;"",'Run VRS'!AH55/'Run VRS'!C55,"")</f>
        <v/>
      </c>
      <c r="AJ55" s="114" t="str">
        <f>IF('Data input'!D55&lt;&gt;"",'Run VRS'!AI55/'Run VRS'!D55,"")</f>
        <v/>
      </c>
      <c r="AK55" s="114" t="str">
        <f>IF('Data input'!E55&lt;&gt;"",'Run VRS'!AJ55/'Run VRS'!E55,"")</f>
        <v/>
      </c>
      <c r="AL55" s="114" t="str">
        <f>IF('Data input'!F55&lt;&gt;"",'Run VRS'!AK55/'Run VRS'!F55,"")</f>
        <v/>
      </c>
      <c r="AM55" s="114" t="str">
        <f>IF('Data input'!G55&lt;&gt;"",'Run VRS'!AL55/'Run VRS'!G55,"")</f>
        <v/>
      </c>
      <c r="AN55" s="114" t="str">
        <f>IF('Data input'!H55&lt;&gt;"",'Run VRS'!AM55/'Run VRS'!H55,"")</f>
        <v/>
      </c>
      <c r="AO55" s="114" t="str">
        <f>IF('Data input'!I55&lt;&gt;"",'Run VRS'!AN55/'Run VRS'!I55,"")</f>
        <v/>
      </c>
      <c r="AP55" s="114" t="str">
        <f>IF('Data input'!J55&lt;&gt;"",'Run VRS'!AO55/'Run VRS'!J55,"")</f>
        <v/>
      </c>
      <c r="AQ55" s="114" t="str">
        <f>IF('Data input'!K55&lt;&gt;"",'Run VRS'!AP55/'Run VRS'!K55,"")</f>
        <v/>
      </c>
      <c r="AR55" s="115" t="str">
        <f>IF('Data input'!L55&lt;&gt;"",'Run VRS'!AQ55/'Run VRS'!L55,"")</f>
        <v/>
      </c>
    </row>
    <row r="56" spans="1:44" x14ac:dyDescent="0.35">
      <c r="A56" s="102" t="str">
        <f>IF('Run VRS'!AF56&lt;&gt;"",'Run VRS'!AF56,"")</f>
        <v/>
      </c>
      <c r="B56" s="103" t="str">
        <f>IF('Run VRS'!AG56&lt;&gt;"",'Run VRS'!AG56,"")</f>
        <v/>
      </c>
      <c r="C56" s="104" t="str">
        <f>IF('Run VRS'!AR56&lt;&gt;"",'Run VRS'!AR56,"")</f>
        <v/>
      </c>
      <c r="D56" s="104" t="e">
        <f>IF(ROUND(C56,3)=100%,"Optimal frontier",'Run VRS'!BW56)</f>
        <v>#VALUE!</v>
      </c>
      <c r="E56" s="105" t="str">
        <f>IF('Run VRS'!BC56&lt;&gt;"",'Run VRS'!BC56,"")</f>
        <v/>
      </c>
      <c r="F56" s="106" t="str">
        <f>IF('Run VRS'!BD56&lt;&gt;"",'Run VRS'!BD56,"")</f>
        <v/>
      </c>
      <c r="G56" s="106" t="str">
        <f>IF('Run VRS'!BE56&lt;&gt;"",'Run VRS'!BE56,"")</f>
        <v/>
      </c>
      <c r="H56" s="106" t="str">
        <f>IF('Run VRS'!BF56&lt;&gt;"",'Run VRS'!BF56,"")</f>
        <v/>
      </c>
      <c r="I56" s="106" t="str">
        <f>IF('Run VRS'!BG56&lt;&gt;"",'Run VRS'!BG56,"")</f>
        <v/>
      </c>
      <c r="J56" s="106" t="str">
        <f>IF('Run VRS'!BH56&lt;&gt;"",'Run VRS'!BH56,"")</f>
        <v/>
      </c>
      <c r="K56" s="105" t="str">
        <f>IF('Run VRS'!BI56&lt;&gt;"",'Run VRS'!BI56,"")</f>
        <v/>
      </c>
      <c r="L56" s="105" t="str">
        <f>IF('Run VRS'!BJ56&lt;&gt;"",'Run VRS'!BJ56,"")</f>
        <v/>
      </c>
      <c r="M56" s="105" t="str">
        <f>IF('Run VRS'!BK56&lt;&gt;"",'Run VRS'!BK56,"")</f>
        <v/>
      </c>
      <c r="N56" s="105" t="str">
        <f>IF('Run VRS'!BL56&lt;&gt;"",'Run VRS'!BL56,"")</f>
        <v/>
      </c>
      <c r="O56" s="105" t="str">
        <f>IF('Run VRS'!BM56&lt;&gt;"",'Run VRS'!BM56,"")</f>
        <v/>
      </c>
      <c r="P56" s="106" t="str">
        <f>IF('Run VRS'!BN56&lt;&gt;"",'Run VRS'!BN56,"")</f>
        <v/>
      </c>
      <c r="Q56" s="106" t="str">
        <f>IF('Run VRS'!BO56&lt;&gt;"",'Run VRS'!BO56,"")</f>
        <v/>
      </c>
      <c r="R56" s="106" t="str">
        <f>IF('Run VRS'!BP56&lt;&gt;"",'Run VRS'!BP56,"")</f>
        <v/>
      </c>
      <c r="S56" s="106" t="str">
        <f>IF('Run VRS'!BQ56&lt;&gt;"",'Run VRS'!BQ56,"")</f>
        <v/>
      </c>
      <c r="T56" s="106" t="str">
        <f>IF('Run VRS'!BR56&lt;&gt;"",'Run VRS'!BR56,"")</f>
        <v/>
      </c>
      <c r="U56" s="105" t="str">
        <f>IF('Run VRS'!BS56&lt;&gt;"",'Run VRS'!BS56,"")</f>
        <v/>
      </c>
      <c r="V56" s="105" t="str">
        <f>IF('Run VRS'!BT56&lt;&gt;"",'Run VRS'!BT56,"")</f>
        <v/>
      </c>
      <c r="W56" s="105" t="str">
        <f>IF('Run VRS'!BU56&lt;&gt;"",'Run VRS'!BU56,"")</f>
        <v/>
      </c>
      <c r="X56" s="107" t="str">
        <f>IF('Run VRS'!BV56&lt;&gt;"",'Run VRS'!BV56,"")</f>
        <v/>
      </c>
      <c r="Y56" s="114" t="str">
        <f>IF('Data input'!C56&lt;&gt;"",O56/'Data input'!C56*100%,"")</f>
        <v/>
      </c>
      <c r="Z56" s="114" t="str">
        <f>IF('Data input'!D56&lt;&gt;"",P56/'Data input'!D56*100%,"")</f>
        <v/>
      </c>
      <c r="AA56" s="114" t="str">
        <f>IF('Data input'!E56&lt;&gt;"",Q56/'Data input'!E56*100%,"")</f>
        <v/>
      </c>
      <c r="AB56" s="114" t="str">
        <f>IF('Data input'!F56&lt;&gt;"",R56/'Data input'!F56*100%,"")</f>
        <v/>
      </c>
      <c r="AC56" s="114" t="str">
        <f>IF('Data input'!G56&lt;&gt;"",S56/'Data input'!G56*100%,"")</f>
        <v/>
      </c>
      <c r="AD56" s="114" t="str">
        <f>IF('Data input'!H56&lt;&gt;"",T56/'Data input'!H56*100%,"")</f>
        <v/>
      </c>
      <c r="AE56" s="114" t="str">
        <f>IF('Data input'!I56&lt;&gt;"",U56/'Data input'!I56*100%,"")</f>
        <v/>
      </c>
      <c r="AF56" s="114" t="str">
        <f>IF('Data input'!J56&lt;&gt;"",V56/'Data input'!J56*100%,"")</f>
        <v/>
      </c>
      <c r="AG56" s="114" t="str">
        <f>IF('Data input'!K56&lt;&gt;"",W56/'Data input'!K56*100%,"")</f>
        <v/>
      </c>
      <c r="AH56" s="115" t="str">
        <f>IF('Data input'!L56&lt;&gt;"",X56/'Data input'!L56*100%,"")</f>
        <v/>
      </c>
      <c r="AI56" s="114" t="str">
        <f>IF('Data input'!C56&lt;&gt;"",'Run VRS'!AH56/'Run VRS'!C56,"")</f>
        <v/>
      </c>
      <c r="AJ56" s="114" t="str">
        <f>IF('Data input'!D56&lt;&gt;"",'Run VRS'!AI56/'Run VRS'!D56,"")</f>
        <v/>
      </c>
      <c r="AK56" s="114" t="str">
        <f>IF('Data input'!E56&lt;&gt;"",'Run VRS'!AJ56/'Run VRS'!E56,"")</f>
        <v/>
      </c>
      <c r="AL56" s="114" t="str">
        <f>IF('Data input'!F56&lt;&gt;"",'Run VRS'!AK56/'Run VRS'!F56,"")</f>
        <v/>
      </c>
      <c r="AM56" s="114" t="str">
        <f>IF('Data input'!G56&lt;&gt;"",'Run VRS'!AL56/'Run VRS'!G56,"")</f>
        <v/>
      </c>
      <c r="AN56" s="114" t="str">
        <f>IF('Data input'!H56&lt;&gt;"",'Run VRS'!AM56/'Run VRS'!H56,"")</f>
        <v/>
      </c>
      <c r="AO56" s="114" t="str">
        <f>IF('Data input'!I56&lt;&gt;"",'Run VRS'!AN56/'Run VRS'!I56,"")</f>
        <v/>
      </c>
      <c r="AP56" s="114" t="str">
        <f>IF('Data input'!J56&lt;&gt;"",'Run VRS'!AO56/'Run VRS'!J56,"")</f>
        <v/>
      </c>
      <c r="AQ56" s="114" t="str">
        <f>IF('Data input'!K56&lt;&gt;"",'Run VRS'!AP56/'Run VRS'!K56,"")</f>
        <v/>
      </c>
      <c r="AR56" s="115" t="str">
        <f>IF('Data input'!L56&lt;&gt;"",'Run VRS'!AQ56/'Run VRS'!L56,"")</f>
        <v/>
      </c>
    </row>
    <row r="57" spans="1:44" x14ac:dyDescent="0.35">
      <c r="A57" s="102" t="str">
        <f>IF('Run VRS'!AF57&lt;&gt;"",'Run VRS'!AF57,"")</f>
        <v/>
      </c>
      <c r="B57" s="103" t="str">
        <f>IF('Run VRS'!AG57&lt;&gt;"",'Run VRS'!AG57,"")</f>
        <v/>
      </c>
      <c r="C57" s="104" t="str">
        <f>IF('Run VRS'!AR57&lt;&gt;"",'Run VRS'!AR57,"")</f>
        <v/>
      </c>
      <c r="D57" s="104" t="e">
        <f>IF(ROUND(C57,3)=100%,"Optimal frontier",'Run VRS'!BW57)</f>
        <v>#VALUE!</v>
      </c>
      <c r="E57" s="105" t="str">
        <f>IF('Run VRS'!BC57&lt;&gt;"",'Run VRS'!BC57,"")</f>
        <v/>
      </c>
      <c r="F57" s="106" t="str">
        <f>IF('Run VRS'!BD57&lt;&gt;"",'Run VRS'!BD57,"")</f>
        <v/>
      </c>
      <c r="G57" s="106" t="str">
        <f>IF('Run VRS'!BE57&lt;&gt;"",'Run VRS'!BE57,"")</f>
        <v/>
      </c>
      <c r="H57" s="106" t="str">
        <f>IF('Run VRS'!BF57&lt;&gt;"",'Run VRS'!BF57,"")</f>
        <v/>
      </c>
      <c r="I57" s="106" t="str">
        <f>IF('Run VRS'!BG57&lt;&gt;"",'Run VRS'!BG57,"")</f>
        <v/>
      </c>
      <c r="J57" s="106" t="str">
        <f>IF('Run VRS'!BH57&lt;&gt;"",'Run VRS'!BH57,"")</f>
        <v/>
      </c>
      <c r="K57" s="105" t="str">
        <f>IF('Run VRS'!BI57&lt;&gt;"",'Run VRS'!BI57,"")</f>
        <v/>
      </c>
      <c r="L57" s="105" t="str">
        <f>IF('Run VRS'!BJ57&lt;&gt;"",'Run VRS'!BJ57,"")</f>
        <v/>
      </c>
      <c r="M57" s="105" t="str">
        <f>IF('Run VRS'!BK57&lt;&gt;"",'Run VRS'!BK57,"")</f>
        <v/>
      </c>
      <c r="N57" s="105" t="str">
        <f>IF('Run VRS'!BL57&lt;&gt;"",'Run VRS'!BL57,"")</f>
        <v/>
      </c>
      <c r="O57" s="105" t="str">
        <f>IF('Run VRS'!BM57&lt;&gt;"",'Run VRS'!BM57,"")</f>
        <v/>
      </c>
      <c r="P57" s="106" t="str">
        <f>IF('Run VRS'!BN57&lt;&gt;"",'Run VRS'!BN57,"")</f>
        <v/>
      </c>
      <c r="Q57" s="106" t="str">
        <f>IF('Run VRS'!BO57&lt;&gt;"",'Run VRS'!BO57,"")</f>
        <v/>
      </c>
      <c r="R57" s="106" t="str">
        <f>IF('Run VRS'!BP57&lt;&gt;"",'Run VRS'!BP57,"")</f>
        <v/>
      </c>
      <c r="S57" s="106" t="str">
        <f>IF('Run VRS'!BQ57&lt;&gt;"",'Run VRS'!BQ57,"")</f>
        <v/>
      </c>
      <c r="T57" s="106" t="str">
        <f>IF('Run VRS'!BR57&lt;&gt;"",'Run VRS'!BR57,"")</f>
        <v/>
      </c>
      <c r="U57" s="105" t="str">
        <f>IF('Run VRS'!BS57&lt;&gt;"",'Run VRS'!BS57,"")</f>
        <v/>
      </c>
      <c r="V57" s="105" t="str">
        <f>IF('Run VRS'!BT57&lt;&gt;"",'Run VRS'!BT57,"")</f>
        <v/>
      </c>
      <c r="W57" s="105" t="str">
        <f>IF('Run VRS'!BU57&lt;&gt;"",'Run VRS'!BU57,"")</f>
        <v/>
      </c>
      <c r="X57" s="107" t="str">
        <f>IF('Run VRS'!BV57&lt;&gt;"",'Run VRS'!BV57,"")</f>
        <v/>
      </c>
      <c r="Y57" s="114" t="str">
        <f>IF('Data input'!C57&lt;&gt;"",O57/'Data input'!C57*100%,"")</f>
        <v/>
      </c>
      <c r="Z57" s="114" t="str">
        <f>IF('Data input'!D57&lt;&gt;"",P57/'Data input'!D57*100%,"")</f>
        <v/>
      </c>
      <c r="AA57" s="114" t="str">
        <f>IF('Data input'!E57&lt;&gt;"",Q57/'Data input'!E57*100%,"")</f>
        <v/>
      </c>
      <c r="AB57" s="114" t="str">
        <f>IF('Data input'!F57&lt;&gt;"",R57/'Data input'!F57*100%,"")</f>
        <v/>
      </c>
      <c r="AC57" s="114" t="str">
        <f>IF('Data input'!G57&lt;&gt;"",S57/'Data input'!G57*100%,"")</f>
        <v/>
      </c>
      <c r="AD57" s="114" t="str">
        <f>IF('Data input'!H57&lt;&gt;"",T57/'Data input'!H57*100%,"")</f>
        <v/>
      </c>
      <c r="AE57" s="114" t="str">
        <f>IF('Data input'!I57&lt;&gt;"",U57/'Data input'!I57*100%,"")</f>
        <v/>
      </c>
      <c r="AF57" s="114" t="str">
        <f>IF('Data input'!J57&lt;&gt;"",V57/'Data input'!J57*100%,"")</f>
        <v/>
      </c>
      <c r="AG57" s="114" t="str">
        <f>IF('Data input'!K57&lt;&gt;"",W57/'Data input'!K57*100%,"")</f>
        <v/>
      </c>
      <c r="AH57" s="115" t="str">
        <f>IF('Data input'!L57&lt;&gt;"",X57/'Data input'!L57*100%,"")</f>
        <v/>
      </c>
      <c r="AI57" s="114" t="str">
        <f>IF('Data input'!C57&lt;&gt;"",'Run VRS'!AH57/'Run VRS'!C57,"")</f>
        <v/>
      </c>
      <c r="AJ57" s="114" t="str">
        <f>IF('Data input'!D57&lt;&gt;"",'Run VRS'!AI57/'Run VRS'!D57,"")</f>
        <v/>
      </c>
      <c r="AK57" s="114" t="str">
        <f>IF('Data input'!E57&lt;&gt;"",'Run VRS'!AJ57/'Run VRS'!E57,"")</f>
        <v/>
      </c>
      <c r="AL57" s="114" t="str">
        <f>IF('Data input'!F57&lt;&gt;"",'Run VRS'!AK57/'Run VRS'!F57,"")</f>
        <v/>
      </c>
      <c r="AM57" s="114" t="str">
        <f>IF('Data input'!G57&lt;&gt;"",'Run VRS'!AL57/'Run VRS'!G57,"")</f>
        <v/>
      </c>
      <c r="AN57" s="114" t="str">
        <f>IF('Data input'!H57&lt;&gt;"",'Run VRS'!AM57/'Run VRS'!H57,"")</f>
        <v/>
      </c>
      <c r="AO57" s="114" t="str">
        <f>IF('Data input'!I57&lt;&gt;"",'Run VRS'!AN57/'Run VRS'!I57,"")</f>
        <v/>
      </c>
      <c r="AP57" s="114" t="str">
        <f>IF('Data input'!J57&lt;&gt;"",'Run VRS'!AO57/'Run VRS'!J57,"")</f>
        <v/>
      </c>
      <c r="AQ57" s="114" t="str">
        <f>IF('Data input'!K57&lt;&gt;"",'Run VRS'!AP57/'Run VRS'!K57,"")</f>
        <v/>
      </c>
      <c r="AR57" s="115" t="str">
        <f>IF('Data input'!L57&lt;&gt;"",'Run VRS'!AQ57/'Run VRS'!L57,"")</f>
        <v/>
      </c>
    </row>
    <row r="58" spans="1:44" x14ac:dyDescent="0.35">
      <c r="A58" s="102" t="str">
        <f>IF('Run VRS'!AF58&lt;&gt;"",'Run VRS'!AF58,"")</f>
        <v/>
      </c>
      <c r="B58" s="103" t="str">
        <f>IF('Run VRS'!AG58&lt;&gt;"",'Run VRS'!AG58,"")</f>
        <v/>
      </c>
      <c r="C58" s="104" t="str">
        <f>IF('Run VRS'!AR58&lt;&gt;"",'Run VRS'!AR58,"")</f>
        <v/>
      </c>
      <c r="D58" s="104" t="e">
        <f>IF(ROUND(C58,3)=100%,"Optimal frontier",'Run VRS'!BW58)</f>
        <v>#VALUE!</v>
      </c>
      <c r="E58" s="105" t="str">
        <f>IF('Run VRS'!BC58&lt;&gt;"",'Run VRS'!BC58,"")</f>
        <v/>
      </c>
      <c r="F58" s="106" t="str">
        <f>IF('Run VRS'!BD58&lt;&gt;"",'Run VRS'!BD58,"")</f>
        <v/>
      </c>
      <c r="G58" s="106" t="str">
        <f>IF('Run VRS'!BE58&lt;&gt;"",'Run VRS'!BE58,"")</f>
        <v/>
      </c>
      <c r="H58" s="106" t="str">
        <f>IF('Run VRS'!BF58&lt;&gt;"",'Run VRS'!BF58,"")</f>
        <v/>
      </c>
      <c r="I58" s="106" t="str">
        <f>IF('Run VRS'!BG58&lt;&gt;"",'Run VRS'!BG58,"")</f>
        <v/>
      </c>
      <c r="J58" s="106" t="str">
        <f>IF('Run VRS'!BH58&lt;&gt;"",'Run VRS'!BH58,"")</f>
        <v/>
      </c>
      <c r="K58" s="105" t="str">
        <f>IF('Run VRS'!BI58&lt;&gt;"",'Run VRS'!BI58,"")</f>
        <v/>
      </c>
      <c r="L58" s="105" t="str">
        <f>IF('Run VRS'!BJ58&lt;&gt;"",'Run VRS'!BJ58,"")</f>
        <v/>
      </c>
      <c r="M58" s="105" t="str">
        <f>IF('Run VRS'!BK58&lt;&gt;"",'Run VRS'!BK58,"")</f>
        <v/>
      </c>
      <c r="N58" s="105" t="str">
        <f>IF('Run VRS'!BL58&lt;&gt;"",'Run VRS'!BL58,"")</f>
        <v/>
      </c>
      <c r="O58" s="105" t="str">
        <f>IF('Run VRS'!BM58&lt;&gt;"",'Run VRS'!BM58,"")</f>
        <v/>
      </c>
      <c r="P58" s="106" t="str">
        <f>IF('Run VRS'!BN58&lt;&gt;"",'Run VRS'!BN58,"")</f>
        <v/>
      </c>
      <c r="Q58" s="106" t="str">
        <f>IF('Run VRS'!BO58&lt;&gt;"",'Run VRS'!BO58,"")</f>
        <v/>
      </c>
      <c r="R58" s="106" t="str">
        <f>IF('Run VRS'!BP58&lt;&gt;"",'Run VRS'!BP58,"")</f>
        <v/>
      </c>
      <c r="S58" s="106" t="str">
        <f>IF('Run VRS'!BQ58&lt;&gt;"",'Run VRS'!BQ58,"")</f>
        <v/>
      </c>
      <c r="T58" s="106" t="str">
        <f>IF('Run VRS'!BR58&lt;&gt;"",'Run VRS'!BR58,"")</f>
        <v/>
      </c>
      <c r="U58" s="105" t="str">
        <f>IF('Run VRS'!BS58&lt;&gt;"",'Run VRS'!BS58,"")</f>
        <v/>
      </c>
      <c r="V58" s="105" t="str">
        <f>IF('Run VRS'!BT58&lt;&gt;"",'Run VRS'!BT58,"")</f>
        <v/>
      </c>
      <c r="W58" s="105" t="str">
        <f>IF('Run VRS'!BU58&lt;&gt;"",'Run VRS'!BU58,"")</f>
        <v/>
      </c>
      <c r="X58" s="107" t="str">
        <f>IF('Run VRS'!BV58&lt;&gt;"",'Run VRS'!BV58,"")</f>
        <v/>
      </c>
      <c r="Y58" s="114" t="str">
        <f>IF('Data input'!C58&lt;&gt;"",O58/'Data input'!C58*100%,"")</f>
        <v/>
      </c>
      <c r="Z58" s="114" t="str">
        <f>IF('Data input'!D58&lt;&gt;"",P58/'Data input'!D58*100%,"")</f>
        <v/>
      </c>
      <c r="AA58" s="114" t="str">
        <f>IF('Data input'!E58&lt;&gt;"",Q58/'Data input'!E58*100%,"")</f>
        <v/>
      </c>
      <c r="AB58" s="114" t="str">
        <f>IF('Data input'!F58&lt;&gt;"",R58/'Data input'!F58*100%,"")</f>
        <v/>
      </c>
      <c r="AC58" s="114" t="str">
        <f>IF('Data input'!G58&lt;&gt;"",S58/'Data input'!G58*100%,"")</f>
        <v/>
      </c>
      <c r="AD58" s="114" t="str">
        <f>IF('Data input'!H58&lt;&gt;"",T58/'Data input'!H58*100%,"")</f>
        <v/>
      </c>
      <c r="AE58" s="114" t="str">
        <f>IF('Data input'!I58&lt;&gt;"",U58/'Data input'!I58*100%,"")</f>
        <v/>
      </c>
      <c r="AF58" s="114" t="str">
        <f>IF('Data input'!J58&lt;&gt;"",V58/'Data input'!J58*100%,"")</f>
        <v/>
      </c>
      <c r="AG58" s="114" t="str">
        <f>IF('Data input'!K58&lt;&gt;"",W58/'Data input'!K58*100%,"")</f>
        <v/>
      </c>
      <c r="AH58" s="115" t="str">
        <f>IF('Data input'!L58&lt;&gt;"",X58/'Data input'!L58*100%,"")</f>
        <v/>
      </c>
      <c r="AI58" s="114" t="str">
        <f>IF('Data input'!C58&lt;&gt;"",'Run VRS'!AH58/'Run VRS'!C58,"")</f>
        <v/>
      </c>
      <c r="AJ58" s="114" t="str">
        <f>IF('Data input'!D58&lt;&gt;"",'Run VRS'!AI58/'Run VRS'!D58,"")</f>
        <v/>
      </c>
      <c r="AK58" s="114" t="str">
        <f>IF('Data input'!E58&lt;&gt;"",'Run VRS'!AJ58/'Run VRS'!E58,"")</f>
        <v/>
      </c>
      <c r="AL58" s="114" t="str">
        <f>IF('Data input'!F58&lt;&gt;"",'Run VRS'!AK58/'Run VRS'!F58,"")</f>
        <v/>
      </c>
      <c r="AM58" s="114" t="str">
        <f>IF('Data input'!G58&lt;&gt;"",'Run VRS'!AL58/'Run VRS'!G58,"")</f>
        <v/>
      </c>
      <c r="AN58" s="114" t="str">
        <f>IF('Data input'!H58&lt;&gt;"",'Run VRS'!AM58/'Run VRS'!H58,"")</f>
        <v/>
      </c>
      <c r="AO58" s="114" t="str">
        <f>IF('Data input'!I58&lt;&gt;"",'Run VRS'!AN58/'Run VRS'!I58,"")</f>
        <v/>
      </c>
      <c r="AP58" s="114" t="str">
        <f>IF('Data input'!J58&lt;&gt;"",'Run VRS'!AO58/'Run VRS'!J58,"")</f>
        <v/>
      </c>
      <c r="AQ58" s="114" t="str">
        <f>IF('Data input'!K58&lt;&gt;"",'Run VRS'!AP58/'Run VRS'!K58,"")</f>
        <v/>
      </c>
      <c r="AR58" s="115" t="str">
        <f>IF('Data input'!L58&lt;&gt;"",'Run VRS'!AQ58/'Run VRS'!L58,"")</f>
        <v/>
      </c>
    </row>
    <row r="59" spans="1:44" x14ac:dyDescent="0.35">
      <c r="A59" s="102" t="str">
        <f>IF('Run VRS'!AF59&lt;&gt;"",'Run VRS'!AF59,"")</f>
        <v/>
      </c>
      <c r="B59" s="103" t="str">
        <f>IF('Run VRS'!AG59&lt;&gt;"",'Run VRS'!AG59,"")</f>
        <v/>
      </c>
      <c r="C59" s="104" t="str">
        <f>IF('Run VRS'!AR59&lt;&gt;"",'Run VRS'!AR59,"")</f>
        <v/>
      </c>
      <c r="D59" s="104" t="e">
        <f>IF(ROUND(C59,3)=100%,"Optimal frontier",'Run VRS'!BW59)</f>
        <v>#VALUE!</v>
      </c>
      <c r="E59" s="105" t="str">
        <f>IF('Run VRS'!BC59&lt;&gt;"",'Run VRS'!BC59,"")</f>
        <v/>
      </c>
      <c r="F59" s="106" t="str">
        <f>IF('Run VRS'!BD59&lt;&gt;"",'Run VRS'!BD59,"")</f>
        <v/>
      </c>
      <c r="G59" s="106" t="str">
        <f>IF('Run VRS'!BE59&lt;&gt;"",'Run VRS'!BE59,"")</f>
        <v/>
      </c>
      <c r="H59" s="106" t="str">
        <f>IF('Run VRS'!BF59&lt;&gt;"",'Run VRS'!BF59,"")</f>
        <v/>
      </c>
      <c r="I59" s="106" t="str">
        <f>IF('Run VRS'!BG59&lt;&gt;"",'Run VRS'!BG59,"")</f>
        <v/>
      </c>
      <c r="J59" s="106" t="str">
        <f>IF('Run VRS'!BH59&lt;&gt;"",'Run VRS'!BH59,"")</f>
        <v/>
      </c>
      <c r="K59" s="105" t="str">
        <f>IF('Run VRS'!BI59&lt;&gt;"",'Run VRS'!BI59,"")</f>
        <v/>
      </c>
      <c r="L59" s="105" t="str">
        <f>IF('Run VRS'!BJ59&lt;&gt;"",'Run VRS'!BJ59,"")</f>
        <v/>
      </c>
      <c r="M59" s="105" t="str">
        <f>IF('Run VRS'!BK59&lt;&gt;"",'Run VRS'!BK59,"")</f>
        <v/>
      </c>
      <c r="N59" s="105" t="str">
        <f>IF('Run VRS'!BL59&lt;&gt;"",'Run VRS'!BL59,"")</f>
        <v/>
      </c>
      <c r="O59" s="105" t="str">
        <f>IF('Run VRS'!BM59&lt;&gt;"",'Run VRS'!BM59,"")</f>
        <v/>
      </c>
      <c r="P59" s="106" t="str">
        <f>IF('Run VRS'!BN59&lt;&gt;"",'Run VRS'!BN59,"")</f>
        <v/>
      </c>
      <c r="Q59" s="106" t="str">
        <f>IF('Run VRS'!BO59&lt;&gt;"",'Run VRS'!BO59,"")</f>
        <v/>
      </c>
      <c r="R59" s="106" t="str">
        <f>IF('Run VRS'!BP59&lt;&gt;"",'Run VRS'!BP59,"")</f>
        <v/>
      </c>
      <c r="S59" s="106" t="str">
        <f>IF('Run VRS'!BQ59&lt;&gt;"",'Run VRS'!BQ59,"")</f>
        <v/>
      </c>
      <c r="T59" s="106" t="str">
        <f>IF('Run VRS'!BR59&lt;&gt;"",'Run VRS'!BR59,"")</f>
        <v/>
      </c>
      <c r="U59" s="105" t="str">
        <f>IF('Run VRS'!BS59&lt;&gt;"",'Run VRS'!BS59,"")</f>
        <v/>
      </c>
      <c r="V59" s="105" t="str">
        <f>IF('Run VRS'!BT59&lt;&gt;"",'Run VRS'!BT59,"")</f>
        <v/>
      </c>
      <c r="W59" s="105" t="str">
        <f>IF('Run VRS'!BU59&lt;&gt;"",'Run VRS'!BU59,"")</f>
        <v/>
      </c>
      <c r="X59" s="107" t="str">
        <f>IF('Run VRS'!BV59&lt;&gt;"",'Run VRS'!BV59,"")</f>
        <v/>
      </c>
      <c r="Y59" s="114" t="str">
        <f>IF('Data input'!C59&lt;&gt;"",O59/'Data input'!C59*100%,"")</f>
        <v/>
      </c>
      <c r="Z59" s="114" t="str">
        <f>IF('Data input'!D59&lt;&gt;"",P59/'Data input'!D59*100%,"")</f>
        <v/>
      </c>
      <c r="AA59" s="114" t="str">
        <f>IF('Data input'!E59&lt;&gt;"",Q59/'Data input'!E59*100%,"")</f>
        <v/>
      </c>
      <c r="AB59" s="114" t="str">
        <f>IF('Data input'!F59&lt;&gt;"",R59/'Data input'!F59*100%,"")</f>
        <v/>
      </c>
      <c r="AC59" s="114" t="str">
        <f>IF('Data input'!G59&lt;&gt;"",S59/'Data input'!G59*100%,"")</f>
        <v/>
      </c>
      <c r="AD59" s="114" t="str">
        <f>IF('Data input'!H59&lt;&gt;"",T59/'Data input'!H59*100%,"")</f>
        <v/>
      </c>
      <c r="AE59" s="114" t="str">
        <f>IF('Data input'!I59&lt;&gt;"",U59/'Data input'!I59*100%,"")</f>
        <v/>
      </c>
      <c r="AF59" s="114" t="str">
        <f>IF('Data input'!J59&lt;&gt;"",V59/'Data input'!J59*100%,"")</f>
        <v/>
      </c>
      <c r="AG59" s="114" t="str">
        <f>IF('Data input'!K59&lt;&gt;"",W59/'Data input'!K59*100%,"")</f>
        <v/>
      </c>
      <c r="AH59" s="115" t="str">
        <f>IF('Data input'!L59&lt;&gt;"",X59/'Data input'!L59*100%,"")</f>
        <v/>
      </c>
      <c r="AI59" s="114" t="str">
        <f>IF('Data input'!C59&lt;&gt;"",'Run VRS'!AH59/'Run VRS'!C59,"")</f>
        <v/>
      </c>
      <c r="AJ59" s="114" t="str">
        <f>IF('Data input'!D59&lt;&gt;"",'Run VRS'!AI59/'Run VRS'!D59,"")</f>
        <v/>
      </c>
      <c r="AK59" s="114" t="str">
        <f>IF('Data input'!E59&lt;&gt;"",'Run VRS'!AJ59/'Run VRS'!E59,"")</f>
        <v/>
      </c>
      <c r="AL59" s="114" t="str">
        <f>IF('Data input'!F59&lt;&gt;"",'Run VRS'!AK59/'Run VRS'!F59,"")</f>
        <v/>
      </c>
      <c r="AM59" s="114" t="str">
        <f>IF('Data input'!G59&lt;&gt;"",'Run VRS'!AL59/'Run VRS'!G59,"")</f>
        <v/>
      </c>
      <c r="AN59" s="114" t="str">
        <f>IF('Data input'!H59&lt;&gt;"",'Run VRS'!AM59/'Run VRS'!H59,"")</f>
        <v/>
      </c>
      <c r="AO59" s="114" t="str">
        <f>IF('Data input'!I59&lt;&gt;"",'Run VRS'!AN59/'Run VRS'!I59,"")</f>
        <v/>
      </c>
      <c r="AP59" s="114" t="str">
        <f>IF('Data input'!J59&lt;&gt;"",'Run VRS'!AO59/'Run VRS'!J59,"")</f>
        <v/>
      </c>
      <c r="AQ59" s="114" t="str">
        <f>IF('Data input'!K59&lt;&gt;"",'Run VRS'!AP59/'Run VRS'!K59,"")</f>
        <v/>
      </c>
      <c r="AR59" s="115" t="str">
        <f>IF('Data input'!L59&lt;&gt;"",'Run VRS'!AQ59/'Run VRS'!L59,"")</f>
        <v/>
      </c>
    </row>
    <row r="60" spans="1:44" x14ac:dyDescent="0.35">
      <c r="A60" s="102" t="str">
        <f>IF('Run VRS'!AF60&lt;&gt;"",'Run VRS'!AF60,"")</f>
        <v/>
      </c>
      <c r="B60" s="103" t="str">
        <f>IF('Run VRS'!AG60&lt;&gt;"",'Run VRS'!AG60,"")</f>
        <v/>
      </c>
      <c r="C60" s="104" t="str">
        <f>IF('Run VRS'!AR60&lt;&gt;"",'Run VRS'!AR60,"")</f>
        <v/>
      </c>
      <c r="D60" s="104" t="e">
        <f>IF(ROUND(C60,3)=100%,"Optimal frontier",'Run VRS'!BW60)</f>
        <v>#VALUE!</v>
      </c>
      <c r="E60" s="105" t="str">
        <f>IF('Run VRS'!BC60&lt;&gt;"",'Run VRS'!BC60,"")</f>
        <v/>
      </c>
      <c r="F60" s="106" t="str">
        <f>IF('Run VRS'!BD60&lt;&gt;"",'Run VRS'!BD60,"")</f>
        <v/>
      </c>
      <c r="G60" s="106" t="str">
        <f>IF('Run VRS'!BE60&lt;&gt;"",'Run VRS'!BE60,"")</f>
        <v/>
      </c>
      <c r="H60" s="106" t="str">
        <f>IF('Run VRS'!BF60&lt;&gt;"",'Run VRS'!BF60,"")</f>
        <v/>
      </c>
      <c r="I60" s="106" t="str">
        <f>IF('Run VRS'!BG60&lt;&gt;"",'Run VRS'!BG60,"")</f>
        <v/>
      </c>
      <c r="J60" s="106" t="str">
        <f>IF('Run VRS'!BH60&lt;&gt;"",'Run VRS'!BH60,"")</f>
        <v/>
      </c>
      <c r="K60" s="105" t="str">
        <f>IF('Run VRS'!BI60&lt;&gt;"",'Run VRS'!BI60,"")</f>
        <v/>
      </c>
      <c r="L60" s="105" t="str">
        <f>IF('Run VRS'!BJ60&lt;&gt;"",'Run VRS'!BJ60,"")</f>
        <v/>
      </c>
      <c r="M60" s="105" t="str">
        <f>IF('Run VRS'!BK60&lt;&gt;"",'Run VRS'!BK60,"")</f>
        <v/>
      </c>
      <c r="N60" s="105" t="str">
        <f>IF('Run VRS'!BL60&lt;&gt;"",'Run VRS'!BL60,"")</f>
        <v/>
      </c>
      <c r="O60" s="105" t="str">
        <f>IF('Run VRS'!BM60&lt;&gt;"",'Run VRS'!BM60,"")</f>
        <v/>
      </c>
      <c r="P60" s="106" t="str">
        <f>IF('Run VRS'!BN60&lt;&gt;"",'Run VRS'!BN60,"")</f>
        <v/>
      </c>
      <c r="Q60" s="106" t="str">
        <f>IF('Run VRS'!BO60&lt;&gt;"",'Run VRS'!BO60,"")</f>
        <v/>
      </c>
      <c r="R60" s="106" t="str">
        <f>IF('Run VRS'!BP60&lt;&gt;"",'Run VRS'!BP60,"")</f>
        <v/>
      </c>
      <c r="S60" s="106" t="str">
        <f>IF('Run VRS'!BQ60&lt;&gt;"",'Run VRS'!BQ60,"")</f>
        <v/>
      </c>
      <c r="T60" s="106" t="str">
        <f>IF('Run VRS'!BR60&lt;&gt;"",'Run VRS'!BR60,"")</f>
        <v/>
      </c>
      <c r="U60" s="105" t="str">
        <f>IF('Run VRS'!BS60&lt;&gt;"",'Run VRS'!BS60,"")</f>
        <v/>
      </c>
      <c r="V60" s="105" t="str">
        <f>IF('Run VRS'!BT60&lt;&gt;"",'Run VRS'!BT60,"")</f>
        <v/>
      </c>
      <c r="W60" s="105" t="str">
        <f>IF('Run VRS'!BU60&lt;&gt;"",'Run VRS'!BU60,"")</f>
        <v/>
      </c>
      <c r="X60" s="107" t="str">
        <f>IF('Run VRS'!BV60&lt;&gt;"",'Run VRS'!BV60,"")</f>
        <v/>
      </c>
      <c r="Y60" s="114" t="str">
        <f>IF('Data input'!C60&lt;&gt;"",O60/'Data input'!C60*100%,"")</f>
        <v/>
      </c>
      <c r="Z60" s="114" t="str">
        <f>IF('Data input'!D60&lt;&gt;"",P60/'Data input'!D60*100%,"")</f>
        <v/>
      </c>
      <c r="AA60" s="114" t="str">
        <f>IF('Data input'!E60&lt;&gt;"",Q60/'Data input'!E60*100%,"")</f>
        <v/>
      </c>
      <c r="AB60" s="114" t="str">
        <f>IF('Data input'!F60&lt;&gt;"",R60/'Data input'!F60*100%,"")</f>
        <v/>
      </c>
      <c r="AC60" s="114" t="str">
        <f>IF('Data input'!G60&lt;&gt;"",S60/'Data input'!G60*100%,"")</f>
        <v/>
      </c>
      <c r="AD60" s="114" t="str">
        <f>IF('Data input'!H60&lt;&gt;"",T60/'Data input'!H60*100%,"")</f>
        <v/>
      </c>
      <c r="AE60" s="114" t="str">
        <f>IF('Data input'!I60&lt;&gt;"",U60/'Data input'!I60*100%,"")</f>
        <v/>
      </c>
      <c r="AF60" s="114" t="str">
        <f>IF('Data input'!J60&lt;&gt;"",V60/'Data input'!J60*100%,"")</f>
        <v/>
      </c>
      <c r="AG60" s="114" t="str">
        <f>IF('Data input'!K60&lt;&gt;"",W60/'Data input'!K60*100%,"")</f>
        <v/>
      </c>
      <c r="AH60" s="115" t="str">
        <f>IF('Data input'!L60&lt;&gt;"",X60/'Data input'!L60*100%,"")</f>
        <v/>
      </c>
      <c r="AI60" s="114" t="str">
        <f>IF('Data input'!C60&lt;&gt;"",'Run VRS'!AH60/'Run VRS'!C60,"")</f>
        <v/>
      </c>
      <c r="AJ60" s="114" t="str">
        <f>IF('Data input'!D60&lt;&gt;"",'Run VRS'!AI60/'Run VRS'!D60,"")</f>
        <v/>
      </c>
      <c r="AK60" s="114" t="str">
        <f>IF('Data input'!E60&lt;&gt;"",'Run VRS'!AJ60/'Run VRS'!E60,"")</f>
        <v/>
      </c>
      <c r="AL60" s="114" t="str">
        <f>IF('Data input'!F60&lt;&gt;"",'Run VRS'!AK60/'Run VRS'!F60,"")</f>
        <v/>
      </c>
      <c r="AM60" s="114" t="str">
        <f>IF('Data input'!G60&lt;&gt;"",'Run VRS'!AL60/'Run VRS'!G60,"")</f>
        <v/>
      </c>
      <c r="AN60" s="114" t="str">
        <f>IF('Data input'!H60&lt;&gt;"",'Run VRS'!AM60/'Run VRS'!H60,"")</f>
        <v/>
      </c>
      <c r="AO60" s="114" t="str">
        <f>IF('Data input'!I60&lt;&gt;"",'Run VRS'!AN60/'Run VRS'!I60,"")</f>
        <v/>
      </c>
      <c r="AP60" s="114" t="str">
        <f>IF('Data input'!J60&lt;&gt;"",'Run VRS'!AO60/'Run VRS'!J60,"")</f>
        <v/>
      </c>
      <c r="AQ60" s="114" t="str">
        <f>IF('Data input'!K60&lt;&gt;"",'Run VRS'!AP60/'Run VRS'!K60,"")</f>
        <v/>
      </c>
      <c r="AR60" s="115" t="str">
        <f>IF('Data input'!L60&lt;&gt;"",'Run VRS'!AQ60/'Run VRS'!L60,"")</f>
        <v/>
      </c>
    </row>
    <row r="61" spans="1:44" x14ac:dyDescent="0.35">
      <c r="A61" s="102" t="str">
        <f>IF('Run VRS'!AF61&lt;&gt;"",'Run VRS'!AF61,"")</f>
        <v/>
      </c>
      <c r="B61" s="103" t="str">
        <f>IF('Run VRS'!AG61&lt;&gt;"",'Run VRS'!AG61,"")</f>
        <v/>
      </c>
      <c r="C61" s="104" t="str">
        <f>IF('Run VRS'!AR61&lt;&gt;"",'Run VRS'!AR61,"")</f>
        <v/>
      </c>
      <c r="D61" s="104" t="e">
        <f>IF(ROUND(C61,3)=100%,"Optimal frontier",'Run VRS'!BW61)</f>
        <v>#VALUE!</v>
      </c>
      <c r="E61" s="105" t="str">
        <f>IF('Run VRS'!BC61&lt;&gt;"",'Run VRS'!BC61,"")</f>
        <v/>
      </c>
      <c r="F61" s="106" t="str">
        <f>IF('Run VRS'!BD61&lt;&gt;"",'Run VRS'!BD61,"")</f>
        <v/>
      </c>
      <c r="G61" s="106" t="str">
        <f>IF('Run VRS'!BE61&lt;&gt;"",'Run VRS'!BE61,"")</f>
        <v/>
      </c>
      <c r="H61" s="106" t="str">
        <f>IF('Run VRS'!BF61&lt;&gt;"",'Run VRS'!BF61,"")</f>
        <v/>
      </c>
      <c r="I61" s="106" t="str">
        <f>IF('Run VRS'!BG61&lt;&gt;"",'Run VRS'!BG61,"")</f>
        <v/>
      </c>
      <c r="J61" s="106" t="str">
        <f>IF('Run VRS'!BH61&lt;&gt;"",'Run VRS'!BH61,"")</f>
        <v/>
      </c>
      <c r="K61" s="105" t="str">
        <f>IF('Run VRS'!BI61&lt;&gt;"",'Run VRS'!BI61,"")</f>
        <v/>
      </c>
      <c r="L61" s="105" t="str">
        <f>IF('Run VRS'!BJ61&lt;&gt;"",'Run VRS'!BJ61,"")</f>
        <v/>
      </c>
      <c r="M61" s="105" t="str">
        <f>IF('Run VRS'!BK61&lt;&gt;"",'Run VRS'!BK61,"")</f>
        <v/>
      </c>
      <c r="N61" s="105" t="str">
        <f>IF('Run VRS'!BL61&lt;&gt;"",'Run VRS'!BL61,"")</f>
        <v/>
      </c>
      <c r="O61" s="105" t="str">
        <f>IF('Run VRS'!BM61&lt;&gt;"",'Run VRS'!BM61,"")</f>
        <v/>
      </c>
      <c r="P61" s="106" t="str">
        <f>IF('Run VRS'!BN61&lt;&gt;"",'Run VRS'!BN61,"")</f>
        <v/>
      </c>
      <c r="Q61" s="106" t="str">
        <f>IF('Run VRS'!BO61&lt;&gt;"",'Run VRS'!BO61,"")</f>
        <v/>
      </c>
      <c r="R61" s="106" t="str">
        <f>IF('Run VRS'!BP61&lt;&gt;"",'Run VRS'!BP61,"")</f>
        <v/>
      </c>
      <c r="S61" s="106" t="str">
        <f>IF('Run VRS'!BQ61&lt;&gt;"",'Run VRS'!BQ61,"")</f>
        <v/>
      </c>
      <c r="T61" s="106" t="str">
        <f>IF('Run VRS'!BR61&lt;&gt;"",'Run VRS'!BR61,"")</f>
        <v/>
      </c>
      <c r="U61" s="105" t="str">
        <f>IF('Run VRS'!BS61&lt;&gt;"",'Run VRS'!BS61,"")</f>
        <v/>
      </c>
      <c r="V61" s="105" t="str">
        <f>IF('Run VRS'!BT61&lt;&gt;"",'Run VRS'!BT61,"")</f>
        <v/>
      </c>
      <c r="W61" s="105" t="str">
        <f>IF('Run VRS'!BU61&lt;&gt;"",'Run VRS'!BU61,"")</f>
        <v/>
      </c>
      <c r="X61" s="107" t="str">
        <f>IF('Run VRS'!BV61&lt;&gt;"",'Run VRS'!BV61,"")</f>
        <v/>
      </c>
      <c r="Y61" s="114" t="str">
        <f>IF('Data input'!C61&lt;&gt;"",O61/'Data input'!C61*100%,"")</f>
        <v/>
      </c>
      <c r="Z61" s="114" t="str">
        <f>IF('Data input'!D61&lt;&gt;"",P61/'Data input'!D61*100%,"")</f>
        <v/>
      </c>
      <c r="AA61" s="114" t="str">
        <f>IF('Data input'!E61&lt;&gt;"",Q61/'Data input'!E61*100%,"")</f>
        <v/>
      </c>
      <c r="AB61" s="114" t="str">
        <f>IF('Data input'!F61&lt;&gt;"",R61/'Data input'!F61*100%,"")</f>
        <v/>
      </c>
      <c r="AC61" s="114" t="str">
        <f>IF('Data input'!G61&lt;&gt;"",S61/'Data input'!G61*100%,"")</f>
        <v/>
      </c>
      <c r="AD61" s="114" t="str">
        <f>IF('Data input'!H61&lt;&gt;"",T61/'Data input'!H61*100%,"")</f>
        <v/>
      </c>
      <c r="AE61" s="114" t="str">
        <f>IF('Data input'!I61&lt;&gt;"",U61/'Data input'!I61*100%,"")</f>
        <v/>
      </c>
      <c r="AF61" s="114" t="str">
        <f>IF('Data input'!J61&lt;&gt;"",V61/'Data input'!J61*100%,"")</f>
        <v/>
      </c>
      <c r="AG61" s="114" t="str">
        <f>IF('Data input'!K61&lt;&gt;"",W61/'Data input'!K61*100%,"")</f>
        <v/>
      </c>
      <c r="AH61" s="115" t="str">
        <f>IF('Data input'!L61&lt;&gt;"",X61/'Data input'!L61*100%,"")</f>
        <v/>
      </c>
      <c r="AI61" s="114" t="str">
        <f>IF('Data input'!C61&lt;&gt;"",'Run VRS'!AH61/'Run VRS'!C61,"")</f>
        <v/>
      </c>
      <c r="AJ61" s="114" t="str">
        <f>IF('Data input'!D61&lt;&gt;"",'Run VRS'!AI61/'Run VRS'!D61,"")</f>
        <v/>
      </c>
      <c r="AK61" s="114" t="str">
        <f>IF('Data input'!E61&lt;&gt;"",'Run VRS'!AJ61/'Run VRS'!E61,"")</f>
        <v/>
      </c>
      <c r="AL61" s="114" t="str">
        <f>IF('Data input'!F61&lt;&gt;"",'Run VRS'!AK61/'Run VRS'!F61,"")</f>
        <v/>
      </c>
      <c r="AM61" s="114" t="str">
        <f>IF('Data input'!G61&lt;&gt;"",'Run VRS'!AL61/'Run VRS'!G61,"")</f>
        <v/>
      </c>
      <c r="AN61" s="114" t="str">
        <f>IF('Data input'!H61&lt;&gt;"",'Run VRS'!AM61/'Run VRS'!H61,"")</f>
        <v/>
      </c>
      <c r="AO61" s="114" t="str">
        <f>IF('Data input'!I61&lt;&gt;"",'Run VRS'!AN61/'Run VRS'!I61,"")</f>
        <v/>
      </c>
      <c r="AP61" s="114" t="str">
        <f>IF('Data input'!J61&lt;&gt;"",'Run VRS'!AO61/'Run VRS'!J61,"")</f>
        <v/>
      </c>
      <c r="AQ61" s="114" t="str">
        <f>IF('Data input'!K61&lt;&gt;"",'Run VRS'!AP61/'Run VRS'!K61,"")</f>
        <v/>
      </c>
      <c r="AR61" s="115" t="str">
        <f>IF('Data input'!L61&lt;&gt;"",'Run VRS'!AQ61/'Run VRS'!L61,"")</f>
        <v/>
      </c>
    </row>
    <row r="62" spans="1:44" x14ac:dyDescent="0.35">
      <c r="A62" s="102" t="str">
        <f>IF('Run VRS'!AF62&lt;&gt;"",'Run VRS'!AF62,"")</f>
        <v/>
      </c>
      <c r="B62" s="103" t="str">
        <f>IF('Run VRS'!AG62&lt;&gt;"",'Run VRS'!AG62,"")</f>
        <v/>
      </c>
      <c r="C62" s="104" t="str">
        <f>IF('Run VRS'!AR62&lt;&gt;"",'Run VRS'!AR62,"")</f>
        <v/>
      </c>
      <c r="D62" s="104" t="e">
        <f>IF(ROUND(C62,3)=100%,"Optimal frontier",'Run VRS'!BW62)</f>
        <v>#VALUE!</v>
      </c>
      <c r="E62" s="105" t="str">
        <f>IF('Run VRS'!BC62&lt;&gt;"",'Run VRS'!BC62,"")</f>
        <v/>
      </c>
      <c r="F62" s="106" t="str">
        <f>IF('Run VRS'!BD62&lt;&gt;"",'Run VRS'!BD62,"")</f>
        <v/>
      </c>
      <c r="G62" s="106" t="str">
        <f>IF('Run VRS'!BE62&lt;&gt;"",'Run VRS'!BE62,"")</f>
        <v/>
      </c>
      <c r="H62" s="106" t="str">
        <f>IF('Run VRS'!BF62&lt;&gt;"",'Run VRS'!BF62,"")</f>
        <v/>
      </c>
      <c r="I62" s="106" t="str">
        <f>IF('Run VRS'!BG62&lt;&gt;"",'Run VRS'!BG62,"")</f>
        <v/>
      </c>
      <c r="J62" s="106" t="str">
        <f>IF('Run VRS'!BH62&lt;&gt;"",'Run VRS'!BH62,"")</f>
        <v/>
      </c>
      <c r="K62" s="105" t="str">
        <f>IF('Run VRS'!BI62&lt;&gt;"",'Run VRS'!BI62,"")</f>
        <v/>
      </c>
      <c r="L62" s="105" t="str">
        <f>IF('Run VRS'!BJ62&lt;&gt;"",'Run VRS'!BJ62,"")</f>
        <v/>
      </c>
      <c r="M62" s="105" t="str">
        <f>IF('Run VRS'!BK62&lt;&gt;"",'Run VRS'!BK62,"")</f>
        <v/>
      </c>
      <c r="N62" s="105" t="str">
        <f>IF('Run VRS'!BL62&lt;&gt;"",'Run VRS'!BL62,"")</f>
        <v/>
      </c>
      <c r="O62" s="105" t="str">
        <f>IF('Run VRS'!BM62&lt;&gt;"",'Run VRS'!BM62,"")</f>
        <v/>
      </c>
      <c r="P62" s="106" t="str">
        <f>IF('Run VRS'!BN62&lt;&gt;"",'Run VRS'!BN62,"")</f>
        <v/>
      </c>
      <c r="Q62" s="106" t="str">
        <f>IF('Run VRS'!BO62&lt;&gt;"",'Run VRS'!BO62,"")</f>
        <v/>
      </c>
      <c r="R62" s="106" t="str">
        <f>IF('Run VRS'!BP62&lt;&gt;"",'Run VRS'!BP62,"")</f>
        <v/>
      </c>
      <c r="S62" s="106" t="str">
        <f>IF('Run VRS'!BQ62&lt;&gt;"",'Run VRS'!BQ62,"")</f>
        <v/>
      </c>
      <c r="T62" s="106" t="str">
        <f>IF('Run VRS'!BR62&lt;&gt;"",'Run VRS'!BR62,"")</f>
        <v/>
      </c>
      <c r="U62" s="105" t="str">
        <f>IF('Run VRS'!BS62&lt;&gt;"",'Run VRS'!BS62,"")</f>
        <v/>
      </c>
      <c r="V62" s="105" t="str">
        <f>IF('Run VRS'!BT62&lt;&gt;"",'Run VRS'!BT62,"")</f>
        <v/>
      </c>
      <c r="W62" s="105" t="str">
        <f>IF('Run VRS'!BU62&lt;&gt;"",'Run VRS'!BU62,"")</f>
        <v/>
      </c>
      <c r="X62" s="107" t="str">
        <f>IF('Run VRS'!BV62&lt;&gt;"",'Run VRS'!BV62,"")</f>
        <v/>
      </c>
      <c r="Y62" s="114" t="str">
        <f>IF('Data input'!C62&lt;&gt;"",O62/'Data input'!C62*100%,"")</f>
        <v/>
      </c>
      <c r="Z62" s="114" t="str">
        <f>IF('Data input'!D62&lt;&gt;"",P62/'Data input'!D62*100%,"")</f>
        <v/>
      </c>
      <c r="AA62" s="114" t="str">
        <f>IF('Data input'!E62&lt;&gt;"",Q62/'Data input'!E62*100%,"")</f>
        <v/>
      </c>
      <c r="AB62" s="114" t="str">
        <f>IF('Data input'!F62&lt;&gt;"",R62/'Data input'!F62*100%,"")</f>
        <v/>
      </c>
      <c r="AC62" s="114" t="str">
        <f>IF('Data input'!G62&lt;&gt;"",S62/'Data input'!G62*100%,"")</f>
        <v/>
      </c>
      <c r="AD62" s="114" t="str">
        <f>IF('Data input'!H62&lt;&gt;"",T62/'Data input'!H62*100%,"")</f>
        <v/>
      </c>
      <c r="AE62" s="114" t="str">
        <f>IF('Data input'!I62&lt;&gt;"",U62/'Data input'!I62*100%,"")</f>
        <v/>
      </c>
      <c r="AF62" s="114" t="str">
        <f>IF('Data input'!J62&lt;&gt;"",V62/'Data input'!J62*100%,"")</f>
        <v/>
      </c>
      <c r="AG62" s="114" t="str">
        <f>IF('Data input'!K62&lt;&gt;"",W62/'Data input'!K62*100%,"")</f>
        <v/>
      </c>
      <c r="AH62" s="115" t="str">
        <f>IF('Data input'!L62&lt;&gt;"",X62/'Data input'!L62*100%,"")</f>
        <v/>
      </c>
      <c r="AI62" s="114" t="str">
        <f>IF('Data input'!C62&lt;&gt;"",'Run VRS'!AH62/'Run VRS'!C62,"")</f>
        <v/>
      </c>
      <c r="AJ62" s="114" t="str">
        <f>IF('Data input'!D62&lt;&gt;"",'Run VRS'!AI62/'Run VRS'!D62,"")</f>
        <v/>
      </c>
      <c r="AK62" s="114" t="str">
        <f>IF('Data input'!E62&lt;&gt;"",'Run VRS'!AJ62/'Run VRS'!E62,"")</f>
        <v/>
      </c>
      <c r="AL62" s="114" t="str">
        <f>IF('Data input'!F62&lt;&gt;"",'Run VRS'!AK62/'Run VRS'!F62,"")</f>
        <v/>
      </c>
      <c r="AM62" s="114" t="str">
        <f>IF('Data input'!G62&lt;&gt;"",'Run VRS'!AL62/'Run VRS'!G62,"")</f>
        <v/>
      </c>
      <c r="AN62" s="114" t="str">
        <f>IF('Data input'!H62&lt;&gt;"",'Run VRS'!AM62/'Run VRS'!H62,"")</f>
        <v/>
      </c>
      <c r="AO62" s="114" t="str">
        <f>IF('Data input'!I62&lt;&gt;"",'Run VRS'!AN62/'Run VRS'!I62,"")</f>
        <v/>
      </c>
      <c r="AP62" s="114" t="str">
        <f>IF('Data input'!J62&lt;&gt;"",'Run VRS'!AO62/'Run VRS'!J62,"")</f>
        <v/>
      </c>
      <c r="AQ62" s="114" t="str">
        <f>IF('Data input'!K62&lt;&gt;"",'Run VRS'!AP62/'Run VRS'!K62,"")</f>
        <v/>
      </c>
      <c r="AR62" s="115" t="str">
        <f>IF('Data input'!L62&lt;&gt;"",'Run VRS'!AQ62/'Run VRS'!L62,"")</f>
        <v/>
      </c>
    </row>
    <row r="63" spans="1:44" x14ac:dyDescent="0.35">
      <c r="A63" s="102" t="str">
        <f>IF('Run VRS'!AF63&lt;&gt;"",'Run VRS'!AF63,"")</f>
        <v/>
      </c>
      <c r="B63" s="103" t="str">
        <f>IF('Run VRS'!AG63&lt;&gt;"",'Run VRS'!AG63,"")</f>
        <v/>
      </c>
      <c r="C63" s="104" t="str">
        <f>IF('Run VRS'!AR63&lt;&gt;"",'Run VRS'!AR63,"")</f>
        <v/>
      </c>
      <c r="D63" s="104" t="e">
        <f>IF(ROUND(C63,3)=100%,"Optimal frontier",'Run VRS'!BW63)</f>
        <v>#VALUE!</v>
      </c>
      <c r="E63" s="105" t="str">
        <f>IF('Run VRS'!BC63&lt;&gt;"",'Run VRS'!BC63,"")</f>
        <v/>
      </c>
      <c r="F63" s="106" t="str">
        <f>IF('Run VRS'!BD63&lt;&gt;"",'Run VRS'!BD63,"")</f>
        <v/>
      </c>
      <c r="G63" s="106" t="str">
        <f>IF('Run VRS'!BE63&lt;&gt;"",'Run VRS'!BE63,"")</f>
        <v/>
      </c>
      <c r="H63" s="106" t="str">
        <f>IF('Run VRS'!BF63&lt;&gt;"",'Run VRS'!BF63,"")</f>
        <v/>
      </c>
      <c r="I63" s="106" t="str">
        <f>IF('Run VRS'!BG63&lt;&gt;"",'Run VRS'!BG63,"")</f>
        <v/>
      </c>
      <c r="J63" s="106" t="str">
        <f>IF('Run VRS'!BH63&lt;&gt;"",'Run VRS'!BH63,"")</f>
        <v/>
      </c>
      <c r="K63" s="105" t="str">
        <f>IF('Run VRS'!BI63&lt;&gt;"",'Run VRS'!BI63,"")</f>
        <v/>
      </c>
      <c r="L63" s="105" t="str">
        <f>IF('Run VRS'!BJ63&lt;&gt;"",'Run VRS'!BJ63,"")</f>
        <v/>
      </c>
      <c r="M63" s="105" t="str">
        <f>IF('Run VRS'!BK63&lt;&gt;"",'Run VRS'!BK63,"")</f>
        <v/>
      </c>
      <c r="N63" s="105" t="str">
        <f>IF('Run VRS'!BL63&lt;&gt;"",'Run VRS'!BL63,"")</f>
        <v/>
      </c>
      <c r="O63" s="105" t="str">
        <f>IF('Run VRS'!BM63&lt;&gt;"",'Run VRS'!BM63,"")</f>
        <v/>
      </c>
      <c r="P63" s="106" t="str">
        <f>IF('Run VRS'!BN63&lt;&gt;"",'Run VRS'!BN63,"")</f>
        <v/>
      </c>
      <c r="Q63" s="106" t="str">
        <f>IF('Run VRS'!BO63&lt;&gt;"",'Run VRS'!BO63,"")</f>
        <v/>
      </c>
      <c r="R63" s="106" t="str">
        <f>IF('Run VRS'!BP63&lt;&gt;"",'Run VRS'!BP63,"")</f>
        <v/>
      </c>
      <c r="S63" s="106" t="str">
        <f>IF('Run VRS'!BQ63&lt;&gt;"",'Run VRS'!BQ63,"")</f>
        <v/>
      </c>
      <c r="T63" s="106" t="str">
        <f>IF('Run VRS'!BR63&lt;&gt;"",'Run VRS'!BR63,"")</f>
        <v/>
      </c>
      <c r="U63" s="105" t="str">
        <f>IF('Run VRS'!BS63&lt;&gt;"",'Run VRS'!BS63,"")</f>
        <v/>
      </c>
      <c r="V63" s="105" t="str">
        <f>IF('Run VRS'!BT63&lt;&gt;"",'Run VRS'!BT63,"")</f>
        <v/>
      </c>
      <c r="W63" s="105" t="str">
        <f>IF('Run VRS'!BU63&lt;&gt;"",'Run VRS'!BU63,"")</f>
        <v/>
      </c>
      <c r="X63" s="107" t="str">
        <f>IF('Run VRS'!BV63&lt;&gt;"",'Run VRS'!BV63,"")</f>
        <v/>
      </c>
      <c r="Y63" s="114" t="str">
        <f>IF('Data input'!C63&lt;&gt;"",O63/'Data input'!C63*100%,"")</f>
        <v/>
      </c>
      <c r="Z63" s="114" t="str">
        <f>IF('Data input'!D63&lt;&gt;"",P63/'Data input'!D63*100%,"")</f>
        <v/>
      </c>
      <c r="AA63" s="114" t="str">
        <f>IF('Data input'!E63&lt;&gt;"",Q63/'Data input'!E63*100%,"")</f>
        <v/>
      </c>
      <c r="AB63" s="114" t="str">
        <f>IF('Data input'!F63&lt;&gt;"",R63/'Data input'!F63*100%,"")</f>
        <v/>
      </c>
      <c r="AC63" s="114" t="str">
        <f>IF('Data input'!G63&lt;&gt;"",S63/'Data input'!G63*100%,"")</f>
        <v/>
      </c>
      <c r="AD63" s="114" t="str">
        <f>IF('Data input'!H63&lt;&gt;"",T63/'Data input'!H63*100%,"")</f>
        <v/>
      </c>
      <c r="AE63" s="114" t="str">
        <f>IF('Data input'!I63&lt;&gt;"",U63/'Data input'!I63*100%,"")</f>
        <v/>
      </c>
      <c r="AF63" s="114" t="str">
        <f>IF('Data input'!J63&lt;&gt;"",V63/'Data input'!J63*100%,"")</f>
        <v/>
      </c>
      <c r="AG63" s="114" t="str">
        <f>IF('Data input'!K63&lt;&gt;"",W63/'Data input'!K63*100%,"")</f>
        <v/>
      </c>
      <c r="AH63" s="115" t="str">
        <f>IF('Data input'!L63&lt;&gt;"",X63/'Data input'!L63*100%,"")</f>
        <v/>
      </c>
      <c r="AI63" s="114" t="str">
        <f>IF('Data input'!C63&lt;&gt;"",'Run VRS'!AH63/'Run VRS'!C63,"")</f>
        <v/>
      </c>
      <c r="AJ63" s="114" t="str">
        <f>IF('Data input'!D63&lt;&gt;"",'Run VRS'!AI63/'Run VRS'!D63,"")</f>
        <v/>
      </c>
      <c r="AK63" s="114" t="str">
        <f>IF('Data input'!E63&lt;&gt;"",'Run VRS'!AJ63/'Run VRS'!E63,"")</f>
        <v/>
      </c>
      <c r="AL63" s="114" t="str">
        <f>IF('Data input'!F63&lt;&gt;"",'Run VRS'!AK63/'Run VRS'!F63,"")</f>
        <v/>
      </c>
      <c r="AM63" s="114" t="str">
        <f>IF('Data input'!G63&lt;&gt;"",'Run VRS'!AL63/'Run VRS'!G63,"")</f>
        <v/>
      </c>
      <c r="AN63" s="114" t="str">
        <f>IF('Data input'!H63&lt;&gt;"",'Run VRS'!AM63/'Run VRS'!H63,"")</f>
        <v/>
      </c>
      <c r="AO63" s="114" t="str">
        <f>IF('Data input'!I63&lt;&gt;"",'Run VRS'!AN63/'Run VRS'!I63,"")</f>
        <v/>
      </c>
      <c r="AP63" s="114" t="str">
        <f>IF('Data input'!J63&lt;&gt;"",'Run VRS'!AO63/'Run VRS'!J63,"")</f>
        <v/>
      </c>
      <c r="AQ63" s="114" t="str">
        <f>IF('Data input'!K63&lt;&gt;"",'Run VRS'!AP63/'Run VRS'!K63,"")</f>
        <v/>
      </c>
      <c r="AR63" s="115" t="str">
        <f>IF('Data input'!L63&lt;&gt;"",'Run VRS'!AQ63/'Run VRS'!L63,"")</f>
        <v/>
      </c>
    </row>
    <row r="64" spans="1:44" x14ac:dyDescent="0.35">
      <c r="A64" s="102" t="str">
        <f>IF('Run VRS'!AF64&lt;&gt;"",'Run VRS'!AF64,"")</f>
        <v/>
      </c>
      <c r="B64" s="103" t="str">
        <f>IF('Run VRS'!AG64&lt;&gt;"",'Run VRS'!AG64,"")</f>
        <v/>
      </c>
      <c r="C64" s="104" t="str">
        <f>IF('Run VRS'!AR64&lt;&gt;"",'Run VRS'!AR64,"")</f>
        <v/>
      </c>
      <c r="D64" s="104" t="e">
        <f>IF(ROUND(C64,3)=100%,"Optimal frontier",'Run VRS'!BW64)</f>
        <v>#VALUE!</v>
      </c>
      <c r="E64" s="105" t="str">
        <f>IF('Run VRS'!BC64&lt;&gt;"",'Run VRS'!BC64,"")</f>
        <v/>
      </c>
      <c r="F64" s="106" t="str">
        <f>IF('Run VRS'!BD64&lt;&gt;"",'Run VRS'!BD64,"")</f>
        <v/>
      </c>
      <c r="G64" s="106" t="str">
        <f>IF('Run VRS'!BE64&lt;&gt;"",'Run VRS'!BE64,"")</f>
        <v/>
      </c>
      <c r="H64" s="106" t="str">
        <f>IF('Run VRS'!BF64&lt;&gt;"",'Run VRS'!BF64,"")</f>
        <v/>
      </c>
      <c r="I64" s="106" t="str">
        <f>IF('Run VRS'!BG64&lt;&gt;"",'Run VRS'!BG64,"")</f>
        <v/>
      </c>
      <c r="J64" s="106" t="str">
        <f>IF('Run VRS'!BH64&lt;&gt;"",'Run VRS'!BH64,"")</f>
        <v/>
      </c>
      <c r="K64" s="105" t="str">
        <f>IF('Run VRS'!BI64&lt;&gt;"",'Run VRS'!BI64,"")</f>
        <v/>
      </c>
      <c r="L64" s="105" t="str">
        <f>IF('Run VRS'!BJ64&lt;&gt;"",'Run VRS'!BJ64,"")</f>
        <v/>
      </c>
      <c r="M64" s="105" t="str">
        <f>IF('Run VRS'!BK64&lt;&gt;"",'Run VRS'!BK64,"")</f>
        <v/>
      </c>
      <c r="N64" s="105" t="str">
        <f>IF('Run VRS'!BL64&lt;&gt;"",'Run VRS'!BL64,"")</f>
        <v/>
      </c>
      <c r="O64" s="105" t="str">
        <f>IF('Run VRS'!BM64&lt;&gt;"",'Run VRS'!BM64,"")</f>
        <v/>
      </c>
      <c r="P64" s="106" t="str">
        <f>IF('Run VRS'!BN64&lt;&gt;"",'Run VRS'!BN64,"")</f>
        <v/>
      </c>
      <c r="Q64" s="106" t="str">
        <f>IF('Run VRS'!BO64&lt;&gt;"",'Run VRS'!BO64,"")</f>
        <v/>
      </c>
      <c r="R64" s="106" t="str">
        <f>IF('Run VRS'!BP64&lt;&gt;"",'Run VRS'!BP64,"")</f>
        <v/>
      </c>
      <c r="S64" s="106" t="str">
        <f>IF('Run VRS'!BQ64&lt;&gt;"",'Run VRS'!BQ64,"")</f>
        <v/>
      </c>
      <c r="T64" s="106" t="str">
        <f>IF('Run VRS'!BR64&lt;&gt;"",'Run VRS'!BR64,"")</f>
        <v/>
      </c>
      <c r="U64" s="105" t="str">
        <f>IF('Run VRS'!BS64&lt;&gt;"",'Run VRS'!BS64,"")</f>
        <v/>
      </c>
      <c r="V64" s="105" t="str">
        <f>IF('Run VRS'!BT64&lt;&gt;"",'Run VRS'!BT64,"")</f>
        <v/>
      </c>
      <c r="W64" s="105" t="str">
        <f>IF('Run VRS'!BU64&lt;&gt;"",'Run VRS'!BU64,"")</f>
        <v/>
      </c>
      <c r="X64" s="107" t="str">
        <f>IF('Run VRS'!BV64&lt;&gt;"",'Run VRS'!BV64,"")</f>
        <v/>
      </c>
      <c r="Y64" s="114" t="str">
        <f>IF('Data input'!C64&lt;&gt;"",O64/'Data input'!C64*100%,"")</f>
        <v/>
      </c>
      <c r="Z64" s="114" t="str">
        <f>IF('Data input'!D64&lt;&gt;"",P64/'Data input'!D64*100%,"")</f>
        <v/>
      </c>
      <c r="AA64" s="114" t="str">
        <f>IF('Data input'!E64&lt;&gt;"",Q64/'Data input'!E64*100%,"")</f>
        <v/>
      </c>
      <c r="AB64" s="114" t="str">
        <f>IF('Data input'!F64&lt;&gt;"",R64/'Data input'!F64*100%,"")</f>
        <v/>
      </c>
      <c r="AC64" s="114" t="str">
        <f>IF('Data input'!G64&lt;&gt;"",S64/'Data input'!G64*100%,"")</f>
        <v/>
      </c>
      <c r="AD64" s="114" t="str">
        <f>IF('Data input'!H64&lt;&gt;"",T64/'Data input'!H64*100%,"")</f>
        <v/>
      </c>
      <c r="AE64" s="114" t="str">
        <f>IF('Data input'!I64&lt;&gt;"",U64/'Data input'!I64*100%,"")</f>
        <v/>
      </c>
      <c r="AF64" s="114" t="str">
        <f>IF('Data input'!J64&lt;&gt;"",V64/'Data input'!J64*100%,"")</f>
        <v/>
      </c>
      <c r="AG64" s="114" t="str">
        <f>IF('Data input'!K64&lt;&gt;"",W64/'Data input'!K64*100%,"")</f>
        <v/>
      </c>
      <c r="AH64" s="115" t="str">
        <f>IF('Data input'!L64&lt;&gt;"",X64/'Data input'!L64*100%,"")</f>
        <v/>
      </c>
      <c r="AI64" s="114" t="str">
        <f>IF('Data input'!C64&lt;&gt;"",'Run VRS'!AH64/'Run VRS'!C64,"")</f>
        <v/>
      </c>
      <c r="AJ64" s="114" t="str">
        <f>IF('Data input'!D64&lt;&gt;"",'Run VRS'!AI64/'Run VRS'!D64,"")</f>
        <v/>
      </c>
      <c r="AK64" s="114" t="str">
        <f>IF('Data input'!E64&lt;&gt;"",'Run VRS'!AJ64/'Run VRS'!E64,"")</f>
        <v/>
      </c>
      <c r="AL64" s="114" t="str">
        <f>IF('Data input'!F64&lt;&gt;"",'Run VRS'!AK64/'Run VRS'!F64,"")</f>
        <v/>
      </c>
      <c r="AM64" s="114" t="str">
        <f>IF('Data input'!G64&lt;&gt;"",'Run VRS'!AL64/'Run VRS'!G64,"")</f>
        <v/>
      </c>
      <c r="AN64" s="114" t="str">
        <f>IF('Data input'!H64&lt;&gt;"",'Run VRS'!AM64/'Run VRS'!H64,"")</f>
        <v/>
      </c>
      <c r="AO64" s="114" t="str">
        <f>IF('Data input'!I64&lt;&gt;"",'Run VRS'!AN64/'Run VRS'!I64,"")</f>
        <v/>
      </c>
      <c r="AP64" s="114" t="str">
        <f>IF('Data input'!J64&lt;&gt;"",'Run VRS'!AO64/'Run VRS'!J64,"")</f>
        <v/>
      </c>
      <c r="AQ64" s="114" t="str">
        <f>IF('Data input'!K64&lt;&gt;"",'Run VRS'!AP64/'Run VRS'!K64,"")</f>
        <v/>
      </c>
      <c r="AR64" s="115" t="str">
        <f>IF('Data input'!L64&lt;&gt;"",'Run VRS'!AQ64/'Run VRS'!L64,"")</f>
        <v/>
      </c>
    </row>
    <row r="65" spans="1:44" x14ac:dyDescent="0.35">
      <c r="A65" s="102" t="str">
        <f>IF('Run VRS'!AF65&lt;&gt;"",'Run VRS'!AF65,"")</f>
        <v/>
      </c>
      <c r="B65" s="103" t="str">
        <f>IF('Run VRS'!AG65&lt;&gt;"",'Run VRS'!AG65,"")</f>
        <v/>
      </c>
      <c r="C65" s="104" t="str">
        <f>IF('Run VRS'!AR65&lt;&gt;"",'Run VRS'!AR65,"")</f>
        <v/>
      </c>
      <c r="D65" s="104" t="e">
        <f>IF(ROUND(C65,3)=100%,"Optimal frontier",'Run VRS'!BW65)</f>
        <v>#VALUE!</v>
      </c>
      <c r="E65" s="105" t="str">
        <f>IF('Run VRS'!BC65&lt;&gt;"",'Run VRS'!BC65,"")</f>
        <v/>
      </c>
      <c r="F65" s="106" t="str">
        <f>IF('Run VRS'!BD65&lt;&gt;"",'Run VRS'!BD65,"")</f>
        <v/>
      </c>
      <c r="G65" s="106" t="str">
        <f>IF('Run VRS'!BE65&lt;&gt;"",'Run VRS'!BE65,"")</f>
        <v/>
      </c>
      <c r="H65" s="106" t="str">
        <f>IF('Run VRS'!BF65&lt;&gt;"",'Run VRS'!BF65,"")</f>
        <v/>
      </c>
      <c r="I65" s="106" t="str">
        <f>IF('Run VRS'!BG65&lt;&gt;"",'Run VRS'!BG65,"")</f>
        <v/>
      </c>
      <c r="J65" s="106" t="str">
        <f>IF('Run VRS'!BH65&lt;&gt;"",'Run VRS'!BH65,"")</f>
        <v/>
      </c>
      <c r="K65" s="105" t="str">
        <f>IF('Run VRS'!BI65&lt;&gt;"",'Run VRS'!BI65,"")</f>
        <v/>
      </c>
      <c r="L65" s="105" t="str">
        <f>IF('Run VRS'!BJ65&lt;&gt;"",'Run VRS'!BJ65,"")</f>
        <v/>
      </c>
      <c r="M65" s="105" t="str">
        <f>IF('Run VRS'!BK65&lt;&gt;"",'Run VRS'!BK65,"")</f>
        <v/>
      </c>
      <c r="N65" s="105" t="str">
        <f>IF('Run VRS'!BL65&lt;&gt;"",'Run VRS'!BL65,"")</f>
        <v/>
      </c>
      <c r="O65" s="105" t="str">
        <f>IF('Run VRS'!BM65&lt;&gt;"",'Run VRS'!BM65,"")</f>
        <v/>
      </c>
      <c r="P65" s="106" t="str">
        <f>IF('Run VRS'!BN65&lt;&gt;"",'Run VRS'!BN65,"")</f>
        <v/>
      </c>
      <c r="Q65" s="106" t="str">
        <f>IF('Run VRS'!BO65&lt;&gt;"",'Run VRS'!BO65,"")</f>
        <v/>
      </c>
      <c r="R65" s="106" t="str">
        <f>IF('Run VRS'!BP65&lt;&gt;"",'Run VRS'!BP65,"")</f>
        <v/>
      </c>
      <c r="S65" s="106" t="str">
        <f>IF('Run VRS'!BQ65&lt;&gt;"",'Run VRS'!BQ65,"")</f>
        <v/>
      </c>
      <c r="T65" s="106" t="str">
        <f>IF('Run VRS'!BR65&lt;&gt;"",'Run VRS'!BR65,"")</f>
        <v/>
      </c>
      <c r="U65" s="105" t="str">
        <f>IF('Run VRS'!BS65&lt;&gt;"",'Run VRS'!BS65,"")</f>
        <v/>
      </c>
      <c r="V65" s="105" t="str">
        <f>IF('Run VRS'!BT65&lt;&gt;"",'Run VRS'!BT65,"")</f>
        <v/>
      </c>
      <c r="W65" s="105" t="str">
        <f>IF('Run VRS'!BU65&lt;&gt;"",'Run VRS'!BU65,"")</f>
        <v/>
      </c>
      <c r="X65" s="107" t="str">
        <f>IF('Run VRS'!BV65&lt;&gt;"",'Run VRS'!BV65,"")</f>
        <v/>
      </c>
      <c r="Y65" s="114" t="str">
        <f>IF('Data input'!C65&lt;&gt;"",O65/'Data input'!C65*100%,"")</f>
        <v/>
      </c>
      <c r="Z65" s="114" t="str">
        <f>IF('Data input'!D65&lt;&gt;"",P65/'Data input'!D65*100%,"")</f>
        <v/>
      </c>
      <c r="AA65" s="114" t="str">
        <f>IF('Data input'!E65&lt;&gt;"",Q65/'Data input'!E65*100%,"")</f>
        <v/>
      </c>
      <c r="AB65" s="114" t="str">
        <f>IF('Data input'!F65&lt;&gt;"",R65/'Data input'!F65*100%,"")</f>
        <v/>
      </c>
      <c r="AC65" s="114" t="str">
        <f>IF('Data input'!G65&lt;&gt;"",S65/'Data input'!G65*100%,"")</f>
        <v/>
      </c>
      <c r="AD65" s="114" t="str">
        <f>IF('Data input'!H65&lt;&gt;"",T65/'Data input'!H65*100%,"")</f>
        <v/>
      </c>
      <c r="AE65" s="114" t="str">
        <f>IF('Data input'!I65&lt;&gt;"",U65/'Data input'!I65*100%,"")</f>
        <v/>
      </c>
      <c r="AF65" s="114" t="str">
        <f>IF('Data input'!J65&lt;&gt;"",V65/'Data input'!J65*100%,"")</f>
        <v/>
      </c>
      <c r="AG65" s="114" t="str">
        <f>IF('Data input'!K65&lt;&gt;"",W65/'Data input'!K65*100%,"")</f>
        <v/>
      </c>
      <c r="AH65" s="115" t="str">
        <f>IF('Data input'!L65&lt;&gt;"",X65/'Data input'!L65*100%,"")</f>
        <v/>
      </c>
      <c r="AI65" s="114" t="str">
        <f>IF('Data input'!C65&lt;&gt;"",'Run VRS'!AH65/'Run VRS'!C65,"")</f>
        <v/>
      </c>
      <c r="AJ65" s="114" t="str">
        <f>IF('Data input'!D65&lt;&gt;"",'Run VRS'!AI65/'Run VRS'!D65,"")</f>
        <v/>
      </c>
      <c r="AK65" s="114" t="str">
        <f>IF('Data input'!E65&lt;&gt;"",'Run VRS'!AJ65/'Run VRS'!E65,"")</f>
        <v/>
      </c>
      <c r="AL65" s="114" t="str">
        <f>IF('Data input'!F65&lt;&gt;"",'Run VRS'!AK65/'Run VRS'!F65,"")</f>
        <v/>
      </c>
      <c r="AM65" s="114" t="str">
        <f>IF('Data input'!G65&lt;&gt;"",'Run VRS'!AL65/'Run VRS'!G65,"")</f>
        <v/>
      </c>
      <c r="AN65" s="114" t="str">
        <f>IF('Data input'!H65&lt;&gt;"",'Run VRS'!AM65/'Run VRS'!H65,"")</f>
        <v/>
      </c>
      <c r="AO65" s="114" t="str">
        <f>IF('Data input'!I65&lt;&gt;"",'Run VRS'!AN65/'Run VRS'!I65,"")</f>
        <v/>
      </c>
      <c r="AP65" s="114" t="str">
        <f>IF('Data input'!J65&lt;&gt;"",'Run VRS'!AO65/'Run VRS'!J65,"")</f>
        <v/>
      </c>
      <c r="AQ65" s="114" t="str">
        <f>IF('Data input'!K65&lt;&gt;"",'Run VRS'!AP65/'Run VRS'!K65,"")</f>
        <v/>
      </c>
      <c r="AR65" s="115" t="str">
        <f>IF('Data input'!L65&lt;&gt;"",'Run VRS'!AQ65/'Run VRS'!L65,"")</f>
        <v/>
      </c>
    </row>
    <row r="66" spans="1:44" x14ac:dyDescent="0.35">
      <c r="A66" s="102" t="str">
        <f>IF('Run VRS'!AF66&lt;&gt;"",'Run VRS'!AF66,"")</f>
        <v/>
      </c>
      <c r="B66" s="103" t="str">
        <f>IF('Run VRS'!AG66&lt;&gt;"",'Run VRS'!AG66,"")</f>
        <v/>
      </c>
      <c r="C66" s="104" t="str">
        <f>IF('Run VRS'!AR66&lt;&gt;"",'Run VRS'!AR66,"")</f>
        <v/>
      </c>
      <c r="D66" s="104" t="e">
        <f>IF(ROUND(C66,3)=100%,"Optimal frontier",'Run VRS'!BW66)</f>
        <v>#VALUE!</v>
      </c>
      <c r="E66" s="105" t="str">
        <f>IF('Run VRS'!BC66&lt;&gt;"",'Run VRS'!BC66,"")</f>
        <v/>
      </c>
      <c r="F66" s="106" t="str">
        <f>IF('Run VRS'!BD66&lt;&gt;"",'Run VRS'!BD66,"")</f>
        <v/>
      </c>
      <c r="G66" s="106" t="str">
        <f>IF('Run VRS'!BE66&lt;&gt;"",'Run VRS'!BE66,"")</f>
        <v/>
      </c>
      <c r="H66" s="106" t="str">
        <f>IF('Run VRS'!BF66&lt;&gt;"",'Run VRS'!BF66,"")</f>
        <v/>
      </c>
      <c r="I66" s="106" t="str">
        <f>IF('Run VRS'!BG66&lt;&gt;"",'Run VRS'!BG66,"")</f>
        <v/>
      </c>
      <c r="J66" s="106" t="str">
        <f>IF('Run VRS'!BH66&lt;&gt;"",'Run VRS'!BH66,"")</f>
        <v/>
      </c>
      <c r="K66" s="105" t="str">
        <f>IF('Run VRS'!BI66&lt;&gt;"",'Run VRS'!BI66,"")</f>
        <v/>
      </c>
      <c r="L66" s="105" t="str">
        <f>IF('Run VRS'!BJ66&lt;&gt;"",'Run VRS'!BJ66,"")</f>
        <v/>
      </c>
      <c r="M66" s="105" t="str">
        <f>IF('Run VRS'!BK66&lt;&gt;"",'Run VRS'!BK66,"")</f>
        <v/>
      </c>
      <c r="N66" s="105" t="str">
        <f>IF('Run VRS'!BL66&lt;&gt;"",'Run VRS'!BL66,"")</f>
        <v/>
      </c>
      <c r="O66" s="105" t="str">
        <f>IF('Run VRS'!BM66&lt;&gt;"",'Run VRS'!BM66,"")</f>
        <v/>
      </c>
      <c r="P66" s="106" t="str">
        <f>IF('Run VRS'!BN66&lt;&gt;"",'Run VRS'!BN66,"")</f>
        <v/>
      </c>
      <c r="Q66" s="106" t="str">
        <f>IF('Run VRS'!BO66&lt;&gt;"",'Run VRS'!BO66,"")</f>
        <v/>
      </c>
      <c r="R66" s="106" t="str">
        <f>IF('Run VRS'!BP66&lt;&gt;"",'Run VRS'!BP66,"")</f>
        <v/>
      </c>
      <c r="S66" s="106" t="str">
        <f>IF('Run VRS'!BQ66&lt;&gt;"",'Run VRS'!BQ66,"")</f>
        <v/>
      </c>
      <c r="T66" s="106" t="str">
        <f>IF('Run VRS'!BR66&lt;&gt;"",'Run VRS'!BR66,"")</f>
        <v/>
      </c>
      <c r="U66" s="105" t="str">
        <f>IF('Run VRS'!BS66&lt;&gt;"",'Run VRS'!BS66,"")</f>
        <v/>
      </c>
      <c r="V66" s="105" t="str">
        <f>IF('Run VRS'!BT66&lt;&gt;"",'Run VRS'!BT66,"")</f>
        <v/>
      </c>
      <c r="W66" s="105" t="str">
        <f>IF('Run VRS'!BU66&lt;&gt;"",'Run VRS'!BU66,"")</f>
        <v/>
      </c>
      <c r="X66" s="107" t="str">
        <f>IF('Run VRS'!BV66&lt;&gt;"",'Run VRS'!BV66,"")</f>
        <v/>
      </c>
      <c r="Y66" s="114" t="str">
        <f>IF('Data input'!C66&lt;&gt;"",O66/'Data input'!C66*100%,"")</f>
        <v/>
      </c>
      <c r="Z66" s="114" t="str">
        <f>IF('Data input'!D66&lt;&gt;"",P66/'Data input'!D66*100%,"")</f>
        <v/>
      </c>
      <c r="AA66" s="114" t="str">
        <f>IF('Data input'!E66&lt;&gt;"",Q66/'Data input'!E66*100%,"")</f>
        <v/>
      </c>
      <c r="AB66" s="114" t="str">
        <f>IF('Data input'!F66&lt;&gt;"",R66/'Data input'!F66*100%,"")</f>
        <v/>
      </c>
      <c r="AC66" s="114" t="str">
        <f>IF('Data input'!G66&lt;&gt;"",S66/'Data input'!G66*100%,"")</f>
        <v/>
      </c>
      <c r="AD66" s="114" t="str">
        <f>IF('Data input'!H66&lt;&gt;"",T66/'Data input'!H66*100%,"")</f>
        <v/>
      </c>
      <c r="AE66" s="114" t="str">
        <f>IF('Data input'!I66&lt;&gt;"",U66/'Data input'!I66*100%,"")</f>
        <v/>
      </c>
      <c r="AF66" s="114" t="str">
        <f>IF('Data input'!J66&lt;&gt;"",V66/'Data input'!J66*100%,"")</f>
        <v/>
      </c>
      <c r="AG66" s="114" t="str">
        <f>IF('Data input'!K66&lt;&gt;"",W66/'Data input'!K66*100%,"")</f>
        <v/>
      </c>
      <c r="AH66" s="115" t="str">
        <f>IF('Data input'!L66&lt;&gt;"",X66/'Data input'!L66*100%,"")</f>
        <v/>
      </c>
      <c r="AI66" s="114" t="str">
        <f>IF('Data input'!C66&lt;&gt;"",'Run VRS'!AH66/'Run VRS'!C66,"")</f>
        <v/>
      </c>
      <c r="AJ66" s="114" t="str">
        <f>IF('Data input'!D66&lt;&gt;"",'Run VRS'!AI66/'Run VRS'!D66,"")</f>
        <v/>
      </c>
      <c r="AK66" s="114" t="str">
        <f>IF('Data input'!E66&lt;&gt;"",'Run VRS'!AJ66/'Run VRS'!E66,"")</f>
        <v/>
      </c>
      <c r="AL66" s="114" t="str">
        <f>IF('Data input'!F66&lt;&gt;"",'Run VRS'!AK66/'Run VRS'!F66,"")</f>
        <v/>
      </c>
      <c r="AM66" s="114" t="str">
        <f>IF('Data input'!G66&lt;&gt;"",'Run VRS'!AL66/'Run VRS'!G66,"")</f>
        <v/>
      </c>
      <c r="AN66" s="114" t="str">
        <f>IF('Data input'!H66&lt;&gt;"",'Run VRS'!AM66/'Run VRS'!H66,"")</f>
        <v/>
      </c>
      <c r="AO66" s="114" t="str">
        <f>IF('Data input'!I66&lt;&gt;"",'Run VRS'!AN66/'Run VRS'!I66,"")</f>
        <v/>
      </c>
      <c r="AP66" s="114" t="str">
        <f>IF('Data input'!J66&lt;&gt;"",'Run VRS'!AO66/'Run VRS'!J66,"")</f>
        <v/>
      </c>
      <c r="AQ66" s="114" t="str">
        <f>IF('Data input'!K66&lt;&gt;"",'Run VRS'!AP66/'Run VRS'!K66,"")</f>
        <v/>
      </c>
      <c r="AR66" s="115" t="str">
        <f>IF('Data input'!L66&lt;&gt;"",'Run VRS'!AQ66/'Run VRS'!L66,"")</f>
        <v/>
      </c>
    </row>
    <row r="67" spans="1:44" x14ac:dyDescent="0.35">
      <c r="A67" s="102" t="str">
        <f>IF('Run VRS'!AF67&lt;&gt;"",'Run VRS'!AF67,"")</f>
        <v/>
      </c>
      <c r="B67" s="103" t="str">
        <f>IF('Run VRS'!AG67&lt;&gt;"",'Run VRS'!AG67,"")</f>
        <v/>
      </c>
      <c r="C67" s="104" t="str">
        <f>IF('Run VRS'!AR67&lt;&gt;"",'Run VRS'!AR67,"")</f>
        <v/>
      </c>
      <c r="D67" s="104" t="e">
        <f>IF(ROUND(C67,3)=100%,"Optimal frontier",'Run VRS'!BW67)</f>
        <v>#VALUE!</v>
      </c>
      <c r="E67" s="105" t="str">
        <f>IF('Run VRS'!BC67&lt;&gt;"",'Run VRS'!BC67,"")</f>
        <v/>
      </c>
      <c r="F67" s="106" t="str">
        <f>IF('Run VRS'!BD67&lt;&gt;"",'Run VRS'!BD67,"")</f>
        <v/>
      </c>
      <c r="G67" s="106" t="str">
        <f>IF('Run VRS'!BE67&lt;&gt;"",'Run VRS'!BE67,"")</f>
        <v/>
      </c>
      <c r="H67" s="106" t="str">
        <f>IF('Run VRS'!BF67&lt;&gt;"",'Run VRS'!BF67,"")</f>
        <v/>
      </c>
      <c r="I67" s="106" t="str">
        <f>IF('Run VRS'!BG67&lt;&gt;"",'Run VRS'!BG67,"")</f>
        <v/>
      </c>
      <c r="J67" s="106" t="str">
        <f>IF('Run VRS'!BH67&lt;&gt;"",'Run VRS'!BH67,"")</f>
        <v/>
      </c>
      <c r="K67" s="105" t="str">
        <f>IF('Run VRS'!BI67&lt;&gt;"",'Run VRS'!BI67,"")</f>
        <v/>
      </c>
      <c r="L67" s="105" t="str">
        <f>IF('Run VRS'!BJ67&lt;&gt;"",'Run VRS'!BJ67,"")</f>
        <v/>
      </c>
      <c r="M67" s="105" t="str">
        <f>IF('Run VRS'!BK67&lt;&gt;"",'Run VRS'!BK67,"")</f>
        <v/>
      </c>
      <c r="N67" s="105" t="str">
        <f>IF('Run VRS'!BL67&lt;&gt;"",'Run VRS'!BL67,"")</f>
        <v/>
      </c>
      <c r="O67" s="105" t="str">
        <f>IF('Run VRS'!BM67&lt;&gt;"",'Run VRS'!BM67,"")</f>
        <v/>
      </c>
      <c r="P67" s="106" t="str">
        <f>IF('Run VRS'!BN67&lt;&gt;"",'Run VRS'!BN67,"")</f>
        <v/>
      </c>
      <c r="Q67" s="106" t="str">
        <f>IF('Run VRS'!BO67&lt;&gt;"",'Run VRS'!BO67,"")</f>
        <v/>
      </c>
      <c r="R67" s="106" t="str">
        <f>IF('Run VRS'!BP67&lt;&gt;"",'Run VRS'!BP67,"")</f>
        <v/>
      </c>
      <c r="S67" s="106" t="str">
        <f>IF('Run VRS'!BQ67&lt;&gt;"",'Run VRS'!BQ67,"")</f>
        <v/>
      </c>
      <c r="T67" s="106" t="str">
        <f>IF('Run VRS'!BR67&lt;&gt;"",'Run VRS'!BR67,"")</f>
        <v/>
      </c>
      <c r="U67" s="105" t="str">
        <f>IF('Run VRS'!BS67&lt;&gt;"",'Run VRS'!BS67,"")</f>
        <v/>
      </c>
      <c r="V67" s="105" t="str">
        <f>IF('Run VRS'!BT67&lt;&gt;"",'Run VRS'!BT67,"")</f>
        <v/>
      </c>
      <c r="W67" s="105" t="str">
        <f>IF('Run VRS'!BU67&lt;&gt;"",'Run VRS'!BU67,"")</f>
        <v/>
      </c>
      <c r="X67" s="107" t="str">
        <f>IF('Run VRS'!BV67&lt;&gt;"",'Run VRS'!BV67,"")</f>
        <v/>
      </c>
      <c r="Y67" s="114" t="str">
        <f>IF('Data input'!C67&lt;&gt;"",O67/'Data input'!C67*100%,"")</f>
        <v/>
      </c>
      <c r="Z67" s="114" t="str">
        <f>IF('Data input'!D67&lt;&gt;"",P67/'Data input'!D67*100%,"")</f>
        <v/>
      </c>
      <c r="AA67" s="114" t="str">
        <f>IF('Data input'!E67&lt;&gt;"",Q67/'Data input'!E67*100%,"")</f>
        <v/>
      </c>
      <c r="AB67" s="114" t="str">
        <f>IF('Data input'!F67&lt;&gt;"",R67/'Data input'!F67*100%,"")</f>
        <v/>
      </c>
      <c r="AC67" s="114" t="str">
        <f>IF('Data input'!G67&lt;&gt;"",S67/'Data input'!G67*100%,"")</f>
        <v/>
      </c>
      <c r="AD67" s="114" t="str">
        <f>IF('Data input'!H67&lt;&gt;"",T67/'Data input'!H67*100%,"")</f>
        <v/>
      </c>
      <c r="AE67" s="114" t="str">
        <f>IF('Data input'!I67&lt;&gt;"",U67/'Data input'!I67*100%,"")</f>
        <v/>
      </c>
      <c r="AF67" s="114" t="str">
        <f>IF('Data input'!J67&lt;&gt;"",V67/'Data input'!J67*100%,"")</f>
        <v/>
      </c>
      <c r="AG67" s="114" t="str">
        <f>IF('Data input'!K67&lt;&gt;"",W67/'Data input'!K67*100%,"")</f>
        <v/>
      </c>
      <c r="AH67" s="115" t="str">
        <f>IF('Data input'!L67&lt;&gt;"",X67/'Data input'!L67*100%,"")</f>
        <v/>
      </c>
      <c r="AI67" s="114" t="str">
        <f>IF('Data input'!C67&lt;&gt;"",'Run VRS'!AH67/'Run VRS'!C67,"")</f>
        <v/>
      </c>
      <c r="AJ67" s="114" t="str">
        <f>IF('Data input'!D67&lt;&gt;"",'Run VRS'!AI67/'Run VRS'!D67,"")</f>
        <v/>
      </c>
      <c r="AK67" s="114" t="str">
        <f>IF('Data input'!E67&lt;&gt;"",'Run VRS'!AJ67/'Run VRS'!E67,"")</f>
        <v/>
      </c>
      <c r="AL67" s="114" t="str">
        <f>IF('Data input'!F67&lt;&gt;"",'Run VRS'!AK67/'Run VRS'!F67,"")</f>
        <v/>
      </c>
      <c r="AM67" s="114" t="str">
        <f>IF('Data input'!G67&lt;&gt;"",'Run VRS'!AL67/'Run VRS'!G67,"")</f>
        <v/>
      </c>
      <c r="AN67" s="114" t="str">
        <f>IF('Data input'!H67&lt;&gt;"",'Run VRS'!AM67/'Run VRS'!H67,"")</f>
        <v/>
      </c>
      <c r="AO67" s="114" t="str">
        <f>IF('Data input'!I67&lt;&gt;"",'Run VRS'!AN67/'Run VRS'!I67,"")</f>
        <v/>
      </c>
      <c r="AP67" s="114" t="str">
        <f>IF('Data input'!J67&lt;&gt;"",'Run VRS'!AO67/'Run VRS'!J67,"")</f>
        <v/>
      </c>
      <c r="AQ67" s="114" t="str">
        <f>IF('Data input'!K67&lt;&gt;"",'Run VRS'!AP67/'Run VRS'!K67,"")</f>
        <v/>
      </c>
      <c r="AR67" s="115" t="str">
        <f>IF('Data input'!L67&lt;&gt;"",'Run VRS'!AQ67/'Run VRS'!L67,"")</f>
        <v/>
      </c>
    </row>
    <row r="68" spans="1:44" x14ac:dyDescent="0.35">
      <c r="A68" s="102" t="str">
        <f>IF('Run VRS'!AF68&lt;&gt;"",'Run VRS'!AF68,"")</f>
        <v/>
      </c>
      <c r="B68" s="103" t="str">
        <f>IF('Run VRS'!AG68&lt;&gt;"",'Run VRS'!AG68,"")</f>
        <v/>
      </c>
      <c r="C68" s="104" t="str">
        <f>IF('Run VRS'!AR68&lt;&gt;"",'Run VRS'!AR68,"")</f>
        <v/>
      </c>
      <c r="D68" s="104" t="e">
        <f>IF(ROUND(C68,3)=100%,"Optimal frontier",'Run VRS'!BW68)</f>
        <v>#VALUE!</v>
      </c>
      <c r="E68" s="105" t="str">
        <f>IF('Run VRS'!BC68&lt;&gt;"",'Run VRS'!BC68,"")</f>
        <v/>
      </c>
      <c r="F68" s="106" t="str">
        <f>IF('Run VRS'!BD68&lt;&gt;"",'Run VRS'!BD68,"")</f>
        <v/>
      </c>
      <c r="G68" s="106" t="str">
        <f>IF('Run VRS'!BE68&lt;&gt;"",'Run VRS'!BE68,"")</f>
        <v/>
      </c>
      <c r="H68" s="106" t="str">
        <f>IF('Run VRS'!BF68&lt;&gt;"",'Run VRS'!BF68,"")</f>
        <v/>
      </c>
      <c r="I68" s="106" t="str">
        <f>IF('Run VRS'!BG68&lt;&gt;"",'Run VRS'!BG68,"")</f>
        <v/>
      </c>
      <c r="J68" s="106" t="str">
        <f>IF('Run VRS'!BH68&lt;&gt;"",'Run VRS'!BH68,"")</f>
        <v/>
      </c>
      <c r="K68" s="105" t="str">
        <f>IF('Run VRS'!BI68&lt;&gt;"",'Run VRS'!BI68,"")</f>
        <v/>
      </c>
      <c r="L68" s="105" t="str">
        <f>IF('Run VRS'!BJ68&lt;&gt;"",'Run VRS'!BJ68,"")</f>
        <v/>
      </c>
      <c r="M68" s="105" t="str">
        <f>IF('Run VRS'!BK68&lt;&gt;"",'Run VRS'!BK68,"")</f>
        <v/>
      </c>
      <c r="N68" s="105" t="str">
        <f>IF('Run VRS'!BL68&lt;&gt;"",'Run VRS'!BL68,"")</f>
        <v/>
      </c>
      <c r="O68" s="105" t="str">
        <f>IF('Run VRS'!BM68&lt;&gt;"",'Run VRS'!BM68,"")</f>
        <v/>
      </c>
      <c r="P68" s="106" t="str">
        <f>IF('Run VRS'!BN68&lt;&gt;"",'Run VRS'!BN68,"")</f>
        <v/>
      </c>
      <c r="Q68" s="106" t="str">
        <f>IF('Run VRS'!BO68&lt;&gt;"",'Run VRS'!BO68,"")</f>
        <v/>
      </c>
      <c r="R68" s="106" t="str">
        <f>IF('Run VRS'!BP68&lt;&gt;"",'Run VRS'!BP68,"")</f>
        <v/>
      </c>
      <c r="S68" s="106" t="str">
        <f>IF('Run VRS'!BQ68&lt;&gt;"",'Run VRS'!BQ68,"")</f>
        <v/>
      </c>
      <c r="T68" s="106" t="str">
        <f>IF('Run VRS'!BR68&lt;&gt;"",'Run VRS'!BR68,"")</f>
        <v/>
      </c>
      <c r="U68" s="105" t="str">
        <f>IF('Run VRS'!BS68&lt;&gt;"",'Run VRS'!BS68,"")</f>
        <v/>
      </c>
      <c r="V68" s="105" t="str">
        <f>IF('Run VRS'!BT68&lt;&gt;"",'Run VRS'!BT68,"")</f>
        <v/>
      </c>
      <c r="W68" s="105" t="str">
        <f>IF('Run VRS'!BU68&lt;&gt;"",'Run VRS'!BU68,"")</f>
        <v/>
      </c>
      <c r="X68" s="107" t="str">
        <f>IF('Run VRS'!BV68&lt;&gt;"",'Run VRS'!BV68,"")</f>
        <v/>
      </c>
      <c r="Y68" s="114" t="str">
        <f>IF('Data input'!C68&lt;&gt;"",O68/'Data input'!C68*100%,"")</f>
        <v/>
      </c>
      <c r="Z68" s="114" t="str">
        <f>IF('Data input'!D68&lt;&gt;"",P68/'Data input'!D68*100%,"")</f>
        <v/>
      </c>
      <c r="AA68" s="114" t="str">
        <f>IF('Data input'!E68&lt;&gt;"",Q68/'Data input'!E68*100%,"")</f>
        <v/>
      </c>
      <c r="AB68" s="114" t="str">
        <f>IF('Data input'!F68&lt;&gt;"",R68/'Data input'!F68*100%,"")</f>
        <v/>
      </c>
      <c r="AC68" s="114" t="str">
        <f>IF('Data input'!G68&lt;&gt;"",S68/'Data input'!G68*100%,"")</f>
        <v/>
      </c>
      <c r="AD68" s="114" t="str">
        <f>IF('Data input'!H68&lt;&gt;"",T68/'Data input'!H68*100%,"")</f>
        <v/>
      </c>
      <c r="AE68" s="114" t="str">
        <f>IF('Data input'!I68&lt;&gt;"",U68/'Data input'!I68*100%,"")</f>
        <v/>
      </c>
      <c r="AF68" s="114" t="str">
        <f>IF('Data input'!J68&lt;&gt;"",V68/'Data input'!J68*100%,"")</f>
        <v/>
      </c>
      <c r="AG68" s="114" t="str">
        <f>IF('Data input'!K68&lt;&gt;"",W68/'Data input'!K68*100%,"")</f>
        <v/>
      </c>
      <c r="AH68" s="115" t="str">
        <f>IF('Data input'!L68&lt;&gt;"",X68/'Data input'!L68*100%,"")</f>
        <v/>
      </c>
      <c r="AI68" s="114" t="str">
        <f>IF('Data input'!C68&lt;&gt;"",'Run VRS'!AH68/'Run VRS'!C68,"")</f>
        <v/>
      </c>
      <c r="AJ68" s="114" t="str">
        <f>IF('Data input'!D68&lt;&gt;"",'Run VRS'!AI68/'Run VRS'!D68,"")</f>
        <v/>
      </c>
      <c r="AK68" s="114" t="str">
        <f>IF('Data input'!E68&lt;&gt;"",'Run VRS'!AJ68/'Run VRS'!E68,"")</f>
        <v/>
      </c>
      <c r="AL68" s="114" t="str">
        <f>IF('Data input'!F68&lt;&gt;"",'Run VRS'!AK68/'Run VRS'!F68,"")</f>
        <v/>
      </c>
      <c r="AM68" s="114" t="str">
        <f>IF('Data input'!G68&lt;&gt;"",'Run VRS'!AL68/'Run VRS'!G68,"")</f>
        <v/>
      </c>
      <c r="AN68" s="114" t="str">
        <f>IF('Data input'!H68&lt;&gt;"",'Run VRS'!AM68/'Run VRS'!H68,"")</f>
        <v/>
      </c>
      <c r="AO68" s="114" t="str">
        <f>IF('Data input'!I68&lt;&gt;"",'Run VRS'!AN68/'Run VRS'!I68,"")</f>
        <v/>
      </c>
      <c r="AP68" s="114" t="str">
        <f>IF('Data input'!J68&lt;&gt;"",'Run VRS'!AO68/'Run VRS'!J68,"")</f>
        <v/>
      </c>
      <c r="AQ68" s="114" t="str">
        <f>IF('Data input'!K68&lt;&gt;"",'Run VRS'!AP68/'Run VRS'!K68,"")</f>
        <v/>
      </c>
      <c r="AR68" s="115" t="str">
        <f>IF('Data input'!L68&lt;&gt;"",'Run VRS'!AQ68/'Run VRS'!L68,"")</f>
        <v/>
      </c>
    </row>
    <row r="69" spans="1:44" x14ac:dyDescent="0.35">
      <c r="A69" s="102" t="str">
        <f>IF('Run VRS'!AF69&lt;&gt;"",'Run VRS'!AF69,"")</f>
        <v/>
      </c>
      <c r="B69" s="103" t="str">
        <f>IF('Run VRS'!AG69&lt;&gt;"",'Run VRS'!AG69,"")</f>
        <v/>
      </c>
      <c r="C69" s="104" t="str">
        <f>IF('Run VRS'!AR69&lt;&gt;"",'Run VRS'!AR69,"")</f>
        <v/>
      </c>
      <c r="D69" s="104" t="e">
        <f>IF(ROUND(C69,3)=100%,"Optimal frontier",'Run VRS'!BW69)</f>
        <v>#VALUE!</v>
      </c>
      <c r="E69" s="105" t="str">
        <f>IF('Run VRS'!BC69&lt;&gt;"",'Run VRS'!BC69,"")</f>
        <v/>
      </c>
      <c r="F69" s="106" t="str">
        <f>IF('Run VRS'!BD69&lt;&gt;"",'Run VRS'!BD69,"")</f>
        <v/>
      </c>
      <c r="G69" s="106" t="str">
        <f>IF('Run VRS'!BE69&lt;&gt;"",'Run VRS'!BE69,"")</f>
        <v/>
      </c>
      <c r="H69" s="106" t="str">
        <f>IF('Run VRS'!BF69&lt;&gt;"",'Run VRS'!BF69,"")</f>
        <v/>
      </c>
      <c r="I69" s="106" t="str">
        <f>IF('Run VRS'!BG69&lt;&gt;"",'Run VRS'!BG69,"")</f>
        <v/>
      </c>
      <c r="J69" s="106" t="str">
        <f>IF('Run VRS'!BH69&lt;&gt;"",'Run VRS'!BH69,"")</f>
        <v/>
      </c>
      <c r="K69" s="105" t="str">
        <f>IF('Run VRS'!BI69&lt;&gt;"",'Run VRS'!BI69,"")</f>
        <v/>
      </c>
      <c r="L69" s="105" t="str">
        <f>IF('Run VRS'!BJ69&lt;&gt;"",'Run VRS'!BJ69,"")</f>
        <v/>
      </c>
      <c r="M69" s="105" t="str">
        <f>IF('Run VRS'!BK69&lt;&gt;"",'Run VRS'!BK69,"")</f>
        <v/>
      </c>
      <c r="N69" s="105" t="str">
        <f>IF('Run VRS'!BL69&lt;&gt;"",'Run VRS'!BL69,"")</f>
        <v/>
      </c>
      <c r="O69" s="105" t="str">
        <f>IF('Run VRS'!BM69&lt;&gt;"",'Run VRS'!BM69,"")</f>
        <v/>
      </c>
      <c r="P69" s="106" t="str">
        <f>IF('Run VRS'!BN69&lt;&gt;"",'Run VRS'!BN69,"")</f>
        <v/>
      </c>
      <c r="Q69" s="106" t="str">
        <f>IF('Run VRS'!BO69&lt;&gt;"",'Run VRS'!BO69,"")</f>
        <v/>
      </c>
      <c r="R69" s="106" t="str">
        <f>IF('Run VRS'!BP69&lt;&gt;"",'Run VRS'!BP69,"")</f>
        <v/>
      </c>
      <c r="S69" s="106" t="str">
        <f>IF('Run VRS'!BQ69&lt;&gt;"",'Run VRS'!BQ69,"")</f>
        <v/>
      </c>
      <c r="T69" s="106" t="str">
        <f>IF('Run VRS'!BR69&lt;&gt;"",'Run VRS'!BR69,"")</f>
        <v/>
      </c>
      <c r="U69" s="105" t="str">
        <f>IF('Run VRS'!BS69&lt;&gt;"",'Run VRS'!BS69,"")</f>
        <v/>
      </c>
      <c r="V69" s="105" t="str">
        <f>IF('Run VRS'!BT69&lt;&gt;"",'Run VRS'!BT69,"")</f>
        <v/>
      </c>
      <c r="W69" s="105" t="str">
        <f>IF('Run VRS'!BU69&lt;&gt;"",'Run VRS'!BU69,"")</f>
        <v/>
      </c>
      <c r="X69" s="107" t="str">
        <f>IF('Run VRS'!BV69&lt;&gt;"",'Run VRS'!BV69,"")</f>
        <v/>
      </c>
      <c r="Y69" s="114" t="str">
        <f>IF('Data input'!C69&lt;&gt;"",O69/'Data input'!C69*100%,"")</f>
        <v/>
      </c>
      <c r="Z69" s="114" t="str">
        <f>IF('Data input'!D69&lt;&gt;"",P69/'Data input'!D69*100%,"")</f>
        <v/>
      </c>
      <c r="AA69" s="114" t="str">
        <f>IF('Data input'!E69&lt;&gt;"",Q69/'Data input'!E69*100%,"")</f>
        <v/>
      </c>
      <c r="AB69" s="114" t="str">
        <f>IF('Data input'!F69&lt;&gt;"",R69/'Data input'!F69*100%,"")</f>
        <v/>
      </c>
      <c r="AC69" s="114" t="str">
        <f>IF('Data input'!G69&lt;&gt;"",S69/'Data input'!G69*100%,"")</f>
        <v/>
      </c>
      <c r="AD69" s="114" t="str">
        <f>IF('Data input'!H69&lt;&gt;"",T69/'Data input'!H69*100%,"")</f>
        <v/>
      </c>
      <c r="AE69" s="114" t="str">
        <f>IF('Data input'!I69&lt;&gt;"",U69/'Data input'!I69*100%,"")</f>
        <v/>
      </c>
      <c r="AF69" s="114" t="str">
        <f>IF('Data input'!J69&lt;&gt;"",V69/'Data input'!J69*100%,"")</f>
        <v/>
      </c>
      <c r="AG69" s="114" t="str">
        <f>IF('Data input'!K69&lt;&gt;"",W69/'Data input'!K69*100%,"")</f>
        <v/>
      </c>
      <c r="AH69" s="115" t="str">
        <f>IF('Data input'!L69&lt;&gt;"",X69/'Data input'!L69*100%,"")</f>
        <v/>
      </c>
      <c r="AI69" s="114" t="str">
        <f>IF('Data input'!C69&lt;&gt;"",'Run VRS'!AH69/'Run VRS'!C69,"")</f>
        <v/>
      </c>
      <c r="AJ69" s="114" t="str">
        <f>IF('Data input'!D69&lt;&gt;"",'Run VRS'!AI69/'Run VRS'!D69,"")</f>
        <v/>
      </c>
      <c r="AK69" s="114" t="str">
        <f>IF('Data input'!E69&lt;&gt;"",'Run VRS'!AJ69/'Run VRS'!E69,"")</f>
        <v/>
      </c>
      <c r="AL69" s="114" t="str">
        <f>IF('Data input'!F69&lt;&gt;"",'Run VRS'!AK69/'Run VRS'!F69,"")</f>
        <v/>
      </c>
      <c r="AM69" s="114" t="str">
        <f>IF('Data input'!G69&lt;&gt;"",'Run VRS'!AL69/'Run VRS'!G69,"")</f>
        <v/>
      </c>
      <c r="AN69" s="114" t="str">
        <f>IF('Data input'!H69&lt;&gt;"",'Run VRS'!AM69/'Run VRS'!H69,"")</f>
        <v/>
      </c>
      <c r="AO69" s="114" t="str">
        <f>IF('Data input'!I69&lt;&gt;"",'Run VRS'!AN69/'Run VRS'!I69,"")</f>
        <v/>
      </c>
      <c r="AP69" s="114" t="str">
        <f>IF('Data input'!J69&lt;&gt;"",'Run VRS'!AO69/'Run VRS'!J69,"")</f>
        <v/>
      </c>
      <c r="AQ69" s="114" t="str">
        <f>IF('Data input'!K69&lt;&gt;"",'Run VRS'!AP69/'Run VRS'!K69,"")</f>
        <v/>
      </c>
      <c r="AR69" s="115" t="str">
        <f>IF('Data input'!L69&lt;&gt;"",'Run VRS'!AQ69/'Run VRS'!L69,"")</f>
        <v/>
      </c>
    </row>
    <row r="70" spans="1:44" x14ac:dyDescent="0.35">
      <c r="A70" s="102" t="str">
        <f>IF('Run VRS'!AF70&lt;&gt;"",'Run VRS'!AF70,"")</f>
        <v/>
      </c>
      <c r="B70" s="103" t="str">
        <f>IF('Run VRS'!AG70&lt;&gt;"",'Run VRS'!AG70,"")</f>
        <v/>
      </c>
      <c r="C70" s="104" t="str">
        <f>IF('Run VRS'!AR70&lt;&gt;"",'Run VRS'!AR70,"")</f>
        <v/>
      </c>
      <c r="D70" s="104" t="e">
        <f>IF(ROUND(C70,3)=100%,"Optimal frontier",'Run VRS'!BW70)</f>
        <v>#VALUE!</v>
      </c>
      <c r="E70" s="105" t="str">
        <f>IF('Run VRS'!BC70&lt;&gt;"",'Run VRS'!BC70,"")</f>
        <v/>
      </c>
      <c r="F70" s="106" t="str">
        <f>IF('Run VRS'!BD70&lt;&gt;"",'Run VRS'!BD70,"")</f>
        <v/>
      </c>
      <c r="G70" s="106" t="str">
        <f>IF('Run VRS'!BE70&lt;&gt;"",'Run VRS'!BE70,"")</f>
        <v/>
      </c>
      <c r="H70" s="106" t="str">
        <f>IF('Run VRS'!BF70&lt;&gt;"",'Run VRS'!BF70,"")</f>
        <v/>
      </c>
      <c r="I70" s="106" t="str">
        <f>IF('Run VRS'!BG70&lt;&gt;"",'Run VRS'!BG70,"")</f>
        <v/>
      </c>
      <c r="J70" s="106" t="str">
        <f>IF('Run VRS'!BH70&lt;&gt;"",'Run VRS'!BH70,"")</f>
        <v/>
      </c>
      <c r="K70" s="105" t="str">
        <f>IF('Run VRS'!BI70&lt;&gt;"",'Run VRS'!BI70,"")</f>
        <v/>
      </c>
      <c r="L70" s="105" t="str">
        <f>IF('Run VRS'!BJ70&lt;&gt;"",'Run VRS'!BJ70,"")</f>
        <v/>
      </c>
      <c r="M70" s="105" t="str">
        <f>IF('Run VRS'!BK70&lt;&gt;"",'Run VRS'!BK70,"")</f>
        <v/>
      </c>
      <c r="N70" s="105" t="str">
        <f>IF('Run VRS'!BL70&lt;&gt;"",'Run VRS'!BL70,"")</f>
        <v/>
      </c>
      <c r="O70" s="105" t="str">
        <f>IF('Run VRS'!BM70&lt;&gt;"",'Run VRS'!BM70,"")</f>
        <v/>
      </c>
      <c r="P70" s="106" t="str">
        <f>IF('Run VRS'!BN70&lt;&gt;"",'Run VRS'!BN70,"")</f>
        <v/>
      </c>
      <c r="Q70" s="106" t="str">
        <f>IF('Run VRS'!BO70&lt;&gt;"",'Run VRS'!BO70,"")</f>
        <v/>
      </c>
      <c r="R70" s="106" t="str">
        <f>IF('Run VRS'!BP70&lt;&gt;"",'Run VRS'!BP70,"")</f>
        <v/>
      </c>
      <c r="S70" s="106" t="str">
        <f>IF('Run VRS'!BQ70&lt;&gt;"",'Run VRS'!BQ70,"")</f>
        <v/>
      </c>
      <c r="T70" s="106" t="str">
        <f>IF('Run VRS'!BR70&lt;&gt;"",'Run VRS'!BR70,"")</f>
        <v/>
      </c>
      <c r="U70" s="105" t="str">
        <f>IF('Run VRS'!BS70&lt;&gt;"",'Run VRS'!BS70,"")</f>
        <v/>
      </c>
      <c r="V70" s="105" t="str">
        <f>IF('Run VRS'!BT70&lt;&gt;"",'Run VRS'!BT70,"")</f>
        <v/>
      </c>
      <c r="W70" s="105" t="str">
        <f>IF('Run VRS'!BU70&lt;&gt;"",'Run VRS'!BU70,"")</f>
        <v/>
      </c>
      <c r="X70" s="107" t="str">
        <f>IF('Run VRS'!BV70&lt;&gt;"",'Run VRS'!BV70,"")</f>
        <v/>
      </c>
      <c r="Y70" s="114" t="str">
        <f>IF('Data input'!C70&lt;&gt;"",O70/'Data input'!C70*100%,"")</f>
        <v/>
      </c>
      <c r="Z70" s="114" t="str">
        <f>IF('Data input'!D70&lt;&gt;"",P70/'Data input'!D70*100%,"")</f>
        <v/>
      </c>
      <c r="AA70" s="114" t="str">
        <f>IF('Data input'!E70&lt;&gt;"",Q70/'Data input'!E70*100%,"")</f>
        <v/>
      </c>
      <c r="AB70" s="114" t="str">
        <f>IF('Data input'!F70&lt;&gt;"",R70/'Data input'!F70*100%,"")</f>
        <v/>
      </c>
      <c r="AC70" s="114" t="str">
        <f>IF('Data input'!G70&lt;&gt;"",S70/'Data input'!G70*100%,"")</f>
        <v/>
      </c>
      <c r="AD70" s="114" t="str">
        <f>IF('Data input'!H70&lt;&gt;"",T70/'Data input'!H70*100%,"")</f>
        <v/>
      </c>
      <c r="AE70" s="114" t="str">
        <f>IF('Data input'!I70&lt;&gt;"",U70/'Data input'!I70*100%,"")</f>
        <v/>
      </c>
      <c r="AF70" s="114" t="str">
        <f>IF('Data input'!J70&lt;&gt;"",V70/'Data input'!J70*100%,"")</f>
        <v/>
      </c>
      <c r="AG70" s="114" t="str">
        <f>IF('Data input'!K70&lt;&gt;"",W70/'Data input'!K70*100%,"")</f>
        <v/>
      </c>
      <c r="AH70" s="115" t="str">
        <f>IF('Data input'!L70&lt;&gt;"",X70/'Data input'!L70*100%,"")</f>
        <v/>
      </c>
      <c r="AI70" s="114" t="str">
        <f>IF('Data input'!C70&lt;&gt;"",'Run VRS'!AH70/'Run VRS'!C70,"")</f>
        <v/>
      </c>
      <c r="AJ70" s="114" t="str">
        <f>IF('Data input'!D70&lt;&gt;"",'Run VRS'!AI70/'Run VRS'!D70,"")</f>
        <v/>
      </c>
      <c r="AK70" s="114" t="str">
        <f>IF('Data input'!E70&lt;&gt;"",'Run VRS'!AJ70/'Run VRS'!E70,"")</f>
        <v/>
      </c>
      <c r="AL70" s="114" t="str">
        <f>IF('Data input'!F70&lt;&gt;"",'Run VRS'!AK70/'Run VRS'!F70,"")</f>
        <v/>
      </c>
      <c r="AM70" s="114" t="str">
        <f>IF('Data input'!G70&lt;&gt;"",'Run VRS'!AL70/'Run VRS'!G70,"")</f>
        <v/>
      </c>
      <c r="AN70" s="114" t="str">
        <f>IF('Data input'!H70&lt;&gt;"",'Run VRS'!AM70/'Run VRS'!H70,"")</f>
        <v/>
      </c>
      <c r="AO70" s="114" t="str">
        <f>IF('Data input'!I70&lt;&gt;"",'Run VRS'!AN70/'Run VRS'!I70,"")</f>
        <v/>
      </c>
      <c r="AP70" s="114" t="str">
        <f>IF('Data input'!J70&lt;&gt;"",'Run VRS'!AO70/'Run VRS'!J70,"")</f>
        <v/>
      </c>
      <c r="AQ70" s="114" t="str">
        <f>IF('Data input'!K70&lt;&gt;"",'Run VRS'!AP70/'Run VRS'!K70,"")</f>
        <v/>
      </c>
      <c r="AR70" s="115" t="str">
        <f>IF('Data input'!L70&lt;&gt;"",'Run VRS'!AQ70/'Run VRS'!L70,"")</f>
        <v/>
      </c>
    </row>
    <row r="71" spans="1:44" x14ac:dyDescent="0.35">
      <c r="A71" s="102" t="str">
        <f>IF('Run VRS'!AF71&lt;&gt;"",'Run VRS'!AF71,"")</f>
        <v/>
      </c>
      <c r="B71" s="103" t="str">
        <f>IF('Run VRS'!AG71&lt;&gt;"",'Run VRS'!AG71,"")</f>
        <v/>
      </c>
      <c r="C71" s="104" t="str">
        <f>IF('Run VRS'!AR71&lt;&gt;"",'Run VRS'!AR71,"")</f>
        <v/>
      </c>
      <c r="D71" s="104" t="e">
        <f>IF(ROUND(C71,3)=100%,"Optimal frontier",'Run VRS'!BW71)</f>
        <v>#VALUE!</v>
      </c>
      <c r="E71" s="105" t="str">
        <f>IF('Run VRS'!BC71&lt;&gt;"",'Run VRS'!BC71,"")</f>
        <v/>
      </c>
      <c r="F71" s="106" t="str">
        <f>IF('Run VRS'!BD71&lt;&gt;"",'Run VRS'!BD71,"")</f>
        <v/>
      </c>
      <c r="G71" s="106" t="str">
        <f>IF('Run VRS'!BE71&lt;&gt;"",'Run VRS'!BE71,"")</f>
        <v/>
      </c>
      <c r="H71" s="106" t="str">
        <f>IF('Run VRS'!BF71&lt;&gt;"",'Run VRS'!BF71,"")</f>
        <v/>
      </c>
      <c r="I71" s="106" t="str">
        <f>IF('Run VRS'!BG71&lt;&gt;"",'Run VRS'!BG71,"")</f>
        <v/>
      </c>
      <c r="J71" s="106" t="str">
        <f>IF('Run VRS'!BH71&lt;&gt;"",'Run VRS'!BH71,"")</f>
        <v/>
      </c>
      <c r="K71" s="105" t="str">
        <f>IF('Run VRS'!BI71&lt;&gt;"",'Run VRS'!BI71,"")</f>
        <v/>
      </c>
      <c r="L71" s="105" t="str">
        <f>IF('Run VRS'!BJ71&lt;&gt;"",'Run VRS'!BJ71,"")</f>
        <v/>
      </c>
      <c r="M71" s="105" t="str">
        <f>IF('Run VRS'!BK71&lt;&gt;"",'Run VRS'!BK71,"")</f>
        <v/>
      </c>
      <c r="N71" s="105" t="str">
        <f>IF('Run VRS'!BL71&lt;&gt;"",'Run VRS'!BL71,"")</f>
        <v/>
      </c>
      <c r="O71" s="105" t="str">
        <f>IF('Run VRS'!BM71&lt;&gt;"",'Run VRS'!BM71,"")</f>
        <v/>
      </c>
      <c r="P71" s="106" t="str">
        <f>IF('Run VRS'!BN71&lt;&gt;"",'Run VRS'!BN71,"")</f>
        <v/>
      </c>
      <c r="Q71" s="106" t="str">
        <f>IF('Run VRS'!BO71&lt;&gt;"",'Run VRS'!BO71,"")</f>
        <v/>
      </c>
      <c r="R71" s="106" t="str">
        <f>IF('Run VRS'!BP71&lt;&gt;"",'Run VRS'!BP71,"")</f>
        <v/>
      </c>
      <c r="S71" s="106" t="str">
        <f>IF('Run VRS'!BQ71&lt;&gt;"",'Run VRS'!BQ71,"")</f>
        <v/>
      </c>
      <c r="T71" s="106" t="str">
        <f>IF('Run VRS'!BR71&lt;&gt;"",'Run VRS'!BR71,"")</f>
        <v/>
      </c>
      <c r="U71" s="105" t="str">
        <f>IF('Run VRS'!BS71&lt;&gt;"",'Run VRS'!BS71,"")</f>
        <v/>
      </c>
      <c r="V71" s="105" t="str">
        <f>IF('Run VRS'!BT71&lt;&gt;"",'Run VRS'!BT71,"")</f>
        <v/>
      </c>
      <c r="W71" s="105" t="str">
        <f>IF('Run VRS'!BU71&lt;&gt;"",'Run VRS'!BU71,"")</f>
        <v/>
      </c>
      <c r="X71" s="107" t="str">
        <f>IF('Run VRS'!BV71&lt;&gt;"",'Run VRS'!BV71,"")</f>
        <v/>
      </c>
      <c r="Y71" s="114" t="str">
        <f>IF('Data input'!C71&lt;&gt;"",O71/'Data input'!C71*100%,"")</f>
        <v/>
      </c>
      <c r="Z71" s="114" t="str">
        <f>IF('Data input'!D71&lt;&gt;"",P71/'Data input'!D71*100%,"")</f>
        <v/>
      </c>
      <c r="AA71" s="114" t="str">
        <f>IF('Data input'!E71&lt;&gt;"",Q71/'Data input'!E71*100%,"")</f>
        <v/>
      </c>
      <c r="AB71" s="114" t="str">
        <f>IF('Data input'!F71&lt;&gt;"",R71/'Data input'!F71*100%,"")</f>
        <v/>
      </c>
      <c r="AC71" s="114" t="str">
        <f>IF('Data input'!G71&lt;&gt;"",S71/'Data input'!G71*100%,"")</f>
        <v/>
      </c>
      <c r="AD71" s="114" t="str">
        <f>IF('Data input'!H71&lt;&gt;"",T71/'Data input'!H71*100%,"")</f>
        <v/>
      </c>
      <c r="AE71" s="114" t="str">
        <f>IF('Data input'!I71&lt;&gt;"",U71/'Data input'!I71*100%,"")</f>
        <v/>
      </c>
      <c r="AF71" s="114" t="str">
        <f>IF('Data input'!J71&lt;&gt;"",V71/'Data input'!J71*100%,"")</f>
        <v/>
      </c>
      <c r="AG71" s="114" t="str">
        <f>IF('Data input'!K71&lt;&gt;"",W71/'Data input'!K71*100%,"")</f>
        <v/>
      </c>
      <c r="AH71" s="115" t="str">
        <f>IF('Data input'!L71&lt;&gt;"",X71/'Data input'!L71*100%,"")</f>
        <v/>
      </c>
      <c r="AI71" s="114" t="str">
        <f>IF('Data input'!C71&lt;&gt;"",'Run VRS'!AH71/'Run VRS'!C71,"")</f>
        <v/>
      </c>
      <c r="AJ71" s="114" t="str">
        <f>IF('Data input'!D71&lt;&gt;"",'Run VRS'!AI71/'Run VRS'!D71,"")</f>
        <v/>
      </c>
      <c r="AK71" s="114" t="str">
        <f>IF('Data input'!E71&lt;&gt;"",'Run VRS'!AJ71/'Run VRS'!E71,"")</f>
        <v/>
      </c>
      <c r="AL71" s="114" t="str">
        <f>IF('Data input'!F71&lt;&gt;"",'Run VRS'!AK71/'Run VRS'!F71,"")</f>
        <v/>
      </c>
      <c r="AM71" s="114" t="str">
        <f>IF('Data input'!G71&lt;&gt;"",'Run VRS'!AL71/'Run VRS'!G71,"")</f>
        <v/>
      </c>
      <c r="AN71" s="114" t="str">
        <f>IF('Data input'!H71&lt;&gt;"",'Run VRS'!AM71/'Run VRS'!H71,"")</f>
        <v/>
      </c>
      <c r="AO71" s="114" t="str">
        <f>IF('Data input'!I71&lt;&gt;"",'Run VRS'!AN71/'Run VRS'!I71,"")</f>
        <v/>
      </c>
      <c r="AP71" s="114" t="str">
        <f>IF('Data input'!J71&lt;&gt;"",'Run VRS'!AO71/'Run VRS'!J71,"")</f>
        <v/>
      </c>
      <c r="AQ71" s="114" t="str">
        <f>IF('Data input'!K71&lt;&gt;"",'Run VRS'!AP71/'Run VRS'!K71,"")</f>
        <v/>
      </c>
      <c r="AR71" s="115" t="str">
        <f>IF('Data input'!L71&lt;&gt;"",'Run VRS'!AQ71/'Run VRS'!L71,"")</f>
        <v/>
      </c>
    </row>
    <row r="72" spans="1:44" x14ac:dyDescent="0.35">
      <c r="A72" s="102" t="str">
        <f>IF('Run VRS'!AF72&lt;&gt;"",'Run VRS'!AF72,"")</f>
        <v/>
      </c>
      <c r="B72" s="103" t="str">
        <f>IF('Run VRS'!AG72&lt;&gt;"",'Run VRS'!AG72,"")</f>
        <v/>
      </c>
      <c r="C72" s="104" t="str">
        <f>IF('Run VRS'!AR72&lt;&gt;"",'Run VRS'!AR72,"")</f>
        <v/>
      </c>
      <c r="D72" s="104" t="e">
        <f>IF(ROUND(C72,3)=100%,"Optimal frontier",'Run VRS'!BW72)</f>
        <v>#VALUE!</v>
      </c>
      <c r="E72" s="105" t="str">
        <f>IF('Run VRS'!BC72&lt;&gt;"",'Run VRS'!BC72,"")</f>
        <v/>
      </c>
      <c r="F72" s="106" t="str">
        <f>IF('Run VRS'!BD72&lt;&gt;"",'Run VRS'!BD72,"")</f>
        <v/>
      </c>
      <c r="G72" s="106" t="str">
        <f>IF('Run VRS'!BE72&lt;&gt;"",'Run VRS'!BE72,"")</f>
        <v/>
      </c>
      <c r="H72" s="106" t="str">
        <f>IF('Run VRS'!BF72&lt;&gt;"",'Run VRS'!BF72,"")</f>
        <v/>
      </c>
      <c r="I72" s="106" t="str">
        <f>IF('Run VRS'!BG72&lt;&gt;"",'Run VRS'!BG72,"")</f>
        <v/>
      </c>
      <c r="J72" s="106" t="str">
        <f>IF('Run VRS'!BH72&lt;&gt;"",'Run VRS'!BH72,"")</f>
        <v/>
      </c>
      <c r="K72" s="105" t="str">
        <f>IF('Run VRS'!BI72&lt;&gt;"",'Run VRS'!BI72,"")</f>
        <v/>
      </c>
      <c r="L72" s="105" t="str">
        <f>IF('Run VRS'!BJ72&lt;&gt;"",'Run VRS'!BJ72,"")</f>
        <v/>
      </c>
      <c r="M72" s="105" t="str">
        <f>IF('Run VRS'!BK72&lt;&gt;"",'Run VRS'!BK72,"")</f>
        <v/>
      </c>
      <c r="N72" s="105" t="str">
        <f>IF('Run VRS'!BL72&lt;&gt;"",'Run VRS'!BL72,"")</f>
        <v/>
      </c>
      <c r="O72" s="105" t="str">
        <f>IF('Run VRS'!BM72&lt;&gt;"",'Run VRS'!BM72,"")</f>
        <v/>
      </c>
      <c r="P72" s="106" t="str">
        <f>IF('Run VRS'!BN72&lt;&gt;"",'Run VRS'!BN72,"")</f>
        <v/>
      </c>
      <c r="Q72" s="106" t="str">
        <f>IF('Run VRS'!BO72&lt;&gt;"",'Run VRS'!BO72,"")</f>
        <v/>
      </c>
      <c r="R72" s="106" t="str">
        <f>IF('Run VRS'!BP72&lt;&gt;"",'Run VRS'!BP72,"")</f>
        <v/>
      </c>
      <c r="S72" s="106" t="str">
        <f>IF('Run VRS'!BQ72&lt;&gt;"",'Run VRS'!BQ72,"")</f>
        <v/>
      </c>
      <c r="T72" s="106" t="str">
        <f>IF('Run VRS'!BR72&lt;&gt;"",'Run VRS'!BR72,"")</f>
        <v/>
      </c>
      <c r="U72" s="105" t="str">
        <f>IF('Run VRS'!BS72&lt;&gt;"",'Run VRS'!BS72,"")</f>
        <v/>
      </c>
      <c r="V72" s="105" t="str">
        <f>IF('Run VRS'!BT72&lt;&gt;"",'Run VRS'!BT72,"")</f>
        <v/>
      </c>
      <c r="W72" s="105" t="str">
        <f>IF('Run VRS'!BU72&lt;&gt;"",'Run VRS'!BU72,"")</f>
        <v/>
      </c>
      <c r="X72" s="107" t="str">
        <f>IF('Run VRS'!BV72&lt;&gt;"",'Run VRS'!BV72,"")</f>
        <v/>
      </c>
      <c r="Y72" s="114" t="str">
        <f>IF('Data input'!C72&lt;&gt;"",O72/'Data input'!C72*100%,"")</f>
        <v/>
      </c>
      <c r="Z72" s="114" t="str">
        <f>IF('Data input'!D72&lt;&gt;"",P72/'Data input'!D72*100%,"")</f>
        <v/>
      </c>
      <c r="AA72" s="114" t="str">
        <f>IF('Data input'!E72&lt;&gt;"",Q72/'Data input'!E72*100%,"")</f>
        <v/>
      </c>
      <c r="AB72" s="114" t="str">
        <f>IF('Data input'!F72&lt;&gt;"",R72/'Data input'!F72*100%,"")</f>
        <v/>
      </c>
      <c r="AC72" s="114" t="str">
        <f>IF('Data input'!G72&lt;&gt;"",S72/'Data input'!G72*100%,"")</f>
        <v/>
      </c>
      <c r="AD72" s="114" t="str">
        <f>IF('Data input'!H72&lt;&gt;"",T72/'Data input'!H72*100%,"")</f>
        <v/>
      </c>
      <c r="AE72" s="114" t="str">
        <f>IF('Data input'!I72&lt;&gt;"",U72/'Data input'!I72*100%,"")</f>
        <v/>
      </c>
      <c r="AF72" s="114" t="str">
        <f>IF('Data input'!J72&lt;&gt;"",V72/'Data input'!J72*100%,"")</f>
        <v/>
      </c>
      <c r="AG72" s="114" t="str">
        <f>IF('Data input'!K72&lt;&gt;"",W72/'Data input'!K72*100%,"")</f>
        <v/>
      </c>
      <c r="AH72" s="115" t="str">
        <f>IF('Data input'!L72&lt;&gt;"",X72/'Data input'!L72*100%,"")</f>
        <v/>
      </c>
      <c r="AI72" s="114" t="str">
        <f>IF('Data input'!C72&lt;&gt;"",'Run VRS'!AH72/'Run VRS'!C72,"")</f>
        <v/>
      </c>
      <c r="AJ72" s="114" t="str">
        <f>IF('Data input'!D72&lt;&gt;"",'Run VRS'!AI72/'Run VRS'!D72,"")</f>
        <v/>
      </c>
      <c r="AK72" s="114" t="str">
        <f>IF('Data input'!E72&lt;&gt;"",'Run VRS'!AJ72/'Run VRS'!E72,"")</f>
        <v/>
      </c>
      <c r="AL72" s="114" t="str">
        <f>IF('Data input'!F72&lt;&gt;"",'Run VRS'!AK72/'Run VRS'!F72,"")</f>
        <v/>
      </c>
      <c r="AM72" s="114" t="str">
        <f>IF('Data input'!G72&lt;&gt;"",'Run VRS'!AL72/'Run VRS'!G72,"")</f>
        <v/>
      </c>
      <c r="AN72" s="114" t="str">
        <f>IF('Data input'!H72&lt;&gt;"",'Run VRS'!AM72/'Run VRS'!H72,"")</f>
        <v/>
      </c>
      <c r="AO72" s="114" t="str">
        <f>IF('Data input'!I72&lt;&gt;"",'Run VRS'!AN72/'Run VRS'!I72,"")</f>
        <v/>
      </c>
      <c r="AP72" s="114" t="str">
        <f>IF('Data input'!J72&lt;&gt;"",'Run VRS'!AO72/'Run VRS'!J72,"")</f>
        <v/>
      </c>
      <c r="AQ72" s="114" t="str">
        <f>IF('Data input'!K72&lt;&gt;"",'Run VRS'!AP72/'Run VRS'!K72,"")</f>
        <v/>
      </c>
      <c r="AR72" s="115" t="str">
        <f>IF('Data input'!L72&lt;&gt;"",'Run VRS'!AQ72/'Run VRS'!L72,"")</f>
        <v/>
      </c>
    </row>
    <row r="73" spans="1:44" x14ac:dyDescent="0.35">
      <c r="A73" s="102" t="str">
        <f>IF('Run VRS'!AF73&lt;&gt;"",'Run VRS'!AF73,"")</f>
        <v/>
      </c>
      <c r="B73" s="103" t="str">
        <f>IF('Run VRS'!AG73&lt;&gt;"",'Run VRS'!AG73,"")</f>
        <v/>
      </c>
      <c r="C73" s="104" t="str">
        <f>IF('Run VRS'!AR73&lt;&gt;"",'Run VRS'!AR73,"")</f>
        <v/>
      </c>
      <c r="D73" s="104" t="e">
        <f>IF(ROUND(C73,3)=100%,"Optimal frontier",'Run VRS'!BW73)</f>
        <v>#VALUE!</v>
      </c>
      <c r="E73" s="105" t="str">
        <f>IF('Run VRS'!BC73&lt;&gt;"",'Run VRS'!BC73,"")</f>
        <v/>
      </c>
      <c r="F73" s="106" t="str">
        <f>IF('Run VRS'!BD73&lt;&gt;"",'Run VRS'!BD73,"")</f>
        <v/>
      </c>
      <c r="G73" s="106" t="str">
        <f>IF('Run VRS'!BE73&lt;&gt;"",'Run VRS'!BE73,"")</f>
        <v/>
      </c>
      <c r="H73" s="106" t="str">
        <f>IF('Run VRS'!BF73&lt;&gt;"",'Run VRS'!BF73,"")</f>
        <v/>
      </c>
      <c r="I73" s="106" t="str">
        <f>IF('Run VRS'!BG73&lt;&gt;"",'Run VRS'!BG73,"")</f>
        <v/>
      </c>
      <c r="J73" s="106" t="str">
        <f>IF('Run VRS'!BH73&lt;&gt;"",'Run VRS'!BH73,"")</f>
        <v/>
      </c>
      <c r="K73" s="105" t="str">
        <f>IF('Run VRS'!BI73&lt;&gt;"",'Run VRS'!BI73,"")</f>
        <v/>
      </c>
      <c r="L73" s="105" t="str">
        <f>IF('Run VRS'!BJ73&lt;&gt;"",'Run VRS'!BJ73,"")</f>
        <v/>
      </c>
      <c r="M73" s="105" t="str">
        <f>IF('Run VRS'!BK73&lt;&gt;"",'Run VRS'!BK73,"")</f>
        <v/>
      </c>
      <c r="N73" s="105" t="str">
        <f>IF('Run VRS'!BL73&lt;&gt;"",'Run VRS'!BL73,"")</f>
        <v/>
      </c>
      <c r="O73" s="105" t="str">
        <f>IF('Run VRS'!BM73&lt;&gt;"",'Run VRS'!BM73,"")</f>
        <v/>
      </c>
      <c r="P73" s="106" t="str">
        <f>IF('Run VRS'!BN73&lt;&gt;"",'Run VRS'!BN73,"")</f>
        <v/>
      </c>
      <c r="Q73" s="106" t="str">
        <f>IF('Run VRS'!BO73&lt;&gt;"",'Run VRS'!BO73,"")</f>
        <v/>
      </c>
      <c r="R73" s="106" t="str">
        <f>IF('Run VRS'!BP73&lt;&gt;"",'Run VRS'!BP73,"")</f>
        <v/>
      </c>
      <c r="S73" s="106" t="str">
        <f>IF('Run VRS'!BQ73&lt;&gt;"",'Run VRS'!BQ73,"")</f>
        <v/>
      </c>
      <c r="T73" s="106" t="str">
        <f>IF('Run VRS'!BR73&lt;&gt;"",'Run VRS'!BR73,"")</f>
        <v/>
      </c>
      <c r="U73" s="105" t="str">
        <f>IF('Run VRS'!BS73&lt;&gt;"",'Run VRS'!BS73,"")</f>
        <v/>
      </c>
      <c r="V73" s="105" t="str">
        <f>IF('Run VRS'!BT73&lt;&gt;"",'Run VRS'!BT73,"")</f>
        <v/>
      </c>
      <c r="W73" s="105" t="str">
        <f>IF('Run VRS'!BU73&lt;&gt;"",'Run VRS'!BU73,"")</f>
        <v/>
      </c>
      <c r="X73" s="107" t="str">
        <f>IF('Run VRS'!BV73&lt;&gt;"",'Run VRS'!BV73,"")</f>
        <v/>
      </c>
      <c r="Y73" s="114" t="str">
        <f>IF('Data input'!C73&lt;&gt;"",O73/'Data input'!C73*100%,"")</f>
        <v/>
      </c>
      <c r="Z73" s="114" t="str">
        <f>IF('Data input'!D73&lt;&gt;"",P73/'Data input'!D73*100%,"")</f>
        <v/>
      </c>
      <c r="AA73" s="114" t="str">
        <f>IF('Data input'!E73&lt;&gt;"",Q73/'Data input'!E73*100%,"")</f>
        <v/>
      </c>
      <c r="AB73" s="114" t="str">
        <f>IF('Data input'!F73&lt;&gt;"",R73/'Data input'!F73*100%,"")</f>
        <v/>
      </c>
      <c r="AC73" s="114" t="str">
        <f>IF('Data input'!G73&lt;&gt;"",S73/'Data input'!G73*100%,"")</f>
        <v/>
      </c>
      <c r="AD73" s="114" t="str">
        <f>IF('Data input'!H73&lt;&gt;"",T73/'Data input'!H73*100%,"")</f>
        <v/>
      </c>
      <c r="AE73" s="114" t="str">
        <f>IF('Data input'!I73&lt;&gt;"",U73/'Data input'!I73*100%,"")</f>
        <v/>
      </c>
      <c r="AF73" s="114" t="str">
        <f>IF('Data input'!J73&lt;&gt;"",V73/'Data input'!J73*100%,"")</f>
        <v/>
      </c>
      <c r="AG73" s="114" t="str">
        <f>IF('Data input'!K73&lt;&gt;"",W73/'Data input'!K73*100%,"")</f>
        <v/>
      </c>
      <c r="AH73" s="115" t="str">
        <f>IF('Data input'!L73&lt;&gt;"",X73/'Data input'!L73*100%,"")</f>
        <v/>
      </c>
      <c r="AI73" s="114" t="str">
        <f>IF('Data input'!C73&lt;&gt;"",'Run VRS'!AH73/'Run VRS'!C73,"")</f>
        <v/>
      </c>
      <c r="AJ73" s="114" t="str">
        <f>IF('Data input'!D73&lt;&gt;"",'Run VRS'!AI73/'Run VRS'!D73,"")</f>
        <v/>
      </c>
      <c r="AK73" s="114" t="str">
        <f>IF('Data input'!E73&lt;&gt;"",'Run VRS'!AJ73/'Run VRS'!E73,"")</f>
        <v/>
      </c>
      <c r="AL73" s="114" t="str">
        <f>IF('Data input'!F73&lt;&gt;"",'Run VRS'!AK73/'Run VRS'!F73,"")</f>
        <v/>
      </c>
      <c r="AM73" s="114" t="str">
        <f>IF('Data input'!G73&lt;&gt;"",'Run VRS'!AL73/'Run VRS'!G73,"")</f>
        <v/>
      </c>
      <c r="AN73" s="114" t="str">
        <f>IF('Data input'!H73&lt;&gt;"",'Run VRS'!AM73/'Run VRS'!H73,"")</f>
        <v/>
      </c>
      <c r="AO73" s="114" t="str">
        <f>IF('Data input'!I73&lt;&gt;"",'Run VRS'!AN73/'Run VRS'!I73,"")</f>
        <v/>
      </c>
      <c r="AP73" s="114" t="str">
        <f>IF('Data input'!J73&lt;&gt;"",'Run VRS'!AO73/'Run VRS'!J73,"")</f>
        <v/>
      </c>
      <c r="AQ73" s="114" t="str">
        <f>IF('Data input'!K73&lt;&gt;"",'Run VRS'!AP73/'Run VRS'!K73,"")</f>
        <v/>
      </c>
      <c r="AR73" s="115" t="str">
        <f>IF('Data input'!L73&lt;&gt;"",'Run VRS'!AQ73/'Run VRS'!L73,"")</f>
        <v/>
      </c>
    </row>
    <row r="74" spans="1:44" x14ac:dyDescent="0.35">
      <c r="A74" s="102" t="str">
        <f>IF('Run VRS'!AF74&lt;&gt;"",'Run VRS'!AF74,"")</f>
        <v/>
      </c>
      <c r="B74" s="103" t="str">
        <f>IF('Run VRS'!AG74&lt;&gt;"",'Run VRS'!AG74,"")</f>
        <v/>
      </c>
      <c r="C74" s="104" t="str">
        <f>IF('Run VRS'!AR74&lt;&gt;"",'Run VRS'!AR74,"")</f>
        <v/>
      </c>
      <c r="D74" s="104" t="e">
        <f>IF(ROUND(C74,3)=100%,"Optimal frontier",'Run VRS'!BW74)</f>
        <v>#VALUE!</v>
      </c>
      <c r="E74" s="105" t="str">
        <f>IF('Run VRS'!BC74&lt;&gt;"",'Run VRS'!BC74,"")</f>
        <v/>
      </c>
      <c r="F74" s="106" t="str">
        <f>IF('Run VRS'!BD74&lt;&gt;"",'Run VRS'!BD74,"")</f>
        <v/>
      </c>
      <c r="G74" s="106" t="str">
        <f>IF('Run VRS'!BE74&lt;&gt;"",'Run VRS'!BE74,"")</f>
        <v/>
      </c>
      <c r="H74" s="106" t="str">
        <f>IF('Run VRS'!BF74&lt;&gt;"",'Run VRS'!BF74,"")</f>
        <v/>
      </c>
      <c r="I74" s="106" t="str">
        <f>IF('Run VRS'!BG74&lt;&gt;"",'Run VRS'!BG74,"")</f>
        <v/>
      </c>
      <c r="J74" s="106" t="str">
        <f>IF('Run VRS'!BH74&lt;&gt;"",'Run VRS'!BH74,"")</f>
        <v/>
      </c>
      <c r="K74" s="105" t="str">
        <f>IF('Run VRS'!BI74&lt;&gt;"",'Run VRS'!BI74,"")</f>
        <v/>
      </c>
      <c r="L74" s="105" t="str">
        <f>IF('Run VRS'!BJ74&lt;&gt;"",'Run VRS'!BJ74,"")</f>
        <v/>
      </c>
      <c r="M74" s="105" t="str">
        <f>IF('Run VRS'!BK74&lt;&gt;"",'Run VRS'!BK74,"")</f>
        <v/>
      </c>
      <c r="N74" s="105" t="str">
        <f>IF('Run VRS'!BL74&lt;&gt;"",'Run VRS'!BL74,"")</f>
        <v/>
      </c>
      <c r="O74" s="105" t="str">
        <f>IF('Run VRS'!BM74&lt;&gt;"",'Run VRS'!BM74,"")</f>
        <v/>
      </c>
      <c r="P74" s="106" t="str">
        <f>IF('Run VRS'!BN74&lt;&gt;"",'Run VRS'!BN74,"")</f>
        <v/>
      </c>
      <c r="Q74" s="106" t="str">
        <f>IF('Run VRS'!BO74&lt;&gt;"",'Run VRS'!BO74,"")</f>
        <v/>
      </c>
      <c r="R74" s="106" t="str">
        <f>IF('Run VRS'!BP74&lt;&gt;"",'Run VRS'!BP74,"")</f>
        <v/>
      </c>
      <c r="S74" s="106" t="str">
        <f>IF('Run VRS'!BQ74&lt;&gt;"",'Run VRS'!BQ74,"")</f>
        <v/>
      </c>
      <c r="T74" s="106" t="str">
        <f>IF('Run VRS'!BR74&lt;&gt;"",'Run VRS'!BR74,"")</f>
        <v/>
      </c>
      <c r="U74" s="105" t="str">
        <f>IF('Run VRS'!BS74&lt;&gt;"",'Run VRS'!BS74,"")</f>
        <v/>
      </c>
      <c r="V74" s="105" t="str">
        <f>IF('Run VRS'!BT74&lt;&gt;"",'Run VRS'!BT74,"")</f>
        <v/>
      </c>
      <c r="W74" s="105" t="str">
        <f>IF('Run VRS'!BU74&lt;&gt;"",'Run VRS'!BU74,"")</f>
        <v/>
      </c>
      <c r="X74" s="107" t="str">
        <f>IF('Run VRS'!BV74&lt;&gt;"",'Run VRS'!BV74,"")</f>
        <v/>
      </c>
      <c r="Y74" s="114" t="str">
        <f>IF('Data input'!C74&lt;&gt;"",O74/'Data input'!C74*100%,"")</f>
        <v/>
      </c>
      <c r="Z74" s="114" t="str">
        <f>IF('Data input'!D74&lt;&gt;"",P74/'Data input'!D74*100%,"")</f>
        <v/>
      </c>
      <c r="AA74" s="114" t="str">
        <f>IF('Data input'!E74&lt;&gt;"",Q74/'Data input'!E74*100%,"")</f>
        <v/>
      </c>
      <c r="AB74" s="114" t="str">
        <f>IF('Data input'!F74&lt;&gt;"",R74/'Data input'!F74*100%,"")</f>
        <v/>
      </c>
      <c r="AC74" s="114" t="str">
        <f>IF('Data input'!G74&lt;&gt;"",S74/'Data input'!G74*100%,"")</f>
        <v/>
      </c>
      <c r="AD74" s="114" t="str">
        <f>IF('Data input'!H74&lt;&gt;"",T74/'Data input'!H74*100%,"")</f>
        <v/>
      </c>
      <c r="AE74" s="114" t="str">
        <f>IF('Data input'!I74&lt;&gt;"",U74/'Data input'!I74*100%,"")</f>
        <v/>
      </c>
      <c r="AF74" s="114" t="str">
        <f>IF('Data input'!J74&lt;&gt;"",V74/'Data input'!J74*100%,"")</f>
        <v/>
      </c>
      <c r="AG74" s="114" t="str">
        <f>IF('Data input'!K74&lt;&gt;"",W74/'Data input'!K74*100%,"")</f>
        <v/>
      </c>
      <c r="AH74" s="115" t="str">
        <f>IF('Data input'!L74&lt;&gt;"",X74/'Data input'!L74*100%,"")</f>
        <v/>
      </c>
      <c r="AI74" s="114" t="str">
        <f>IF('Data input'!C74&lt;&gt;"",'Run VRS'!AH74/'Run VRS'!C74,"")</f>
        <v/>
      </c>
      <c r="AJ74" s="114" t="str">
        <f>IF('Data input'!D74&lt;&gt;"",'Run VRS'!AI74/'Run VRS'!D74,"")</f>
        <v/>
      </c>
      <c r="AK74" s="114" t="str">
        <f>IF('Data input'!E74&lt;&gt;"",'Run VRS'!AJ74/'Run VRS'!E74,"")</f>
        <v/>
      </c>
      <c r="AL74" s="114" t="str">
        <f>IF('Data input'!F74&lt;&gt;"",'Run VRS'!AK74/'Run VRS'!F74,"")</f>
        <v/>
      </c>
      <c r="AM74" s="114" t="str">
        <f>IF('Data input'!G74&lt;&gt;"",'Run VRS'!AL74/'Run VRS'!G74,"")</f>
        <v/>
      </c>
      <c r="AN74" s="114" t="str">
        <f>IF('Data input'!H74&lt;&gt;"",'Run VRS'!AM74/'Run VRS'!H74,"")</f>
        <v/>
      </c>
      <c r="AO74" s="114" t="str">
        <f>IF('Data input'!I74&lt;&gt;"",'Run VRS'!AN74/'Run VRS'!I74,"")</f>
        <v/>
      </c>
      <c r="AP74" s="114" t="str">
        <f>IF('Data input'!J74&lt;&gt;"",'Run VRS'!AO74/'Run VRS'!J74,"")</f>
        <v/>
      </c>
      <c r="AQ74" s="114" t="str">
        <f>IF('Data input'!K74&lt;&gt;"",'Run VRS'!AP74/'Run VRS'!K74,"")</f>
        <v/>
      </c>
      <c r="AR74" s="115" t="str">
        <f>IF('Data input'!L74&lt;&gt;"",'Run VRS'!AQ74/'Run VRS'!L74,"")</f>
        <v/>
      </c>
    </row>
    <row r="75" spans="1:44" x14ac:dyDescent="0.35">
      <c r="A75" s="102" t="str">
        <f>IF('Run VRS'!AF75&lt;&gt;"",'Run VRS'!AF75,"")</f>
        <v/>
      </c>
      <c r="B75" s="103" t="str">
        <f>IF('Run VRS'!AG75&lt;&gt;"",'Run VRS'!AG75,"")</f>
        <v/>
      </c>
      <c r="C75" s="104" t="str">
        <f>IF('Run VRS'!AR75&lt;&gt;"",'Run VRS'!AR75,"")</f>
        <v/>
      </c>
      <c r="D75" s="104" t="e">
        <f>IF(ROUND(C75,3)=100%,"Optimal frontier",'Run VRS'!BW75)</f>
        <v>#VALUE!</v>
      </c>
      <c r="E75" s="105" t="str">
        <f>IF('Run VRS'!BC75&lt;&gt;"",'Run VRS'!BC75,"")</f>
        <v/>
      </c>
      <c r="F75" s="106" t="str">
        <f>IF('Run VRS'!BD75&lt;&gt;"",'Run VRS'!BD75,"")</f>
        <v/>
      </c>
      <c r="G75" s="106" t="str">
        <f>IF('Run VRS'!BE75&lt;&gt;"",'Run VRS'!BE75,"")</f>
        <v/>
      </c>
      <c r="H75" s="106" t="str">
        <f>IF('Run VRS'!BF75&lt;&gt;"",'Run VRS'!BF75,"")</f>
        <v/>
      </c>
      <c r="I75" s="106" t="str">
        <f>IF('Run VRS'!BG75&lt;&gt;"",'Run VRS'!BG75,"")</f>
        <v/>
      </c>
      <c r="J75" s="106" t="str">
        <f>IF('Run VRS'!BH75&lt;&gt;"",'Run VRS'!BH75,"")</f>
        <v/>
      </c>
      <c r="K75" s="105" t="str">
        <f>IF('Run VRS'!BI75&lt;&gt;"",'Run VRS'!BI75,"")</f>
        <v/>
      </c>
      <c r="L75" s="105" t="str">
        <f>IF('Run VRS'!BJ75&lt;&gt;"",'Run VRS'!BJ75,"")</f>
        <v/>
      </c>
      <c r="M75" s="105" t="str">
        <f>IF('Run VRS'!BK75&lt;&gt;"",'Run VRS'!BK75,"")</f>
        <v/>
      </c>
      <c r="N75" s="105" t="str">
        <f>IF('Run VRS'!BL75&lt;&gt;"",'Run VRS'!BL75,"")</f>
        <v/>
      </c>
      <c r="O75" s="105" t="str">
        <f>IF('Run VRS'!BM75&lt;&gt;"",'Run VRS'!BM75,"")</f>
        <v/>
      </c>
      <c r="P75" s="106" t="str">
        <f>IF('Run VRS'!BN75&lt;&gt;"",'Run VRS'!BN75,"")</f>
        <v/>
      </c>
      <c r="Q75" s="106" t="str">
        <f>IF('Run VRS'!BO75&lt;&gt;"",'Run VRS'!BO75,"")</f>
        <v/>
      </c>
      <c r="R75" s="106" t="str">
        <f>IF('Run VRS'!BP75&lt;&gt;"",'Run VRS'!BP75,"")</f>
        <v/>
      </c>
      <c r="S75" s="106" t="str">
        <f>IF('Run VRS'!BQ75&lt;&gt;"",'Run VRS'!BQ75,"")</f>
        <v/>
      </c>
      <c r="T75" s="106" t="str">
        <f>IF('Run VRS'!BR75&lt;&gt;"",'Run VRS'!BR75,"")</f>
        <v/>
      </c>
      <c r="U75" s="105" t="str">
        <f>IF('Run VRS'!BS75&lt;&gt;"",'Run VRS'!BS75,"")</f>
        <v/>
      </c>
      <c r="V75" s="105" t="str">
        <f>IF('Run VRS'!BT75&lt;&gt;"",'Run VRS'!BT75,"")</f>
        <v/>
      </c>
      <c r="W75" s="105" t="str">
        <f>IF('Run VRS'!BU75&lt;&gt;"",'Run VRS'!BU75,"")</f>
        <v/>
      </c>
      <c r="X75" s="107" t="str">
        <f>IF('Run VRS'!BV75&lt;&gt;"",'Run VRS'!BV75,"")</f>
        <v/>
      </c>
      <c r="Y75" s="114" t="str">
        <f>IF('Data input'!C75&lt;&gt;"",O75/'Data input'!C75*100%,"")</f>
        <v/>
      </c>
      <c r="Z75" s="114" t="str">
        <f>IF('Data input'!D75&lt;&gt;"",P75/'Data input'!D75*100%,"")</f>
        <v/>
      </c>
      <c r="AA75" s="114" t="str">
        <f>IF('Data input'!E75&lt;&gt;"",Q75/'Data input'!E75*100%,"")</f>
        <v/>
      </c>
      <c r="AB75" s="114" t="str">
        <f>IF('Data input'!F75&lt;&gt;"",R75/'Data input'!F75*100%,"")</f>
        <v/>
      </c>
      <c r="AC75" s="114" t="str">
        <f>IF('Data input'!G75&lt;&gt;"",S75/'Data input'!G75*100%,"")</f>
        <v/>
      </c>
      <c r="AD75" s="114" t="str">
        <f>IF('Data input'!H75&lt;&gt;"",T75/'Data input'!H75*100%,"")</f>
        <v/>
      </c>
      <c r="AE75" s="114" t="str">
        <f>IF('Data input'!I75&lt;&gt;"",U75/'Data input'!I75*100%,"")</f>
        <v/>
      </c>
      <c r="AF75" s="114" t="str">
        <f>IF('Data input'!J75&lt;&gt;"",V75/'Data input'!J75*100%,"")</f>
        <v/>
      </c>
      <c r="AG75" s="114" t="str">
        <f>IF('Data input'!K75&lt;&gt;"",W75/'Data input'!K75*100%,"")</f>
        <v/>
      </c>
      <c r="AH75" s="115" t="str">
        <f>IF('Data input'!L75&lt;&gt;"",X75/'Data input'!L75*100%,"")</f>
        <v/>
      </c>
      <c r="AI75" s="114" t="str">
        <f>IF('Data input'!C75&lt;&gt;"",'Run VRS'!AH75/'Run VRS'!C75,"")</f>
        <v/>
      </c>
      <c r="AJ75" s="114" t="str">
        <f>IF('Data input'!D75&lt;&gt;"",'Run VRS'!AI75/'Run VRS'!D75,"")</f>
        <v/>
      </c>
      <c r="AK75" s="114" t="str">
        <f>IF('Data input'!E75&lt;&gt;"",'Run VRS'!AJ75/'Run VRS'!E75,"")</f>
        <v/>
      </c>
      <c r="AL75" s="114" t="str">
        <f>IF('Data input'!F75&lt;&gt;"",'Run VRS'!AK75/'Run VRS'!F75,"")</f>
        <v/>
      </c>
      <c r="AM75" s="114" t="str">
        <f>IF('Data input'!G75&lt;&gt;"",'Run VRS'!AL75/'Run VRS'!G75,"")</f>
        <v/>
      </c>
      <c r="AN75" s="114" t="str">
        <f>IF('Data input'!H75&lt;&gt;"",'Run VRS'!AM75/'Run VRS'!H75,"")</f>
        <v/>
      </c>
      <c r="AO75" s="114" t="str">
        <f>IF('Data input'!I75&lt;&gt;"",'Run VRS'!AN75/'Run VRS'!I75,"")</f>
        <v/>
      </c>
      <c r="AP75" s="114" t="str">
        <f>IF('Data input'!J75&lt;&gt;"",'Run VRS'!AO75/'Run VRS'!J75,"")</f>
        <v/>
      </c>
      <c r="AQ75" s="114" t="str">
        <f>IF('Data input'!K75&lt;&gt;"",'Run VRS'!AP75/'Run VRS'!K75,"")</f>
        <v/>
      </c>
      <c r="AR75" s="115" t="str">
        <f>IF('Data input'!L75&lt;&gt;"",'Run VRS'!AQ75/'Run VRS'!L75,"")</f>
        <v/>
      </c>
    </row>
    <row r="76" spans="1:44" x14ac:dyDescent="0.35">
      <c r="A76" s="102" t="str">
        <f>IF('Run VRS'!AF76&lt;&gt;"",'Run VRS'!AF76,"")</f>
        <v/>
      </c>
      <c r="B76" s="103" t="str">
        <f>IF('Run VRS'!AG76&lt;&gt;"",'Run VRS'!AG76,"")</f>
        <v/>
      </c>
      <c r="C76" s="104" t="str">
        <f>IF('Run VRS'!AR76&lt;&gt;"",'Run VRS'!AR76,"")</f>
        <v/>
      </c>
      <c r="D76" s="104" t="e">
        <f>IF(ROUND(C76,3)=100%,"Optimal frontier",'Run VRS'!BW76)</f>
        <v>#VALUE!</v>
      </c>
      <c r="E76" s="105" t="str">
        <f>IF('Run VRS'!BC76&lt;&gt;"",'Run VRS'!BC76,"")</f>
        <v/>
      </c>
      <c r="F76" s="106" t="str">
        <f>IF('Run VRS'!BD76&lt;&gt;"",'Run VRS'!BD76,"")</f>
        <v/>
      </c>
      <c r="G76" s="106" t="str">
        <f>IF('Run VRS'!BE76&lt;&gt;"",'Run VRS'!BE76,"")</f>
        <v/>
      </c>
      <c r="H76" s="106" t="str">
        <f>IF('Run VRS'!BF76&lt;&gt;"",'Run VRS'!BF76,"")</f>
        <v/>
      </c>
      <c r="I76" s="106" t="str">
        <f>IF('Run VRS'!BG76&lt;&gt;"",'Run VRS'!BG76,"")</f>
        <v/>
      </c>
      <c r="J76" s="106" t="str">
        <f>IF('Run VRS'!BH76&lt;&gt;"",'Run VRS'!BH76,"")</f>
        <v/>
      </c>
      <c r="K76" s="105" t="str">
        <f>IF('Run VRS'!BI76&lt;&gt;"",'Run VRS'!BI76,"")</f>
        <v/>
      </c>
      <c r="L76" s="105" t="str">
        <f>IF('Run VRS'!BJ76&lt;&gt;"",'Run VRS'!BJ76,"")</f>
        <v/>
      </c>
      <c r="M76" s="105" t="str">
        <f>IF('Run VRS'!BK76&lt;&gt;"",'Run VRS'!BK76,"")</f>
        <v/>
      </c>
      <c r="N76" s="105" t="str">
        <f>IF('Run VRS'!BL76&lt;&gt;"",'Run VRS'!BL76,"")</f>
        <v/>
      </c>
      <c r="O76" s="105" t="str">
        <f>IF('Run VRS'!BM76&lt;&gt;"",'Run VRS'!BM76,"")</f>
        <v/>
      </c>
      <c r="P76" s="106" t="str">
        <f>IF('Run VRS'!BN76&lt;&gt;"",'Run VRS'!BN76,"")</f>
        <v/>
      </c>
      <c r="Q76" s="106" t="str">
        <f>IF('Run VRS'!BO76&lt;&gt;"",'Run VRS'!BO76,"")</f>
        <v/>
      </c>
      <c r="R76" s="106" t="str">
        <f>IF('Run VRS'!BP76&lt;&gt;"",'Run VRS'!BP76,"")</f>
        <v/>
      </c>
      <c r="S76" s="106" t="str">
        <f>IF('Run VRS'!BQ76&lt;&gt;"",'Run VRS'!BQ76,"")</f>
        <v/>
      </c>
      <c r="T76" s="106" t="str">
        <f>IF('Run VRS'!BR76&lt;&gt;"",'Run VRS'!BR76,"")</f>
        <v/>
      </c>
      <c r="U76" s="105" t="str">
        <f>IF('Run VRS'!BS76&lt;&gt;"",'Run VRS'!BS76,"")</f>
        <v/>
      </c>
      <c r="V76" s="105" t="str">
        <f>IF('Run VRS'!BT76&lt;&gt;"",'Run VRS'!BT76,"")</f>
        <v/>
      </c>
      <c r="W76" s="105" t="str">
        <f>IF('Run VRS'!BU76&lt;&gt;"",'Run VRS'!BU76,"")</f>
        <v/>
      </c>
      <c r="X76" s="107" t="str">
        <f>IF('Run VRS'!BV76&lt;&gt;"",'Run VRS'!BV76,"")</f>
        <v/>
      </c>
      <c r="Y76" s="114" t="str">
        <f>IF('Data input'!C76&lt;&gt;"",O76/'Data input'!C76*100%,"")</f>
        <v/>
      </c>
      <c r="Z76" s="114" t="str">
        <f>IF('Data input'!D76&lt;&gt;"",P76/'Data input'!D76*100%,"")</f>
        <v/>
      </c>
      <c r="AA76" s="114" t="str">
        <f>IF('Data input'!E76&lt;&gt;"",Q76/'Data input'!E76*100%,"")</f>
        <v/>
      </c>
      <c r="AB76" s="114" t="str">
        <f>IF('Data input'!F76&lt;&gt;"",R76/'Data input'!F76*100%,"")</f>
        <v/>
      </c>
      <c r="AC76" s="114" t="str">
        <f>IF('Data input'!G76&lt;&gt;"",S76/'Data input'!G76*100%,"")</f>
        <v/>
      </c>
      <c r="AD76" s="114" t="str">
        <f>IF('Data input'!H76&lt;&gt;"",T76/'Data input'!H76*100%,"")</f>
        <v/>
      </c>
      <c r="AE76" s="114" t="str">
        <f>IF('Data input'!I76&lt;&gt;"",U76/'Data input'!I76*100%,"")</f>
        <v/>
      </c>
      <c r="AF76" s="114" t="str">
        <f>IF('Data input'!J76&lt;&gt;"",V76/'Data input'!J76*100%,"")</f>
        <v/>
      </c>
      <c r="AG76" s="114" t="str">
        <f>IF('Data input'!K76&lt;&gt;"",W76/'Data input'!K76*100%,"")</f>
        <v/>
      </c>
      <c r="AH76" s="115" t="str">
        <f>IF('Data input'!L76&lt;&gt;"",X76/'Data input'!L76*100%,"")</f>
        <v/>
      </c>
      <c r="AI76" s="114" t="str">
        <f>IF('Data input'!C76&lt;&gt;"",'Run VRS'!AH76/'Run VRS'!C76,"")</f>
        <v/>
      </c>
      <c r="AJ76" s="114" t="str">
        <f>IF('Data input'!D76&lt;&gt;"",'Run VRS'!AI76/'Run VRS'!D76,"")</f>
        <v/>
      </c>
      <c r="AK76" s="114" t="str">
        <f>IF('Data input'!E76&lt;&gt;"",'Run VRS'!AJ76/'Run VRS'!E76,"")</f>
        <v/>
      </c>
      <c r="AL76" s="114" t="str">
        <f>IF('Data input'!F76&lt;&gt;"",'Run VRS'!AK76/'Run VRS'!F76,"")</f>
        <v/>
      </c>
      <c r="AM76" s="114" t="str">
        <f>IF('Data input'!G76&lt;&gt;"",'Run VRS'!AL76/'Run VRS'!G76,"")</f>
        <v/>
      </c>
      <c r="AN76" s="114" t="str">
        <f>IF('Data input'!H76&lt;&gt;"",'Run VRS'!AM76/'Run VRS'!H76,"")</f>
        <v/>
      </c>
      <c r="AO76" s="114" t="str">
        <f>IF('Data input'!I76&lt;&gt;"",'Run VRS'!AN76/'Run VRS'!I76,"")</f>
        <v/>
      </c>
      <c r="AP76" s="114" t="str">
        <f>IF('Data input'!J76&lt;&gt;"",'Run VRS'!AO76/'Run VRS'!J76,"")</f>
        <v/>
      </c>
      <c r="AQ76" s="114" t="str">
        <f>IF('Data input'!K76&lt;&gt;"",'Run VRS'!AP76/'Run VRS'!K76,"")</f>
        <v/>
      </c>
      <c r="AR76" s="115" t="str">
        <f>IF('Data input'!L76&lt;&gt;"",'Run VRS'!AQ76/'Run VRS'!L76,"")</f>
        <v/>
      </c>
    </row>
    <row r="77" spans="1:44" x14ac:dyDescent="0.35">
      <c r="A77" s="102" t="str">
        <f>IF('Run VRS'!AF77&lt;&gt;"",'Run VRS'!AF77,"")</f>
        <v/>
      </c>
      <c r="B77" s="103" t="str">
        <f>IF('Run VRS'!AG77&lt;&gt;"",'Run VRS'!AG77,"")</f>
        <v/>
      </c>
      <c r="C77" s="104" t="str">
        <f>IF('Run VRS'!AR77&lt;&gt;"",'Run VRS'!AR77,"")</f>
        <v/>
      </c>
      <c r="D77" s="104" t="e">
        <f>IF(ROUND(C77,3)=100%,"Optimal frontier",'Run VRS'!BW77)</f>
        <v>#VALUE!</v>
      </c>
      <c r="E77" s="105" t="str">
        <f>IF('Run VRS'!BC77&lt;&gt;"",'Run VRS'!BC77,"")</f>
        <v/>
      </c>
      <c r="F77" s="106" t="str">
        <f>IF('Run VRS'!BD77&lt;&gt;"",'Run VRS'!BD77,"")</f>
        <v/>
      </c>
      <c r="G77" s="106" t="str">
        <f>IF('Run VRS'!BE77&lt;&gt;"",'Run VRS'!BE77,"")</f>
        <v/>
      </c>
      <c r="H77" s="106" t="str">
        <f>IF('Run VRS'!BF77&lt;&gt;"",'Run VRS'!BF77,"")</f>
        <v/>
      </c>
      <c r="I77" s="106" t="str">
        <f>IF('Run VRS'!BG77&lt;&gt;"",'Run VRS'!BG77,"")</f>
        <v/>
      </c>
      <c r="J77" s="106" t="str">
        <f>IF('Run VRS'!BH77&lt;&gt;"",'Run VRS'!BH77,"")</f>
        <v/>
      </c>
      <c r="K77" s="105" t="str">
        <f>IF('Run VRS'!BI77&lt;&gt;"",'Run VRS'!BI77,"")</f>
        <v/>
      </c>
      <c r="L77" s="105" t="str">
        <f>IF('Run VRS'!BJ77&lt;&gt;"",'Run VRS'!BJ77,"")</f>
        <v/>
      </c>
      <c r="M77" s="105" t="str">
        <f>IF('Run VRS'!BK77&lt;&gt;"",'Run VRS'!BK77,"")</f>
        <v/>
      </c>
      <c r="N77" s="105" t="str">
        <f>IF('Run VRS'!BL77&lt;&gt;"",'Run VRS'!BL77,"")</f>
        <v/>
      </c>
      <c r="O77" s="105" t="str">
        <f>IF('Run VRS'!BM77&lt;&gt;"",'Run VRS'!BM77,"")</f>
        <v/>
      </c>
      <c r="P77" s="106" t="str">
        <f>IF('Run VRS'!BN77&lt;&gt;"",'Run VRS'!BN77,"")</f>
        <v/>
      </c>
      <c r="Q77" s="106" t="str">
        <f>IF('Run VRS'!BO77&lt;&gt;"",'Run VRS'!BO77,"")</f>
        <v/>
      </c>
      <c r="R77" s="106" t="str">
        <f>IF('Run VRS'!BP77&lt;&gt;"",'Run VRS'!BP77,"")</f>
        <v/>
      </c>
      <c r="S77" s="106" t="str">
        <f>IF('Run VRS'!BQ77&lt;&gt;"",'Run VRS'!BQ77,"")</f>
        <v/>
      </c>
      <c r="T77" s="106" t="str">
        <f>IF('Run VRS'!BR77&lt;&gt;"",'Run VRS'!BR77,"")</f>
        <v/>
      </c>
      <c r="U77" s="105" t="str">
        <f>IF('Run VRS'!BS77&lt;&gt;"",'Run VRS'!BS77,"")</f>
        <v/>
      </c>
      <c r="V77" s="105" t="str">
        <f>IF('Run VRS'!BT77&lt;&gt;"",'Run VRS'!BT77,"")</f>
        <v/>
      </c>
      <c r="W77" s="105" t="str">
        <f>IF('Run VRS'!BU77&lt;&gt;"",'Run VRS'!BU77,"")</f>
        <v/>
      </c>
      <c r="X77" s="107" t="str">
        <f>IF('Run VRS'!BV77&lt;&gt;"",'Run VRS'!BV77,"")</f>
        <v/>
      </c>
      <c r="Y77" s="114" t="str">
        <f>IF('Data input'!C77&lt;&gt;"",O77/'Data input'!C77*100%,"")</f>
        <v/>
      </c>
      <c r="Z77" s="114" t="str">
        <f>IF('Data input'!D77&lt;&gt;"",P77/'Data input'!D77*100%,"")</f>
        <v/>
      </c>
      <c r="AA77" s="114" t="str">
        <f>IF('Data input'!E77&lt;&gt;"",Q77/'Data input'!E77*100%,"")</f>
        <v/>
      </c>
      <c r="AB77" s="114" t="str">
        <f>IF('Data input'!F77&lt;&gt;"",R77/'Data input'!F77*100%,"")</f>
        <v/>
      </c>
      <c r="AC77" s="114" t="str">
        <f>IF('Data input'!G77&lt;&gt;"",S77/'Data input'!G77*100%,"")</f>
        <v/>
      </c>
      <c r="AD77" s="114" t="str">
        <f>IF('Data input'!H77&lt;&gt;"",T77/'Data input'!H77*100%,"")</f>
        <v/>
      </c>
      <c r="AE77" s="114" t="str">
        <f>IF('Data input'!I77&lt;&gt;"",U77/'Data input'!I77*100%,"")</f>
        <v/>
      </c>
      <c r="AF77" s="114" t="str">
        <f>IF('Data input'!J77&lt;&gt;"",V77/'Data input'!J77*100%,"")</f>
        <v/>
      </c>
      <c r="AG77" s="114" t="str">
        <f>IF('Data input'!K77&lt;&gt;"",W77/'Data input'!K77*100%,"")</f>
        <v/>
      </c>
      <c r="AH77" s="115" t="str">
        <f>IF('Data input'!L77&lt;&gt;"",X77/'Data input'!L77*100%,"")</f>
        <v/>
      </c>
      <c r="AI77" s="114" t="str">
        <f>IF('Data input'!C77&lt;&gt;"",'Run VRS'!AH77/'Run VRS'!C77,"")</f>
        <v/>
      </c>
      <c r="AJ77" s="114" t="str">
        <f>IF('Data input'!D77&lt;&gt;"",'Run VRS'!AI77/'Run VRS'!D77,"")</f>
        <v/>
      </c>
      <c r="AK77" s="114" t="str">
        <f>IF('Data input'!E77&lt;&gt;"",'Run VRS'!AJ77/'Run VRS'!E77,"")</f>
        <v/>
      </c>
      <c r="AL77" s="114" t="str">
        <f>IF('Data input'!F77&lt;&gt;"",'Run VRS'!AK77/'Run VRS'!F77,"")</f>
        <v/>
      </c>
      <c r="AM77" s="114" t="str">
        <f>IF('Data input'!G77&lt;&gt;"",'Run VRS'!AL77/'Run VRS'!G77,"")</f>
        <v/>
      </c>
      <c r="AN77" s="114" t="str">
        <f>IF('Data input'!H77&lt;&gt;"",'Run VRS'!AM77/'Run VRS'!H77,"")</f>
        <v/>
      </c>
      <c r="AO77" s="114" t="str">
        <f>IF('Data input'!I77&lt;&gt;"",'Run VRS'!AN77/'Run VRS'!I77,"")</f>
        <v/>
      </c>
      <c r="AP77" s="114" t="str">
        <f>IF('Data input'!J77&lt;&gt;"",'Run VRS'!AO77/'Run VRS'!J77,"")</f>
        <v/>
      </c>
      <c r="AQ77" s="114" t="str">
        <f>IF('Data input'!K77&lt;&gt;"",'Run VRS'!AP77/'Run VRS'!K77,"")</f>
        <v/>
      </c>
      <c r="AR77" s="115" t="str">
        <f>IF('Data input'!L77&lt;&gt;"",'Run VRS'!AQ77/'Run VRS'!L77,"")</f>
        <v/>
      </c>
    </row>
    <row r="78" spans="1:44" x14ac:dyDescent="0.35">
      <c r="A78" s="102" t="str">
        <f>IF('Run VRS'!AF78&lt;&gt;"",'Run VRS'!AF78,"")</f>
        <v/>
      </c>
      <c r="B78" s="103" t="str">
        <f>IF('Run VRS'!AG78&lt;&gt;"",'Run VRS'!AG78,"")</f>
        <v/>
      </c>
      <c r="C78" s="104" t="str">
        <f>IF('Run VRS'!AR78&lt;&gt;"",'Run VRS'!AR78,"")</f>
        <v/>
      </c>
      <c r="D78" s="104" t="e">
        <f>IF(ROUND(C78,3)=100%,"Optimal frontier",'Run VRS'!BW78)</f>
        <v>#VALUE!</v>
      </c>
      <c r="E78" s="105" t="str">
        <f>IF('Run VRS'!BC78&lt;&gt;"",'Run VRS'!BC78,"")</f>
        <v/>
      </c>
      <c r="F78" s="106" t="str">
        <f>IF('Run VRS'!BD78&lt;&gt;"",'Run VRS'!BD78,"")</f>
        <v/>
      </c>
      <c r="G78" s="106" t="str">
        <f>IF('Run VRS'!BE78&lt;&gt;"",'Run VRS'!BE78,"")</f>
        <v/>
      </c>
      <c r="H78" s="106" t="str">
        <f>IF('Run VRS'!BF78&lt;&gt;"",'Run VRS'!BF78,"")</f>
        <v/>
      </c>
      <c r="I78" s="106" t="str">
        <f>IF('Run VRS'!BG78&lt;&gt;"",'Run VRS'!BG78,"")</f>
        <v/>
      </c>
      <c r="J78" s="106" t="str">
        <f>IF('Run VRS'!BH78&lt;&gt;"",'Run VRS'!BH78,"")</f>
        <v/>
      </c>
      <c r="K78" s="105" t="str">
        <f>IF('Run VRS'!BI78&lt;&gt;"",'Run VRS'!BI78,"")</f>
        <v/>
      </c>
      <c r="L78" s="105" t="str">
        <f>IF('Run VRS'!BJ78&lt;&gt;"",'Run VRS'!BJ78,"")</f>
        <v/>
      </c>
      <c r="M78" s="105" t="str">
        <f>IF('Run VRS'!BK78&lt;&gt;"",'Run VRS'!BK78,"")</f>
        <v/>
      </c>
      <c r="N78" s="105" t="str">
        <f>IF('Run VRS'!BL78&lt;&gt;"",'Run VRS'!BL78,"")</f>
        <v/>
      </c>
      <c r="O78" s="105" t="str">
        <f>IF('Run VRS'!BM78&lt;&gt;"",'Run VRS'!BM78,"")</f>
        <v/>
      </c>
      <c r="P78" s="106" t="str">
        <f>IF('Run VRS'!BN78&lt;&gt;"",'Run VRS'!BN78,"")</f>
        <v/>
      </c>
      <c r="Q78" s="106" t="str">
        <f>IF('Run VRS'!BO78&lt;&gt;"",'Run VRS'!BO78,"")</f>
        <v/>
      </c>
      <c r="R78" s="106" t="str">
        <f>IF('Run VRS'!BP78&lt;&gt;"",'Run VRS'!BP78,"")</f>
        <v/>
      </c>
      <c r="S78" s="106" t="str">
        <f>IF('Run VRS'!BQ78&lt;&gt;"",'Run VRS'!BQ78,"")</f>
        <v/>
      </c>
      <c r="T78" s="106" t="str">
        <f>IF('Run VRS'!BR78&lt;&gt;"",'Run VRS'!BR78,"")</f>
        <v/>
      </c>
      <c r="U78" s="105" t="str">
        <f>IF('Run VRS'!BS78&lt;&gt;"",'Run VRS'!BS78,"")</f>
        <v/>
      </c>
      <c r="V78" s="105" t="str">
        <f>IF('Run VRS'!BT78&lt;&gt;"",'Run VRS'!BT78,"")</f>
        <v/>
      </c>
      <c r="W78" s="105" t="str">
        <f>IF('Run VRS'!BU78&lt;&gt;"",'Run VRS'!BU78,"")</f>
        <v/>
      </c>
      <c r="X78" s="107" t="str">
        <f>IF('Run VRS'!BV78&lt;&gt;"",'Run VRS'!BV78,"")</f>
        <v/>
      </c>
      <c r="Y78" s="114" t="str">
        <f>IF('Data input'!C78&lt;&gt;"",O78/'Data input'!C78*100%,"")</f>
        <v/>
      </c>
      <c r="Z78" s="114" t="str">
        <f>IF('Data input'!D78&lt;&gt;"",P78/'Data input'!D78*100%,"")</f>
        <v/>
      </c>
      <c r="AA78" s="114" t="str">
        <f>IF('Data input'!E78&lt;&gt;"",Q78/'Data input'!E78*100%,"")</f>
        <v/>
      </c>
      <c r="AB78" s="114" t="str">
        <f>IF('Data input'!F78&lt;&gt;"",R78/'Data input'!F78*100%,"")</f>
        <v/>
      </c>
      <c r="AC78" s="114" t="str">
        <f>IF('Data input'!G78&lt;&gt;"",S78/'Data input'!G78*100%,"")</f>
        <v/>
      </c>
      <c r="AD78" s="114" t="str">
        <f>IF('Data input'!H78&lt;&gt;"",T78/'Data input'!H78*100%,"")</f>
        <v/>
      </c>
      <c r="AE78" s="114" t="str">
        <f>IF('Data input'!I78&lt;&gt;"",U78/'Data input'!I78*100%,"")</f>
        <v/>
      </c>
      <c r="AF78" s="114" t="str">
        <f>IF('Data input'!J78&lt;&gt;"",V78/'Data input'!J78*100%,"")</f>
        <v/>
      </c>
      <c r="AG78" s="114" t="str">
        <f>IF('Data input'!K78&lt;&gt;"",W78/'Data input'!K78*100%,"")</f>
        <v/>
      </c>
      <c r="AH78" s="115" t="str">
        <f>IF('Data input'!L78&lt;&gt;"",X78/'Data input'!L78*100%,"")</f>
        <v/>
      </c>
      <c r="AI78" s="114" t="str">
        <f>IF('Data input'!C78&lt;&gt;"",'Run VRS'!AH78/'Run VRS'!C78,"")</f>
        <v/>
      </c>
      <c r="AJ78" s="114" t="str">
        <f>IF('Data input'!D78&lt;&gt;"",'Run VRS'!AI78/'Run VRS'!D78,"")</f>
        <v/>
      </c>
      <c r="AK78" s="114" t="str">
        <f>IF('Data input'!E78&lt;&gt;"",'Run VRS'!AJ78/'Run VRS'!E78,"")</f>
        <v/>
      </c>
      <c r="AL78" s="114" t="str">
        <f>IF('Data input'!F78&lt;&gt;"",'Run VRS'!AK78/'Run VRS'!F78,"")</f>
        <v/>
      </c>
      <c r="AM78" s="114" t="str">
        <f>IF('Data input'!G78&lt;&gt;"",'Run VRS'!AL78/'Run VRS'!G78,"")</f>
        <v/>
      </c>
      <c r="AN78" s="114" t="str">
        <f>IF('Data input'!H78&lt;&gt;"",'Run VRS'!AM78/'Run VRS'!H78,"")</f>
        <v/>
      </c>
      <c r="AO78" s="114" t="str">
        <f>IF('Data input'!I78&lt;&gt;"",'Run VRS'!AN78/'Run VRS'!I78,"")</f>
        <v/>
      </c>
      <c r="AP78" s="114" t="str">
        <f>IF('Data input'!J78&lt;&gt;"",'Run VRS'!AO78/'Run VRS'!J78,"")</f>
        <v/>
      </c>
      <c r="AQ78" s="114" t="str">
        <f>IF('Data input'!K78&lt;&gt;"",'Run VRS'!AP78/'Run VRS'!K78,"")</f>
        <v/>
      </c>
      <c r="AR78" s="115" t="str">
        <f>IF('Data input'!L78&lt;&gt;"",'Run VRS'!AQ78/'Run VRS'!L78,"")</f>
        <v/>
      </c>
    </row>
    <row r="79" spans="1:44" x14ac:dyDescent="0.35">
      <c r="A79" s="102" t="str">
        <f>IF('Run VRS'!AF79&lt;&gt;"",'Run VRS'!AF79,"")</f>
        <v/>
      </c>
      <c r="B79" s="103" t="str">
        <f>IF('Run VRS'!AG79&lt;&gt;"",'Run VRS'!AG79,"")</f>
        <v/>
      </c>
      <c r="C79" s="104" t="str">
        <f>IF('Run VRS'!AR79&lt;&gt;"",'Run VRS'!AR79,"")</f>
        <v/>
      </c>
      <c r="D79" s="104" t="e">
        <f>IF(ROUND(C79,3)=100%,"Optimal frontier",'Run VRS'!BW79)</f>
        <v>#VALUE!</v>
      </c>
      <c r="E79" s="105" t="str">
        <f>IF('Run VRS'!BC79&lt;&gt;"",'Run VRS'!BC79,"")</f>
        <v/>
      </c>
      <c r="F79" s="106" t="str">
        <f>IF('Run VRS'!BD79&lt;&gt;"",'Run VRS'!BD79,"")</f>
        <v/>
      </c>
      <c r="G79" s="106" t="str">
        <f>IF('Run VRS'!BE79&lt;&gt;"",'Run VRS'!BE79,"")</f>
        <v/>
      </c>
      <c r="H79" s="106" t="str">
        <f>IF('Run VRS'!BF79&lt;&gt;"",'Run VRS'!BF79,"")</f>
        <v/>
      </c>
      <c r="I79" s="106" t="str">
        <f>IF('Run VRS'!BG79&lt;&gt;"",'Run VRS'!BG79,"")</f>
        <v/>
      </c>
      <c r="J79" s="106" t="str">
        <f>IF('Run VRS'!BH79&lt;&gt;"",'Run VRS'!BH79,"")</f>
        <v/>
      </c>
      <c r="K79" s="105" t="str">
        <f>IF('Run VRS'!BI79&lt;&gt;"",'Run VRS'!BI79,"")</f>
        <v/>
      </c>
      <c r="L79" s="105" t="str">
        <f>IF('Run VRS'!BJ79&lt;&gt;"",'Run VRS'!BJ79,"")</f>
        <v/>
      </c>
      <c r="M79" s="105" t="str">
        <f>IF('Run VRS'!BK79&lt;&gt;"",'Run VRS'!BK79,"")</f>
        <v/>
      </c>
      <c r="N79" s="105" t="str">
        <f>IF('Run VRS'!BL79&lt;&gt;"",'Run VRS'!BL79,"")</f>
        <v/>
      </c>
      <c r="O79" s="105" t="str">
        <f>IF('Run VRS'!BM79&lt;&gt;"",'Run VRS'!BM79,"")</f>
        <v/>
      </c>
      <c r="P79" s="106" t="str">
        <f>IF('Run VRS'!BN79&lt;&gt;"",'Run VRS'!BN79,"")</f>
        <v/>
      </c>
      <c r="Q79" s="106" t="str">
        <f>IF('Run VRS'!BO79&lt;&gt;"",'Run VRS'!BO79,"")</f>
        <v/>
      </c>
      <c r="R79" s="106" t="str">
        <f>IF('Run VRS'!BP79&lt;&gt;"",'Run VRS'!BP79,"")</f>
        <v/>
      </c>
      <c r="S79" s="106" t="str">
        <f>IF('Run VRS'!BQ79&lt;&gt;"",'Run VRS'!BQ79,"")</f>
        <v/>
      </c>
      <c r="T79" s="106" t="str">
        <f>IF('Run VRS'!BR79&lt;&gt;"",'Run VRS'!BR79,"")</f>
        <v/>
      </c>
      <c r="U79" s="105" t="str">
        <f>IF('Run VRS'!BS79&lt;&gt;"",'Run VRS'!BS79,"")</f>
        <v/>
      </c>
      <c r="V79" s="105" t="str">
        <f>IF('Run VRS'!BT79&lt;&gt;"",'Run VRS'!BT79,"")</f>
        <v/>
      </c>
      <c r="W79" s="105" t="str">
        <f>IF('Run VRS'!BU79&lt;&gt;"",'Run VRS'!BU79,"")</f>
        <v/>
      </c>
      <c r="X79" s="107" t="str">
        <f>IF('Run VRS'!BV79&lt;&gt;"",'Run VRS'!BV79,"")</f>
        <v/>
      </c>
      <c r="Y79" s="114" t="str">
        <f>IF('Data input'!C79&lt;&gt;"",O79/'Data input'!C79*100%,"")</f>
        <v/>
      </c>
      <c r="Z79" s="114" t="str">
        <f>IF('Data input'!D79&lt;&gt;"",P79/'Data input'!D79*100%,"")</f>
        <v/>
      </c>
      <c r="AA79" s="114" t="str">
        <f>IF('Data input'!E79&lt;&gt;"",Q79/'Data input'!E79*100%,"")</f>
        <v/>
      </c>
      <c r="AB79" s="114" t="str">
        <f>IF('Data input'!F79&lt;&gt;"",R79/'Data input'!F79*100%,"")</f>
        <v/>
      </c>
      <c r="AC79" s="114" t="str">
        <f>IF('Data input'!G79&lt;&gt;"",S79/'Data input'!G79*100%,"")</f>
        <v/>
      </c>
      <c r="AD79" s="114" t="str">
        <f>IF('Data input'!H79&lt;&gt;"",T79/'Data input'!H79*100%,"")</f>
        <v/>
      </c>
      <c r="AE79" s="114" t="str">
        <f>IF('Data input'!I79&lt;&gt;"",U79/'Data input'!I79*100%,"")</f>
        <v/>
      </c>
      <c r="AF79" s="114" t="str">
        <f>IF('Data input'!J79&lt;&gt;"",V79/'Data input'!J79*100%,"")</f>
        <v/>
      </c>
      <c r="AG79" s="114" t="str">
        <f>IF('Data input'!K79&lt;&gt;"",W79/'Data input'!K79*100%,"")</f>
        <v/>
      </c>
      <c r="AH79" s="115" t="str">
        <f>IF('Data input'!L79&lt;&gt;"",X79/'Data input'!L79*100%,"")</f>
        <v/>
      </c>
      <c r="AI79" s="114" t="str">
        <f>IF('Data input'!C79&lt;&gt;"",'Run VRS'!AH79/'Run VRS'!C79,"")</f>
        <v/>
      </c>
      <c r="AJ79" s="114" t="str">
        <f>IF('Data input'!D79&lt;&gt;"",'Run VRS'!AI79/'Run VRS'!D79,"")</f>
        <v/>
      </c>
      <c r="AK79" s="114" t="str">
        <f>IF('Data input'!E79&lt;&gt;"",'Run VRS'!AJ79/'Run VRS'!E79,"")</f>
        <v/>
      </c>
      <c r="AL79" s="114" t="str">
        <f>IF('Data input'!F79&lt;&gt;"",'Run VRS'!AK79/'Run VRS'!F79,"")</f>
        <v/>
      </c>
      <c r="AM79" s="114" t="str">
        <f>IF('Data input'!G79&lt;&gt;"",'Run VRS'!AL79/'Run VRS'!G79,"")</f>
        <v/>
      </c>
      <c r="AN79" s="114" t="str">
        <f>IF('Data input'!H79&lt;&gt;"",'Run VRS'!AM79/'Run VRS'!H79,"")</f>
        <v/>
      </c>
      <c r="AO79" s="114" t="str">
        <f>IF('Data input'!I79&lt;&gt;"",'Run VRS'!AN79/'Run VRS'!I79,"")</f>
        <v/>
      </c>
      <c r="AP79" s="114" t="str">
        <f>IF('Data input'!J79&lt;&gt;"",'Run VRS'!AO79/'Run VRS'!J79,"")</f>
        <v/>
      </c>
      <c r="AQ79" s="114" t="str">
        <f>IF('Data input'!K79&lt;&gt;"",'Run VRS'!AP79/'Run VRS'!K79,"")</f>
        <v/>
      </c>
      <c r="AR79" s="115" t="str">
        <f>IF('Data input'!L79&lt;&gt;"",'Run VRS'!AQ79/'Run VRS'!L79,"")</f>
        <v/>
      </c>
    </row>
    <row r="80" spans="1:44" x14ac:dyDescent="0.35">
      <c r="A80" s="102" t="str">
        <f>IF('Run VRS'!AF80&lt;&gt;"",'Run VRS'!AF80,"")</f>
        <v/>
      </c>
      <c r="B80" s="103" t="str">
        <f>IF('Run VRS'!AG80&lt;&gt;"",'Run VRS'!AG80,"")</f>
        <v/>
      </c>
      <c r="C80" s="104" t="str">
        <f>IF('Run VRS'!AR80&lt;&gt;"",'Run VRS'!AR80,"")</f>
        <v/>
      </c>
      <c r="D80" s="104" t="e">
        <f>IF(ROUND(C80,3)=100%,"Optimal frontier",'Run VRS'!BW80)</f>
        <v>#VALUE!</v>
      </c>
      <c r="E80" s="105" t="str">
        <f>IF('Run VRS'!BC80&lt;&gt;"",'Run VRS'!BC80,"")</f>
        <v/>
      </c>
      <c r="F80" s="106" t="str">
        <f>IF('Run VRS'!BD80&lt;&gt;"",'Run VRS'!BD80,"")</f>
        <v/>
      </c>
      <c r="G80" s="106" t="str">
        <f>IF('Run VRS'!BE80&lt;&gt;"",'Run VRS'!BE80,"")</f>
        <v/>
      </c>
      <c r="H80" s="106" t="str">
        <f>IF('Run VRS'!BF80&lt;&gt;"",'Run VRS'!BF80,"")</f>
        <v/>
      </c>
      <c r="I80" s="106" t="str">
        <f>IF('Run VRS'!BG80&lt;&gt;"",'Run VRS'!BG80,"")</f>
        <v/>
      </c>
      <c r="J80" s="106" t="str">
        <f>IF('Run VRS'!BH80&lt;&gt;"",'Run VRS'!BH80,"")</f>
        <v/>
      </c>
      <c r="K80" s="105" t="str">
        <f>IF('Run VRS'!BI80&lt;&gt;"",'Run VRS'!BI80,"")</f>
        <v/>
      </c>
      <c r="L80" s="105" t="str">
        <f>IF('Run VRS'!BJ80&lt;&gt;"",'Run VRS'!BJ80,"")</f>
        <v/>
      </c>
      <c r="M80" s="105" t="str">
        <f>IF('Run VRS'!BK80&lt;&gt;"",'Run VRS'!BK80,"")</f>
        <v/>
      </c>
      <c r="N80" s="105" t="str">
        <f>IF('Run VRS'!BL80&lt;&gt;"",'Run VRS'!BL80,"")</f>
        <v/>
      </c>
      <c r="O80" s="105" t="str">
        <f>IF('Run VRS'!BM80&lt;&gt;"",'Run VRS'!BM80,"")</f>
        <v/>
      </c>
      <c r="P80" s="106" t="str">
        <f>IF('Run VRS'!BN80&lt;&gt;"",'Run VRS'!BN80,"")</f>
        <v/>
      </c>
      <c r="Q80" s="106" t="str">
        <f>IF('Run VRS'!BO80&lt;&gt;"",'Run VRS'!BO80,"")</f>
        <v/>
      </c>
      <c r="R80" s="106" t="str">
        <f>IF('Run VRS'!BP80&lt;&gt;"",'Run VRS'!BP80,"")</f>
        <v/>
      </c>
      <c r="S80" s="106" t="str">
        <f>IF('Run VRS'!BQ80&lt;&gt;"",'Run VRS'!BQ80,"")</f>
        <v/>
      </c>
      <c r="T80" s="106" t="str">
        <f>IF('Run VRS'!BR80&lt;&gt;"",'Run VRS'!BR80,"")</f>
        <v/>
      </c>
      <c r="U80" s="105" t="str">
        <f>IF('Run VRS'!BS80&lt;&gt;"",'Run VRS'!BS80,"")</f>
        <v/>
      </c>
      <c r="V80" s="105" t="str">
        <f>IF('Run VRS'!BT80&lt;&gt;"",'Run VRS'!BT80,"")</f>
        <v/>
      </c>
      <c r="W80" s="105" t="str">
        <f>IF('Run VRS'!BU80&lt;&gt;"",'Run VRS'!BU80,"")</f>
        <v/>
      </c>
      <c r="X80" s="107" t="str">
        <f>IF('Run VRS'!BV80&lt;&gt;"",'Run VRS'!BV80,"")</f>
        <v/>
      </c>
      <c r="Y80" s="114" t="str">
        <f>IF('Data input'!C80&lt;&gt;"",O80/'Data input'!C80*100%,"")</f>
        <v/>
      </c>
      <c r="Z80" s="114" t="str">
        <f>IF('Data input'!D80&lt;&gt;"",P80/'Data input'!D80*100%,"")</f>
        <v/>
      </c>
      <c r="AA80" s="114" t="str">
        <f>IF('Data input'!E80&lt;&gt;"",Q80/'Data input'!E80*100%,"")</f>
        <v/>
      </c>
      <c r="AB80" s="114" t="str">
        <f>IF('Data input'!F80&lt;&gt;"",R80/'Data input'!F80*100%,"")</f>
        <v/>
      </c>
      <c r="AC80" s="114" t="str">
        <f>IF('Data input'!G80&lt;&gt;"",S80/'Data input'!G80*100%,"")</f>
        <v/>
      </c>
      <c r="AD80" s="114" t="str">
        <f>IF('Data input'!H80&lt;&gt;"",T80/'Data input'!H80*100%,"")</f>
        <v/>
      </c>
      <c r="AE80" s="114" t="str">
        <f>IF('Data input'!I80&lt;&gt;"",U80/'Data input'!I80*100%,"")</f>
        <v/>
      </c>
      <c r="AF80" s="114" t="str">
        <f>IF('Data input'!J80&lt;&gt;"",V80/'Data input'!J80*100%,"")</f>
        <v/>
      </c>
      <c r="AG80" s="114" t="str">
        <f>IF('Data input'!K80&lt;&gt;"",W80/'Data input'!K80*100%,"")</f>
        <v/>
      </c>
      <c r="AH80" s="115" t="str">
        <f>IF('Data input'!L80&lt;&gt;"",X80/'Data input'!L80*100%,"")</f>
        <v/>
      </c>
      <c r="AI80" s="114" t="str">
        <f>IF('Data input'!C80&lt;&gt;"",'Run VRS'!AH80/'Run VRS'!C80,"")</f>
        <v/>
      </c>
      <c r="AJ80" s="114" t="str">
        <f>IF('Data input'!D80&lt;&gt;"",'Run VRS'!AI80/'Run VRS'!D80,"")</f>
        <v/>
      </c>
      <c r="AK80" s="114" t="str">
        <f>IF('Data input'!E80&lt;&gt;"",'Run VRS'!AJ80/'Run VRS'!E80,"")</f>
        <v/>
      </c>
      <c r="AL80" s="114" t="str">
        <f>IF('Data input'!F80&lt;&gt;"",'Run VRS'!AK80/'Run VRS'!F80,"")</f>
        <v/>
      </c>
      <c r="AM80" s="114" t="str">
        <f>IF('Data input'!G80&lt;&gt;"",'Run VRS'!AL80/'Run VRS'!G80,"")</f>
        <v/>
      </c>
      <c r="AN80" s="114" t="str">
        <f>IF('Data input'!H80&lt;&gt;"",'Run VRS'!AM80/'Run VRS'!H80,"")</f>
        <v/>
      </c>
      <c r="AO80" s="114" t="str">
        <f>IF('Data input'!I80&lt;&gt;"",'Run VRS'!AN80/'Run VRS'!I80,"")</f>
        <v/>
      </c>
      <c r="AP80" s="114" t="str">
        <f>IF('Data input'!J80&lt;&gt;"",'Run VRS'!AO80/'Run VRS'!J80,"")</f>
        <v/>
      </c>
      <c r="AQ80" s="114" t="str">
        <f>IF('Data input'!K80&lt;&gt;"",'Run VRS'!AP80/'Run VRS'!K80,"")</f>
        <v/>
      </c>
      <c r="AR80" s="115" t="str">
        <f>IF('Data input'!L80&lt;&gt;"",'Run VRS'!AQ80/'Run VRS'!L80,"")</f>
        <v/>
      </c>
    </row>
    <row r="81" spans="1:44" x14ac:dyDescent="0.35">
      <c r="A81" s="102" t="str">
        <f>IF('Run VRS'!AF81&lt;&gt;"",'Run VRS'!AF81,"")</f>
        <v/>
      </c>
      <c r="B81" s="103" t="str">
        <f>IF('Run VRS'!AG81&lt;&gt;"",'Run VRS'!AG81,"")</f>
        <v/>
      </c>
      <c r="C81" s="104" t="str">
        <f>IF('Run VRS'!AR81&lt;&gt;"",'Run VRS'!AR81,"")</f>
        <v/>
      </c>
      <c r="D81" s="104" t="e">
        <f>IF(ROUND(C81,3)=100%,"Optimal frontier",'Run VRS'!BW81)</f>
        <v>#VALUE!</v>
      </c>
      <c r="E81" s="105" t="str">
        <f>IF('Run VRS'!BC81&lt;&gt;"",'Run VRS'!BC81,"")</f>
        <v/>
      </c>
      <c r="F81" s="106" t="str">
        <f>IF('Run VRS'!BD81&lt;&gt;"",'Run VRS'!BD81,"")</f>
        <v/>
      </c>
      <c r="G81" s="106" t="str">
        <f>IF('Run VRS'!BE81&lt;&gt;"",'Run VRS'!BE81,"")</f>
        <v/>
      </c>
      <c r="H81" s="106" t="str">
        <f>IF('Run VRS'!BF81&lt;&gt;"",'Run VRS'!BF81,"")</f>
        <v/>
      </c>
      <c r="I81" s="106" t="str">
        <f>IF('Run VRS'!BG81&lt;&gt;"",'Run VRS'!BG81,"")</f>
        <v/>
      </c>
      <c r="J81" s="106" t="str">
        <f>IF('Run VRS'!BH81&lt;&gt;"",'Run VRS'!BH81,"")</f>
        <v/>
      </c>
      <c r="K81" s="105" t="str">
        <f>IF('Run VRS'!BI81&lt;&gt;"",'Run VRS'!BI81,"")</f>
        <v/>
      </c>
      <c r="L81" s="105" t="str">
        <f>IF('Run VRS'!BJ81&lt;&gt;"",'Run VRS'!BJ81,"")</f>
        <v/>
      </c>
      <c r="M81" s="105" t="str">
        <f>IF('Run VRS'!BK81&lt;&gt;"",'Run VRS'!BK81,"")</f>
        <v/>
      </c>
      <c r="N81" s="105" t="str">
        <f>IF('Run VRS'!BL81&lt;&gt;"",'Run VRS'!BL81,"")</f>
        <v/>
      </c>
      <c r="O81" s="105" t="str">
        <f>IF('Run VRS'!BM81&lt;&gt;"",'Run VRS'!BM81,"")</f>
        <v/>
      </c>
      <c r="P81" s="106" t="str">
        <f>IF('Run VRS'!BN81&lt;&gt;"",'Run VRS'!BN81,"")</f>
        <v/>
      </c>
      <c r="Q81" s="106" t="str">
        <f>IF('Run VRS'!BO81&lt;&gt;"",'Run VRS'!BO81,"")</f>
        <v/>
      </c>
      <c r="R81" s="106" t="str">
        <f>IF('Run VRS'!BP81&lt;&gt;"",'Run VRS'!BP81,"")</f>
        <v/>
      </c>
      <c r="S81" s="106" t="str">
        <f>IF('Run VRS'!BQ81&lt;&gt;"",'Run VRS'!BQ81,"")</f>
        <v/>
      </c>
      <c r="T81" s="106" t="str">
        <f>IF('Run VRS'!BR81&lt;&gt;"",'Run VRS'!BR81,"")</f>
        <v/>
      </c>
      <c r="U81" s="105" t="str">
        <f>IF('Run VRS'!BS81&lt;&gt;"",'Run VRS'!BS81,"")</f>
        <v/>
      </c>
      <c r="V81" s="105" t="str">
        <f>IF('Run VRS'!BT81&lt;&gt;"",'Run VRS'!BT81,"")</f>
        <v/>
      </c>
      <c r="W81" s="105" t="str">
        <f>IF('Run VRS'!BU81&lt;&gt;"",'Run VRS'!BU81,"")</f>
        <v/>
      </c>
      <c r="X81" s="107" t="str">
        <f>IF('Run VRS'!BV81&lt;&gt;"",'Run VRS'!BV81,"")</f>
        <v/>
      </c>
      <c r="Y81" s="114" t="str">
        <f>IF('Data input'!C81&lt;&gt;"",O81/'Data input'!C81*100%,"")</f>
        <v/>
      </c>
      <c r="Z81" s="114" t="str">
        <f>IF('Data input'!D81&lt;&gt;"",P81/'Data input'!D81*100%,"")</f>
        <v/>
      </c>
      <c r="AA81" s="114" t="str">
        <f>IF('Data input'!E81&lt;&gt;"",Q81/'Data input'!E81*100%,"")</f>
        <v/>
      </c>
      <c r="AB81" s="114" t="str">
        <f>IF('Data input'!F81&lt;&gt;"",R81/'Data input'!F81*100%,"")</f>
        <v/>
      </c>
      <c r="AC81" s="114" t="str">
        <f>IF('Data input'!G81&lt;&gt;"",S81/'Data input'!G81*100%,"")</f>
        <v/>
      </c>
      <c r="AD81" s="114" t="str">
        <f>IF('Data input'!H81&lt;&gt;"",T81/'Data input'!H81*100%,"")</f>
        <v/>
      </c>
      <c r="AE81" s="114" t="str">
        <f>IF('Data input'!I81&lt;&gt;"",U81/'Data input'!I81*100%,"")</f>
        <v/>
      </c>
      <c r="AF81" s="114" t="str">
        <f>IF('Data input'!J81&lt;&gt;"",V81/'Data input'!J81*100%,"")</f>
        <v/>
      </c>
      <c r="AG81" s="114" t="str">
        <f>IF('Data input'!K81&lt;&gt;"",W81/'Data input'!K81*100%,"")</f>
        <v/>
      </c>
      <c r="AH81" s="115" t="str">
        <f>IF('Data input'!L81&lt;&gt;"",X81/'Data input'!L81*100%,"")</f>
        <v/>
      </c>
      <c r="AI81" s="114" t="str">
        <f>IF('Data input'!C81&lt;&gt;"",'Run VRS'!AH81/'Run VRS'!C81,"")</f>
        <v/>
      </c>
      <c r="AJ81" s="114" t="str">
        <f>IF('Data input'!D81&lt;&gt;"",'Run VRS'!AI81/'Run VRS'!D81,"")</f>
        <v/>
      </c>
      <c r="AK81" s="114" t="str">
        <f>IF('Data input'!E81&lt;&gt;"",'Run VRS'!AJ81/'Run VRS'!E81,"")</f>
        <v/>
      </c>
      <c r="AL81" s="114" t="str">
        <f>IF('Data input'!F81&lt;&gt;"",'Run VRS'!AK81/'Run VRS'!F81,"")</f>
        <v/>
      </c>
      <c r="AM81" s="114" t="str">
        <f>IF('Data input'!G81&lt;&gt;"",'Run VRS'!AL81/'Run VRS'!G81,"")</f>
        <v/>
      </c>
      <c r="AN81" s="114" t="str">
        <f>IF('Data input'!H81&lt;&gt;"",'Run VRS'!AM81/'Run VRS'!H81,"")</f>
        <v/>
      </c>
      <c r="AO81" s="114" t="str">
        <f>IF('Data input'!I81&lt;&gt;"",'Run VRS'!AN81/'Run VRS'!I81,"")</f>
        <v/>
      </c>
      <c r="AP81" s="114" t="str">
        <f>IF('Data input'!J81&lt;&gt;"",'Run VRS'!AO81/'Run VRS'!J81,"")</f>
        <v/>
      </c>
      <c r="AQ81" s="114" t="str">
        <f>IF('Data input'!K81&lt;&gt;"",'Run VRS'!AP81/'Run VRS'!K81,"")</f>
        <v/>
      </c>
      <c r="AR81" s="115" t="str">
        <f>IF('Data input'!L81&lt;&gt;"",'Run VRS'!AQ81/'Run VRS'!L81,"")</f>
        <v/>
      </c>
    </row>
    <row r="82" spans="1:44" x14ac:dyDescent="0.35">
      <c r="A82" s="102" t="str">
        <f>IF('Run VRS'!AF82&lt;&gt;"",'Run VRS'!AF82,"")</f>
        <v/>
      </c>
      <c r="B82" s="103" t="str">
        <f>IF('Run VRS'!AG82&lt;&gt;"",'Run VRS'!AG82,"")</f>
        <v/>
      </c>
      <c r="C82" s="104" t="str">
        <f>IF('Run VRS'!AR82&lt;&gt;"",'Run VRS'!AR82,"")</f>
        <v/>
      </c>
      <c r="D82" s="104" t="e">
        <f>IF(ROUND(C82,3)=100%,"Optimal frontier",'Run VRS'!BW82)</f>
        <v>#VALUE!</v>
      </c>
      <c r="E82" s="105" t="str">
        <f>IF('Run VRS'!BC82&lt;&gt;"",'Run VRS'!BC82,"")</f>
        <v/>
      </c>
      <c r="F82" s="106" t="str">
        <f>IF('Run VRS'!BD82&lt;&gt;"",'Run VRS'!BD82,"")</f>
        <v/>
      </c>
      <c r="G82" s="106" t="str">
        <f>IF('Run VRS'!BE82&lt;&gt;"",'Run VRS'!BE82,"")</f>
        <v/>
      </c>
      <c r="H82" s="106" t="str">
        <f>IF('Run VRS'!BF82&lt;&gt;"",'Run VRS'!BF82,"")</f>
        <v/>
      </c>
      <c r="I82" s="106" t="str">
        <f>IF('Run VRS'!BG82&lt;&gt;"",'Run VRS'!BG82,"")</f>
        <v/>
      </c>
      <c r="J82" s="106" t="str">
        <f>IF('Run VRS'!BH82&lt;&gt;"",'Run VRS'!BH82,"")</f>
        <v/>
      </c>
      <c r="K82" s="105" t="str">
        <f>IF('Run VRS'!BI82&lt;&gt;"",'Run VRS'!BI82,"")</f>
        <v/>
      </c>
      <c r="L82" s="105" t="str">
        <f>IF('Run VRS'!BJ82&lt;&gt;"",'Run VRS'!BJ82,"")</f>
        <v/>
      </c>
      <c r="M82" s="105" t="str">
        <f>IF('Run VRS'!BK82&lt;&gt;"",'Run VRS'!BK82,"")</f>
        <v/>
      </c>
      <c r="N82" s="105" t="str">
        <f>IF('Run VRS'!BL82&lt;&gt;"",'Run VRS'!BL82,"")</f>
        <v/>
      </c>
      <c r="O82" s="105" t="str">
        <f>IF('Run VRS'!BM82&lt;&gt;"",'Run VRS'!BM82,"")</f>
        <v/>
      </c>
      <c r="P82" s="106" t="str">
        <f>IF('Run VRS'!BN82&lt;&gt;"",'Run VRS'!BN82,"")</f>
        <v/>
      </c>
      <c r="Q82" s="106" t="str">
        <f>IF('Run VRS'!BO82&lt;&gt;"",'Run VRS'!BO82,"")</f>
        <v/>
      </c>
      <c r="R82" s="106" t="str">
        <f>IF('Run VRS'!BP82&lt;&gt;"",'Run VRS'!BP82,"")</f>
        <v/>
      </c>
      <c r="S82" s="106" t="str">
        <f>IF('Run VRS'!BQ82&lt;&gt;"",'Run VRS'!BQ82,"")</f>
        <v/>
      </c>
      <c r="T82" s="106" t="str">
        <f>IF('Run VRS'!BR82&lt;&gt;"",'Run VRS'!BR82,"")</f>
        <v/>
      </c>
      <c r="U82" s="105" t="str">
        <f>IF('Run VRS'!BS82&lt;&gt;"",'Run VRS'!BS82,"")</f>
        <v/>
      </c>
      <c r="V82" s="105" t="str">
        <f>IF('Run VRS'!BT82&lt;&gt;"",'Run VRS'!BT82,"")</f>
        <v/>
      </c>
      <c r="W82" s="105" t="str">
        <f>IF('Run VRS'!BU82&lt;&gt;"",'Run VRS'!BU82,"")</f>
        <v/>
      </c>
      <c r="X82" s="107" t="str">
        <f>IF('Run VRS'!BV82&lt;&gt;"",'Run VRS'!BV82,"")</f>
        <v/>
      </c>
      <c r="Y82" s="114" t="str">
        <f>IF('Data input'!C82&lt;&gt;"",O82/'Data input'!C82*100%,"")</f>
        <v/>
      </c>
      <c r="Z82" s="114" t="str">
        <f>IF('Data input'!D82&lt;&gt;"",P82/'Data input'!D82*100%,"")</f>
        <v/>
      </c>
      <c r="AA82" s="114" t="str">
        <f>IF('Data input'!E82&lt;&gt;"",Q82/'Data input'!E82*100%,"")</f>
        <v/>
      </c>
      <c r="AB82" s="114" t="str">
        <f>IF('Data input'!F82&lt;&gt;"",R82/'Data input'!F82*100%,"")</f>
        <v/>
      </c>
      <c r="AC82" s="114" t="str">
        <f>IF('Data input'!G82&lt;&gt;"",S82/'Data input'!G82*100%,"")</f>
        <v/>
      </c>
      <c r="AD82" s="114" t="str">
        <f>IF('Data input'!H82&lt;&gt;"",T82/'Data input'!H82*100%,"")</f>
        <v/>
      </c>
      <c r="AE82" s="114" t="str">
        <f>IF('Data input'!I82&lt;&gt;"",U82/'Data input'!I82*100%,"")</f>
        <v/>
      </c>
      <c r="AF82" s="114" t="str">
        <f>IF('Data input'!J82&lt;&gt;"",V82/'Data input'!J82*100%,"")</f>
        <v/>
      </c>
      <c r="AG82" s="114" t="str">
        <f>IF('Data input'!K82&lt;&gt;"",W82/'Data input'!K82*100%,"")</f>
        <v/>
      </c>
      <c r="AH82" s="115" t="str">
        <f>IF('Data input'!L82&lt;&gt;"",X82/'Data input'!L82*100%,"")</f>
        <v/>
      </c>
      <c r="AI82" s="114" t="str">
        <f>IF('Data input'!C82&lt;&gt;"",'Run VRS'!AH82/'Run VRS'!C82,"")</f>
        <v/>
      </c>
      <c r="AJ82" s="114" t="str">
        <f>IF('Data input'!D82&lt;&gt;"",'Run VRS'!AI82/'Run VRS'!D82,"")</f>
        <v/>
      </c>
      <c r="AK82" s="114" t="str">
        <f>IF('Data input'!E82&lt;&gt;"",'Run VRS'!AJ82/'Run VRS'!E82,"")</f>
        <v/>
      </c>
      <c r="AL82" s="114" t="str">
        <f>IF('Data input'!F82&lt;&gt;"",'Run VRS'!AK82/'Run VRS'!F82,"")</f>
        <v/>
      </c>
      <c r="AM82" s="114" t="str">
        <f>IF('Data input'!G82&lt;&gt;"",'Run VRS'!AL82/'Run VRS'!G82,"")</f>
        <v/>
      </c>
      <c r="AN82" s="114" t="str">
        <f>IF('Data input'!H82&lt;&gt;"",'Run VRS'!AM82/'Run VRS'!H82,"")</f>
        <v/>
      </c>
      <c r="AO82" s="114" t="str">
        <f>IF('Data input'!I82&lt;&gt;"",'Run VRS'!AN82/'Run VRS'!I82,"")</f>
        <v/>
      </c>
      <c r="AP82" s="114" t="str">
        <f>IF('Data input'!J82&lt;&gt;"",'Run VRS'!AO82/'Run VRS'!J82,"")</f>
        <v/>
      </c>
      <c r="AQ82" s="114" t="str">
        <f>IF('Data input'!K82&lt;&gt;"",'Run VRS'!AP82/'Run VRS'!K82,"")</f>
        <v/>
      </c>
      <c r="AR82" s="115" t="str">
        <f>IF('Data input'!L82&lt;&gt;"",'Run VRS'!AQ82/'Run VRS'!L82,"")</f>
        <v/>
      </c>
    </row>
    <row r="83" spans="1:44" x14ac:dyDescent="0.35">
      <c r="A83" s="102" t="str">
        <f>IF('Run VRS'!AF83&lt;&gt;"",'Run VRS'!AF83,"")</f>
        <v/>
      </c>
      <c r="B83" s="103" t="str">
        <f>IF('Run VRS'!AG83&lt;&gt;"",'Run VRS'!AG83,"")</f>
        <v/>
      </c>
      <c r="C83" s="104" t="str">
        <f>IF('Run VRS'!AR83&lt;&gt;"",'Run VRS'!AR83,"")</f>
        <v/>
      </c>
      <c r="D83" s="104" t="e">
        <f>IF(ROUND(C83,3)=100%,"Optimal frontier",'Run VRS'!BW83)</f>
        <v>#VALUE!</v>
      </c>
      <c r="E83" s="105" t="str">
        <f>IF('Run VRS'!BC83&lt;&gt;"",'Run VRS'!BC83,"")</f>
        <v/>
      </c>
      <c r="F83" s="106" t="str">
        <f>IF('Run VRS'!BD83&lt;&gt;"",'Run VRS'!BD83,"")</f>
        <v/>
      </c>
      <c r="G83" s="106" t="str">
        <f>IF('Run VRS'!BE83&lt;&gt;"",'Run VRS'!BE83,"")</f>
        <v/>
      </c>
      <c r="H83" s="106" t="str">
        <f>IF('Run VRS'!BF83&lt;&gt;"",'Run VRS'!BF83,"")</f>
        <v/>
      </c>
      <c r="I83" s="106" t="str">
        <f>IF('Run VRS'!BG83&lt;&gt;"",'Run VRS'!BG83,"")</f>
        <v/>
      </c>
      <c r="J83" s="106" t="str">
        <f>IF('Run VRS'!BH83&lt;&gt;"",'Run VRS'!BH83,"")</f>
        <v/>
      </c>
      <c r="K83" s="105" t="str">
        <f>IF('Run VRS'!BI83&lt;&gt;"",'Run VRS'!BI83,"")</f>
        <v/>
      </c>
      <c r="L83" s="105" t="str">
        <f>IF('Run VRS'!BJ83&lt;&gt;"",'Run VRS'!BJ83,"")</f>
        <v/>
      </c>
      <c r="M83" s="105" t="str">
        <f>IF('Run VRS'!BK83&lt;&gt;"",'Run VRS'!BK83,"")</f>
        <v/>
      </c>
      <c r="N83" s="105" t="str">
        <f>IF('Run VRS'!BL83&lt;&gt;"",'Run VRS'!BL83,"")</f>
        <v/>
      </c>
      <c r="O83" s="105" t="str">
        <f>IF('Run VRS'!BM83&lt;&gt;"",'Run VRS'!BM83,"")</f>
        <v/>
      </c>
      <c r="P83" s="106" t="str">
        <f>IF('Run VRS'!BN83&lt;&gt;"",'Run VRS'!BN83,"")</f>
        <v/>
      </c>
      <c r="Q83" s="106" t="str">
        <f>IF('Run VRS'!BO83&lt;&gt;"",'Run VRS'!BO83,"")</f>
        <v/>
      </c>
      <c r="R83" s="106" t="str">
        <f>IF('Run VRS'!BP83&lt;&gt;"",'Run VRS'!BP83,"")</f>
        <v/>
      </c>
      <c r="S83" s="106" t="str">
        <f>IF('Run VRS'!BQ83&lt;&gt;"",'Run VRS'!BQ83,"")</f>
        <v/>
      </c>
      <c r="T83" s="106" t="str">
        <f>IF('Run VRS'!BR83&lt;&gt;"",'Run VRS'!BR83,"")</f>
        <v/>
      </c>
      <c r="U83" s="105" t="str">
        <f>IF('Run VRS'!BS83&lt;&gt;"",'Run VRS'!BS83,"")</f>
        <v/>
      </c>
      <c r="V83" s="105" t="str">
        <f>IF('Run VRS'!BT83&lt;&gt;"",'Run VRS'!BT83,"")</f>
        <v/>
      </c>
      <c r="W83" s="105" t="str">
        <f>IF('Run VRS'!BU83&lt;&gt;"",'Run VRS'!BU83,"")</f>
        <v/>
      </c>
      <c r="X83" s="107" t="str">
        <f>IF('Run VRS'!BV83&lt;&gt;"",'Run VRS'!BV83,"")</f>
        <v/>
      </c>
      <c r="Y83" s="114" t="str">
        <f>IF('Data input'!C83&lt;&gt;"",O83/'Data input'!C83*100%,"")</f>
        <v/>
      </c>
      <c r="Z83" s="114" t="str">
        <f>IF('Data input'!D83&lt;&gt;"",P83/'Data input'!D83*100%,"")</f>
        <v/>
      </c>
      <c r="AA83" s="114" t="str">
        <f>IF('Data input'!E83&lt;&gt;"",Q83/'Data input'!E83*100%,"")</f>
        <v/>
      </c>
      <c r="AB83" s="114" t="str">
        <f>IF('Data input'!F83&lt;&gt;"",R83/'Data input'!F83*100%,"")</f>
        <v/>
      </c>
      <c r="AC83" s="114" t="str">
        <f>IF('Data input'!G83&lt;&gt;"",S83/'Data input'!G83*100%,"")</f>
        <v/>
      </c>
      <c r="AD83" s="114" t="str">
        <f>IF('Data input'!H83&lt;&gt;"",T83/'Data input'!H83*100%,"")</f>
        <v/>
      </c>
      <c r="AE83" s="114" t="str">
        <f>IF('Data input'!I83&lt;&gt;"",U83/'Data input'!I83*100%,"")</f>
        <v/>
      </c>
      <c r="AF83" s="114" t="str">
        <f>IF('Data input'!J83&lt;&gt;"",V83/'Data input'!J83*100%,"")</f>
        <v/>
      </c>
      <c r="AG83" s="114" t="str">
        <f>IF('Data input'!K83&lt;&gt;"",W83/'Data input'!K83*100%,"")</f>
        <v/>
      </c>
      <c r="AH83" s="115" t="str">
        <f>IF('Data input'!L83&lt;&gt;"",X83/'Data input'!L83*100%,"")</f>
        <v/>
      </c>
      <c r="AI83" s="114" t="str">
        <f>IF('Data input'!C83&lt;&gt;"",'Run VRS'!AH83/'Run VRS'!C83,"")</f>
        <v/>
      </c>
      <c r="AJ83" s="114" t="str">
        <f>IF('Data input'!D83&lt;&gt;"",'Run VRS'!AI83/'Run VRS'!D83,"")</f>
        <v/>
      </c>
      <c r="AK83" s="114" t="str">
        <f>IF('Data input'!E83&lt;&gt;"",'Run VRS'!AJ83/'Run VRS'!E83,"")</f>
        <v/>
      </c>
      <c r="AL83" s="114" t="str">
        <f>IF('Data input'!F83&lt;&gt;"",'Run VRS'!AK83/'Run VRS'!F83,"")</f>
        <v/>
      </c>
      <c r="AM83" s="114" t="str">
        <f>IF('Data input'!G83&lt;&gt;"",'Run VRS'!AL83/'Run VRS'!G83,"")</f>
        <v/>
      </c>
      <c r="AN83" s="114" t="str">
        <f>IF('Data input'!H83&lt;&gt;"",'Run VRS'!AM83/'Run VRS'!H83,"")</f>
        <v/>
      </c>
      <c r="AO83" s="114" t="str">
        <f>IF('Data input'!I83&lt;&gt;"",'Run VRS'!AN83/'Run VRS'!I83,"")</f>
        <v/>
      </c>
      <c r="AP83" s="114" t="str">
        <f>IF('Data input'!J83&lt;&gt;"",'Run VRS'!AO83/'Run VRS'!J83,"")</f>
        <v/>
      </c>
      <c r="AQ83" s="114" t="str">
        <f>IF('Data input'!K83&lt;&gt;"",'Run VRS'!AP83/'Run VRS'!K83,"")</f>
        <v/>
      </c>
      <c r="AR83" s="115" t="str">
        <f>IF('Data input'!L83&lt;&gt;"",'Run VRS'!AQ83/'Run VRS'!L83,"")</f>
        <v/>
      </c>
    </row>
    <row r="84" spans="1:44" x14ac:dyDescent="0.35">
      <c r="A84" s="102" t="str">
        <f>IF('Run VRS'!AF84&lt;&gt;"",'Run VRS'!AF84,"")</f>
        <v/>
      </c>
      <c r="B84" s="103" t="str">
        <f>IF('Run VRS'!AG84&lt;&gt;"",'Run VRS'!AG84,"")</f>
        <v/>
      </c>
      <c r="C84" s="104" t="str">
        <f>IF('Run VRS'!AR84&lt;&gt;"",'Run VRS'!AR84,"")</f>
        <v/>
      </c>
      <c r="D84" s="104" t="e">
        <f>IF(ROUND(C84,3)=100%,"Optimal frontier",'Run VRS'!BW84)</f>
        <v>#VALUE!</v>
      </c>
      <c r="E84" s="105" t="str">
        <f>IF('Run VRS'!BC84&lt;&gt;"",'Run VRS'!BC84,"")</f>
        <v/>
      </c>
      <c r="F84" s="106" t="str">
        <f>IF('Run VRS'!BD84&lt;&gt;"",'Run VRS'!BD84,"")</f>
        <v/>
      </c>
      <c r="G84" s="106" t="str">
        <f>IF('Run VRS'!BE84&lt;&gt;"",'Run VRS'!BE84,"")</f>
        <v/>
      </c>
      <c r="H84" s="106" t="str">
        <f>IF('Run VRS'!BF84&lt;&gt;"",'Run VRS'!BF84,"")</f>
        <v/>
      </c>
      <c r="I84" s="106" t="str">
        <f>IF('Run VRS'!BG84&lt;&gt;"",'Run VRS'!BG84,"")</f>
        <v/>
      </c>
      <c r="J84" s="106" t="str">
        <f>IF('Run VRS'!BH84&lt;&gt;"",'Run VRS'!BH84,"")</f>
        <v/>
      </c>
      <c r="K84" s="105" t="str">
        <f>IF('Run VRS'!BI84&lt;&gt;"",'Run VRS'!BI84,"")</f>
        <v/>
      </c>
      <c r="L84" s="105" t="str">
        <f>IF('Run VRS'!BJ84&lt;&gt;"",'Run VRS'!BJ84,"")</f>
        <v/>
      </c>
      <c r="M84" s="105" t="str">
        <f>IF('Run VRS'!BK84&lt;&gt;"",'Run VRS'!BK84,"")</f>
        <v/>
      </c>
      <c r="N84" s="105" t="str">
        <f>IF('Run VRS'!BL84&lt;&gt;"",'Run VRS'!BL84,"")</f>
        <v/>
      </c>
      <c r="O84" s="105" t="str">
        <f>IF('Run VRS'!BM84&lt;&gt;"",'Run VRS'!BM84,"")</f>
        <v/>
      </c>
      <c r="P84" s="106" t="str">
        <f>IF('Run VRS'!BN84&lt;&gt;"",'Run VRS'!BN84,"")</f>
        <v/>
      </c>
      <c r="Q84" s="106" t="str">
        <f>IF('Run VRS'!BO84&lt;&gt;"",'Run VRS'!BO84,"")</f>
        <v/>
      </c>
      <c r="R84" s="106" t="str">
        <f>IF('Run VRS'!BP84&lt;&gt;"",'Run VRS'!BP84,"")</f>
        <v/>
      </c>
      <c r="S84" s="106" t="str">
        <f>IF('Run VRS'!BQ84&lt;&gt;"",'Run VRS'!BQ84,"")</f>
        <v/>
      </c>
      <c r="T84" s="106" t="str">
        <f>IF('Run VRS'!BR84&lt;&gt;"",'Run VRS'!BR84,"")</f>
        <v/>
      </c>
      <c r="U84" s="105" t="str">
        <f>IF('Run VRS'!BS84&lt;&gt;"",'Run VRS'!BS84,"")</f>
        <v/>
      </c>
      <c r="V84" s="105" t="str">
        <f>IF('Run VRS'!BT84&lt;&gt;"",'Run VRS'!BT84,"")</f>
        <v/>
      </c>
      <c r="W84" s="105" t="str">
        <f>IF('Run VRS'!BU84&lt;&gt;"",'Run VRS'!BU84,"")</f>
        <v/>
      </c>
      <c r="X84" s="107" t="str">
        <f>IF('Run VRS'!BV84&lt;&gt;"",'Run VRS'!BV84,"")</f>
        <v/>
      </c>
      <c r="Y84" s="114" t="str">
        <f>IF('Data input'!C84&lt;&gt;"",O84/'Data input'!C84*100%,"")</f>
        <v/>
      </c>
      <c r="Z84" s="114" t="str">
        <f>IF('Data input'!D84&lt;&gt;"",P84/'Data input'!D84*100%,"")</f>
        <v/>
      </c>
      <c r="AA84" s="114" t="str">
        <f>IF('Data input'!E84&lt;&gt;"",Q84/'Data input'!E84*100%,"")</f>
        <v/>
      </c>
      <c r="AB84" s="114" t="str">
        <f>IF('Data input'!F84&lt;&gt;"",R84/'Data input'!F84*100%,"")</f>
        <v/>
      </c>
      <c r="AC84" s="114" t="str">
        <f>IF('Data input'!G84&lt;&gt;"",S84/'Data input'!G84*100%,"")</f>
        <v/>
      </c>
      <c r="AD84" s="114" t="str">
        <f>IF('Data input'!H84&lt;&gt;"",T84/'Data input'!H84*100%,"")</f>
        <v/>
      </c>
      <c r="AE84" s="114" t="str">
        <f>IF('Data input'!I84&lt;&gt;"",U84/'Data input'!I84*100%,"")</f>
        <v/>
      </c>
      <c r="AF84" s="114" t="str">
        <f>IF('Data input'!J84&lt;&gt;"",V84/'Data input'!J84*100%,"")</f>
        <v/>
      </c>
      <c r="AG84" s="114" t="str">
        <f>IF('Data input'!K84&lt;&gt;"",W84/'Data input'!K84*100%,"")</f>
        <v/>
      </c>
      <c r="AH84" s="115" t="str">
        <f>IF('Data input'!L84&lt;&gt;"",X84/'Data input'!L84*100%,"")</f>
        <v/>
      </c>
      <c r="AI84" s="114" t="str">
        <f>IF('Data input'!C84&lt;&gt;"",'Run VRS'!AH84/'Run VRS'!C84,"")</f>
        <v/>
      </c>
      <c r="AJ84" s="114" t="str">
        <f>IF('Data input'!D84&lt;&gt;"",'Run VRS'!AI84/'Run VRS'!D84,"")</f>
        <v/>
      </c>
      <c r="AK84" s="114" t="str">
        <f>IF('Data input'!E84&lt;&gt;"",'Run VRS'!AJ84/'Run VRS'!E84,"")</f>
        <v/>
      </c>
      <c r="AL84" s="114" t="str">
        <f>IF('Data input'!F84&lt;&gt;"",'Run VRS'!AK84/'Run VRS'!F84,"")</f>
        <v/>
      </c>
      <c r="AM84" s="114" t="str">
        <f>IF('Data input'!G84&lt;&gt;"",'Run VRS'!AL84/'Run VRS'!G84,"")</f>
        <v/>
      </c>
      <c r="AN84" s="114" t="str">
        <f>IF('Data input'!H84&lt;&gt;"",'Run VRS'!AM84/'Run VRS'!H84,"")</f>
        <v/>
      </c>
      <c r="AO84" s="114" t="str">
        <f>IF('Data input'!I84&lt;&gt;"",'Run VRS'!AN84/'Run VRS'!I84,"")</f>
        <v/>
      </c>
      <c r="AP84" s="114" t="str">
        <f>IF('Data input'!J84&lt;&gt;"",'Run VRS'!AO84/'Run VRS'!J84,"")</f>
        <v/>
      </c>
      <c r="AQ84" s="114" t="str">
        <f>IF('Data input'!K84&lt;&gt;"",'Run VRS'!AP84/'Run VRS'!K84,"")</f>
        <v/>
      </c>
      <c r="AR84" s="115" t="str">
        <f>IF('Data input'!L84&lt;&gt;"",'Run VRS'!AQ84/'Run VRS'!L84,"")</f>
        <v/>
      </c>
    </row>
    <row r="85" spans="1:44" x14ac:dyDescent="0.35">
      <c r="A85" s="102" t="str">
        <f>IF('Run VRS'!AF85&lt;&gt;"",'Run VRS'!AF85,"")</f>
        <v/>
      </c>
      <c r="B85" s="103" t="str">
        <f>IF('Run VRS'!AG85&lt;&gt;"",'Run VRS'!AG85,"")</f>
        <v/>
      </c>
      <c r="C85" s="104" t="str">
        <f>IF('Run VRS'!AR85&lt;&gt;"",'Run VRS'!AR85,"")</f>
        <v/>
      </c>
      <c r="D85" s="104" t="e">
        <f>IF(ROUND(C85,3)=100%,"Optimal frontier",'Run VRS'!BW85)</f>
        <v>#VALUE!</v>
      </c>
      <c r="E85" s="105" t="str">
        <f>IF('Run VRS'!BC85&lt;&gt;"",'Run VRS'!BC85,"")</f>
        <v/>
      </c>
      <c r="F85" s="106" t="str">
        <f>IF('Run VRS'!BD85&lt;&gt;"",'Run VRS'!BD85,"")</f>
        <v/>
      </c>
      <c r="G85" s="106" t="str">
        <f>IF('Run VRS'!BE85&lt;&gt;"",'Run VRS'!BE85,"")</f>
        <v/>
      </c>
      <c r="H85" s="106" t="str">
        <f>IF('Run VRS'!BF85&lt;&gt;"",'Run VRS'!BF85,"")</f>
        <v/>
      </c>
      <c r="I85" s="106" t="str">
        <f>IF('Run VRS'!BG85&lt;&gt;"",'Run VRS'!BG85,"")</f>
        <v/>
      </c>
      <c r="J85" s="106" t="str">
        <f>IF('Run VRS'!BH85&lt;&gt;"",'Run VRS'!BH85,"")</f>
        <v/>
      </c>
      <c r="K85" s="105" t="str">
        <f>IF('Run VRS'!BI85&lt;&gt;"",'Run VRS'!BI85,"")</f>
        <v/>
      </c>
      <c r="L85" s="105" t="str">
        <f>IF('Run VRS'!BJ85&lt;&gt;"",'Run VRS'!BJ85,"")</f>
        <v/>
      </c>
      <c r="M85" s="105" t="str">
        <f>IF('Run VRS'!BK85&lt;&gt;"",'Run VRS'!BK85,"")</f>
        <v/>
      </c>
      <c r="N85" s="105" t="str">
        <f>IF('Run VRS'!BL85&lt;&gt;"",'Run VRS'!BL85,"")</f>
        <v/>
      </c>
      <c r="O85" s="105" t="str">
        <f>IF('Run VRS'!BM85&lt;&gt;"",'Run VRS'!BM85,"")</f>
        <v/>
      </c>
      <c r="P85" s="106" t="str">
        <f>IF('Run VRS'!BN85&lt;&gt;"",'Run VRS'!BN85,"")</f>
        <v/>
      </c>
      <c r="Q85" s="106" t="str">
        <f>IF('Run VRS'!BO85&lt;&gt;"",'Run VRS'!BO85,"")</f>
        <v/>
      </c>
      <c r="R85" s="106" t="str">
        <f>IF('Run VRS'!BP85&lt;&gt;"",'Run VRS'!BP85,"")</f>
        <v/>
      </c>
      <c r="S85" s="106" t="str">
        <f>IF('Run VRS'!BQ85&lt;&gt;"",'Run VRS'!BQ85,"")</f>
        <v/>
      </c>
      <c r="T85" s="106" t="str">
        <f>IF('Run VRS'!BR85&lt;&gt;"",'Run VRS'!BR85,"")</f>
        <v/>
      </c>
      <c r="U85" s="105" t="str">
        <f>IF('Run VRS'!BS85&lt;&gt;"",'Run VRS'!BS85,"")</f>
        <v/>
      </c>
      <c r="V85" s="105" t="str">
        <f>IF('Run VRS'!BT85&lt;&gt;"",'Run VRS'!BT85,"")</f>
        <v/>
      </c>
      <c r="W85" s="105" t="str">
        <f>IF('Run VRS'!BU85&lt;&gt;"",'Run VRS'!BU85,"")</f>
        <v/>
      </c>
      <c r="X85" s="107" t="str">
        <f>IF('Run VRS'!BV85&lt;&gt;"",'Run VRS'!BV85,"")</f>
        <v/>
      </c>
      <c r="Y85" s="114" t="str">
        <f>IF('Data input'!C85&lt;&gt;"",O85/'Data input'!C85*100%,"")</f>
        <v/>
      </c>
      <c r="Z85" s="114" t="str">
        <f>IF('Data input'!D85&lt;&gt;"",P85/'Data input'!D85*100%,"")</f>
        <v/>
      </c>
      <c r="AA85" s="114" t="str">
        <f>IF('Data input'!E85&lt;&gt;"",Q85/'Data input'!E85*100%,"")</f>
        <v/>
      </c>
      <c r="AB85" s="114" t="str">
        <f>IF('Data input'!F85&lt;&gt;"",R85/'Data input'!F85*100%,"")</f>
        <v/>
      </c>
      <c r="AC85" s="114" t="str">
        <f>IF('Data input'!G85&lt;&gt;"",S85/'Data input'!G85*100%,"")</f>
        <v/>
      </c>
      <c r="AD85" s="114" t="str">
        <f>IF('Data input'!H85&lt;&gt;"",T85/'Data input'!H85*100%,"")</f>
        <v/>
      </c>
      <c r="AE85" s="114" t="str">
        <f>IF('Data input'!I85&lt;&gt;"",U85/'Data input'!I85*100%,"")</f>
        <v/>
      </c>
      <c r="AF85" s="114" t="str">
        <f>IF('Data input'!J85&lt;&gt;"",V85/'Data input'!J85*100%,"")</f>
        <v/>
      </c>
      <c r="AG85" s="114" t="str">
        <f>IF('Data input'!K85&lt;&gt;"",W85/'Data input'!K85*100%,"")</f>
        <v/>
      </c>
      <c r="AH85" s="115" t="str">
        <f>IF('Data input'!L85&lt;&gt;"",X85/'Data input'!L85*100%,"")</f>
        <v/>
      </c>
      <c r="AI85" s="114" t="str">
        <f>IF('Data input'!C85&lt;&gt;"",'Run VRS'!AH85/'Run VRS'!C85,"")</f>
        <v/>
      </c>
      <c r="AJ85" s="114" t="str">
        <f>IF('Data input'!D85&lt;&gt;"",'Run VRS'!AI85/'Run VRS'!D85,"")</f>
        <v/>
      </c>
      <c r="AK85" s="114" t="str">
        <f>IF('Data input'!E85&lt;&gt;"",'Run VRS'!AJ85/'Run VRS'!E85,"")</f>
        <v/>
      </c>
      <c r="AL85" s="114" t="str">
        <f>IF('Data input'!F85&lt;&gt;"",'Run VRS'!AK85/'Run VRS'!F85,"")</f>
        <v/>
      </c>
      <c r="AM85" s="114" t="str">
        <f>IF('Data input'!G85&lt;&gt;"",'Run VRS'!AL85/'Run VRS'!G85,"")</f>
        <v/>
      </c>
      <c r="AN85" s="114" t="str">
        <f>IF('Data input'!H85&lt;&gt;"",'Run VRS'!AM85/'Run VRS'!H85,"")</f>
        <v/>
      </c>
      <c r="AO85" s="114" t="str">
        <f>IF('Data input'!I85&lt;&gt;"",'Run VRS'!AN85/'Run VRS'!I85,"")</f>
        <v/>
      </c>
      <c r="AP85" s="114" t="str">
        <f>IF('Data input'!J85&lt;&gt;"",'Run VRS'!AO85/'Run VRS'!J85,"")</f>
        <v/>
      </c>
      <c r="AQ85" s="114" t="str">
        <f>IF('Data input'!K85&lt;&gt;"",'Run VRS'!AP85/'Run VRS'!K85,"")</f>
        <v/>
      </c>
      <c r="AR85" s="115" t="str">
        <f>IF('Data input'!L85&lt;&gt;"",'Run VRS'!AQ85/'Run VRS'!L85,"")</f>
        <v/>
      </c>
    </row>
    <row r="86" spans="1:44" x14ac:dyDescent="0.35">
      <c r="A86" s="102" t="str">
        <f>IF('Run VRS'!AF86&lt;&gt;"",'Run VRS'!AF86,"")</f>
        <v/>
      </c>
      <c r="B86" s="103" t="str">
        <f>IF('Run VRS'!AG86&lt;&gt;"",'Run VRS'!AG86,"")</f>
        <v/>
      </c>
      <c r="C86" s="104" t="str">
        <f>IF('Run VRS'!AR86&lt;&gt;"",'Run VRS'!AR86,"")</f>
        <v/>
      </c>
      <c r="D86" s="104" t="e">
        <f>IF(ROUND(C86,3)=100%,"Optimal frontier",'Run VRS'!BW86)</f>
        <v>#VALUE!</v>
      </c>
      <c r="E86" s="105" t="str">
        <f>IF('Run VRS'!BC86&lt;&gt;"",'Run VRS'!BC86,"")</f>
        <v/>
      </c>
      <c r="F86" s="106" t="str">
        <f>IF('Run VRS'!BD86&lt;&gt;"",'Run VRS'!BD86,"")</f>
        <v/>
      </c>
      <c r="G86" s="106" t="str">
        <f>IF('Run VRS'!BE86&lt;&gt;"",'Run VRS'!BE86,"")</f>
        <v/>
      </c>
      <c r="H86" s="106" t="str">
        <f>IF('Run VRS'!BF86&lt;&gt;"",'Run VRS'!BF86,"")</f>
        <v/>
      </c>
      <c r="I86" s="106" t="str">
        <f>IF('Run VRS'!BG86&lt;&gt;"",'Run VRS'!BG86,"")</f>
        <v/>
      </c>
      <c r="J86" s="106" t="str">
        <f>IF('Run VRS'!BH86&lt;&gt;"",'Run VRS'!BH86,"")</f>
        <v/>
      </c>
      <c r="K86" s="105" t="str">
        <f>IF('Run VRS'!BI86&lt;&gt;"",'Run VRS'!BI86,"")</f>
        <v/>
      </c>
      <c r="L86" s="105" t="str">
        <f>IF('Run VRS'!BJ86&lt;&gt;"",'Run VRS'!BJ86,"")</f>
        <v/>
      </c>
      <c r="M86" s="105" t="str">
        <f>IF('Run VRS'!BK86&lt;&gt;"",'Run VRS'!BK86,"")</f>
        <v/>
      </c>
      <c r="N86" s="105" t="str">
        <f>IF('Run VRS'!BL86&lt;&gt;"",'Run VRS'!BL86,"")</f>
        <v/>
      </c>
      <c r="O86" s="105" t="str">
        <f>IF('Run VRS'!BM86&lt;&gt;"",'Run VRS'!BM86,"")</f>
        <v/>
      </c>
      <c r="P86" s="106" t="str">
        <f>IF('Run VRS'!BN86&lt;&gt;"",'Run VRS'!BN86,"")</f>
        <v/>
      </c>
      <c r="Q86" s="106" t="str">
        <f>IF('Run VRS'!BO86&lt;&gt;"",'Run VRS'!BO86,"")</f>
        <v/>
      </c>
      <c r="R86" s="106" t="str">
        <f>IF('Run VRS'!BP86&lt;&gt;"",'Run VRS'!BP86,"")</f>
        <v/>
      </c>
      <c r="S86" s="106" t="str">
        <f>IF('Run VRS'!BQ86&lt;&gt;"",'Run VRS'!BQ86,"")</f>
        <v/>
      </c>
      <c r="T86" s="106" t="str">
        <f>IF('Run VRS'!BR86&lt;&gt;"",'Run VRS'!BR86,"")</f>
        <v/>
      </c>
      <c r="U86" s="105" t="str">
        <f>IF('Run VRS'!BS86&lt;&gt;"",'Run VRS'!BS86,"")</f>
        <v/>
      </c>
      <c r="V86" s="105" t="str">
        <f>IF('Run VRS'!BT86&lt;&gt;"",'Run VRS'!BT86,"")</f>
        <v/>
      </c>
      <c r="W86" s="105" t="str">
        <f>IF('Run VRS'!BU86&lt;&gt;"",'Run VRS'!BU86,"")</f>
        <v/>
      </c>
      <c r="X86" s="107" t="str">
        <f>IF('Run VRS'!BV86&lt;&gt;"",'Run VRS'!BV86,"")</f>
        <v/>
      </c>
      <c r="Y86" s="114" t="str">
        <f>IF('Data input'!C86&lt;&gt;"",O86/'Data input'!C86*100%,"")</f>
        <v/>
      </c>
      <c r="Z86" s="114" t="str">
        <f>IF('Data input'!D86&lt;&gt;"",P86/'Data input'!D86*100%,"")</f>
        <v/>
      </c>
      <c r="AA86" s="114" t="str">
        <f>IF('Data input'!E86&lt;&gt;"",Q86/'Data input'!E86*100%,"")</f>
        <v/>
      </c>
      <c r="AB86" s="114" t="str">
        <f>IF('Data input'!F86&lt;&gt;"",R86/'Data input'!F86*100%,"")</f>
        <v/>
      </c>
      <c r="AC86" s="114" t="str">
        <f>IF('Data input'!G86&lt;&gt;"",S86/'Data input'!G86*100%,"")</f>
        <v/>
      </c>
      <c r="AD86" s="114" t="str">
        <f>IF('Data input'!H86&lt;&gt;"",T86/'Data input'!H86*100%,"")</f>
        <v/>
      </c>
      <c r="AE86" s="114" t="str">
        <f>IF('Data input'!I86&lt;&gt;"",U86/'Data input'!I86*100%,"")</f>
        <v/>
      </c>
      <c r="AF86" s="114" t="str">
        <f>IF('Data input'!J86&lt;&gt;"",V86/'Data input'!J86*100%,"")</f>
        <v/>
      </c>
      <c r="AG86" s="114" t="str">
        <f>IF('Data input'!K86&lt;&gt;"",W86/'Data input'!K86*100%,"")</f>
        <v/>
      </c>
      <c r="AH86" s="115" t="str">
        <f>IF('Data input'!L86&lt;&gt;"",X86/'Data input'!L86*100%,"")</f>
        <v/>
      </c>
      <c r="AI86" s="114" t="str">
        <f>IF('Data input'!C86&lt;&gt;"",'Run VRS'!AH86/'Run VRS'!C86,"")</f>
        <v/>
      </c>
      <c r="AJ86" s="114" t="str">
        <f>IF('Data input'!D86&lt;&gt;"",'Run VRS'!AI86/'Run VRS'!D86,"")</f>
        <v/>
      </c>
      <c r="AK86" s="114" t="str">
        <f>IF('Data input'!E86&lt;&gt;"",'Run VRS'!AJ86/'Run VRS'!E86,"")</f>
        <v/>
      </c>
      <c r="AL86" s="114" t="str">
        <f>IF('Data input'!F86&lt;&gt;"",'Run VRS'!AK86/'Run VRS'!F86,"")</f>
        <v/>
      </c>
      <c r="AM86" s="114" t="str">
        <f>IF('Data input'!G86&lt;&gt;"",'Run VRS'!AL86/'Run VRS'!G86,"")</f>
        <v/>
      </c>
      <c r="AN86" s="114" t="str">
        <f>IF('Data input'!H86&lt;&gt;"",'Run VRS'!AM86/'Run VRS'!H86,"")</f>
        <v/>
      </c>
      <c r="AO86" s="114" t="str">
        <f>IF('Data input'!I86&lt;&gt;"",'Run VRS'!AN86/'Run VRS'!I86,"")</f>
        <v/>
      </c>
      <c r="AP86" s="114" t="str">
        <f>IF('Data input'!J86&lt;&gt;"",'Run VRS'!AO86/'Run VRS'!J86,"")</f>
        <v/>
      </c>
      <c r="AQ86" s="114" t="str">
        <f>IF('Data input'!K86&lt;&gt;"",'Run VRS'!AP86/'Run VRS'!K86,"")</f>
        <v/>
      </c>
      <c r="AR86" s="115" t="str">
        <f>IF('Data input'!L86&lt;&gt;"",'Run VRS'!AQ86/'Run VRS'!L86,"")</f>
        <v/>
      </c>
    </row>
    <row r="87" spans="1:44" x14ac:dyDescent="0.35">
      <c r="A87" s="102" t="str">
        <f>IF('Run VRS'!AF87&lt;&gt;"",'Run VRS'!AF87,"")</f>
        <v/>
      </c>
      <c r="B87" s="103" t="str">
        <f>IF('Run VRS'!AG87&lt;&gt;"",'Run VRS'!AG87,"")</f>
        <v/>
      </c>
      <c r="C87" s="104" t="str">
        <f>IF('Run VRS'!AR87&lt;&gt;"",'Run VRS'!AR87,"")</f>
        <v/>
      </c>
      <c r="D87" s="104" t="e">
        <f>IF(ROUND(C87,3)=100%,"Optimal frontier",'Run VRS'!BW87)</f>
        <v>#VALUE!</v>
      </c>
      <c r="E87" s="105" t="str">
        <f>IF('Run VRS'!BC87&lt;&gt;"",'Run VRS'!BC87,"")</f>
        <v/>
      </c>
      <c r="F87" s="106" t="str">
        <f>IF('Run VRS'!BD87&lt;&gt;"",'Run VRS'!BD87,"")</f>
        <v/>
      </c>
      <c r="G87" s="106" t="str">
        <f>IF('Run VRS'!BE87&lt;&gt;"",'Run VRS'!BE87,"")</f>
        <v/>
      </c>
      <c r="H87" s="106" t="str">
        <f>IF('Run VRS'!BF87&lt;&gt;"",'Run VRS'!BF87,"")</f>
        <v/>
      </c>
      <c r="I87" s="106" t="str">
        <f>IF('Run VRS'!BG87&lt;&gt;"",'Run VRS'!BG87,"")</f>
        <v/>
      </c>
      <c r="J87" s="106" t="str">
        <f>IF('Run VRS'!BH87&lt;&gt;"",'Run VRS'!BH87,"")</f>
        <v/>
      </c>
      <c r="K87" s="105" t="str">
        <f>IF('Run VRS'!BI87&lt;&gt;"",'Run VRS'!BI87,"")</f>
        <v/>
      </c>
      <c r="L87" s="105" t="str">
        <f>IF('Run VRS'!BJ87&lt;&gt;"",'Run VRS'!BJ87,"")</f>
        <v/>
      </c>
      <c r="M87" s="105" t="str">
        <f>IF('Run VRS'!BK87&lt;&gt;"",'Run VRS'!BK87,"")</f>
        <v/>
      </c>
      <c r="N87" s="105" t="str">
        <f>IF('Run VRS'!BL87&lt;&gt;"",'Run VRS'!BL87,"")</f>
        <v/>
      </c>
      <c r="O87" s="105" t="str">
        <f>IF('Run VRS'!BM87&lt;&gt;"",'Run VRS'!BM87,"")</f>
        <v/>
      </c>
      <c r="P87" s="106" t="str">
        <f>IF('Run VRS'!BN87&lt;&gt;"",'Run VRS'!BN87,"")</f>
        <v/>
      </c>
      <c r="Q87" s="106" t="str">
        <f>IF('Run VRS'!BO87&lt;&gt;"",'Run VRS'!BO87,"")</f>
        <v/>
      </c>
      <c r="R87" s="106" t="str">
        <f>IF('Run VRS'!BP87&lt;&gt;"",'Run VRS'!BP87,"")</f>
        <v/>
      </c>
      <c r="S87" s="106" t="str">
        <f>IF('Run VRS'!BQ87&lt;&gt;"",'Run VRS'!BQ87,"")</f>
        <v/>
      </c>
      <c r="T87" s="106" t="str">
        <f>IF('Run VRS'!BR87&lt;&gt;"",'Run VRS'!BR87,"")</f>
        <v/>
      </c>
      <c r="U87" s="105" t="str">
        <f>IF('Run VRS'!BS87&lt;&gt;"",'Run VRS'!BS87,"")</f>
        <v/>
      </c>
      <c r="V87" s="105" t="str">
        <f>IF('Run VRS'!BT87&lt;&gt;"",'Run VRS'!BT87,"")</f>
        <v/>
      </c>
      <c r="W87" s="105" t="str">
        <f>IF('Run VRS'!BU87&lt;&gt;"",'Run VRS'!BU87,"")</f>
        <v/>
      </c>
      <c r="X87" s="107" t="str">
        <f>IF('Run VRS'!BV87&lt;&gt;"",'Run VRS'!BV87,"")</f>
        <v/>
      </c>
      <c r="Y87" s="114" t="str">
        <f>IF('Data input'!C87&lt;&gt;"",O87/'Data input'!C87*100%,"")</f>
        <v/>
      </c>
      <c r="Z87" s="114" t="str">
        <f>IF('Data input'!D87&lt;&gt;"",P87/'Data input'!D87*100%,"")</f>
        <v/>
      </c>
      <c r="AA87" s="114" t="str">
        <f>IF('Data input'!E87&lt;&gt;"",Q87/'Data input'!E87*100%,"")</f>
        <v/>
      </c>
      <c r="AB87" s="114" t="str">
        <f>IF('Data input'!F87&lt;&gt;"",R87/'Data input'!F87*100%,"")</f>
        <v/>
      </c>
      <c r="AC87" s="114" t="str">
        <f>IF('Data input'!G87&lt;&gt;"",S87/'Data input'!G87*100%,"")</f>
        <v/>
      </c>
      <c r="AD87" s="114" t="str">
        <f>IF('Data input'!H87&lt;&gt;"",T87/'Data input'!H87*100%,"")</f>
        <v/>
      </c>
      <c r="AE87" s="114" t="str">
        <f>IF('Data input'!I87&lt;&gt;"",U87/'Data input'!I87*100%,"")</f>
        <v/>
      </c>
      <c r="AF87" s="114" t="str">
        <f>IF('Data input'!J87&lt;&gt;"",V87/'Data input'!J87*100%,"")</f>
        <v/>
      </c>
      <c r="AG87" s="114" t="str">
        <f>IF('Data input'!K87&lt;&gt;"",W87/'Data input'!K87*100%,"")</f>
        <v/>
      </c>
      <c r="AH87" s="115" t="str">
        <f>IF('Data input'!L87&lt;&gt;"",X87/'Data input'!L87*100%,"")</f>
        <v/>
      </c>
      <c r="AI87" s="114" t="str">
        <f>IF('Data input'!C87&lt;&gt;"",'Run VRS'!AH87/'Run VRS'!C87,"")</f>
        <v/>
      </c>
      <c r="AJ87" s="114" t="str">
        <f>IF('Data input'!D87&lt;&gt;"",'Run VRS'!AI87/'Run VRS'!D87,"")</f>
        <v/>
      </c>
      <c r="AK87" s="114" t="str">
        <f>IF('Data input'!E87&lt;&gt;"",'Run VRS'!AJ87/'Run VRS'!E87,"")</f>
        <v/>
      </c>
      <c r="AL87" s="114" t="str">
        <f>IF('Data input'!F87&lt;&gt;"",'Run VRS'!AK87/'Run VRS'!F87,"")</f>
        <v/>
      </c>
      <c r="AM87" s="114" t="str">
        <f>IF('Data input'!G87&lt;&gt;"",'Run VRS'!AL87/'Run VRS'!G87,"")</f>
        <v/>
      </c>
      <c r="AN87" s="114" t="str">
        <f>IF('Data input'!H87&lt;&gt;"",'Run VRS'!AM87/'Run VRS'!H87,"")</f>
        <v/>
      </c>
      <c r="AO87" s="114" t="str">
        <f>IF('Data input'!I87&lt;&gt;"",'Run VRS'!AN87/'Run VRS'!I87,"")</f>
        <v/>
      </c>
      <c r="AP87" s="114" t="str">
        <f>IF('Data input'!J87&lt;&gt;"",'Run VRS'!AO87/'Run VRS'!J87,"")</f>
        <v/>
      </c>
      <c r="AQ87" s="114" t="str">
        <f>IF('Data input'!K87&lt;&gt;"",'Run VRS'!AP87/'Run VRS'!K87,"")</f>
        <v/>
      </c>
      <c r="AR87" s="115" t="str">
        <f>IF('Data input'!L87&lt;&gt;"",'Run VRS'!AQ87/'Run VRS'!L87,"")</f>
        <v/>
      </c>
    </row>
    <row r="88" spans="1:44" x14ac:dyDescent="0.35">
      <c r="A88" s="102" t="str">
        <f>IF('Run VRS'!AF88&lt;&gt;"",'Run VRS'!AF88,"")</f>
        <v/>
      </c>
      <c r="B88" s="103" t="str">
        <f>IF('Run VRS'!AG88&lt;&gt;"",'Run VRS'!AG88,"")</f>
        <v/>
      </c>
      <c r="C88" s="104" t="str">
        <f>IF('Run VRS'!AR88&lt;&gt;"",'Run VRS'!AR88,"")</f>
        <v/>
      </c>
      <c r="D88" s="104" t="e">
        <f>IF(ROUND(C88,3)=100%,"Optimal frontier",'Run VRS'!BW88)</f>
        <v>#VALUE!</v>
      </c>
      <c r="E88" s="105" t="str">
        <f>IF('Run VRS'!BC88&lt;&gt;"",'Run VRS'!BC88,"")</f>
        <v/>
      </c>
      <c r="F88" s="106" t="str">
        <f>IF('Run VRS'!BD88&lt;&gt;"",'Run VRS'!BD88,"")</f>
        <v/>
      </c>
      <c r="G88" s="106" t="str">
        <f>IF('Run VRS'!BE88&lt;&gt;"",'Run VRS'!BE88,"")</f>
        <v/>
      </c>
      <c r="H88" s="106" t="str">
        <f>IF('Run VRS'!BF88&lt;&gt;"",'Run VRS'!BF88,"")</f>
        <v/>
      </c>
      <c r="I88" s="106" t="str">
        <f>IF('Run VRS'!BG88&lt;&gt;"",'Run VRS'!BG88,"")</f>
        <v/>
      </c>
      <c r="J88" s="106" t="str">
        <f>IF('Run VRS'!BH88&lt;&gt;"",'Run VRS'!BH88,"")</f>
        <v/>
      </c>
      <c r="K88" s="105" t="str">
        <f>IF('Run VRS'!BI88&lt;&gt;"",'Run VRS'!BI88,"")</f>
        <v/>
      </c>
      <c r="L88" s="105" t="str">
        <f>IF('Run VRS'!BJ88&lt;&gt;"",'Run VRS'!BJ88,"")</f>
        <v/>
      </c>
      <c r="M88" s="105" t="str">
        <f>IF('Run VRS'!BK88&lt;&gt;"",'Run VRS'!BK88,"")</f>
        <v/>
      </c>
      <c r="N88" s="105" t="str">
        <f>IF('Run VRS'!BL88&lt;&gt;"",'Run VRS'!BL88,"")</f>
        <v/>
      </c>
      <c r="O88" s="105" t="str">
        <f>IF('Run VRS'!BM88&lt;&gt;"",'Run VRS'!BM88,"")</f>
        <v/>
      </c>
      <c r="P88" s="106" t="str">
        <f>IF('Run VRS'!BN88&lt;&gt;"",'Run VRS'!BN88,"")</f>
        <v/>
      </c>
      <c r="Q88" s="106" t="str">
        <f>IF('Run VRS'!BO88&lt;&gt;"",'Run VRS'!BO88,"")</f>
        <v/>
      </c>
      <c r="R88" s="106" t="str">
        <f>IF('Run VRS'!BP88&lt;&gt;"",'Run VRS'!BP88,"")</f>
        <v/>
      </c>
      <c r="S88" s="106" t="str">
        <f>IF('Run VRS'!BQ88&lt;&gt;"",'Run VRS'!BQ88,"")</f>
        <v/>
      </c>
      <c r="T88" s="106" t="str">
        <f>IF('Run VRS'!BR88&lt;&gt;"",'Run VRS'!BR88,"")</f>
        <v/>
      </c>
      <c r="U88" s="105" t="str">
        <f>IF('Run VRS'!BS88&lt;&gt;"",'Run VRS'!BS88,"")</f>
        <v/>
      </c>
      <c r="V88" s="105" t="str">
        <f>IF('Run VRS'!BT88&lt;&gt;"",'Run VRS'!BT88,"")</f>
        <v/>
      </c>
      <c r="W88" s="105" t="str">
        <f>IF('Run VRS'!BU88&lt;&gt;"",'Run VRS'!BU88,"")</f>
        <v/>
      </c>
      <c r="X88" s="107" t="str">
        <f>IF('Run VRS'!BV88&lt;&gt;"",'Run VRS'!BV88,"")</f>
        <v/>
      </c>
      <c r="Y88" s="114" t="str">
        <f>IF('Data input'!C88&lt;&gt;"",O88/'Data input'!C88*100%,"")</f>
        <v/>
      </c>
      <c r="Z88" s="114" t="str">
        <f>IF('Data input'!D88&lt;&gt;"",P88/'Data input'!D88*100%,"")</f>
        <v/>
      </c>
      <c r="AA88" s="114" t="str">
        <f>IF('Data input'!E88&lt;&gt;"",Q88/'Data input'!E88*100%,"")</f>
        <v/>
      </c>
      <c r="AB88" s="114" t="str">
        <f>IF('Data input'!F88&lt;&gt;"",R88/'Data input'!F88*100%,"")</f>
        <v/>
      </c>
      <c r="AC88" s="114" t="str">
        <f>IF('Data input'!G88&lt;&gt;"",S88/'Data input'!G88*100%,"")</f>
        <v/>
      </c>
      <c r="AD88" s="114" t="str">
        <f>IF('Data input'!H88&lt;&gt;"",T88/'Data input'!H88*100%,"")</f>
        <v/>
      </c>
      <c r="AE88" s="114" t="str">
        <f>IF('Data input'!I88&lt;&gt;"",U88/'Data input'!I88*100%,"")</f>
        <v/>
      </c>
      <c r="AF88" s="114" t="str">
        <f>IF('Data input'!J88&lt;&gt;"",V88/'Data input'!J88*100%,"")</f>
        <v/>
      </c>
      <c r="AG88" s="114" t="str">
        <f>IF('Data input'!K88&lt;&gt;"",W88/'Data input'!K88*100%,"")</f>
        <v/>
      </c>
      <c r="AH88" s="115" t="str">
        <f>IF('Data input'!L88&lt;&gt;"",X88/'Data input'!L88*100%,"")</f>
        <v/>
      </c>
      <c r="AI88" s="114" t="str">
        <f>IF('Data input'!C88&lt;&gt;"",'Run VRS'!AH88/'Run VRS'!C88,"")</f>
        <v/>
      </c>
      <c r="AJ88" s="114" t="str">
        <f>IF('Data input'!D88&lt;&gt;"",'Run VRS'!AI88/'Run VRS'!D88,"")</f>
        <v/>
      </c>
      <c r="AK88" s="114" t="str">
        <f>IF('Data input'!E88&lt;&gt;"",'Run VRS'!AJ88/'Run VRS'!E88,"")</f>
        <v/>
      </c>
      <c r="AL88" s="114" t="str">
        <f>IF('Data input'!F88&lt;&gt;"",'Run VRS'!AK88/'Run VRS'!F88,"")</f>
        <v/>
      </c>
      <c r="AM88" s="114" t="str">
        <f>IF('Data input'!G88&lt;&gt;"",'Run VRS'!AL88/'Run VRS'!G88,"")</f>
        <v/>
      </c>
      <c r="AN88" s="114" t="str">
        <f>IF('Data input'!H88&lt;&gt;"",'Run VRS'!AM88/'Run VRS'!H88,"")</f>
        <v/>
      </c>
      <c r="AO88" s="114" t="str">
        <f>IF('Data input'!I88&lt;&gt;"",'Run VRS'!AN88/'Run VRS'!I88,"")</f>
        <v/>
      </c>
      <c r="AP88" s="114" t="str">
        <f>IF('Data input'!J88&lt;&gt;"",'Run VRS'!AO88/'Run VRS'!J88,"")</f>
        <v/>
      </c>
      <c r="AQ88" s="114" t="str">
        <f>IF('Data input'!K88&lt;&gt;"",'Run VRS'!AP88/'Run VRS'!K88,"")</f>
        <v/>
      </c>
      <c r="AR88" s="115" t="str">
        <f>IF('Data input'!L88&lt;&gt;"",'Run VRS'!AQ88/'Run VRS'!L88,"")</f>
        <v/>
      </c>
    </row>
    <row r="89" spans="1:44" x14ac:dyDescent="0.35">
      <c r="A89" s="102" t="str">
        <f>IF('Run VRS'!AF89&lt;&gt;"",'Run VRS'!AF89,"")</f>
        <v/>
      </c>
      <c r="B89" s="103" t="str">
        <f>IF('Run VRS'!AG89&lt;&gt;"",'Run VRS'!AG89,"")</f>
        <v/>
      </c>
      <c r="C89" s="104" t="str">
        <f>IF('Run VRS'!AR89&lt;&gt;"",'Run VRS'!AR89,"")</f>
        <v/>
      </c>
      <c r="D89" s="104" t="e">
        <f>IF(ROUND(C89,3)=100%,"Optimal frontier",'Run VRS'!BW89)</f>
        <v>#VALUE!</v>
      </c>
      <c r="E89" s="105" t="str">
        <f>IF('Run VRS'!BC89&lt;&gt;"",'Run VRS'!BC89,"")</f>
        <v/>
      </c>
      <c r="F89" s="106" t="str">
        <f>IF('Run VRS'!BD89&lt;&gt;"",'Run VRS'!BD89,"")</f>
        <v/>
      </c>
      <c r="G89" s="106" t="str">
        <f>IF('Run VRS'!BE89&lt;&gt;"",'Run VRS'!BE89,"")</f>
        <v/>
      </c>
      <c r="H89" s="106" t="str">
        <f>IF('Run VRS'!BF89&lt;&gt;"",'Run VRS'!BF89,"")</f>
        <v/>
      </c>
      <c r="I89" s="106" t="str">
        <f>IF('Run VRS'!BG89&lt;&gt;"",'Run VRS'!BG89,"")</f>
        <v/>
      </c>
      <c r="J89" s="106" t="str">
        <f>IF('Run VRS'!BH89&lt;&gt;"",'Run VRS'!BH89,"")</f>
        <v/>
      </c>
      <c r="K89" s="105" t="str">
        <f>IF('Run VRS'!BI89&lt;&gt;"",'Run VRS'!BI89,"")</f>
        <v/>
      </c>
      <c r="L89" s="105" t="str">
        <f>IF('Run VRS'!BJ89&lt;&gt;"",'Run VRS'!BJ89,"")</f>
        <v/>
      </c>
      <c r="M89" s="105" t="str">
        <f>IF('Run VRS'!BK89&lt;&gt;"",'Run VRS'!BK89,"")</f>
        <v/>
      </c>
      <c r="N89" s="105" t="str">
        <f>IF('Run VRS'!BL89&lt;&gt;"",'Run VRS'!BL89,"")</f>
        <v/>
      </c>
      <c r="O89" s="105" t="str">
        <f>IF('Run VRS'!BM89&lt;&gt;"",'Run VRS'!BM89,"")</f>
        <v/>
      </c>
      <c r="P89" s="106" t="str">
        <f>IF('Run VRS'!BN89&lt;&gt;"",'Run VRS'!BN89,"")</f>
        <v/>
      </c>
      <c r="Q89" s="106" t="str">
        <f>IF('Run VRS'!BO89&lt;&gt;"",'Run VRS'!BO89,"")</f>
        <v/>
      </c>
      <c r="R89" s="106" t="str">
        <f>IF('Run VRS'!BP89&lt;&gt;"",'Run VRS'!BP89,"")</f>
        <v/>
      </c>
      <c r="S89" s="106" t="str">
        <f>IF('Run VRS'!BQ89&lt;&gt;"",'Run VRS'!BQ89,"")</f>
        <v/>
      </c>
      <c r="T89" s="106" t="str">
        <f>IF('Run VRS'!BR89&lt;&gt;"",'Run VRS'!BR89,"")</f>
        <v/>
      </c>
      <c r="U89" s="105" t="str">
        <f>IF('Run VRS'!BS89&lt;&gt;"",'Run VRS'!BS89,"")</f>
        <v/>
      </c>
      <c r="V89" s="105" t="str">
        <f>IF('Run VRS'!BT89&lt;&gt;"",'Run VRS'!BT89,"")</f>
        <v/>
      </c>
      <c r="W89" s="105" t="str">
        <f>IF('Run VRS'!BU89&lt;&gt;"",'Run VRS'!BU89,"")</f>
        <v/>
      </c>
      <c r="X89" s="107" t="str">
        <f>IF('Run VRS'!BV89&lt;&gt;"",'Run VRS'!BV89,"")</f>
        <v/>
      </c>
      <c r="Y89" s="114" t="str">
        <f>IF('Data input'!C89&lt;&gt;"",O89/'Data input'!C89*100%,"")</f>
        <v/>
      </c>
      <c r="Z89" s="114" t="str">
        <f>IF('Data input'!D89&lt;&gt;"",P89/'Data input'!D89*100%,"")</f>
        <v/>
      </c>
      <c r="AA89" s="114" t="str">
        <f>IF('Data input'!E89&lt;&gt;"",Q89/'Data input'!E89*100%,"")</f>
        <v/>
      </c>
      <c r="AB89" s="114" t="str">
        <f>IF('Data input'!F89&lt;&gt;"",R89/'Data input'!F89*100%,"")</f>
        <v/>
      </c>
      <c r="AC89" s="114" t="str">
        <f>IF('Data input'!G89&lt;&gt;"",S89/'Data input'!G89*100%,"")</f>
        <v/>
      </c>
      <c r="AD89" s="114" t="str">
        <f>IF('Data input'!H89&lt;&gt;"",T89/'Data input'!H89*100%,"")</f>
        <v/>
      </c>
      <c r="AE89" s="114" t="str">
        <f>IF('Data input'!I89&lt;&gt;"",U89/'Data input'!I89*100%,"")</f>
        <v/>
      </c>
      <c r="AF89" s="114" t="str">
        <f>IF('Data input'!J89&lt;&gt;"",V89/'Data input'!J89*100%,"")</f>
        <v/>
      </c>
      <c r="AG89" s="114" t="str">
        <f>IF('Data input'!K89&lt;&gt;"",W89/'Data input'!K89*100%,"")</f>
        <v/>
      </c>
      <c r="AH89" s="115" t="str">
        <f>IF('Data input'!L89&lt;&gt;"",X89/'Data input'!L89*100%,"")</f>
        <v/>
      </c>
      <c r="AI89" s="114" t="str">
        <f>IF('Data input'!C89&lt;&gt;"",'Run VRS'!AH89/'Run VRS'!C89,"")</f>
        <v/>
      </c>
      <c r="AJ89" s="114" t="str">
        <f>IF('Data input'!D89&lt;&gt;"",'Run VRS'!AI89/'Run VRS'!D89,"")</f>
        <v/>
      </c>
      <c r="AK89" s="114" t="str">
        <f>IF('Data input'!E89&lt;&gt;"",'Run VRS'!AJ89/'Run VRS'!E89,"")</f>
        <v/>
      </c>
      <c r="AL89" s="114" t="str">
        <f>IF('Data input'!F89&lt;&gt;"",'Run VRS'!AK89/'Run VRS'!F89,"")</f>
        <v/>
      </c>
      <c r="AM89" s="114" t="str">
        <f>IF('Data input'!G89&lt;&gt;"",'Run VRS'!AL89/'Run VRS'!G89,"")</f>
        <v/>
      </c>
      <c r="AN89" s="114" t="str">
        <f>IF('Data input'!H89&lt;&gt;"",'Run VRS'!AM89/'Run VRS'!H89,"")</f>
        <v/>
      </c>
      <c r="AO89" s="114" t="str">
        <f>IF('Data input'!I89&lt;&gt;"",'Run VRS'!AN89/'Run VRS'!I89,"")</f>
        <v/>
      </c>
      <c r="AP89" s="114" t="str">
        <f>IF('Data input'!J89&lt;&gt;"",'Run VRS'!AO89/'Run VRS'!J89,"")</f>
        <v/>
      </c>
      <c r="AQ89" s="114" t="str">
        <f>IF('Data input'!K89&lt;&gt;"",'Run VRS'!AP89/'Run VRS'!K89,"")</f>
        <v/>
      </c>
      <c r="AR89" s="115" t="str">
        <f>IF('Data input'!L89&lt;&gt;"",'Run VRS'!AQ89/'Run VRS'!L89,"")</f>
        <v/>
      </c>
    </row>
    <row r="90" spans="1:44" x14ac:dyDescent="0.35">
      <c r="A90" s="102" t="str">
        <f>IF('Run VRS'!AF90&lt;&gt;"",'Run VRS'!AF90,"")</f>
        <v/>
      </c>
      <c r="B90" s="103" t="str">
        <f>IF('Run VRS'!AG90&lt;&gt;"",'Run VRS'!AG90,"")</f>
        <v/>
      </c>
      <c r="C90" s="104" t="str">
        <f>IF('Run VRS'!AR90&lt;&gt;"",'Run VRS'!AR90,"")</f>
        <v/>
      </c>
      <c r="D90" s="104" t="e">
        <f>IF(ROUND(C90,3)=100%,"Optimal frontier",'Run VRS'!BW90)</f>
        <v>#VALUE!</v>
      </c>
      <c r="E90" s="105" t="str">
        <f>IF('Run VRS'!BC90&lt;&gt;"",'Run VRS'!BC90,"")</f>
        <v/>
      </c>
      <c r="F90" s="106" t="str">
        <f>IF('Run VRS'!BD90&lt;&gt;"",'Run VRS'!BD90,"")</f>
        <v/>
      </c>
      <c r="G90" s="106" t="str">
        <f>IF('Run VRS'!BE90&lt;&gt;"",'Run VRS'!BE90,"")</f>
        <v/>
      </c>
      <c r="H90" s="106" t="str">
        <f>IF('Run VRS'!BF90&lt;&gt;"",'Run VRS'!BF90,"")</f>
        <v/>
      </c>
      <c r="I90" s="106" t="str">
        <f>IF('Run VRS'!BG90&lt;&gt;"",'Run VRS'!BG90,"")</f>
        <v/>
      </c>
      <c r="J90" s="106" t="str">
        <f>IF('Run VRS'!BH90&lt;&gt;"",'Run VRS'!BH90,"")</f>
        <v/>
      </c>
      <c r="K90" s="105" t="str">
        <f>IF('Run VRS'!BI90&lt;&gt;"",'Run VRS'!BI90,"")</f>
        <v/>
      </c>
      <c r="L90" s="105" t="str">
        <f>IF('Run VRS'!BJ90&lt;&gt;"",'Run VRS'!BJ90,"")</f>
        <v/>
      </c>
      <c r="M90" s="105" t="str">
        <f>IF('Run VRS'!BK90&lt;&gt;"",'Run VRS'!BK90,"")</f>
        <v/>
      </c>
      <c r="N90" s="105" t="str">
        <f>IF('Run VRS'!BL90&lt;&gt;"",'Run VRS'!BL90,"")</f>
        <v/>
      </c>
      <c r="O90" s="105" t="str">
        <f>IF('Run VRS'!BM90&lt;&gt;"",'Run VRS'!BM90,"")</f>
        <v/>
      </c>
      <c r="P90" s="106" t="str">
        <f>IF('Run VRS'!BN90&lt;&gt;"",'Run VRS'!BN90,"")</f>
        <v/>
      </c>
      <c r="Q90" s="106" t="str">
        <f>IF('Run VRS'!BO90&lt;&gt;"",'Run VRS'!BO90,"")</f>
        <v/>
      </c>
      <c r="R90" s="106" t="str">
        <f>IF('Run VRS'!BP90&lt;&gt;"",'Run VRS'!BP90,"")</f>
        <v/>
      </c>
      <c r="S90" s="106" t="str">
        <f>IF('Run VRS'!BQ90&lt;&gt;"",'Run VRS'!BQ90,"")</f>
        <v/>
      </c>
      <c r="T90" s="106" t="str">
        <f>IF('Run VRS'!BR90&lt;&gt;"",'Run VRS'!BR90,"")</f>
        <v/>
      </c>
      <c r="U90" s="105" t="str">
        <f>IF('Run VRS'!BS90&lt;&gt;"",'Run VRS'!BS90,"")</f>
        <v/>
      </c>
      <c r="V90" s="105" t="str">
        <f>IF('Run VRS'!BT90&lt;&gt;"",'Run VRS'!BT90,"")</f>
        <v/>
      </c>
      <c r="W90" s="105" t="str">
        <f>IF('Run VRS'!BU90&lt;&gt;"",'Run VRS'!BU90,"")</f>
        <v/>
      </c>
      <c r="X90" s="107" t="str">
        <f>IF('Run VRS'!BV90&lt;&gt;"",'Run VRS'!BV90,"")</f>
        <v/>
      </c>
      <c r="Y90" s="114" t="str">
        <f>IF('Data input'!C90&lt;&gt;"",O90/'Data input'!C90*100%,"")</f>
        <v/>
      </c>
      <c r="Z90" s="114" t="str">
        <f>IF('Data input'!D90&lt;&gt;"",P90/'Data input'!D90*100%,"")</f>
        <v/>
      </c>
      <c r="AA90" s="114" t="str">
        <f>IF('Data input'!E90&lt;&gt;"",Q90/'Data input'!E90*100%,"")</f>
        <v/>
      </c>
      <c r="AB90" s="114" t="str">
        <f>IF('Data input'!F90&lt;&gt;"",R90/'Data input'!F90*100%,"")</f>
        <v/>
      </c>
      <c r="AC90" s="114" t="str">
        <f>IF('Data input'!G90&lt;&gt;"",S90/'Data input'!G90*100%,"")</f>
        <v/>
      </c>
      <c r="AD90" s="114" t="str">
        <f>IF('Data input'!H90&lt;&gt;"",T90/'Data input'!H90*100%,"")</f>
        <v/>
      </c>
      <c r="AE90" s="114" t="str">
        <f>IF('Data input'!I90&lt;&gt;"",U90/'Data input'!I90*100%,"")</f>
        <v/>
      </c>
      <c r="AF90" s="114" t="str">
        <f>IF('Data input'!J90&lt;&gt;"",V90/'Data input'!J90*100%,"")</f>
        <v/>
      </c>
      <c r="AG90" s="114" t="str">
        <f>IF('Data input'!K90&lt;&gt;"",W90/'Data input'!K90*100%,"")</f>
        <v/>
      </c>
      <c r="AH90" s="115" t="str">
        <f>IF('Data input'!L90&lt;&gt;"",X90/'Data input'!L90*100%,"")</f>
        <v/>
      </c>
      <c r="AI90" s="114" t="str">
        <f>IF('Data input'!C90&lt;&gt;"",'Run VRS'!AH90/'Run VRS'!C90,"")</f>
        <v/>
      </c>
      <c r="AJ90" s="114" t="str">
        <f>IF('Data input'!D90&lt;&gt;"",'Run VRS'!AI90/'Run VRS'!D90,"")</f>
        <v/>
      </c>
      <c r="AK90" s="114" t="str">
        <f>IF('Data input'!E90&lt;&gt;"",'Run VRS'!AJ90/'Run VRS'!E90,"")</f>
        <v/>
      </c>
      <c r="AL90" s="114" t="str">
        <f>IF('Data input'!F90&lt;&gt;"",'Run VRS'!AK90/'Run VRS'!F90,"")</f>
        <v/>
      </c>
      <c r="AM90" s="114" t="str">
        <f>IF('Data input'!G90&lt;&gt;"",'Run VRS'!AL90/'Run VRS'!G90,"")</f>
        <v/>
      </c>
      <c r="AN90" s="114" t="str">
        <f>IF('Data input'!H90&lt;&gt;"",'Run VRS'!AM90/'Run VRS'!H90,"")</f>
        <v/>
      </c>
      <c r="AO90" s="114" t="str">
        <f>IF('Data input'!I90&lt;&gt;"",'Run VRS'!AN90/'Run VRS'!I90,"")</f>
        <v/>
      </c>
      <c r="AP90" s="114" t="str">
        <f>IF('Data input'!J90&lt;&gt;"",'Run VRS'!AO90/'Run VRS'!J90,"")</f>
        <v/>
      </c>
      <c r="AQ90" s="114" t="str">
        <f>IF('Data input'!K90&lt;&gt;"",'Run VRS'!AP90/'Run VRS'!K90,"")</f>
        <v/>
      </c>
      <c r="AR90" s="115" t="str">
        <f>IF('Data input'!L90&lt;&gt;"",'Run VRS'!AQ90/'Run VRS'!L90,"")</f>
        <v/>
      </c>
    </row>
    <row r="91" spans="1:44" x14ac:dyDescent="0.35">
      <c r="A91" s="102" t="str">
        <f>IF('Run VRS'!AF91&lt;&gt;"",'Run VRS'!AF91,"")</f>
        <v/>
      </c>
      <c r="B91" s="103" t="str">
        <f>IF('Run VRS'!AG91&lt;&gt;"",'Run VRS'!AG91,"")</f>
        <v/>
      </c>
      <c r="C91" s="104" t="str">
        <f>IF('Run VRS'!AR91&lt;&gt;"",'Run VRS'!AR91,"")</f>
        <v/>
      </c>
      <c r="D91" s="104" t="e">
        <f>IF(ROUND(C91,3)=100%,"Optimal frontier",'Run VRS'!BW91)</f>
        <v>#VALUE!</v>
      </c>
      <c r="E91" s="105" t="str">
        <f>IF('Run VRS'!BC91&lt;&gt;"",'Run VRS'!BC91,"")</f>
        <v/>
      </c>
      <c r="F91" s="106" t="str">
        <f>IF('Run VRS'!BD91&lt;&gt;"",'Run VRS'!BD91,"")</f>
        <v/>
      </c>
      <c r="G91" s="106" t="str">
        <f>IF('Run VRS'!BE91&lt;&gt;"",'Run VRS'!BE91,"")</f>
        <v/>
      </c>
      <c r="H91" s="106" t="str">
        <f>IF('Run VRS'!BF91&lt;&gt;"",'Run VRS'!BF91,"")</f>
        <v/>
      </c>
      <c r="I91" s="106" t="str">
        <f>IF('Run VRS'!BG91&lt;&gt;"",'Run VRS'!BG91,"")</f>
        <v/>
      </c>
      <c r="J91" s="106" t="str">
        <f>IF('Run VRS'!BH91&lt;&gt;"",'Run VRS'!BH91,"")</f>
        <v/>
      </c>
      <c r="K91" s="105" t="str">
        <f>IF('Run VRS'!BI91&lt;&gt;"",'Run VRS'!BI91,"")</f>
        <v/>
      </c>
      <c r="L91" s="105" t="str">
        <f>IF('Run VRS'!BJ91&lt;&gt;"",'Run VRS'!BJ91,"")</f>
        <v/>
      </c>
      <c r="M91" s="105" t="str">
        <f>IF('Run VRS'!BK91&lt;&gt;"",'Run VRS'!BK91,"")</f>
        <v/>
      </c>
      <c r="N91" s="105" t="str">
        <f>IF('Run VRS'!BL91&lt;&gt;"",'Run VRS'!BL91,"")</f>
        <v/>
      </c>
      <c r="O91" s="105" t="str">
        <f>IF('Run VRS'!BM91&lt;&gt;"",'Run VRS'!BM91,"")</f>
        <v/>
      </c>
      <c r="P91" s="106" t="str">
        <f>IF('Run VRS'!BN91&lt;&gt;"",'Run VRS'!BN91,"")</f>
        <v/>
      </c>
      <c r="Q91" s="106" t="str">
        <f>IF('Run VRS'!BO91&lt;&gt;"",'Run VRS'!BO91,"")</f>
        <v/>
      </c>
      <c r="R91" s="106" t="str">
        <f>IF('Run VRS'!BP91&lt;&gt;"",'Run VRS'!BP91,"")</f>
        <v/>
      </c>
      <c r="S91" s="106" t="str">
        <f>IF('Run VRS'!BQ91&lt;&gt;"",'Run VRS'!BQ91,"")</f>
        <v/>
      </c>
      <c r="T91" s="106" t="str">
        <f>IF('Run VRS'!BR91&lt;&gt;"",'Run VRS'!BR91,"")</f>
        <v/>
      </c>
      <c r="U91" s="105" t="str">
        <f>IF('Run VRS'!BS91&lt;&gt;"",'Run VRS'!BS91,"")</f>
        <v/>
      </c>
      <c r="V91" s="105" t="str">
        <f>IF('Run VRS'!BT91&lt;&gt;"",'Run VRS'!BT91,"")</f>
        <v/>
      </c>
      <c r="W91" s="105" t="str">
        <f>IF('Run VRS'!BU91&lt;&gt;"",'Run VRS'!BU91,"")</f>
        <v/>
      </c>
      <c r="X91" s="107" t="str">
        <f>IF('Run VRS'!BV91&lt;&gt;"",'Run VRS'!BV91,"")</f>
        <v/>
      </c>
      <c r="Y91" s="114" t="str">
        <f>IF('Data input'!C91&lt;&gt;"",O91/'Data input'!C91*100%,"")</f>
        <v/>
      </c>
      <c r="Z91" s="114" t="str">
        <f>IF('Data input'!D91&lt;&gt;"",P91/'Data input'!D91*100%,"")</f>
        <v/>
      </c>
      <c r="AA91" s="114" t="str">
        <f>IF('Data input'!E91&lt;&gt;"",Q91/'Data input'!E91*100%,"")</f>
        <v/>
      </c>
      <c r="AB91" s="114" t="str">
        <f>IF('Data input'!F91&lt;&gt;"",R91/'Data input'!F91*100%,"")</f>
        <v/>
      </c>
      <c r="AC91" s="114" t="str">
        <f>IF('Data input'!G91&lt;&gt;"",S91/'Data input'!G91*100%,"")</f>
        <v/>
      </c>
      <c r="AD91" s="114" t="str">
        <f>IF('Data input'!H91&lt;&gt;"",T91/'Data input'!H91*100%,"")</f>
        <v/>
      </c>
      <c r="AE91" s="114" t="str">
        <f>IF('Data input'!I91&lt;&gt;"",U91/'Data input'!I91*100%,"")</f>
        <v/>
      </c>
      <c r="AF91" s="114" t="str">
        <f>IF('Data input'!J91&lt;&gt;"",V91/'Data input'!J91*100%,"")</f>
        <v/>
      </c>
      <c r="AG91" s="114" t="str">
        <f>IF('Data input'!K91&lt;&gt;"",W91/'Data input'!K91*100%,"")</f>
        <v/>
      </c>
      <c r="AH91" s="115" t="str">
        <f>IF('Data input'!L91&lt;&gt;"",X91/'Data input'!L91*100%,"")</f>
        <v/>
      </c>
      <c r="AI91" s="114" t="str">
        <f>IF('Data input'!C91&lt;&gt;"",'Run VRS'!AH91/'Run VRS'!C91,"")</f>
        <v/>
      </c>
      <c r="AJ91" s="114" t="str">
        <f>IF('Data input'!D91&lt;&gt;"",'Run VRS'!AI91/'Run VRS'!D91,"")</f>
        <v/>
      </c>
      <c r="AK91" s="114" t="str">
        <f>IF('Data input'!E91&lt;&gt;"",'Run VRS'!AJ91/'Run VRS'!E91,"")</f>
        <v/>
      </c>
      <c r="AL91" s="114" t="str">
        <f>IF('Data input'!F91&lt;&gt;"",'Run VRS'!AK91/'Run VRS'!F91,"")</f>
        <v/>
      </c>
      <c r="AM91" s="114" t="str">
        <f>IF('Data input'!G91&lt;&gt;"",'Run VRS'!AL91/'Run VRS'!G91,"")</f>
        <v/>
      </c>
      <c r="AN91" s="114" t="str">
        <f>IF('Data input'!H91&lt;&gt;"",'Run VRS'!AM91/'Run VRS'!H91,"")</f>
        <v/>
      </c>
      <c r="AO91" s="114" t="str">
        <f>IF('Data input'!I91&lt;&gt;"",'Run VRS'!AN91/'Run VRS'!I91,"")</f>
        <v/>
      </c>
      <c r="AP91" s="114" t="str">
        <f>IF('Data input'!J91&lt;&gt;"",'Run VRS'!AO91/'Run VRS'!J91,"")</f>
        <v/>
      </c>
      <c r="AQ91" s="114" t="str">
        <f>IF('Data input'!K91&lt;&gt;"",'Run VRS'!AP91/'Run VRS'!K91,"")</f>
        <v/>
      </c>
      <c r="AR91" s="115" t="str">
        <f>IF('Data input'!L91&lt;&gt;"",'Run VRS'!AQ91/'Run VRS'!L91,"")</f>
        <v/>
      </c>
    </row>
    <row r="92" spans="1:44" x14ac:dyDescent="0.35">
      <c r="A92" s="102" t="str">
        <f>IF('Run VRS'!AF92&lt;&gt;"",'Run VRS'!AF92,"")</f>
        <v/>
      </c>
      <c r="B92" s="103" t="str">
        <f>IF('Run VRS'!AG92&lt;&gt;"",'Run VRS'!AG92,"")</f>
        <v/>
      </c>
      <c r="C92" s="104" t="str">
        <f>IF('Run VRS'!AR92&lt;&gt;"",'Run VRS'!AR92,"")</f>
        <v/>
      </c>
      <c r="D92" s="104" t="e">
        <f>IF(ROUND(C92,3)=100%,"Optimal frontier",'Run VRS'!BW92)</f>
        <v>#VALUE!</v>
      </c>
      <c r="E92" s="105" t="str">
        <f>IF('Run VRS'!BC92&lt;&gt;"",'Run VRS'!BC92,"")</f>
        <v/>
      </c>
      <c r="F92" s="106" t="str">
        <f>IF('Run VRS'!BD92&lt;&gt;"",'Run VRS'!BD92,"")</f>
        <v/>
      </c>
      <c r="G92" s="106" t="str">
        <f>IF('Run VRS'!BE92&lt;&gt;"",'Run VRS'!BE92,"")</f>
        <v/>
      </c>
      <c r="H92" s="106" t="str">
        <f>IF('Run VRS'!BF92&lt;&gt;"",'Run VRS'!BF92,"")</f>
        <v/>
      </c>
      <c r="I92" s="106" t="str">
        <f>IF('Run VRS'!BG92&lt;&gt;"",'Run VRS'!BG92,"")</f>
        <v/>
      </c>
      <c r="J92" s="106" t="str">
        <f>IF('Run VRS'!BH92&lt;&gt;"",'Run VRS'!BH92,"")</f>
        <v/>
      </c>
      <c r="K92" s="105" t="str">
        <f>IF('Run VRS'!BI92&lt;&gt;"",'Run VRS'!BI92,"")</f>
        <v/>
      </c>
      <c r="L92" s="105" t="str">
        <f>IF('Run VRS'!BJ92&lt;&gt;"",'Run VRS'!BJ92,"")</f>
        <v/>
      </c>
      <c r="M92" s="105" t="str">
        <f>IF('Run VRS'!BK92&lt;&gt;"",'Run VRS'!BK92,"")</f>
        <v/>
      </c>
      <c r="N92" s="105" t="str">
        <f>IF('Run VRS'!BL92&lt;&gt;"",'Run VRS'!BL92,"")</f>
        <v/>
      </c>
      <c r="O92" s="105" t="str">
        <f>IF('Run VRS'!BM92&lt;&gt;"",'Run VRS'!BM92,"")</f>
        <v/>
      </c>
      <c r="P92" s="106" t="str">
        <f>IF('Run VRS'!BN92&lt;&gt;"",'Run VRS'!BN92,"")</f>
        <v/>
      </c>
      <c r="Q92" s="106" t="str">
        <f>IF('Run VRS'!BO92&lt;&gt;"",'Run VRS'!BO92,"")</f>
        <v/>
      </c>
      <c r="R92" s="106" t="str">
        <f>IF('Run VRS'!BP92&lt;&gt;"",'Run VRS'!BP92,"")</f>
        <v/>
      </c>
      <c r="S92" s="106" t="str">
        <f>IF('Run VRS'!BQ92&lt;&gt;"",'Run VRS'!BQ92,"")</f>
        <v/>
      </c>
      <c r="T92" s="106" t="str">
        <f>IF('Run VRS'!BR92&lt;&gt;"",'Run VRS'!BR92,"")</f>
        <v/>
      </c>
      <c r="U92" s="105" t="str">
        <f>IF('Run VRS'!BS92&lt;&gt;"",'Run VRS'!BS92,"")</f>
        <v/>
      </c>
      <c r="V92" s="105" t="str">
        <f>IF('Run VRS'!BT92&lt;&gt;"",'Run VRS'!BT92,"")</f>
        <v/>
      </c>
      <c r="W92" s="105" t="str">
        <f>IF('Run VRS'!BU92&lt;&gt;"",'Run VRS'!BU92,"")</f>
        <v/>
      </c>
      <c r="X92" s="107" t="str">
        <f>IF('Run VRS'!BV92&lt;&gt;"",'Run VRS'!BV92,"")</f>
        <v/>
      </c>
      <c r="Y92" s="114" t="str">
        <f>IF('Data input'!C92&lt;&gt;"",O92/'Data input'!C92*100%,"")</f>
        <v/>
      </c>
      <c r="Z92" s="114" t="str">
        <f>IF('Data input'!D92&lt;&gt;"",P92/'Data input'!D92*100%,"")</f>
        <v/>
      </c>
      <c r="AA92" s="114" t="str">
        <f>IF('Data input'!E92&lt;&gt;"",Q92/'Data input'!E92*100%,"")</f>
        <v/>
      </c>
      <c r="AB92" s="114" t="str">
        <f>IF('Data input'!F92&lt;&gt;"",R92/'Data input'!F92*100%,"")</f>
        <v/>
      </c>
      <c r="AC92" s="114" t="str">
        <f>IF('Data input'!G92&lt;&gt;"",S92/'Data input'!G92*100%,"")</f>
        <v/>
      </c>
      <c r="AD92" s="114" t="str">
        <f>IF('Data input'!H92&lt;&gt;"",T92/'Data input'!H92*100%,"")</f>
        <v/>
      </c>
      <c r="AE92" s="114" t="str">
        <f>IF('Data input'!I92&lt;&gt;"",U92/'Data input'!I92*100%,"")</f>
        <v/>
      </c>
      <c r="AF92" s="114" t="str">
        <f>IF('Data input'!J92&lt;&gt;"",V92/'Data input'!J92*100%,"")</f>
        <v/>
      </c>
      <c r="AG92" s="114" t="str">
        <f>IF('Data input'!K92&lt;&gt;"",W92/'Data input'!K92*100%,"")</f>
        <v/>
      </c>
      <c r="AH92" s="115" t="str">
        <f>IF('Data input'!L92&lt;&gt;"",X92/'Data input'!L92*100%,"")</f>
        <v/>
      </c>
      <c r="AI92" s="114" t="str">
        <f>IF('Data input'!C92&lt;&gt;"",'Run VRS'!AH92/'Run VRS'!C92,"")</f>
        <v/>
      </c>
      <c r="AJ92" s="114" t="str">
        <f>IF('Data input'!D92&lt;&gt;"",'Run VRS'!AI92/'Run VRS'!D92,"")</f>
        <v/>
      </c>
      <c r="AK92" s="114" t="str">
        <f>IF('Data input'!E92&lt;&gt;"",'Run VRS'!AJ92/'Run VRS'!E92,"")</f>
        <v/>
      </c>
      <c r="AL92" s="114" t="str">
        <f>IF('Data input'!F92&lt;&gt;"",'Run VRS'!AK92/'Run VRS'!F92,"")</f>
        <v/>
      </c>
      <c r="AM92" s="114" t="str">
        <f>IF('Data input'!G92&lt;&gt;"",'Run VRS'!AL92/'Run VRS'!G92,"")</f>
        <v/>
      </c>
      <c r="AN92" s="114" t="str">
        <f>IF('Data input'!H92&lt;&gt;"",'Run VRS'!AM92/'Run VRS'!H92,"")</f>
        <v/>
      </c>
      <c r="AO92" s="114" t="str">
        <f>IF('Data input'!I92&lt;&gt;"",'Run VRS'!AN92/'Run VRS'!I92,"")</f>
        <v/>
      </c>
      <c r="AP92" s="114" t="str">
        <f>IF('Data input'!J92&lt;&gt;"",'Run VRS'!AO92/'Run VRS'!J92,"")</f>
        <v/>
      </c>
      <c r="AQ92" s="114" t="str">
        <f>IF('Data input'!K92&lt;&gt;"",'Run VRS'!AP92/'Run VRS'!K92,"")</f>
        <v/>
      </c>
      <c r="AR92" s="115" t="str">
        <f>IF('Data input'!L92&lt;&gt;"",'Run VRS'!AQ92/'Run VRS'!L92,"")</f>
        <v/>
      </c>
    </row>
    <row r="93" spans="1:44" x14ac:dyDescent="0.35">
      <c r="A93" s="102" t="str">
        <f>IF('Run VRS'!AF93&lt;&gt;"",'Run VRS'!AF93,"")</f>
        <v/>
      </c>
      <c r="B93" s="103" t="str">
        <f>IF('Run VRS'!AG93&lt;&gt;"",'Run VRS'!AG93,"")</f>
        <v/>
      </c>
      <c r="C93" s="104" t="str">
        <f>IF('Run VRS'!AR93&lt;&gt;"",'Run VRS'!AR93,"")</f>
        <v/>
      </c>
      <c r="D93" s="104" t="e">
        <f>IF(ROUND(C93,3)=100%,"Optimal frontier",'Run VRS'!BW93)</f>
        <v>#VALUE!</v>
      </c>
      <c r="E93" s="105" t="str">
        <f>IF('Run VRS'!BC93&lt;&gt;"",'Run VRS'!BC93,"")</f>
        <v/>
      </c>
      <c r="F93" s="106" t="str">
        <f>IF('Run VRS'!BD93&lt;&gt;"",'Run VRS'!BD93,"")</f>
        <v/>
      </c>
      <c r="G93" s="106" t="str">
        <f>IF('Run VRS'!BE93&lt;&gt;"",'Run VRS'!BE93,"")</f>
        <v/>
      </c>
      <c r="H93" s="106" t="str">
        <f>IF('Run VRS'!BF93&lt;&gt;"",'Run VRS'!BF93,"")</f>
        <v/>
      </c>
      <c r="I93" s="106" t="str">
        <f>IF('Run VRS'!BG93&lt;&gt;"",'Run VRS'!BG93,"")</f>
        <v/>
      </c>
      <c r="J93" s="106" t="str">
        <f>IF('Run VRS'!BH93&lt;&gt;"",'Run VRS'!BH93,"")</f>
        <v/>
      </c>
      <c r="K93" s="105" t="str">
        <f>IF('Run VRS'!BI93&lt;&gt;"",'Run VRS'!BI93,"")</f>
        <v/>
      </c>
      <c r="L93" s="105" t="str">
        <f>IF('Run VRS'!BJ93&lt;&gt;"",'Run VRS'!BJ93,"")</f>
        <v/>
      </c>
      <c r="M93" s="105" t="str">
        <f>IF('Run VRS'!BK93&lt;&gt;"",'Run VRS'!BK93,"")</f>
        <v/>
      </c>
      <c r="N93" s="105" t="str">
        <f>IF('Run VRS'!BL93&lt;&gt;"",'Run VRS'!BL93,"")</f>
        <v/>
      </c>
      <c r="O93" s="105" t="str">
        <f>IF('Run VRS'!BM93&lt;&gt;"",'Run VRS'!BM93,"")</f>
        <v/>
      </c>
      <c r="P93" s="106" t="str">
        <f>IF('Run VRS'!BN93&lt;&gt;"",'Run VRS'!BN93,"")</f>
        <v/>
      </c>
      <c r="Q93" s="106" t="str">
        <f>IF('Run VRS'!BO93&lt;&gt;"",'Run VRS'!BO93,"")</f>
        <v/>
      </c>
      <c r="R93" s="106" t="str">
        <f>IF('Run VRS'!BP93&lt;&gt;"",'Run VRS'!BP93,"")</f>
        <v/>
      </c>
      <c r="S93" s="106" t="str">
        <f>IF('Run VRS'!BQ93&lt;&gt;"",'Run VRS'!BQ93,"")</f>
        <v/>
      </c>
      <c r="T93" s="106" t="str">
        <f>IF('Run VRS'!BR93&lt;&gt;"",'Run VRS'!BR93,"")</f>
        <v/>
      </c>
      <c r="U93" s="105" t="str">
        <f>IF('Run VRS'!BS93&lt;&gt;"",'Run VRS'!BS93,"")</f>
        <v/>
      </c>
      <c r="V93" s="105" t="str">
        <f>IF('Run VRS'!BT93&lt;&gt;"",'Run VRS'!BT93,"")</f>
        <v/>
      </c>
      <c r="W93" s="105" t="str">
        <f>IF('Run VRS'!BU93&lt;&gt;"",'Run VRS'!BU93,"")</f>
        <v/>
      </c>
      <c r="X93" s="107" t="str">
        <f>IF('Run VRS'!BV93&lt;&gt;"",'Run VRS'!BV93,"")</f>
        <v/>
      </c>
      <c r="Y93" s="114" t="str">
        <f>IF('Data input'!C93&lt;&gt;"",O93/'Data input'!C93*100%,"")</f>
        <v/>
      </c>
      <c r="Z93" s="114" t="str">
        <f>IF('Data input'!D93&lt;&gt;"",P93/'Data input'!D93*100%,"")</f>
        <v/>
      </c>
      <c r="AA93" s="114" t="str">
        <f>IF('Data input'!E93&lt;&gt;"",Q93/'Data input'!E93*100%,"")</f>
        <v/>
      </c>
      <c r="AB93" s="114" t="str">
        <f>IF('Data input'!F93&lt;&gt;"",R93/'Data input'!F93*100%,"")</f>
        <v/>
      </c>
      <c r="AC93" s="114" t="str">
        <f>IF('Data input'!G93&lt;&gt;"",S93/'Data input'!G93*100%,"")</f>
        <v/>
      </c>
      <c r="AD93" s="114" t="str">
        <f>IF('Data input'!H93&lt;&gt;"",T93/'Data input'!H93*100%,"")</f>
        <v/>
      </c>
      <c r="AE93" s="114" t="str">
        <f>IF('Data input'!I93&lt;&gt;"",U93/'Data input'!I93*100%,"")</f>
        <v/>
      </c>
      <c r="AF93" s="114" t="str">
        <f>IF('Data input'!J93&lt;&gt;"",V93/'Data input'!J93*100%,"")</f>
        <v/>
      </c>
      <c r="AG93" s="114" t="str">
        <f>IF('Data input'!K93&lt;&gt;"",W93/'Data input'!K93*100%,"")</f>
        <v/>
      </c>
      <c r="AH93" s="115" t="str">
        <f>IF('Data input'!L93&lt;&gt;"",X93/'Data input'!L93*100%,"")</f>
        <v/>
      </c>
      <c r="AI93" s="114" t="str">
        <f>IF('Data input'!C93&lt;&gt;"",'Run VRS'!AH93/'Run VRS'!C93,"")</f>
        <v/>
      </c>
      <c r="AJ93" s="114" t="str">
        <f>IF('Data input'!D93&lt;&gt;"",'Run VRS'!AI93/'Run VRS'!D93,"")</f>
        <v/>
      </c>
      <c r="AK93" s="114" t="str">
        <f>IF('Data input'!E93&lt;&gt;"",'Run VRS'!AJ93/'Run VRS'!E93,"")</f>
        <v/>
      </c>
      <c r="AL93" s="114" t="str">
        <f>IF('Data input'!F93&lt;&gt;"",'Run VRS'!AK93/'Run VRS'!F93,"")</f>
        <v/>
      </c>
      <c r="AM93" s="114" t="str">
        <f>IF('Data input'!G93&lt;&gt;"",'Run VRS'!AL93/'Run VRS'!G93,"")</f>
        <v/>
      </c>
      <c r="AN93" s="114" t="str">
        <f>IF('Data input'!H93&lt;&gt;"",'Run VRS'!AM93/'Run VRS'!H93,"")</f>
        <v/>
      </c>
      <c r="AO93" s="114" t="str">
        <f>IF('Data input'!I93&lt;&gt;"",'Run VRS'!AN93/'Run VRS'!I93,"")</f>
        <v/>
      </c>
      <c r="AP93" s="114" t="str">
        <f>IF('Data input'!J93&lt;&gt;"",'Run VRS'!AO93/'Run VRS'!J93,"")</f>
        <v/>
      </c>
      <c r="AQ93" s="114" t="str">
        <f>IF('Data input'!K93&lt;&gt;"",'Run VRS'!AP93/'Run VRS'!K93,"")</f>
        <v/>
      </c>
      <c r="AR93" s="115" t="str">
        <f>IF('Data input'!L93&lt;&gt;"",'Run VRS'!AQ93/'Run VRS'!L93,"")</f>
        <v/>
      </c>
    </row>
    <row r="94" spans="1:44" x14ac:dyDescent="0.35">
      <c r="A94" s="102" t="str">
        <f>IF('Run VRS'!AF94&lt;&gt;"",'Run VRS'!AF94,"")</f>
        <v/>
      </c>
      <c r="B94" s="103" t="str">
        <f>IF('Run VRS'!AG94&lt;&gt;"",'Run VRS'!AG94,"")</f>
        <v/>
      </c>
      <c r="C94" s="104" t="str">
        <f>IF('Run VRS'!AR94&lt;&gt;"",'Run VRS'!AR94,"")</f>
        <v/>
      </c>
      <c r="D94" s="104" t="e">
        <f>IF(ROUND(C94,3)=100%,"Optimal frontier",'Run VRS'!BW94)</f>
        <v>#VALUE!</v>
      </c>
      <c r="E94" s="105" t="str">
        <f>IF('Run VRS'!BC94&lt;&gt;"",'Run VRS'!BC94,"")</f>
        <v/>
      </c>
      <c r="F94" s="106" t="str">
        <f>IF('Run VRS'!BD94&lt;&gt;"",'Run VRS'!BD94,"")</f>
        <v/>
      </c>
      <c r="G94" s="106" t="str">
        <f>IF('Run VRS'!BE94&lt;&gt;"",'Run VRS'!BE94,"")</f>
        <v/>
      </c>
      <c r="H94" s="106" t="str">
        <f>IF('Run VRS'!BF94&lt;&gt;"",'Run VRS'!BF94,"")</f>
        <v/>
      </c>
      <c r="I94" s="106" t="str">
        <f>IF('Run VRS'!BG94&lt;&gt;"",'Run VRS'!BG94,"")</f>
        <v/>
      </c>
      <c r="J94" s="106" t="str">
        <f>IF('Run VRS'!BH94&lt;&gt;"",'Run VRS'!BH94,"")</f>
        <v/>
      </c>
      <c r="K94" s="105" t="str">
        <f>IF('Run VRS'!BI94&lt;&gt;"",'Run VRS'!BI94,"")</f>
        <v/>
      </c>
      <c r="L94" s="105" t="str">
        <f>IF('Run VRS'!BJ94&lt;&gt;"",'Run VRS'!BJ94,"")</f>
        <v/>
      </c>
      <c r="M94" s="105" t="str">
        <f>IF('Run VRS'!BK94&lt;&gt;"",'Run VRS'!BK94,"")</f>
        <v/>
      </c>
      <c r="N94" s="105" t="str">
        <f>IF('Run VRS'!BL94&lt;&gt;"",'Run VRS'!BL94,"")</f>
        <v/>
      </c>
      <c r="O94" s="105" t="str">
        <f>IF('Run VRS'!BM94&lt;&gt;"",'Run VRS'!BM94,"")</f>
        <v/>
      </c>
      <c r="P94" s="106" t="str">
        <f>IF('Run VRS'!BN94&lt;&gt;"",'Run VRS'!BN94,"")</f>
        <v/>
      </c>
      <c r="Q94" s="106" t="str">
        <f>IF('Run VRS'!BO94&lt;&gt;"",'Run VRS'!BO94,"")</f>
        <v/>
      </c>
      <c r="R94" s="106" t="str">
        <f>IF('Run VRS'!BP94&lt;&gt;"",'Run VRS'!BP94,"")</f>
        <v/>
      </c>
      <c r="S94" s="106" t="str">
        <f>IF('Run VRS'!BQ94&lt;&gt;"",'Run VRS'!BQ94,"")</f>
        <v/>
      </c>
      <c r="T94" s="106" t="str">
        <f>IF('Run VRS'!BR94&lt;&gt;"",'Run VRS'!BR94,"")</f>
        <v/>
      </c>
      <c r="U94" s="105" t="str">
        <f>IF('Run VRS'!BS94&lt;&gt;"",'Run VRS'!BS94,"")</f>
        <v/>
      </c>
      <c r="V94" s="105" t="str">
        <f>IF('Run VRS'!BT94&lt;&gt;"",'Run VRS'!BT94,"")</f>
        <v/>
      </c>
      <c r="W94" s="105" t="str">
        <f>IF('Run VRS'!BU94&lt;&gt;"",'Run VRS'!BU94,"")</f>
        <v/>
      </c>
      <c r="X94" s="107" t="str">
        <f>IF('Run VRS'!BV94&lt;&gt;"",'Run VRS'!BV94,"")</f>
        <v/>
      </c>
      <c r="Y94" s="114" t="str">
        <f>IF('Data input'!C94&lt;&gt;"",O94/'Data input'!C94*100%,"")</f>
        <v/>
      </c>
      <c r="Z94" s="114" t="str">
        <f>IF('Data input'!D94&lt;&gt;"",P94/'Data input'!D94*100%,"")</f>
        <v/>
      </c>
      <c r="AA94" s="114" t="str">
        <f>IF('Data input'!E94&lt;&gt;"",Q94/'Data input'!E94*100%,"")</f>
        <v/>
      </c>
      <c r="AB94" s="114" t="str">
        <f>IF('Data input'!F94&lt;&gt;"",R94/'Data input'!F94*100%,"")</f>
        <v/>
      </c>
      <c r="AC94" s="114" t="str">
        <f>IF('Data input'!G94&lt;&gt;"",S94/'Data input'!G94*100%,"")</f>
        <v/>
      </c>
      <c r="AD94" s="114" t="str">
        <f>IF('Data input'!H94&lt;&gt;"",T94/'Data input'!H94*100%,"")</f>
        <v/>
      </c>
      <c r="AE94" s="114" t="str">
        <f>IF('Data input'!I94&lt;&gt;"",U94/'Data input'!I94*100%,"")</f>
        <v/>
      </c>
      <c r="AF94" s="114" t="str">
        <f>IF('Data input'!J94&lt;&gt;"",V94/'Data input'!J94*100%,"")</f>
        <v/>
      </c>
      <c r="AG94" s="114" t="str">
        <f>IF('Data input'!K94&lt;&gt;"",W94/'Data input'!K94*100%,"")</f>
        <v/>
      </c>
      <c r="AH94" s="115" t="str">
        <f>IF('Data input'!L94&lt;&gt;"",X94/'Data input'!L94*100%,"")</f>
        <v/>
      </c>
      <c r="AI94" s="114" t="str">
        <f>IF('Data input'!C94&lt;&gt;"",'Run VRS'!AH94/'Run VRS'!C94,"")</f>
        <v/>
      </c>
      <c r="AJ94" s="114" t="str">
        <f>IF('Data input'!D94&lt;&gt;"",'Run VRS'!AI94/'Run VRS'!D94,"")</f>
        <v/>
      </c>
      <c r="AK94" s="114" t="str">
        <f>IF('Data input'!E94&lt;&gt;"",'Run VRS'!AJ94/'Run VRS'!E94,"")</f>
        <v/>
      </c>
      <c r="AL94" s="114" t="str">
        <f>IF('Data input'!F94&lt;&gt;"",'Run VRS'!AK94/'Run VRS'!F94,"")</f>
        <v/>
      </c>
      <c r="AM94" s="114" t="str">
        <f>IF('Data input'!G94&lt;&gt;"",'Run VRS'!AL94/'Run VRS'!G94,"")</f>
        <v/>
      </c>
      <c r="AN94" s="114" t="str">
        <f>IF('Data input'!H94&lt;&gt;"",'Run VRS'!AM94/'Run VRS'!H94,"")</f>
        <v/>
      </c>
      <c r="AO94" s="114" t="str">
        <f>IF('Data input'!I94&lt;&gt;"",'Run VRS'!AN94/'Run VRS'!I94,"")</f>
        <v/>
      </c>
      <c r="AP94" s="114" t="str">
        <f>IF('Data input'!J94&lt;&gt;"",'Run VRS'!AO94/'Run VRS'!J94,"")</f>
        <v/>
      </c>
      <c r="AQ94" s="114" t="str">
        <f>IF('Data input'!K94&lt;&gt;"",'Run VRS'!AP94/'Run VRS'!K94,"")</f>
        <v/>
      </c>
      <c r="AR94" s="115" t="str">
        <f>IF('Data input'!L94&lt;&gt;"",'Run VRS'!AQ94/'Run VRS'!L94,"")</f>
        <v/>
      </c>
    </row>
    <row r="95" spans="1:44" x14ac:dyDescent="0.35">
      <c r="A95" s="102" t="str">
        <f>IF('Run VRS'!AF95&lt;&gt;"",'Run VRS'!AF95,"")</f>
        <v/>
      </c>
      <c r="B95" s="103" t="str">
        <f>IF('Run VRS'!AG95&lt;&gt;"",'Run VRS'!AG95,"")</f>
        <v/>
      </c>
      <c r="C95" s="104" t="str">
        <f>IF('Run VRS'!AR95&lt;&gt;"",'Run VRS'!AR95,"")</f>
        <v/>
      </c>
      <c r="D95" s="104" t="e">
        <f>IF(ROUND(C95,3)=100%,"Optimal frontier",'Run VRS'!BW95)</f>
        <v>#VALUE!</v>
      </c>
      <c r="E95" s="105" t="str">
        <f>IF('Run VRS'!BC95&lt;&gt;"",'Run VRS'!BC95,"")</f>
        <v/>
      </c>
      <c r="F95" s="106" t="str">
        <f>IF('Run VRS'!BD95&lt;&gt;"",'Run VRS'!BD95,"")</f>
        <v/>
      </c>
      <c r="G95" s="106" t="str">
        <f>IF('Run VRS'!BE95&lt;&gt;"",'Run VRS'!BE95,"")</f>
        <v/>
      </c>
      <c r="H95" s="106" t="str">
        <f>IF('Run VRS'!BF95&lt;&gt;"",'Run VRS'!BF95,"")</f>
        <v/>
      </c>
      <c r="I95" s="106" t="str">
        <f>IF('Run VRS'!BG95&lt;&gt;"",'Run VRS'!BG95,"")</f>
        <v/>
      </c>
      <c r="J95" s="106" t="str">
        <f>IF('Run VRS'!BH95&lt;&gt;"",'Run VRS'!BH95,"")</f>
        <v/>
      </c>
      <c r="K95" s="105" t="str">
        <f>IF('Run VRS'!BI95&lt;&gt;"",'Run VRS'!BI95,"")</f>
        <v/>
      </c>
      <c r="L95" s="105" t="str">
        <f>IF('Run VRS'!BJ95&lt;&gt;"",'Run VRS'!BJ95,"")</f>
        <v/>
      </c>
      <c r="M95" s="105" t="str">
        <f>IF('Run VRS'!BK95&lt;&gt;"",'Run VRS'!BK95,"")</f>
        <v/>
      </c>
      <c r="N95" s="105" t="str">
        <f>IF('Run VRS'!BL95&lt;&gt;"",'Run VRS'!BL95,"")</f>
        <v/>
      </c>
      <c r="O95" s="105" t="str">
        <f>IF('Run VRS'!BM95&lt;&gt;"",'Run VRS'!BM95,"")</f>
        <v/>
      </c>
      <c r="P95" s="106" t="str">
        <f>IF('Run VRS'!BN95&lt;&gt;"",'Run VRS'!BN95,"")</f>
        <v/>
      </c>
      <c r="Q95" s="106" t="str">
        <f>IF('Run VRS'!BO95&lt;&gt;"",'Run VRS'!BO95,"")</f>
        <v/>
      </c>
      <c r="R95" s="106" t="str">
        <f>IF('Run VRS'!BP95&lt;&gt;"",'Run VRS'!BP95,"")</f>
        <v/>
      </c>
      <c r="S95" s="106" t="str">
        <f>IF('Run VRS'!BQ95&lt;&gt;"",'Run VRS'!BQ95,"")</f>
        <v/>
      </c>
      <c r="T95" s="106" t="str">
        <f>IF('Run VRS'!BR95&lt;&gt;"",'Run VRS'!BR95,"")</f>
        <v/>
      </c>
      <c r="U95" s="105" t="str">
        <f>IF('Run VRS'!BS95&lt;&gt;"",'Run VRS'!BS95,"")</f>
        <v/>
      </c>
      <c r="V95" s="105" t="str">
        <f>IF('Run VRS'!BT95&lt;&gt;"",'Run VRS'!BT95,"")</f>
        <v/>
      </c>
      <c r="W95" s="105" t="str">
        <f>IF('Run VRS'!BU95&lt;&gt;"",'Run VRS'!BU95,"")</f>
        <v/>
      </c>
      <c r="X95" s="107" t="str">
        <f>IF('Run VRS'!BV95&lt;&gt;"",'Run VRS'!BV95,"")</f>
        <v/>
      </c>
      <c r="Y95" s="114" t="str">
        <f>IF('Data input'!C95&lt;&gt;"",O95/'Data input'!C95*100%,"")</f>
        <v/>
      </c>
      <c r="Z95" s="114" t="str">
        <f>IF('Data input'!D95&lt;&gt;"",P95/'Data input'!D95*100%,"")</f>
        <v/>
      </c>
      <c r="AA95" s="114" t="str">
        <f>IF('Data input'!E95&lt;&gt;"",Q95/'Data input'!E95*100%,"")</f>
        <v/>
      </c>
      <c r="AB95" s="114" t="str">
        <f>IF('Data input'!F95&lt;&gt;"",R95/'Data input'!F95*100%,"")</f>
        <v/>
      </c>
      <c r="AC95" s="114" t="str">
        <f>IF('Data input'!G95&lt;&gt;"",S95/'Data input'!G95*100%,"")</f>
        <v/>
      </c>
      <c r="AD95" s="114" t="str">
        <f>IF('Data input'!H95&lt;&gt;"",T95/'Data input'!H95*100%,"")</f>
        <v/>
      </c>
      <c r="AE95" s="114" t="str">
        <f>IF('Data input'!I95&lt;&gt;"",U95/'Data input'!I95*100%,"")</f>
        <v/>
      </c>
      <c r="AF95" s="114" t="str">
        <f>IF('Data input'!J95&lt;&gt;"",V95/'Data input'!J95*100%,"")</f>
        <v/>
      </c>
      <c r="AG95" s="114" t="str">
        <f>IF('Data input'!K95&lt;&gt;"",W95/'Data input'!K95*100%,"")</f>
        <v/>
      </c>
      <c r="AH95" s="115" t="str">
        <f>IF('Data input'!L95&lt;&gt;"",X95/'Data input'!L95*100%,"")</f>
        <v/>
      </c>
      <c r="AI95" s="114" t="str">
        <f>IF('Data input'!C95&lt;&gt;"",'Run VRS'!AH95/'Run VRS'!C95,"")</f>
        <v/>
      </c>
      <c r="AJ95" s="114" t="str">
        <f>IF('Data input'!D95&lt;&gt;"",'Run VRS'!AI95/'Run VRS'!D95,"")</f>
        <v/>
      </c>
      <c r="AK95" s="114" t="str">
        <f>IF('Data input'!E95&lt;&gt;"",'Run VRS'!AJ95/'Run VRS'!E95,"")</f>
        <v/>
      </c>
      <c r="AL95" s="114" t="str">
        <f>IF('Data input'!F95&lt;&gt;"",'Run VRS'!AK95/'Run VRS'!F95,"")</f>
        <v/>
      </c>
      <c r="AM95" s="114" t="str">
        <f>IF('Data input'!G95&lt;&gt;"",'Run VRS'!AL95/'Run VRS'!G95,"")</f>
        <v/>
      </c>
      <c r="AN95" s="114" t="str">
        <f>IF('Data input'!H95&lt;&gt;"",'Run VRS'!AM95/'Run VRS'!H95,"")</f>
        <v/>
      </c>
      <c r="AO95" s="114" t="str">
        <f>IF('Data input'!I95&lt;&gt;"",'Run VRS'!AN95/'Run VRS'!I95,"")</f>
        <v/>
      </c>
      <c r="AP95" s="114" t="str">
        <f>IF('Data input'!J95&lt;&gt;"",'Run VRS'!AO95/'Run VRS'!J95,"")</f>
        <v/>
      </c>
      <c r="AQ95" s="114" t="str">
        <f>IF('Data input'!K95&lt;&gt;"",'Run VRS'!AP95/'Run VRS'!K95,"")</f>
        <v/>
      </c>
      <c r="AR95" s="115" t="str">
        <f>IF('Data input'!L95&lt;&gt;"",'Run VRS'!AQ95/'Run VRS'!L95,"")</f>
        <v/>
      </c>
    </row>
    <row r="96" spans="1:44" x14ac:dyDescent="0.35">
      <c r="A96" s="102" t="str">
        <f>IF('Run VRS'!AF96&lt;&gt;"",'Run VRS'!AF96,"")</f>
        <v/>
      </c>
      <c r="B96" s="103" t="str">
        <f>IF('Run VRS'!AG96&lt;&gt;"",'Run VRS'!AG96,"")</f>
        <v/>
      </c>
      <c r="C96" s="104" t="str">
        <f>IF('Run VRS'!AR96&lt;&gt;"",'Run VRS'!AR96,"")</f>
        <v/>
      </c>
      <c r="D96" s="104" t="e">
        <f>IF(ROUND(C96,3)=100%,"Optimal frontier",'Run VRS'!BW96)</f>
        <v>#VALUE!</v>
      </c>
      <c r="E96" s="105" t="str">
        <f>IF('Run VRS'!BC96&lt;&gt;"",'Run VRS'!BC96,"")</f>
        <v/>
      </c>
      <c r="F96" s="106" t="str">
        <f>IF('Run VRS'!BD96&lt;&gt;"",'Run VRS'!BD96,"")</f>
        <v/>
      </c>
      <c r="G96" s="106" t="str">
        <f>IF('Run VRS'!BE96&lt;&gt;"",'Run VRS'!BE96,"")</f>
        <v/>
      </c>
      <c r="H96" s="106" t="str">
        <f>IF('Run VRS'!BF96&lt;&gt;"",'Run VRS'!BF96,"")</f>
        <v/>
      </c>
      <c r="I96" s="106" t="str">
        <f>IF('Run VRS'!BG96&lt;&gt;"",'Run VRS'!BG96,"")</f>
        <v/>
      </c>
      <c r="J96" s="106" t="str">
        <f>IF('Run VRS'!BH96&lt;&gt;"",'Run VRS'!BH96,"")</f>
        <v/>
      </c>
      <c r="K96" s="105" t="str">
        <f>IF('Run VRS'!BI96&lt;&gt;"",'Run VRS'!BI96,"")</f>
        <v/>
      </c>
      <c r="L96" s="105" t="str">
        <f>IF('Run VRS'!BJ96&lt;&gt;"",'Run VRS'!BJ96,"")</f>
        <v/>
      </c>
      <c r="M96" s="105" t="str">
        <f>IF('Run VRS'!BK96&lt;&gt;"",'Run VRS'!BK96,"")</f>
        <v/>
      </c>
      <c r="N96" s="105" t="str">
        <f>IF('Run VRS'!BL96&lt;&gt;"",'Run VRS'!BL96,"")</f>
        <v/>
      </c>
      <c r="O96" s="105" t="str">
        <f>IF('Run VRS'!BM96&lt;&gt;"",'Run VRS'!BM96,"")</f>
        <v/>
      </c>
      <c r="P96" s="106" t="str">
        <f>IF('Run VRS'!BN96&lt;&gt;"",'Run VRS'!BN96,"")</f>
        <v/>
      </c>
      <c r="Q96" s="106" t="str">
        <f>IF('Run VRS'!BO96&lt;&gt;"",'Run VRS'!BO96,"")</f>
        <v/>
      </c>
      <c r="R96" s="106" t="str">
        <f>IF('Run VRS'!BP96&lt;&gt;"",'Run VRS'!BP96,"")</f>
        <v/>
      </c>
      <c r="S96" s="106" t="str">
        <f>IF('Run VRS'!BQ96&lt;&gt;"",'Run VRS'!BQ96,"")</f>
        <v/>
      </c>
      <c r="T96" s="106" t="str">
        <f>IF('Run VRS'!BR96&lt;&gt;"",'Run VRS'!BR96,"")</f>
        <v/>
      </c>
      <c r="U96" s="105" t="str">
        <f>IF('Run VRS'!BS96&lt;&gt;"",'Run VRS'!BS96,"")</f>
        <v/>
      </c>
      <c r="V96" s="105" t="str">
        <f>IF('Run VRS'!BT96&lt;&gt;"",'Run VRS'!BT96,"")</f>
        <v/>
      </c>
      <c r="W96" s="105" t="str">
        <f>IF('Run VRS'!BU96&lt;&gt;"",'Run VRS'!BU96,"")</f>
        <v/>
      </c>
      <c r="X96" s="107" t="str">
        <f>IF('Run VRS'!BV96&lt;&gt;"",'Run VRS'!BV96,"")</f>
        <v/>
      </c>
      <c r="Y96" s="114" t="str">
        <f>IF('Data input'!C96&lt;&gt;"",O96/'Data input'!C96*100%,"")</f>
        <v/>
      </c>
      <c r="Z96" s="114" t="str">
        <f>IF('Data input'!D96&lt;&gt;"",P96/'Data input'!D96*100%,"")</f>
        <v/>
      </c>
      <c r="AA96" s="114" t="str">
        <f>IF('Data input'!E96&lt;&gt;"",Q96/'Data input'!E96*100%,"")</f>
        <v/>
      </c>
      <c r="AB96" s="114" t="str">
        <f>IF('Data input'!F96&lt;&gt;"",R96/'Data input'!F96*100%,"")</f>
        <v/>
      </c>
      <c r="AC96" s="114" t="str">
        <f>IF('Data input'!G96&lt;&gt;"",S96/'Data input'!G96*100%,"")</f>
        <v/>
      </c>
      <c r="AD96" s="114" t="str">
        <f>IF('Data input'!H96&lt;&gt;"",T96/'Data input'!H96*100%,"")</f>
        <v/>
      </c>
      <c r="AE96" s="114" t="str">
        <f>IF('Data input'!I96&lt;&gt;"",U96/'Data input'!I96*100%,"")</f>
        <v/>
      </c>
      <c r="AF96" s="114" t="str">
        <f>IF('Data input'!J96&lt;&gt;"",V96/'Data input'!J96*100%,"")</f>
        <v/>
      </c>
      <c r="AG96" s="114" t="str">
        <f>IF('Data input'!K96&lt;&gt;"",W96/'Data input'!K96*100%,"")</f>
        <v/>
      </c>
      <c r="AH96" s="115" t="str">
        <f>IF('Data input'!L96&lt;&gt;"",X96/'Data input'!L96*100%,"")</f>
        <v/>
      </c>
      <c r="AI96" s="114" t="str">
        <f>IF('Data input'!C96&lt;&gt;"",'Run VRS'!AH96/'Run VRS'!C96,"")</f>
        <v/>
      </c>
      <c r="AJ96" s="114" t="str">
        <f>IF('Data input'!D96&lt;&gt;"",'Run VRS'!AI96/'Run VRS'!D96,"")</f>
        <v/>
      </c>
      <c r="AK96" s="114" t="str">
        <f>IF('Data input'!E96&lt;&gt;"",'Run VRS'!AJ96/'Run VRS'!E96,"")</f>
        <v/>
      </c>
      <c r="AL96" s="114" t="str">
        <f>IF('Data input'!F96&lt;&gt;"",'Run VRS'!AK96/'Run VRS'!F96,"")</f>
        <v/>
      </c>
      <c r="AM96" s="114" t="str">
        <f>IF('Data input'!G96&lt;&gt;"",'Run VRS'!AL96/'Run VRS'!G96,"")</f>
        <v/>
      </c>
      <c r="AN96" s="114" t="str">
        <f>IF('Data input'!H96&lt;&gt;"",'Run VRS'!AM96/'Run VRS'!H96,"")</f>
        <v/>
      </c>
      <c r="AO96" s="114" t="str">
        <f>IF('Data input'!I96&lt;&gt;"",'Run VRS'!AN96/'Run VRS'!I96,"")</f>
        <v/>
      </c>
      <c r="AP96" s="114" t="str">
        <f>IF('Data input'!J96&lt;&gt;"",'Run VRS'!AO96/'Run VRS'!J96,"")</f>
        <v/>
      </c>
      <c r="AQ96" s="114" t="str">
        <f>IF('Data input'!K96&lt;&gt;"",'Run VRS'!AP96/'Run VRS'!K96,"")</f>
        <v/>
      </c>
      <c r="AR96" s="115" t="str">
        <f>IF('Data input'!L96&lt;&gt;"",'Run VRS'!AQ96/'Run VRS'!L96,"")</f>
        <v/>
      </c>
    </row>
    <row r="97" spans="1:44" x14ac:dyDescent="0.35">
      <c r="A97" s="102" t="str">
        <f>IF('Run VRS'!AF97&lt;&gt;"",'Run VRS'!AF97,"")</f>
        <v/>
      </c>
      <c r="B97" s="103" t="str">
        <f>IF('Run VRS'!AG97&lt;&gt;"",'Run VRS'!AG97,"")</f>
        <v/>
      </c>
      <c r="C97" s="104" t="str">
        <f>IF('Run VRS'!AR97&lt;&gt;"",'Run VRS'!AR97,"")</f>
        <v/>
      </c>
      <c r="D97" s="104" t="e">
        <f>IF(ROUND(C97,3)=100%,"Optimal frontier",'Run VRS'!BW97)</f>
        <v>#VALUE!</v>
      </c>
      <c r="E97" s="105" t="str">
        <f>IF('Run VRS'!BC97&lt;&gt;"",'Run VRS'!BC97,"")</f>
        <v/>
      </c>
      <c r="F97" s="106" t="str">
        <f>IF('Run VRS'!BD97&lt;&gt;"",'Run VRS'!BD97,"")</f>
        <v/>
      </c>
      <c r="G97" s="106" t="str">
        <f>IF('Run VRS'!BE97&lt;&gt;"",'Run VRS'!BE97,"")</f>
        <v/>
      </c>
      <c r="H97" s="106" t="str">
        <f>IF('Run VRS'!BF97&lt;&gt;"",'Run VRS'!BF97,"")</f>
        <v/>
      </c>
      <c r="I97" s="106" t="str">
        <f>IF('Run VRS'!BG97&lt;&gt;"",'Run VRS'!BG97,"")</f>
        <v/>
      </c>
      <c r="J97" s="106" t="str">
        <f>IF('Run VRS'!BH97&lt;&gt;"",'Run VRS'!BH97,"")</f>
        <v/>
      </c>
      <c r="K97" s="105" t="str">
        <f>IF('Run VRS'!BI97&lt;&gt;"",'Run VRS'!BI97,"")</f>
        <v/>
      </c>
      <c r="L97" s="105" t="str">
        <f>IF('Run VRS'!BJ97&lt;&gt;"",'Run VRS'!BJ97,"")</f>
        <v/>
      </c>
      <c r="M97" s="105" t="str">
        <f>IF('Run VRS'!BK97&lt;&gt;"",'Run VRS'!BK97,"")</f>
        <v/>
      </c>
      <c r="N97" s="105" t="str">
        <f>IF('Run VRS'!BL97&lt;&gt;"",'Run VRS'!BL97,"")</f>
        <v/>
      </c>
      <c r="O97" s="105" t="str">
        <f>IF('Run VRS'!BM97&lt;&gt;"",'Run VRS'!BM97,"")</f>
        <v/>
      </c>
      <c r="P97" s="106" t="str">
        <f>IF('Run VRS'!BN97&lt;&gt;"",'Run VRS'!BN97,"")</f>
        <v/>
      </c>
      <c r="Q97" s="106" t="str">
        <f>IF('Run VRS'!BO97&lt;&gt;"",'Run VRS'!BO97,"")</f>
        <v/>
      </c>
      <c r="R97" s="106" t="str">
        <f>IF('Run VRS'!BP97&lt;&gt;"",'Run VRS'!BP97,"")</f>
        <v/>
      </c>
      <c r="S97" s="106" t="str">
        <f>IF('Run VRS'!BQ97&lt;&gt;"",'Run VRS'!BQ97,"")</f>
        <v/>
      </c>
      <c r="T97" s="106" t="str">
        <f>IF('Run VRS'!BR97&lt;&gt;"",'Run VRS'!BR97,"")</f>
        <v/>
      </c>
      <c r="U97" s="105" t="str">
        <f>IF('Run VRS'!BS97&lt;&gt;"",'Run VRS'!BS97,"")</f>
        <v/>
      </c>
      <c r="V97" s="105" t="str">
        <f>IF('Run VRS'!BT97&lt;&gt;"",'Run VRS'!BT97,"")</f>
        <v/>
      </c>
      <c r="W97" s="105" t="str">
        <f>IF('Run VRS'!BU97&lt;&gt;"",'Run VRS'!BU97,"")</f>
        <v/>
      </c>
      <c r="X97" s="107" t="str">
        <f>IF('Run VRS'!BV97&lt;&gt;"",'Run VRS'!BV97,"")</f>
        <v/>
      </c>
      <c r="Y97" s="114" t="str">
        <f>IF('Data input'!C97&lt;&gt;"",O97/'Data input'!C97*100%,"")</f>
        <v/>
      </c>
      <c r="Z97" s="114" t="str">
        <f>IF('Data input'!D97&lt;&gt;"",P97/'Data input'!D97*100%,"")</f>
        <v/>
      </c>
      <c r="AA97" s="114" t="str">
        <f>IF('Data input'!E97&lt;&gt;"",Q97/'Data input'!E97*100%,"")</f>
        <v/>
      </c>
      <c r="AB97" s="114" t="str">
        <f>IF('Data input'!F97&lt;&gt;"",R97/'Data input'!F97*100%,"")</f>
        <v/>
      </c>
      <c r="AC97" s="114" t="str">
        <f>IF('Data input'!G97&lt;&gt;"",S97/'Data input'!G97*100%,"")</f>
        <v/>
      </c>
      <c r="AD97" s="114" t="str">
        <f>IF('Data input'!H97&lt;&gt;"",T97/'Data input'!H97*100%,"")</f>
        <v/>
      </c>
      <c r="AE97" s="114" t="str">
        <f>IF('Data input'!I97&lt;&gt;"",U97/'Data input'!I97*100%,"")</f>
        <v/>
      </c>
      <c r="AF97" s="114" t="str">
        <f>IF('Data input'!J97&lt;&gt;"",V97/'Data input'!J97*100%,"")</f>
        <v/>
      </c>
      <c r="AG97" s="114" t="str">
        <f>IF('Data input'!K97&lt;&gt;"",W97/'Data input'!K97*100%,"")</f>
        <v/>
      </c>
      <c r="AH97" s="115" t="str">
        <f>IF('Data input'!L97&lt;&gt;"",X97/'Data input'!L97*100%,"")</f>
        <v/>
      </c>
      <c r="AI97" s="114" t="str">
        <f>IF('Data input'!C97&lt;&gt;"",'Run VRS'!AH97/'Run VRS'!C97,"")</f>
        <v/>
      </c>
      <c r="AJ97" s="114" t="str">
        <f>IF('Data input'!D97&lt;&gt;"",'Run VRS'!AI97/'Run VRS'!D97,"")</f>
        <v/>
      </c>
      <c r="AK97" s="114" t="str">
        <f>IF('Data input'!E97&lt;&gt;"",'Run VRS'!AJ97/'Run VRS'!E97,"")</f>
        <v/>
      </c>
      <c r="AL97" s="114" t="str">
        <f>IF('Data input'!F97&lt;&gt;"",'Run VRS'!AK97/'Run VRS'!F97,"")</f>
        <v/>
      </c>
      <c r="AM97" s="114" t="str">
        <f>IF('Data input'!G97&lt;&gt;"",'Run VRS'!AL97/'Run VRS'!G97,"")</f>
        <v/>
      </c>
      <c r="AN97" s="114" t="str">
        <f>IF('Data input'!H97&lt;&gt;"",'Run VRS'!AM97/'Run VRS'!H97,"")</f>
        <v/>
      </c>
      <c r="AO97" s="114" t="str">
        <f>IF('Data input'!I97&lt;&gt;"",'Run VRS'!AN97/'Run VRS'!I97,"")</f>
        <v/>
      </c>
      <c r="AP97" s="114" t="str">
        <f>IF('Data input'!J97&lt;&gt;"",'Run VRS'!AO97/'Run VRS'!J97,"")</f>
        <v/>
      </c>
      <c r="AQ97" s="114" t="str">
        <f>IF('Data input'!K97&lt;&gt;"",'Run VRS'!AP97/'Run VRS'!K97,"")</f>
        <v/>
      </c>
      <c r="AR97" s="115" t="str">
        <f>IF('Data input'!L97&lt;&gt;"",'Run VRS'!AQ97/'Run VRS'!L97,"")</f>
        <v/>
      </c>
    </row>
    <row r="98" spans="1:44" x14ac:dyDescent="0.35">
      <c r="A98" s="102" t="str">
        <f>IF('Run VRS'!AF98&lt;&gt;"",'Run VRS'!AF98,"")</f>
        <v/>
      </c>
      <c r="B98" s="103" t="str">
        <f>IF('Run VRS'!AG98&lt;&gt;"",'Run VRS'!AG98,"")</f>
        <v/>
      </c>
      <c r="C98" s="104" t="str">
        <f>IF('Run VRS'!AR98&lt;&gt;"",'Run VRS'!AR98,"")</f>
        <v/>
      </c>
      <c r="D98" s="104" t="e">
        <f>IF(ROUND(C98,3)=100%,"Optimal frontier",'Run VRS'!BW98)</f>
        <v>#VALUE!</v>
      </c>
      <c r="E98" s="105" t="str">
        <f>IF('Run VRS'!BC98&lt;&gt;"",'Run VRS'!BC98,"")</f>
        <v/>
      </c>
      <c r="F98" s="106" t="str">
        <f>IF('Run VRS'!BD98&lt;&gt;"",'Run VRS'!BD98,"")</f>
        <v/>
      </c>
      <c r="G98" s="106" t="str">
        <f>IF('Run VRS'!BE98&lt;&gt;"",'Run VRS'!BE98,"")</f>
        <v/>
      </c>
      <c r="H98" s="106" t="str">
        <f>IF('Run VRS'!BF98&lt;&gt;"",'Run VRS'!BF98,"")</f>
        <v/>
      </c>
      <c r="I98" s="106" t="str">
        <f>IF('Run VRS'!BG98&lt;&gt;"",'Run VRS'!BG98,"")</f>
        <v/>
      </c>
      <c r="J98" s="106" t="str">
        <f>IF('Run VRS'!BH98&lt;&gt;"",'Run VRS'!BH98,"")</f>
        <v/>
      </c>
      <c r="K98" s="105" t="str">
        <f>IF('Run VRS'!BI98&lt;&gt;"",'Run VRS'!BI98,"")</f>
        <v/>
      </c>
      <c r="L98" s="105" t="str">
        <f>IF('Run VRS'!BJ98&lt;&gt;"",'Run VRS'!BJ98,"")</f>
        <v/>
      </c>
      <c r="M98" s="105" t="str">
        <f>IF('Run VRS'!BK98&lt;&gt;"",'Run VRS'!BK98,"")</f>
        <v/>
      </c>
      <c r="N98" s="105" t="str">
        <f>IF('Run VRS'!BL98&lt;&gt;"",'Run VRS'!BL98,"")</f>
        <v/>
      </c>
      <c r="O98" s="105" t="str">
        <f>IF('Run VRS'!BM98&lt;&gt;"",'Run VRS'!BM98,"")</f>
        <v/>
      </c>
      <c r="P98" s="106" t="str">
        <f>IF('Run VRS'!BN98&lt;&gt;"",'Run VRS'!BN98,"")</f>
        <v/>
      </c>
      <c r="Q98" s="106" t="str">
        <f>IF('Run VRS'!BO98&lt;&gt;"",'Run VRS'!BO98,"")</f>
        <v/>
      </c>
      <c r="R98" s="106" t="str">
        <f>IF('Run VRS'!BP98&lt;&gt;"",'Run VRS'!BP98,"")</f>
        <v/>
      </c>
      <c r="S98" s="106" t="str">
        <f>IF('Run VRS'!BQ98&lt;&gt;"",'Run VRS'!BQ98,"")</f>
        <v/>
      </c>
      <c r="T98" s="106" t="str">
        <f>IF('Run VRS'!BR98&lt;&gt;"",'Run VRS'!BR98,"")</f>
        <v/>
      </c>
      <c r="U98" s="105" t="str">
        <f>IF('Run VRS'!BS98&lt;&gt;"",'Run VRS'!BS98,"")</f>
        <v/>
      </c>
      <c r="V98" s="105" t="str">
        <f>IF('Run VRS'!BT98&lt;&gt;"",'Run VRS'!BT98,"")</f>
        <v/>
      </c>
      <c r="W98" s="105" t="str">
        <f>IF('Run VRS'!BU98&lt;&gt;"",'Run VRS'!BU98,"")</f>
        <v/>
      </c>
      <c r="X98" s="107" t="str">
        <f>IF('Run VRS'!BV98&lt;&gt;"",'Run VRS'!BV98,"")</f>
        <v/>
      </c>
      <c r="Y98" s="114" t="str">
        <f>IF('Data input'!C98&lt;&gt;"",O98/'Data input'!C98*100%,"")</f>
        <v/>
      </c>
      <c r="Z98" s="114" t="str">
        <f>IF('Data input'!D98&lt;&gt;"",P98/'Data input'!D98*100%,"")</f>
        <v/>
      </c>
      <c r="AA98" s="114" t="str">
        <f>IF('Data input'!E98&lt;&gt;"",Q98/'Data input'!E98*100%,"")</f>
        <v/>
      </c>
      <c r="AB98" s="114" t="str">
        <f>IF('Data input'!F98&lt;&gt;"",R98/'Data input'!F98*100%,"")</f>
        <v/>
      </c>
      <c r="AC98" s="114" t="str">
        <f>IF('Data input'!G98&lt;&gt;"",S98/'Data input'!G98*100%,"")</f>
        <v/>
      </c>
      <c r="AD98" s="114" t="str">
        <f>IF('Data input'!H98&lt;&gt;"",T98/'Data input'!H98*100%,"")</f>
        <v/>
      </c>
      <c r="AE98" s="114" t="str">
        <f>IF('Data input'!I98&lt;&gt;"",U98/'Data input'!I98*100%,"")</f>
        <v/>
      </c>
      <c r="AF98" s="114" t="str">
        <f>IF('Data input'!J98&lt;&gt;"",V98/'Data input'!J98*100%,"")</f>
        <v/>
      </c>
      <c r="AG98" s="114" t="str">
        <f>IF('Data input'!K98&lt;&gt;"",W98/'Data input'!K98*100%,"")</f>
        <v/>
      </c>
      <c r="AH98" s="115" t="str">
        <f>IF('Data input'!L98&lt;&gt;"",X98/'Data input'!L98*100%,"")</f>
        <v/>
      </c>
      <c r="AI98" s="114" t="str">
        <f>IF('Data input'!C98&lt;&gt;"",'Run VRS'!AH98/'Run VRS'!C98,"")</f>
        <v/>
      </c>
      <c r="AJ98" s="114" t="str">
        <f>IF('Data input'!D98&lt;&gt;"",'Run VRS'!AI98/'Run VRS'!D98,"")</f>
        <v/>
      </c>
      <c r="AK98" s="114" t="str">
        <f>IF('Data input'!E98&lt;&gt;"",'Run VRS'!AJ98/'Run VRS'!E98,"")</f>
        <v/>
      </c>
      <c r="AL98" s="114" t="str">
        <f>IF('Data input'!F98&lt;&gt;"",'Run VRS'!AK98/'Run VRS'!F98,"")</f>
        <v/>
      </c>
      <c r="AM98" s="114" t="str">
        <f>IF('Data input'!G98&lt;&gt;"",'Run VRS'!AL98/'Run VRS'!G98,"")</f>
        <v/>
      </c>
      <c r="AN98" s="114" t="str">
        <f>IF('Data input'!H98&lt;&gt;"",'Run VRS'!AM98/'Run VRS'!H98,"")</f>
        <v/>
      </c>
      <c r="AO98" s="114" t="str">
        <f>IF('Data input'!I98&lt;&gt;"",'Run VRS'!AN98/'Run VRS'!I98,"")</f>
        <v/>
      </c>
      <c r="AP98" s="114" t="str">
        <f>IF('Data input'!J98&lt;&gt;"",'Run VRS'!AO98/'Run VRS'!J98,"")</f>
        <v/>
      </c>
      <c r="AQ98" s="114" t="str">
        <f>IF('Data input'!K98&lt;&gt;"",'Run VRS'!AP98/'Run VRS'!K98,"")</f>
        <v/>
      </c>
      <c r="AR98" s="115" t="str">
        <f>IF('Data input'!L98&lt;&gt;"",'Run VRS'!AQ98/'Run VRS'!L98,"")</f>
        <v/>
      </c>
    </row>
    <row r="99" spans="1:44" x14ac:dyDescent="0.35">
      <c r="A99" s="102" t="str">
        <f>IF('Run VRS'!AF99&lt;&gt;"",'Run VRS'!AF99,"")</f>
        <v/>
      </c>
      <c r="B99" s="103" t="str">
        <f>IF('Run VRS'!AG99&lt;&gt;"",'Run VRS'!AG99,"")</f>
        <v/>
      </c>
      <c r="C99" s="104" t="str">
        <f>IF('Run VRS'!AR99&lt;&gt;"",'Run VRS'!AR99,"")</f>
        <v/>
      </c>
      <c r="D99" s="104" t="e">
        <f>IF(ROUND(C99,3)=100%,"Optimal frontier",'Run VRS'!BW99)</f>
        <v>#VALUE!</v>
      </c>
      <c r="E99" s="105" t="str">
        <f>IF('Run VRS'!BC99&lt;&gt;"",'Run VRS'!BC99,"")</f>
        <v/>
      </c>
      <c r="F99" s="106" t="str">
        <f>IF('Run VRS'!BD99&lt;&gt;"",'Run VRS'!BD99,"")</f>
        <v/>
      </c>
      <c r="G99" s="106" t="str">
        <f>IF('Run VRS'!BE99&lt;&gt;"",'Run VRS'!BE99,"")</f>
        <v/>
      </c>
      <c r="H99" s="106" t="str">
        <f>IF('Run VRS'!BF99&lt;&gt;"",'Run VRS'!BF99,"")</f>
        <v/>
      </c>
      <c r="I99" s="106" t="str">
        <f>IF('Run VRS'!BG99&lt;&gt;"",'Run VRS'!BG99,"")</f>
        <v/>
      </c>
      <c r="J99" s="106" t="str">
        <f>IF('Run VRS'!BH99&lt;&gt;"",'Run VRS'!BH99,"")</f>
        <v/>
      </c>
      <c r="K99" s="105" t="str">
        <f>IF('Run VRS'!BI99&lt;&gt;"",'Run VRS'!BI99,"")</f>
        <v/>
      </c>
      <c r="L99" s="105" t="str">
        <f>IF('Run VRS'!BJ99&lt;&gt;"",'Run VRS'!BJ99,"")</f>
        <v/>
      </c>
      <c r="M99" s="105" t="str">
        <f>IF('Run VRS'!BK99&lt;&gt;"",'Run VRS'!BK99,"")</f>
        <v/>
      </c>
      <c r="N99" s="105" t="str">
        <f>IF('Run VRS'!BL99&lt;&gt;"",'Run VRS'!BL99,"")</f>
        <v/>
      </c>
      <c r="O99" s="105" t="str">
        <f>IF('Run VRS'!BM99&lt;&gt;"",'Run VRS'!BM99,"")</f>
        <v/>
      </c>
      <c r="P99" s="106" t="str">
        <f>IF('Run VRS'!BN99&lt;&gt;"",'Run VRS'!BN99,"")</f>
        <v/>
      </c>
      <c r="Q99" s="106" t="str">
        <f>IF('Run VRS'!BO99&lt;&gt;"",'Run VRS'!BO99,"")</f>
        <v/>
      </c>
      <c r="R99" s="106" t="str">
        <f>IF('Run VRS'!BP99&lt;&gt;"",'Run VRS'!BP99,"")</f>
        <v/>
      </c>
      <c r="S99" s="106" t="str">
        <f>IF('Run VRS'!BQ99&lt;&gt;"",'Run VRS'!BQ99,"")</f>
        <v/>
      </c>
      <c r="T99" s="106" t="str">
        <f>IF('Run VRS'!BR99&lt;&gt;"",'Run VRS'!BR99,"")</f>
        <v/>
      </c>
      <c r="U99" s="105" t="str">
        <f>IF('Run VRS'!BS99&lt;&gt;"",'Run VRS'!BS99,"")</f>
        <v/>
      </c>
      <c r="V99" s="105" t="str">
        <f>IF('Run VRS'!BT99&lt;&gt;"",'Run VRS'!BT99,"")</f>
        <v/>
      </c>
      <c r="W99" s="105" t="str">
        <f>IF('Run VRS'!BU99&lt;&gt;"",'Run VRS'!BU99,"")</f>
        <v/>
      </c>
      <c r="X99" s="107" t="str">
        <f>IF('Run VRS'!BV99&lt;&gt;"",'Run VRS'!BV99,"")</f>
        <v/>
      </c>
      <c r="Y99" s="114" t="str">
        <f>IF('Data input'!C99&lt;&gt;"",O99/'Data input'!C99*100%,"")</f>
        <v/>
      </c>
      <c r="Z99" s="114" t="str">
        <f>IF('Data input'!D99&lt;&gt;"",P99/'Data input'!D99*100%,"")</f>
        <v/>
      </c>
      <c r="AA99" s="114" t="str">
        <f>IF('Data input'!E99&lt;&gt;"",Q99/'Data input'!E99*100%,"")</f>
        <v/>
      </c>
      <c r="AB99" s="114" t="str">
        <f>IF('Data input'!F99&lt;&gt;"",R99/'Data input'!F99*100%,"")</f>
        <v/>
      </c>
      <c r="AC99" s="114" t="str">
        <f>IF('Data input'!G99&lt;&gt;"",S99/'Data input'!G99*100%,"")</f>
        <v/>
      </c>
      <c r="AD99" s="114" t="str">
        <f>IF('Data input'!H99&lt;&gt;"",T99/'Data input'!H99*100%,"")</f>
        <v/>
      </c>
      <c r="AE99" s="114" t="str">
        <f>IF('Data input'!I99&lt;&gt;"",U99/'Data input'!I99*100%,"")</f>
        <v/>
      </c>
      <c r="AF99" s="114" t="str">
        <f>IF('Data input'!J99&lt;&gt;"",V99/'Data input'!J99*100%,"")</f>
        <v/>
      </c>
      <c r="AG99" s="114" t="str">
        <f>IF('Data input'!K99&lt;&gt;"",W99/'Data input'!K99*100%,"")</f>
        <v/>
      </c>
      <c r="AH99" s="115" t="str">
        <f>IF('Data input'!L99&lt;&gt;"",X99/'Data input'!L99*100%,"")</f>
        <v/>
      </c>
      <c r="AI99" s="114" t="str">
        <f>IF('Data input'!C99&lt;&gt;"",'Run VRS'!AH99/'Run VRS'!C99,"")</f>
        <v/>
      </c>
      <c r="AJ99" s="114" t="str">
        <f>IF('Data input'!D99&lt;&gt;"",'Run VRS'!AI99/'Run VRS'!D99,"")</f>
        <v/>
      </c>
      <c r="AK99" s="114" t="str">
        <f>IF('Data input'!E99&lt;&gt;"",'Run VRS'!AJ99/'Run VRS'!E99,"")</f>
        <v/>
      </c>
      <c r="AL99" s="114" t="str">
        <f>IF('Data input'!F99&lt;&gt;"",'Run VRS'!AK99/'Run VRS'!F99,"")</f>
        <v/>
      </c>
      <c r="AM99" s="114" t="str">
        <f>IF('Data input'!G99&lt;&gt;"",'Run VRS'!AL99/'Run VRS'!G99,"")</f>
        <v/>
      </c>
      <c r="AN99" s="114" t="str">
        <f>IF('Data input'!H99&lt;&gt;"",'Run VRS'!AM99/'Run VRS'!H99,"")</f>
        <v/>
      </c>
      <c r="AO99" s="114" t="str">
        <f>IF('Data input'!I99&lt;&gt;"",'Run VRS'!AN99/'Run VRS'!I99,"")</f>
        <v/>
      </c>
      <c r="AP99" s="114" t="str">
        <f>IF('Data input'!J99&lt;&gt;"",'Run VRS'!AO99/'Run VRS'!J99,"")</f>
        <v/>
      </c>
      <c r="AQ99" s="114" t="str">
        <f>IF('Data input'!K99&lt;&gt;"",'Run VRS'!AP99/'Run VRS'!K99,"")</f>
        <v/>
      </c>
      <c r="AR99" s="115" t="str">
        <f>IF('Data input'!L99&lt;&gt;"",'Run VRS'!AQ99/'Run VRS'!L99,"")</f>
        <v/>
      </c>
    </row>
    <row r="100" spans="1:44" x14ac:dyDescent="0.35">
      <c r="A100" s="102" t="str">
        <f>IF('Run VRS'!AF100&lt;&gt;"",'Run VRS'!AF100,"")</f>
        <v/>
      </c>
      <c r="B100" s="103" t="str">
        <f>IF('Run VRS'!AG100&lt;&gt;"",'Run VRS'!AG100,"")</f>
        <v/>
      </c>
      <c r="C100" s="104" t="str">
        <f>IF('Run VRS'!AR100&lt;&gt;"",'Run VRS'!AR100,"")</f>
        <v/>
      </c>
      <c r="D100" s="104" t="e">
        <f>IF(ROUND(C100,3)=100%,"Optimal frontier",'Run VRS'!BW100)</f>
        <v>#VALUE!</v>
      </c>
      <c r="E100" s="105" t="str">
        <f>IF('Run VRS'!BC100&lt;&gt;"",'Run VRS'!BC100,"")</f>
        <v/>
      </c>
      <c r="F100" s="106" t="str">
        <f>IF('Run VRS'!BD100&lt;&gt;"",'Run VRS'!BD100,"")</f>
        <v/>
      </c>
      <c r="G100" s="106" t="str">
        <f>IF('Run VRS'!BE100&lt;&gt;"",'Run VRS'!BE100,"")</f>
        <v/>
      </c>
      <c r="H100" s="106" t="str">
        <f>IF('Run VRS'!BF100&lt;&gt;"",'Run VRS'!BF100,"")</f>
        <v/>
      </c>
      <c r="I100" s="106" t="str">
        <f>IF('Run VRS'!BG100&lt;&gt;"",'Run VRS'!BG100,"")</f>
        <v/>
      </c>
      <c r="J100" s="106" t="str">
        <f>IF('Run VRS'!BH100&lt;&gt;"",'Run VRS'!BH100,"")</f>
        <v/>
      </c>
      <c r="K100" s="105" t="str">
        <f>IF('Run VRS'!BI100&lt;&gt;"",'Run VRS'!BI100,"")</f>
        <v/>
      </c>
      <c r="L100" s="105" t="str">
        <f>IF('Run VRS'!BJ100&lt;&gt;"",'Run VRS'!BJ100,"")</f>
        <v/>
      </c>
      <c r="M100" s="105" t="str">
        <f>IF('Run VRS'!BK100&lt;&gt;"",'Run VRS'!BK100,"")</f>
        <v/>
      </c>
      <c r="N100" s="105" t="str">
        <f>IF('Run VRS'!BL100&lt;&gt;"",'Run VRS'!BL100,"")</f>
        <v/>
      </c>
      <c r="O100" s="105" t="str">
        <f>IF('Run VRS'!BM100&lt;&gt;"",'Run VRS'!BM100,"")</f>
        <v/>
      </c>
      <c r="P100" s="106" t="str">
        <f>IF('Run VRS'!BN100&lt;&gt;"",'Run VRS'!BN100,"")</f>
        <v/>
      </c>
      <c r="Q100" s="106" t="str">
        <f>IF('Run VRS'!BO100&lt;&gt;"",'Run VRS'!BO100,"")</f>
        <v/>
      </c>
      <c r="R100" s="106" t="str">
        <f>IF('Run VRS'!BP100&lt;&gt;"",'Run VRS'!BP100,"")</f>
        <v/>
      </c>
      <c r="S100" s="106" t="str">
        <f>IF('Run VRS'!BQ100&lt;&gt;"",'Run VRS'!BQ100,"")</f>
        <v/>
      </c>
      <c r="T100" s="106" t="str">
        <f>IF('Run VRS'!BR100&lt;&gt;"",'Run VRS'!BR100,"")</f>
        <v/>
      </c>
      <c r="U100" s="105" t="str">
        <f>IF('Run VRS'!BS100&lt;&gt;"",'Run VRS'!BS100,"")</f>
        <v/>
      </c>
      <c r="V100" s="105" t="str">
        <f>IF('Run VRS'!BT100&lt;&gt;"",'Run VRS'!BT100,"")</f>
        <v/>
      </c>
      <c r="W100" s="105" t="str">
        <f>IF('Run VRS'!BU100&lt;&gt;"",'Run VRS'!BU100,"")</f>
        <v/>
      </c>
      <c r="X100" s="107" t="str">
        <f>IF('Run VRS'!BV100&lt;&gt;"",'Run VRS'!BV100,"")</f>
        <v/>
      </c>
      <c r="Y100" s="114" t="str">
        <f>IF('Data input'!C100&lt;&gt;"",O100/'Data input'!C100*100%,"")</f>
        <v/>
      </c>
      <c r="Z100" s="114" t="str">
        <f>IF('Data input'!D100&lt;&gt;"",P100/'Data input'!D100*100%,"")</f>
        <v/>
      </c>
      <c r="AA100" s="114" t="str">
        <f>IF('Data input'!E100&lt;&gt;"",Q100/'Data input'!E100*100%,"")</f>
        <v/>
      </c>
      <c r="AB100" s="114" t="str">
        <f>IF('Data input'!F100&lt;&gt;"",R100/'Data input'!F100*100%,"")</f>
        <v/>
      </c>
      <c r="AC100" s="114" t="str">
        <f>IF('Data input'!G100&lt;&gt;"",S100/'Data input'!G100*100%,"")</f>
        <v/>
      </c>
      <c r="AD100" s="114" t="str">
        <f>IF('Data input'!H100&lt;&gt;"",T100/'Data input'!H100*100%,"")</f>
        <v/>
      </c>
      <c r="AE100" s="114" t="str">
        <f>IF('Data input'!I100&lt;&gt;"",U100/'Data input'!I100*100%,"")</f>
        <v/>
      </c>
      <c r="AF100" s="114" t="str">
        <f>IF('Data input'!J100&lt;&gt;"",V100/'Data input'!J100*100%,"")</f>
        <v/>
      </c>
      <c r="AG100" s="114" t="str">
        <f>IF('Data input'!K100&lt;&gt;"",W100/'Data input'!K100*100%,"")</f>
        <v/>
      </c>
      <c r="AH100" s="115" t="str">
        <f>IF('Data input'!L100&lt;&gt;"",X100/'Data input'!L100*100%,"")</f>
        <v/>
      </c>
      <c r="AI100" s="114" t="str">
        <f>IF('Data input'!C100&lt;&gt;"",'Run VRS'!AH100/'Run VRS'!C100,"")</f>
        <v/>
      </c>
      <c r="AJ100" s="114" t="str">
        <f>IF('Data input'!D100&lt;&gt;"",'Run VRS'!AI100/'Run VRS'!D100,"")</f>
        <v/>
      </c>
      <c r="AK100" s="114" t="str">
        <f>IF('Data input'!E100&lt;&gt;"",'Run VRS'!AJ100/'Run VRS'!E100,"")</f>
        <v/>
      </c>
      <c r="AL100" s="114" t="str">
        <f>IF('Data input'!F100&lt;&gt;"",'Run VRS'!AK100/'Run VRS'!F100,"")</f>
        <v/>
      </c>
      <c r="AM100" s="114" t="str">
        <f>IF('Data input'!G100&lt;&gt;"",'Run VRS'!AL100/'Run VRS'!G100,"")</f>
        <v/>
      </c>
      <c r="AN100" s="114" t="str">
        <f>IF('Data input'!H100&lt;&gt;"",'Run VRS'!AM100/'Run VRS'!H100,"")</f>
        <v/>
      </c>
      <c r="AO100" s="114" t="str">
        <f>IF('Data input'!I100&lt;&gt;"",'Run VRS'!AN100/'Run VRS'!I100,"")</f>
        <v/>
      </c>
      <c r="AP100" s="114" t="str">
        <f>IF('Data input'!J100&lt;&gt;"",'Run VRS'!AO100/'Run VRS'!J100,"")</f>
        <v/>
      </c>
      <c r="AQ100" s="114" t="str">
        <f>IF('Data input'!K100&lt;&gt;"",'Run VRS'!AP100/'Run VRS'!K100,"")</f>
        <v/>
      </c>
      <c r="AR100" s="115" t="str">
        <f>IF('Data input'!L100&lt;&gt;"",'Run VRS'!AQ100/'Run VRS'!L100,"")</f>
        <v/>
      </c>
    </row>
    <row r="101" spans="1:44" x14ac:dyDescent="0.35">
      <c r="A101" s="102" t="str">
        <f>IF('Run VRS'!AF101&lt;&gt;"",'Run VRS'!AF101,"")</f>
        <v/>
      </c>
      <c r="B101" s="103" t="str">
        <f>IF('Run VRS'!AG101&lt;&gt;"",'Run VRS'!AG101,"")</f>
        <v/>
      </c>
      <c r="C101" s="104" t="str">
        <f>IF('Run VRS'!AR101&lt;&gt;"",'Run VRS'!AR101,"")</f>
        <v/>
      </c>
      <c r="D101" s="104" t="e">
        <f>IF(ROUND(C101,3)=100%,"Optimal frontier",'Run VRS'!BW101)</f>
        <v>#VALUE!</v>
      </c>
      <c r="E101" s="105" t="str">
        <f>IF('Run VRS'!BC101&lt;&gt;"",'Run VRS'!BC101,"")</f>
        <v/>
      </c>
      <c r="F101" s="106" t="str">
        <f>IF('Run VRS'!BD101&lt;&gt;"",'Run VRS'!BD101,"")</f>
        <v/>
      </c>
      <c r="G101" s="106" t="str">
        <f>IF('Run VRS'!BE101&lt;&gt;"",'Run VRS'!BE101,"")</f>
        <v/>
      </c>
      <c r="H101" s="106" t="str">
        <f>IF('Run VRS'!BF101&lt;&gt;"",'Run VRS'!BF101,"")</f>
        <v/>
      </c>
      <c r="I101" s="106" t="str">
        <f>IF('Run VRS'!BG101&lt;&gt;"",'Run VRS'!BG101,"")</f>
        <v/>
      </c>
      <c r="J101" s="106" t="str">
        <f>IF('Run VRS'!BH101&lt;&gt;"",'Run VRS'!BH101,"")</f>
        <v/>
      </c>
      <c r="K101" s="105" t="str">
        <f>IF('Run VRS'!BI101&lt;&gt;"",'Run VRS'!BI101,"")</f>
        <v/>
      </c>
      <c r="L101" s="105" t="str">
        <f>IF('Run VRS'!BJ101&lt;&gt;"",'Run VRS'!BJ101,"")</f>
        <v/>
      </c>
      <c r="M101" s="105" t="str">
        <f>IF('Run VRS'!BK101&lt;&gt;"",'Run VRS'!BK101,"")</f>
        <v/>
      </c>
      <c r="N101" s="105" t="str">
        <f>IF('Run VRS'!BL101&lt;&gt;"",'Run VRS'!BL101,"")</f>
        <v/>
      </c>
      <c r="O101" s="105" t="str">
        <f>IF('Run VRS'!BM101&lt;&gt;"",'Run VRS'!BM101,"")</f>
        <v/>
      </c>
      <c r="P101" s="106" t="str">
        <f>IF('Run VRS'!BN101&lt;&gt;"",'Run VRS'!BN101,"")</f>
        <v/>
      </c>
      <c r="Q101" s="106" t="str">
        <f>IF('Run VRS'!BO101&lt;&gt;"",'Run VRS'!BO101,"")</f>
        <v/>
      </c>
      <c r="R101" s="106" t="str">
        <f>IF('Run VRS'!BP101&lt;&gt;"",'Run VRS'!BP101,"")</f>
        <v/>
      </c>
      <c r="S101" s="106" t="str">
        <f>IF('Run VRS'!BQ101&lt;&gt;"",'Run VRS'!BQ101,"")</f>
        <v/>
      </c>
      <c r="T101" s="106" t="str">
        <f>IF('Run VRS'!BR101&lt;&gt;"",'Run VRS'!BR101,"")</f>
        <v/>
      </c>
      <c r="U101" s="105" t="str">
        <f>IF('Run VRS'!BS101&lt;&gt;"",'Run VRS'!BS101,"")</f>
        <v/>
      </c>
      <c r="V101" s="105" t="str">
        <f>IF('Run VRS'!BT101&lt;&gt;"",'Run VRS'!BT101,"")</f>
        <v/>
      </c>
      <c r="W101" s="105" t="str">
        <f>IF('Run VRS'!BU101&lt;&gt;"",'Run VRS'!BU101,"")</f>
        <v/>
      </c>
      <c r="X101" s="107" t="str">
        <f>IF('Run VRS'!BV101&lt;&gt;"",'Run VRS'!BV101,"")</f>
        <v/>
      </c>
      <c r="Y101" s="114" t="str">
        <f>IF('Data input'!C101&lt;&gt;"",O101/'Data input'!C101*100%,"")</f>
        <v/>
      </c>
      <c r="Z101" s="114" t="str">
        <f>IF('Data input'!D101&lt;&gt;"",P101/'Data input'!D101*100%,"")</f>
        <v/>
      </c>
      <c r="AA101" s="114" t="str">
        <f>IF('Data input'!E101&lt;&gt;"",Q101/'Data input'!E101*100%,"")</f>
        <v/>
      </c>
      <c r="AB101" s="114" t="str">
        <f>IF('Data input'!F101&lt;&gt;"",R101/'Data input'!F101*100%,"")</f>
        <v/>
      </c>
      <c r="AC101" s="114" t="str">
        <f>IF('Data input'!G101&lt;&gt;"",S101/'Data input'!G101*100%,"")</f>
        <v/>
      </c>
      <c r="AD101" s="114" t="str">
        <f>IF('Data input'!H101&lt;&gt;"",T101/'Data input'!H101*100%,"")</f>
        <v/>
      </c>
      <c r="AE101" s="114" t="str">
        <f>IF('Data input'!I101&lt;&gt;"",U101/'Data input'!I101*100%,"")</f>
        <v/>
      </c>
      <c r="AF101" s="114" t="str">
        <f>IF('Data input'!J101&lt;&gt;"",V101/'Data input'!J101*100%,"")</f>
        <v/>
      </c>
      <c r="AG101" s="114" t="str">
        <f>IF('Data input'!K101&lt;&gt;"",W101/'Data input'!K101*100%,"")</f>
        <v/>
      </c>
      <c r="AH101" s="115" t="str">
        <f>IF('Data input'!L101&lt;&gt;"",X101/'Data input'!L101*100%,"")</f>
        <v/>
      </c>
      <c r="AI101" s="114" t="str">
        <f>IF('Data input'!C101&lt;&gt;"",'Run VRS'!AH101/'Run VRS'!C101,"")</f>
        <v/>
      </c>
      <c r="AJ101" s="114" t="str">
        <f>IF('Data input'!D101&lt;&gt;"",'Run VRS'!AI101/'Run VRS'!D101,"")</f>
        <v/>
      </c>
      <c r="AK101" s="114" t="str">
        <f>IF('Data input'!E101&lt;&gt;"",'Run VRS'!AJ101/'Run VRS'!E101,"")</f>
        <v/>
      </c>
      <c r="AL101" s="114" t="str">
        <f>IF('Data input'!F101&lt;&gt;"",'Run VRS'!AK101/'Run VRS'!F101,"")</f>
        <v/>
      </c>
      <c r="AM101" s="114" t="str">
        <f>IF('Data input'!G101&lt;&gt;"",'Run VRS'!AL101/'Run VRS'!G101,"")</f>
        <v/>
      </c>
      <c r="AN101" s="114" t="str">
        <f>IF('Data input'!H101&lt;&gt;"",'Run VRS'!AM101/'Run VRS'!H101,"")</f>
        <v/>
      </c>
      <c r="AO101" s="114" t="str">
        <f>IF('Data input'!I101&lt;&gt;"",'Run VRS'!AN101/'Run VRS'!I101,"")</f>
        <v/>
      </c>
      <c r="AP101" s="114" t="str">
        <f>IF('Data input'!J101&lt;&gt;"",'Run VRS'!AO101/'Run VRS'!J101,"")</f>
        <v/>
      </c>
      <c r="AQ101" s="114" t="str">
        <f>IF('Data input'!K101&lt;&gt;"",'Run VRS'!AP101/'Run VRS'!K101,"")</f>
        <v/>
      </c>
      <c r="AR101" s="115" t="str">
        <f>IF('Data input'!L101&lt;&gt;"",'Run VRS'!AQ101/'Run VRS'!L101,"")</f>
        <v/>
      </c>
    </row>
    <row r="102" spans="1:44" ht="15" thickBot="1" x14ac:dyDescent="0.4">
      <c r="A102" s="108" t="str">
        <f>IF('Run VRS'!AF102&lt;&gt;"",'Run VRS'!AF102,"")</f>
        <v/>
      </c>
      <c r="B102" s="109" t="str">
        <f>IF('Run VRS'!AG102&lt;&gt;"",'Run VRS'!AG102,"")</f>
        <v/>
      </c>
      <c r="C102" s="110" t="str">
        <f>IF('Run VRS'!AR102&lt;&gt;"",'Run VRS'!AR102,"")</f>
        <v/>
      </c>
      <c r="D102" s="110" t="e">
        <f>IF(ROUND(C102,3)=100%,"Optimal frontier",'Run VRS'!BW102)</f>
        <v>#VALUE!</v>
      </c>
      <c r="E102" s="111" t="str">
        <f>IF('Run VRS'!BC102&lt;&gt;"",'Run VRS'!BC102,"")</f>
        <v/>
      </c>
      <c r="F102" s="112" t="str">
        <f>IF('Run VRS'!BD102&lt;&gt;"",'Run VRS'!BD102,"")</f>
        <v/>
      </c>
      <c r="G102" s="112" t="str">
        <f>IF('Run VRS'!BE102&lt;&gt;"",'Run VRS'!BE102,"")</f>
        <v/>
      </c>
      <c r="H102" s="112" t="str">
        <f>IF('Run VRS'!BF102&lt;&gt;"",'Run VRS'!BF102,"")</f>
        <v/>
      </c>
      <c r="I102" s="112" t="str">
        <f>IF('Run VRS'!BG102&lt;&gt;"",'Run VRS'!BG102,"")</f>
        <v/>
      </c>
      <c r="J102" s="112" t="str">
        <f>IF('Run VRS'!BH102&lt;&gt;"",'Run VRS'!BH102,"")</f>
        <v/>
      </c>
      <c r="K102" s="111" t="str">
        <f>IF('Run VRS'!BI102&lt;&gt;"",'Run VRS'!BI102,"")</f>
        <v/>
      </c>
      <c r="L102" s="111" t="str">
        <f>IF('Run VRS'!BJ102&lt;&gt;"",'Run VRS'!BJ102,"")</f>
        <v/>
      </c>
      <c r="M102" s="111" t="str">
        <f>IF('Run VRS'!BK102&lt;&gt;"",'Run VRS'!BK102,"")</f>
        <v/>
      </c>
      <c r="N102" s="111" t="str">
        <f>IF('Run VRS'!BL102&lt;&gt;"",'Run VRS'!BL102,"")</f>
        <v/>
      </c>
      <c r="O102" s="111" t="str">
        <f>IF('Run VRS'!BM102&lt;&gt;"",'Run VRS'!BM102,"")</f>
        <v/>
      </c>
      <c r="P102" s="112" t="str">
        <f>IF('Run VRS'!BN102&lt;&gt;"",'Run VRS'!BN102,"")</f>
        <v/>
      </c>
      <c r="Q102" s="112" t="str">
        <f>IF('Run VRS'!BO102&lt;&gt;"",'Run VRS'!BO102,"")</f>
        <v/>
      </c>
      <c r="R102" s="112" t="str">
        <f>IF('Run VRS'!BP102&lt;&gt;"",'Run VRS'!BP102,"")</f>
        <v/>
      </c>
      <c r="S102" s="112" t="str">
        <f>IF('Run VRS'!BQ102&lt;&gt;"",'Run VRS'!BQ102,"")</f>
        <v/>
      </c>
      <c r="T102" s="112" t="str">
        <f>IF('Run VRS'!BR102&lt;&gt;"",'Run VRS'!BR102,"")</f>
        <v/>
      </c>
      <c r="U102" s="111" t="str">
        <f>IF('Run VRS'!BS102&lt;&gt;"",'Run VRS'!BS102,"")</f>
        <v/>
      </c>
      <c r="V102" s="111" t="str">
        <f>IF('Run VRS'!BT102&lt;&gt;"",'Run VRS'!BT102,"")</f>
        <v/>
      </c>
      <c r="W102" s="111" t="str">
        <f>IF('Run VRS'!BU102&lt;&gt;"",'Run VRS'!BU102,"")</f>
        <v/>
      </c>
      <c r="X102" s="113" t="str">
        <f>IF('Run VRS'!BV102&lt;&gt;"",'Run VRS'!BV102,"")</f>
        <v/>
      </c>
      <c r="Y102" s="114" t="str">
        <f>IF('Data input'!C102&lt;&gt;"",O102/'Data input'!C102*100%,"")</f>
        <v/>
      </c>
      <c r="Z102" s="116" t="str">
        <f>IF('Data input'!D102&lt;&gt;"",P102/'Data input'!D102*100%,"")</f>
        <v/>
      </c>
      <c r="AA102" s="116" t="str">
        <f>IF('Data input'!E102&lt;&gt;"",Q102/'Data input'!E102*100%,"")</f>
        <v/>
      </c>
      <c r="AB102" s="116" t="str">
        <f>IF('Data input'!F102&lt;&gt;"",R102/'Data input'!F102*100%,"")</f>
        <v/>
      </c>
      <c r="AC102" s="116" t="str">
        <f>IF('Data input'!G102&lt;&gt;"",S102/'Data input'!G102*100%,"")</f>
        <v/>
      </c>
      <c r="AD102" s="116" t="str">
        <f>IF('Data input'!H102&lt;&gt;"",T102/'Data input'!H102*100%,"")</f>
        <v/>
      </c>
      <c r="AE102" s="116" t="str">
        <f>IF('Data input'!I102&lt;&gt;"",U102/'Data input'!I102*100%,"")</f>
        <v/>
      </c>
      <c r="AF102" s="116" t="str">
        <f>IF('Data input'!J102&lt;&gt;"",V102/'Data input'!J102*100%,"")</f>
        <v/>
      </c>
      <c r="AG102" s="116" t="str">
        <f>IF('Data input'!K102&lt;&gt;"",W102/'Data input'!K102*100%,"")</f>
        <v/>
      </c>
      <c r="AH102" s="117" t="str">
        <f>IF('Data input'!L102&lt;&gt;"",X102/'Data input'!L102*100%,"")</f>
        <v/>
      </c>
      <c r="AI102" s="114" t="str">
        <f>IF('Data input'!C102&lt;&gt;"",'Run VRS'!AH102/'Run VRS'!C102,"")</f>
        <v/>
      </c>
      <c r="AJ102" s="116" t="str">
        <f>IF('Data input'!D102&lt;&gt;"",'Run VRS'!AI102/'Run VRS'!D102,"")</f>
        <v/>
      </c>
      <c r="AK102" s="116" t="str">
        <f>IF('Data input'!E102&lt;&gt;"",'Run VRS'!AJ102/'Run VRS'!E102,"")</f>
        <v/>
      </c>
      <c r="AL102" s="116" t="str">
        <f>IF('Data input'!F102&lt;&gt;"",'Run VRS'!AK102/'Run VRS'!F102,"")</f>
        <v/>
      </c>
      <c r="AM102" s="116" t="str">
        <f>IF('Data input'!G102&lt;&gt;"",'Run VRS'!AL102/'Run VRS'!G102,"")</f>
        <v/>
      </c>
      <c r="AN102" s="116" t="str">
        <f>IF('Data input'!H102&lt;&gt;"",'Run VRS'!AM102/'Run VRS'!H102,"")</f>
        <v/>
      </c>
      <c r="AO102" s="116" t="str">
        <f>IF('Data input'!I102&lt;&gt;"",'Run VRS'!AN102/'Run VRS'!I102,"")</f>
        <v/>
      </c>
      <c r="AP102" s="116" t="str">
        <f>IF('Data input'!J102&lt;&gt;"",'Run VRS'!AO102/'Run VRS'!J102,"")</f>
        <v/>
      </c>
      <c r="AQ102" s="116" t="str">
        <f>IF('Data input'!K102&lt;&gt;"",'Run VRS'!AP102/'Run VRS'!K102,"")</f>
        <v/>
      </c>
      <c r="AR102" s="117" t="str">
        <f>IF('Data input'!L102&lt;&gt;"",'Run VRS'!AQ102/'Run VRS'!L102,"")</f>
        <v/>
      </c>
    </row>
  </sheetData>
  <autoFilter ref="A2:AR102" xr:uid="{F35FE28A-BBC0-41F6-9997-7C13B1825AB8}"/>
  <mergeCells count="44">
    <mergeCell ref="AN1:AN2"/>
    <mergeCell ref="AO1:AO2"/>
    <mergeCell ref="AP1:AP2"/>
    <mergeCell ref="AQ1:AQ2"/>
    <mergeCell ref="AR1:AR2"/>
    <mergeCell ref="AI1:AI2"/>
    <mergeCell ref="AJ1:AJ2"/>
    <mergeCell ref="AK1:AK2"/>
    <mergeCell ref="AL1:AL2"/>
    <mergeCell ref="AM1:AM2"/>
    <mergeCell ref="AE1:AE2"/>
    <mergeCell ref="AF1:AF2"/>
    <mergeCell ref="AG1:AG2"/>
    <mergeCell ref="AH1:AH2"/>
    <mergeCell ref="Y1:Y2"/>
    <mergeCell ref="Z1:Z2"/>
    <mergeCell ref="AA1:AA2"/>
    <mergeCell ref="AB1:AB2"/>
    <mergeCell ref="AC1:AC2"/>
    <mergeCell ref="AD1:AD2"/>
    <mergeCell ref="X1:X2"/>
    <mergeCell ref="M1:M2"/>
    <mergeCell ref="N1:N2"/>
    <mergeCell ref="O1:O2"/>
    <mergeCell ref="P1:P2"/>
    <mergeCell ref="Q1:Q2"/>
    <mergeCell ref="R1:R2"/>
    <mergeCell ref="S1:S2"/>
    <mergeCell ref="T1:T2"/>
    <mergeCell ref="U1:U2"/>
    <mergeCell ref="V1:V2"/>
    <mergeCell ref="W1:W2"/>
    <mergeCell ref="L1:L2"/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</mergeCells>
  <conditionalFormatting sqref="A3:A102">
    <cfRule type="expression" dxfId="50" priority="39">
      <formula>A3&lt;&gt;""</formula>
    </cfRule>
  </conditionalFormatting>
  <conditionalFormatting sqref="B3:B102">
    <cfRule type="expression" dxfId="49" priority="40">
      <formula>B3&lt;&gt;""</formula>
    </cfRule>
  </conditionalFormatting>
  <conditionalFormatting sqref="C3:D102">
    <cfRule type="expression" dxfId="48" priority="41">
      <formula>C3&lt;&gt;""</formula>
    </cfRule>
  </conditionalFormatting>
  <conditionalFormatting sqref="E3:E102">
    <cfRule type="expression" dxfId="47" priority="42">
      <formula>E3&lt;&gt;""</formula>
    </cfRule>
  </conditionalFormatting>
  <conditionalFormatting sqref="F3:F102">
    <cfRule type="expression" dxfId="46" priority="43">
      <formula>F3&lt;&gt;""</formula>
    </cfRule>
  </conditionalFormatting>
  <conditionalFormatting sqref="G3:G102">
    <cfRule type="expression" dxfId="45" priority="44">
      <formula>G3&lt;&gt;""</formula>
    </cfRule>
  </conditionalFormatting>
  <conditionalFormatting sqref="H3:H102">
    <cfRule type="expression" dxfId="44" priority="45">
      <formula>H3&lt;&gt;""</formula>
    </cfRule>
  </conditionalFormatting>
  <conditionalFormatting sqref="I3:I102">
    <cfRule type="expression" dxfId="43" priority="46">
      <formula>I3&lt;&gt;""</formula>
    </cfRule>
  </conditionalFormatting>
  <conditionalFormatting sqref="E1:I1">
    <cfRule type="expression" dxfId="42" priority="37">
      <formula>E1&lt;&gt;""</formula>
    </cfRule>
  </conditionalFormatting>
  <conditionalFormatting sqref="J1:N1">
    <cfRule type="expression" dxfId="41" priority="38">
      <formula>J1&lt;&gt;""</formula>
    </cfRule>
  </conditionalFormatting>
  <conditionalFormatting sqref="J3:J102">
    <cfRule type="expression" dxfId="40" priority="47">
      <formula>J3&lt;&gt;""</formula>
    </cfRule>
  </conditionalFormatting>
  <conditionalFormatting sqref="K3:K102">
    <cfRule type="expression" dxfId="39" priority="48">
      <formula>K3&lt;&gt;""</formula>
    </cfRule>
  </conditionalFormatting>
  <conditionalFormatting sqref="L3:L102">
    <cfRule type="expression" dxfId="38" priority="49">
      <formula>L3&lt;&gt;""</formula>
    </cfRule>
  </conditionalFormatting>
  <conditionalFormatting sqref="M3:M102">
    <cfRule type="expression" dxfId="37" priority="50">
      <formula>M3&lt;&gt;""</formula>
    </cfRule>
  </conditionalFormatting>
  <conditionalFormatting sqref="N3:N102">
    <cfRule type="expression" dxfId="36" priority="51">
      <formula>N3&lt;&gt;""</formula>
    </cfRule>
  </conditionalFormatting>
  <conditionalFormatting sqref="O3:O102">
    <cfRule type="expression" dxfId="35" priority="27">
      <formula>O3&lt;&gt;""</formula>
    </cfRule>
  </conditionalFormatting>
  <conditionalFormatting sqref="P3:P102">
    <cfRule type="expression" dxfId="34" priority="28">
      <formula>P3&lt;&gt;""</formula>
    </cfRule>
  </conditionalFormatting>
  <conditionalFormatting sqref="Q3:Q102">
    <cfRule type="expression" dxfId="33" priority="29">
      <formula>Q3&lt;&gt;""</formula>
    </cfRule>
  </conditionalFormatting>
  <conditionalFormatting sqref="R3:R102">
    <cfRule type="expression" dxfId="32" priority="30">
      <formula>R3&lt;&gt;""</formula>
    </cfRule>
  </conditionalFormatting>
  <conditionalFormatting sqref="S3:S102">
    <cfRule type="expression" dxfId="31" priority="31">
      <formula>S3&lt;&gt;""</formula>
    </cfRule>
  </conditionalFormatting>
  <conditionalFormatting sqref="O1:S1">
    <cfRule type="expression" dxfId="30" priority="25">
      <formula>O1&lt;&gt;""</formula>
    </cfRule>
  </conditionalFormatting>
  <conditionalFormatting sqref="T1:X1">
    <cfRule type="expression" dxfId="29" priority="26">
      <formula>T1&lt;&gt;""</formula>
    </cfRule>
  </conditionalFormatting>
  <conditionalFormatting sqref="T3:T102">
    <cfRule type="expression" dxfId="28" priority="32">
      <formula>T3&lt;&gt;""</formula>
    </cfRule>
  </conditionalFormatting>
  <conditionalFormatting sqref="U3:U102">
    <cfRule type="expression" dxfId="27" priority="33">
      <formula>U3&lt;&gt;""</formula>
    </cfRule>
  </conditionalFormatting>
  <conditionalFormatting sqref="V3:V102">
    <cfRule type="expression" dxfId="26" priority="34">
      <formula>V3&lt;&gt;""</formula>
    </cfRule>
  </conditionalFormatting>
  <conditionalFormatting sqref="W3:W102">
    <cfRule type="expression" dxfId="25" priority="35">
      <formula>W3&lt;&gt;""</formula>
    </cfRule>
  </conditionalFormatting>
  <conditionalFormatting sqref="X3:X102">
    <cfRule type="expression" dxfId="24" priority="36">
      <formula>X3&lt;&gt;""</formula>
    </cfRule>
  </conditionalFormatting>
  <conditionalFormatting sqref="Y3:Y102">
    <cfRule type="expression" dxfId="23" priority="15">
      <formula>Y3&lt;&gt;""</formula>
    </cfRule>
  </conditionalFormatting>
  <conditionalFormatting sqref="Z3:Z102">
    <cfRule type="expression" dxfId="22" priority="16">
      <formula>Z3&lt;&gt;""</formula>
    </cfRule>
  </conditionalFormatting>
  <conditionalFormatting sqref="AA3:AA102">
    <cfRule type="expression" dxfId="21" priority="17">
      <formula>AA3&lt;&gt;""</formula>
    </cfRule>
  </conditionalFormatting>
  <conditionalFormatting sqref="AB3:AB102">
    <cfRule type="expression" dxfId="20" priority="18">
      <formula>AB3&lt;&gt;""</formula>
    </cfRule>
  </conditionalFormatting>
  <conditionalFormatting sqref="AC3:AC102">
    <cfRule type="expression" dxfId="19" priority="19">
      <formula>AC3&lt;&gt;""</formula>
    </cfRule>
  </conditionalFormatting>
  <conditionalFormatting sqref="Y1:AC1">
    <cfRule type="expression" dxfId="18" priority="13">
      <formula>Y1&lt;&gt;""</formula>
    </cfRule>
  </conditionalFormatting>
  <conditionalFormatting sqref="AD1:AH1">
    <cfRule type="expression" dxfId="17" priority="14">
      <formula>AD1&lt;&gt;""</formula>
    </cfRule>
  </conditionalFormatting>
  <conditionalFormatting sqref="AD3:AD102">
    <cfRule type="expression" dxfId="16" priority="20">
      <formula>AD3&lt;&gt;""</formula>
    </cfRule>
  </conditionalFormatting>
  <conditionalFormatting sqref="AE3:AE102">
    <cfRule type="expression" dxfId="15" priority="21">
      <formula>AE3&lt;&gt;""</formula>
    </cfRule>
  </conditionalFormatting>
  <conditionalFormatting sqref="AF3:AF102">
    <cfRule type="expression" dxfId="14" priority="22">
      <formula>AF3&lt;&gt;""</formula>
    </cfRule>
  </conditionalFormatting>
  <conditionalFormatting sqref="AG3:AG102">
    <cfRule type="expression" dxfId="13" priority="23">
      <formula>AG3&lt;&gt;""</formula>
    </cfRule>
  </conditionalFormatting>
  <conditionalFormatting sqref="AH3:AH102">
    <cfRule type="expression" dxfId="12" priority="24">
      <formula>AH3&lt;&gt;""</formula>
    </cfRule>
  </conditionalFormatting>
  <conditionalFormatting sqref="AI3:AI102">
    <cfRule type="expression" dxfId="11" priority="3">
      <formula>AI3&lt;&gt;""</formula>
    </cfRule>
  </conditionalFormatting>
  <conditionalFormatting sqref="AJ3:AJ102">
    <cfRule type="expression" dxfId="10" priority="4">
      <formula>AJ3&lt;&gt;""</formula>
    </cfRule>
  </conditionalFormatting>
  <conditionalFormatting sqref="AK3:AK102">
    <cfRule type="expression" dxfId="9" priority="5">
      <formula>AK3&lt;&gt;""</formula>
    </cfRule>
  </conditionalFormatting>
  <conditionalFormatting sqref="AL3:AL102">
    <cfRule type="expression" dxfId="8" priority="6">
      <formula>AL3&lt;&gt;""</formula>
    </cfRule>
  </conditionalFormatting>
  <conditionalFormatting sqref="AM3:AM102">
    <cfRule type="expression" dxfId="7" priority="7">
      <formula>AM3&lt;&gt;""</formula>
    </cfRule>
  </conditionalFormatting>
  <conditionalFormatting sqref="AI1:AM1">
    <cfRule type="expression" dxfId="6" priority="1">
      <formula>AI1&lt;&gt;""</formula>
    </cfRule>
  </conditionalFormatting>
  <conditionalFormatting sqref="AN1:AR1">
    <cfRule type="expression" dxfId="5" priority="2">
      <formula>AN1&lt;&gt;""</formula>
    </cfRule>
  </conditionalFormatting>
  <conditionalFormatting sqref="AN3:AN102">
    <cfRule type="expression" dxfId="4" priority="8">
      <formula>AN3&lt;&gt;""</formula>
    </cfRule>
  </conditionalFormatting>
  <conditionalFormatting sqref="AO3:AO102">
    <cfRule type="expression" dxfId="3" priority="9">
      <formula>AO3&lt;&gt;""</formula>
    </cfRule>
  </conditionalFormatting>
  <conditionalFormatting sqref="AP3:AP102">
    <cfRule type="expression" dxfId="2" priority="10">
      <formula>AP3&lt;&gt;""</formula>
    </cfRule>
  </conditionalFormatting>
  <conditionalFormatting sqref="AQ3:AQ102">
    <cfRule type="expression" dxfId="1" priority="11">
      <formula>AQ3&lt;&gt;""</formula>
    </cfRule>
  </conditionalFormatting>
  <conditionalFormatting sqref="AR3:AR102">
    <cfRule type="expression" dxfId="0" priority="12">
      <formula>AR3&lt;&gt;""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 input</vt:lpstr>
      <vt:lpstr>Set-ups</vt:lpstr>
      <vt:lpstr>Run CRS</vt:lpstr>
      <vt:lpstr>Result CRS</vt:lpstr>
      <vt:lpstr>Run VRS</vt:lpstr>
      <vt:lpstr>Result VRS</vt:lpstr>
      <vt:lpstr>'Set-ups'!Print_Area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임승모</dc:creator>
  <cp:lastModifiedBy>aveli</cp:lastModifiedBy>
  <dcterms:created xsi:type="dcterms:W3CDTF">2023-02-13T06:36:06Z</dcterms:created>
  <dcterms:modified xsi:type="dcterms:W3CDTF">2023-06-02T19:27:17Z</dcterms:modified>
</cp:coreProperties>
</file>